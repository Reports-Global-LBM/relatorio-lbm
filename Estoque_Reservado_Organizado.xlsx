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ria\Desktop\"/>
    </mc:Choice>
  </mc:AlternateContent>
  <xr:revisionPtr revIDLastSave="0" documentId="13_ncr:1_{8AA0A327-F85E-4032-8558-944AAB550352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Backup Reservas" sheetId="1" r:id="rId1"/>
    <sheet name="Base SKUs" sheetId="2" r:id="rId2"/>
  </sheets>
  <definedNames>
    <definedName name="_xlnm._FilterDatabase" localSheetId="0" hidden="1">'Backup Reservas'!$A$1:$P$453</definedName>
    <definedName name="_xlnm._FilterDatabase" localSheetId="1" hidden="1">'Base SKUs'!$A$1:$S$4017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6" i="1" l="1"/>
  <c r="O145" i="1"/>
  <c r="O144" i="1"/>
  <c r="O143" i="1"/>
  <c r="O142" i="1"/>
  <c r="O84" i="1"/>
  <c r="O83" i="1"/>
  <c r="O82" i="1"/>
  <c r="O81" i="1"/>
  <c r="O80" i="1"/>
  <c r="O79" i="1"/>
  <c r="O78" i="1"/>
  <c r="O77" i="1"/>
  <c r="O76" i="1"/>
  <c r="O75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N236" i="1"/>
  <c r="N145" i="1"/>
  <c r="N144" i="1"/>
  <c r="N143" i="1"/>
  <c r="N142" i="1"/>
  <c r="N84" i="1"/>
  <c r="N83" i="1"/>
  <c r="N82" i="1"/>
  <c r="N81" i="1"/>
  <c r="N80" i="1"/>
  <c r="N79" i="1"/>
  <c r="N78" i="1"/>
  <c r="N77" i="1"/>
  <c r="N76" i="1"/>
  <c r="N75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M236" i="1"/>
  <c r="L236" i="1"/>
  <c r="K236" i="1"/>
  <c r="J236" i="1"/>
  <c r="M145" i="1"/>
  <c r="L145" i="1"/>
  <c r="K145" i="1"/>
  <c r="J145" i="1"/>
  <c r="M144" i="1"/>
  <c r="L144" i="1"/>
  <c r="K144" i="1"/>
  <c r="J144" i="1"/>
  <c r="M143" i="1"/>
  <c r="L143" i="1"/>
  <c r="K143" i="1"/>
  <c r="J143" i="1"/>
  <c r="M142" i="1"/>
  <c r="L142" i="1"/>
  <c r="K142" i="1"/>
  <c r="J142" i="1"/>
  <c r="M84" i="1"/>
  <c r="L84" i="1"/>
  <c r="K84" i="1"/>
  <c r="J84" i="1"/>
  <c r="M83" i="1"/>
  <c r="L83" i="1"/>
  <c r="K83" i="1"/>
  <c r="J83" i="1"/>
  <c r="M82" i="1"/>
  <c r="L82" i="1"/>
  <c r="K82" i="1"/>
  <c r="J82" i="1"/>
  <c r="M81" i="1"/>
  <c r="L81" i="1"/>
  <c r="K81" i="1"/>
  <c r="J81" i="1"/>
  <c r="M80" i="1"/>
  <c r="L80" i="1"/>
  <c r="K80" i="1"/>
  <c r="J80" i="1"/>
  <c r="M79" i="1"/>
  <c r="L79" i="1"/>
  <c r="K79" i="1"/>
  <c r="J79" i="1"/>
  <c r="M78" i="1"/>
  <c r="L78" i="1"/>
  <c r="K78" i="1"/>
  <c r="J78" i="1"/>
  <c r="M77" i="1"/>
  <c r="L77" i="1"/>
  <c r="K77" i="1"/>
  <c r="J77" i="1"/>
  <c r="M76" i="1"/>
  <c r="L76" i="1"/>
  <c r="K76" i="1"/>
  <c r="J76" i="1"/>
  <c r="M75" i="1"/>
  <c r="L75" i="1"/>
  <c r="K75" i="1"/>
  <c r="J75" i="1"/>
  <c r="M39" i="1"/>
  <c r="L39" i="1"/>
  <c r="K39" i="1"/>
  <c r="J39" i="1"/>
  <c r="M38" i="1"/>
  <c r="L38" i="1"/>
  <c r="K38" i="1"/>
  <c r="J38" i="1"/>
  <c r="M37" i="1"/>
  <c r="L37" i="1"/>
  <c r="K37" i="1"/>
  <c r="J37" i="1"/>
  <c r="M36" i="1"/>
  <c r="L36" i="1"/>
  <c r="K36" i="1"/>
  <c r="J36" i="1"/>
  <c r="M35" i="1"/>
  <c r="L35" i="1"/>
  <c r="K35" i="1"/>
  <c r="J35" i="1"/>
  <c r="M34" i="1"/>
  <c r="L34" i="1"/>
  <c r="K34" i="1"/>
  <c r="J34" i="1"/>
  <c r="M33" i="1"/>
  <c r="L33" i="1"/>
  <c r="K33" i="1"/>
  <c r="J33" i="1"/>
  <c r="M32" i="1"/>
  <c r="L32" i="1"/>
  <c r="K32" i="1"/>
  <c r="J32" i="1"/>
  <c r="M31" i="1"/>
  <c r="L31" i="1"/>
  <c r="K31" i="1"/>
  <c r="J31" i="1"/>
  <c r="M30" i="1"/>
  <c r="L30" i="1"/>
  <c r="K30" i="1"/>
  <c r="J30" i="1"/>
  <c r="M29" i="1"/>
  <c r="L29" i="1"/>
  <c r="K29" i="1"/>
  <c r="J29" i="1"/>
  <c r="M28" i="1"/>
  <c r="L28" i="1"/>
  <c r="K28" i="1"/>
  <c r="J28" i="1"/>
  <c r="M27" i="1"/>
  <c r="L27" i="1"/>
  <c r="K27" i="1"/>
  <c r="J27" i="1"/>
  <c r="M26" i="1"/>
  <c r="L26" i="1"/>
  <c r="K26" i="1"/>
  <c r="J26" i="1"/>
  <c r="M25" i="1"/>
  <c r="L25" i="1"/>
  <c r="K25" i="1"/>
  <c r="J25" i="1"/>
  <c r="M24" i="1"/>
  <c r="L24" i="1"/>
  <c r="K24" i="1"/>
  <c r="J24" i="1"/>
  <c r="M23" i="1"/>
  <c r="L23" i="1"/>
  <c r="K23" i="1"/>
  <c r="J23" i="1"/>
  <c r="M22" i="1"/>
  <c r="L22" i="1"/>
  <c r="K22" i="1"/>
  <c r="J22" i="1"/>
  <c r="M21" i="1"/>
  <c r="L21" i="1"/>
  <c r="K21" i="1"/>
  <c r="J21" i="1"/>
  <c r="M20" i="1"/>
  <c r="L20" i="1"/>
  <c r="K20" i="1"/>
  <c r="J20" i="1"/>
  <c r="M19" i="1"/>
  <c r="L19" i="1"/>
  <c r="K19" i="1"/>
  <c r="J19" i="1"/>
  <c r="M18" i="1"/>
  <c r="L18" i="1"/>
  <c r="K18" i="1"/>
  <c r="J18" i="1"/>
  <c r="M17" i="1"/>
  <c r="L17" i="1"/>
  <c r="K17" i="1"/>
  <c r="J17" i="1"/>
  <c r="M16" i="1"/>
  <c r="L16" i="1"/>
  <c r="K16" i="1"/>
  <c r="J16" i="1"/>
  <c r="M15" i="1"/>
  <c r="L15" i="1"/>
  <c r="K15" i="1"/>
  <c r="J15" i="1"/>
  <c r="G236" i="1"/>
  <c r="G145" i="1"/>
  <c r="G144" i="1"/>
  <c r="G143" i="1"/>
  <c r="G142" i="1"/>
  <c r="G84" i="1"/>
  <c r="G83" i="1"/>
  <c r="G82" i="1"/>
  <c r="G81" i="1"/>
  <c r="G80" i="1"/>
  <c r="G79" i="1"/>
  <c r="G78" i="1"/>
  <c r="G77" i="1"/>
  <c r="G76" i="1"/>
  <c r="G75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T4017" i="2"/>
  <c r="T4016" i="2"/>
  <c r="T4015" i="2"/>
  <c r="T4014" i="2"/>
  <c r="T4013" i="2"/>
  <c r="T4012" i="2"/>
  <c r="T4011" i="2"/>
  <c r="S4011" i="2"/>
  <c r="R4011" i="2"/>
  <c r="Q4011" i="2"/>
  <c r="P4011" i="2"/>
  <c r="O4011" i="2"/>
  <c r="T4010" i="2"/>
  <c r="S4010" i="2"/>
  <c r="R4010" i="2"/>
  <c r="Q4010" i="2"/>
  <c r="P4010" i="2"/>
  <c r="O4010" i="2"/>
  <c r="T4009" i="2"/>
  <c r="S4009" i="2"/>
  <c r="R4009" i="2"/>
  <c r="Q4009" i="2"/>
  <c r="P4009" i="2"/>
  <c r="O4009" i="2"/>
  <c r="T4008" i="2"/>
  <c r="S4008" i="2"/>
  <c r="R4008" i="2"/>
  <c r="Q4008" i="2"/>
  <c r="P4008" i="2"/>
  <c r="O4008" i="2"/>
  <c r="T4007" i="2"/>
  <c r="S4007" i="2"/>
  <c r="R4007" i="2"/>
  <c r="Q4007" i="2"/>
  <c r="P4007" i="2"/>
  <c r="O4007" i="2"/>
  <c r="T4006" i="2"/>
  <c r="S4006" i="2"/>
  <c r="R4006" i="2"/>
  <c r="Q4006" i="2"/>
  <c r="P4006" i="2"/>
  <c r="O4006" i="2"/>
  <c r="T4005" i="2"/>
  <c r="S4005" i="2"/>
  <c r="R4005" i="2"/>
  <c r="Q4005" i="2"/>
  <c r="P4005" i="2"/>
  <c r="O4005" i="2"/>
  <c r="T4004" i="2"/>
  <c r="T4003" i="2"/>
  <c r="T4002" i="2"/>
  <c r="S4002" i="2"/>
  <c r="R4002" i="2"/>
  <c r="Q4002" i="2"/>
  <c r="P4002" i="2"/>
  <c r="O4002" i="2"/>
  <c r="T4001" i="2"/>
  <c r="S4001" i="2"/>
  <c r="R4001" i="2"/>
  <c r="Q4001" i="2"/>
  <c r="P4001" i="2"/>
  <c r="O4001" i="2"/>
  <c r="T4000" i="2"/>
  <c r="S4000" i="2"/>
  <c r="R4000" i="2"/>
  <c r="Q4000" i="2"/>
  <c r="P4000" i="2"/>
  <c r="O4000" i="2"/>
  <c r="T3999" i="2"/>
  <c r="S3999" i="2"/>
  <c r="R3999" i="2"/>
  <c r="Q3999" i="2"/>
  <c r="P3999" i="2"/>
  <c r="O3999" i="2"/>
  <c r="T3998" i="2"/>
  <c r="S3998" i="2"/>
  <c r="R3998" i="2"/>
  <c r="Q3998" i="2"/>
  <c r="P3998" i="2"/>
  <c r="O3998" i="2"/>
  <c r="T3997" i="2"/>
  <c r="S3997" i="2"/>
  <c r="R3997" i="2"/>
  <c r="Q3997" i="2"/>
  <c r="P3997" i="2"/>
  <c r="O3997" i="2"/>
  <c r="T3996" i="2"/>
  <c r="S3996" i="2"/>
  <c r="R3996" i="2"/>
  <c r="Q3996" i="2"/>
  <c r="P3996" i="2"/>
  <c r="O3996" i="2"/>
  <c r="T3995" i="2"/>
  <c r="S3995" i="2"/>
  <c r="R3995" i="2"/>
  <c r="Q3995" i="2"/>
  <c r="P3995" i="2"/>
  <c r="O3995" i="2"/>
  <c r="T3994" i="2"/>
  <c r="S3994" i="2"/>
  <c r="R3994" i="2"/>
  <c r="Q3994" i="2"/>
  <c r="P3994" i="2"/>
  <c r="O3994" i="2"/>
  <c r="T3993" i="2"/>
  <c r="S3993" i="2"/>
  <c r="R3993" i="2"/>
  <c r="Q3993" i="2"/>
  <c r="P3993" i="2"/>
  <c r="O3993" i="2"/>
  <c r="T3992" i="2"/>
  <c r="S3992" i="2"/>
  <c r="R3992" i="2"/>
  <c r="Q3992" i="2"/>
  <c r="P3992" i="2"/>
  <c r="O3992" i="2"/>
  <c r="T3991" i="2"/>
  <c r="S3991" i="2"/>
  <c r="R3991" i="2"/>
  <c r="Q3991" i="2"/>
  <c r="P3991" i="2"/>
  <c r="O3991" i="2"/>
  <c r="T3990" i="2"/>
  <c r="S3990" i="2"/>
  <c r="R3990" i="2"/>
  <c r="Q3990" i="2"/>
  <c r="P3990" i="2"/>
  <c r="O3990" i="2"/>
  <c r="T3989" i="2"/>
  <c r="S3989" i="2"/>
  <c r="R3989" i="2"/>
  <c r="Q3989" i="2"/>
  <c r="P3989" i="2"/>
  <c r="O3989" i="2"/>
  <c r="T3988" i="2"/>
  <c r="S3988" i="2"/>
  <c r="R3988" i="2"/>
  <c r="Q3988" i="2"/>
  <c r="P3988" i="2"/>
  <c r="O3988" i="2"/>
  <c r="T3987" i="2"/>
  <c r="S3987" i="2"/>
  <c r="R3987" i="2"/>
  <c r="Q3987" i="2"/>
  <c r="P3987" i="2"/>
  <c r="O3987" i="2"/>
  <c r="T3986" i="2"/>
  <c r="S3986" i="2"/>
  <c r="R3986" i="2"/>
  <c r="Q3986" i="2"/>
  <c r="P3986" i="2"/>
  <c r="O3986" i="2"/>
  <c r="T3985" i="2"/>
  <c r="S3985" i="2"/>
  <c r="R3985" i="2"/>
  <c r="Q3985" i="2"/>
  <c r="P3985" i="2"/>
  <c r="O3985" i="2"/>
  <c r="T3984" i="2"/>
  <c r="S3984" i="2"/>
  <c r="R3984" i="2"/>
  <c r="Q3984" i="2"/>
  <c r="P3984" i="2"/>
  <c r="O3984" i="2"/>
  <c r="T3983" i="2"/>
  <c r="S3983" i="2"/>
  <c r="R3983" i="2"/>
  <c r="Q3983" i="2"/>
  <c r="P3983" i="2"/>
  <c r="O3983" i="2"/>
  <c r="T3982" i="2"/>
  <c r="S3982" i="2"/>
  <c r="R3982" i="2"/>
  <c r="Q3982" i="2"/>
  <c r="P3982" i="2"/>
  <c r="O3982" i="2"/>
  <c r="T3981" i="2"/>
  <c r="S3981" i="2"/>
  <c r="R3981" i="2"/>
  <c r="Q3981" i="2"/>
  <c r="P3981" i="2"/>
  <c r="O3981" i="2"/>
  <c r="T3980" i="2"/>
  <c r="S3980" i="2"/>
  <c r="R3980" i="2"/>
  <c r="Q3980" i="2"/>
  <c r="P3980" i="2"/>
  <c r="O3980" i="2"/>
  <c r="T3979" i="2"/>
  <c r="S3979" i="2"/>
  <c r="R3979" i="2"/>
  <c r="Q3979" i="2"/>
  <c r="P3979" i="2"/>
  <c r="O3979" i="2"/>
  <c r="T3978" i="2"/>
  <c r="S3978" i="2"/>
  <c r="R3978" i="2"/>
  <c r="Q3978" i="2"/>
  <c r="P3978" i="2"/>
  <c r="O3978" i="2"/>
  <c r="T3977" i="2"/>
  <c r="S3977" i="2"/>
  <c r="R3977" i="2"/>
  <c r="Q3977" i="2"/>
  <c r="P3977" i="2"/>
  <c r="O3977" i="2"/>
  <c r="T3976" i="2"/>
  <c r="S3976" i="2"/>
  <c r="R3976" i="2"/>
  <c r="Q3976" i="2"/>
  <c r="P3976" i="2"/>
  <c r="O3976" i="2"/>
  <c r="T3975" i="2"/>
  <c r="S3975" i="2"/>
  <c r="R3975" i="2"/>
  <c r="Q3975" i="2"/>
  <c r="P3975" i="2"/>
  <c r="O3975" i="2"/>
  <c r="T3974" i="2"/>
  <c r="S3974" i="2"/>
  <c r="R3974" i="2"/>
  <c r="Q3974" i="2"/>
  <c r="P3974" i="2"/>
  <c r="O3974" i="2"/>
  <c r="T3973" i="2"/>
  <c r="S3973" i="2"/>
  <c r="R3973" i="2"/>
  <c r="Q3973" i="2"/>
  <c r="P3973" i="2"/>
  <c r="O3973" i="2"/>
  <c r="T3972" i="2"/>
  <c r="S3972" i="2"/>
  <c r="R3972" i="2"/>
  <c r="Q3972" i="2"/>
  <c r="P3972" i="2"/>
  <c r="O3972" i="2"/>
  <c r="T3971" i="2"/>
  <c r="S3971" i="2"/>
  <c r="R3971" i="2"/>
  <c r="Q3971" i="2"/>
  <c r="P3971" i="2"/>
  <c r="O3971" i="2"/>
  <c r="T3970" i="2"/>
  <c r="S3970" i="2"/>
  <c r="R3970" i="2"/>
  <c r="Q3970" i="2"/>
  <c r="P3970" i="2"/>
  <c r="O3970" i="2"/>
  <c r="T3969" i="2"/>
  <c r="S3969" i="2"/>
  <c r="R3969" i="2"/>
  <c r="Q3969" i="2"/>
  <c r="P3969" i="2"/>
  <c r="O3969" i="2"/>
  <c r="T3968" i="2"/>
  <c r="S3968" i="2"/>
  <c r="R3968" i="2"/>
  <c r="Q3968" i="2"/>
  <c r="P3968" i="2"/>
  <c r="O3968" i="2"/>
  <c r="T3967" i="2"/>
  <c r="S3967" i="2"/>
  <c r="R3967" i="2"/>
  <c r="Q3967" i="2"/>
  <c r="P3967" i="2"/>
  <c r="O3967" i="2"/>
  <c r="T3966" i="2"/>
  <c r="S3966" i="2"/>
  <c r="R3966" i="2"/>
  <c r="Q3966" i="2"/>
  <c r="P3966" i="2"/>
  <c r="O3966" i="2"/>
  <c r="T3965" i="2"/>
  <c r="S3965" i="2"/>
  <c r="R3965" i="2"/>
  <c r="Q3965" i="2"/>
  <c r="P3965" i="2"/>
  <c r="O3965" i="2"/>
  <c r="T3964" i="2"/>
  <c r="S3964" i="2"/>
  <c r="R3964" i="2"/>
  <c r="Q3964" i="2"/>
  <c r="P3964" i="2"/>
  <c r="O3964" i="2"/>
  <c r="T3963" i="2"/>
  <c r="S3963" i="2"/>
  <c r="R3963" i="2"/>
  <c r="Q3963" i="2"/>
  <c r="P3963" i="2"/>
  <c r="O3963" i="2"/>
  <c r="T3962" i="2"/>
  <c r="S3962" i="2"/>
  <c r="R3962" i="2"/>
  <c r="Q3962" i="2"/>
  <c r="P3962" i="2"/>
  <c r="O3962" i="2"/>
  <c r="T3961" i="2"/>
  <c r="S3961" i="2"/>
  <c r="R3961" i="2"/>
  <c r="Q3961" i="2"/>
  <c r="P3961" i="2"/>
  <c r="O3961" i="2"/>
  <c r="T3960" i="2"/>
  <c r="S3960" i="2"/>
  <c r="R3960" i="2"/>
  <c r="Q3960" i="2"/>
  <c r="P3960" i="2"/>
  <c r="O3960" i="2"/>
  <c r="T3959" i="2"/>
  <c r="S3959" i="2"/>
  <c r="R3959" i="2"/>
  <c r="Q3959" i="2"/>
  <c r="P3959" i="2"/>
  <c r="O3959" i="2"/>
  <c r="T3958" i="2"/>
  <c r="S3958" i="2"/>
  <c r="R3958" i="2"/>
  <c r="Q3958" i="2"/>
  <c r="P3958" i="2"/>
  <c r="O3958" i="2"/>
  <c r="T3957" i="2"/>
  <c r="S3957" i="2"/>
  <c r="R3957" i="2"/>
  <c r="Q3957" i="2"/>
  <c r="P3957" i="2"/>
  <c r="O3957" i="2"/>
  <c r="T3956" i="2"/>
  <c r="S3956" i="2"/>
  <c r="R3956" i="2"/>
  <c r="Q3956" i="2"/>
  <c r="P3956" i="2"/>
  <c r="O3956" i="2"/>
  <c r="T3955" i="2"/>
  <c r="S3955" i="2"/>
  <c r="R3955" i="2"/>
  <c r="Q3955" i="2"/>
  <c r="P3955" i="2"/>
  <c r="O3955" i="2"/>
  <c r="T3954" i="2"/>
  <c r="S3954" i="2"/>
  <c r="R3954" i="2"/>
  <c r="Q3954" i="2"/>
  <c r="P3954" i="2"/>
  <c r="O3954" i="2"/>
  <c r="T3953" i="2"/>
  <c r="S3953" i="2"/>
  <c r="R3953" i="2"/>
  <c r="Q3953" i="2"/>
  <c r="P3953" i="2"/>
  <c r="O3953" i="2"/>
  <c r="T3952" i="2"/>
  <c r="S3952" i="2"/>
  <c r="R3952" i="2"/>
  <c r="Q3952" i="2"/>
  <c r="P3952" i="2"/>
  <c r="O3952" i="2"/>
  <c r="T3951" i="2"/>
  <c r="S3951" i="2"/>
  <c r="R3951" i="2"/>
  <c r="Q3951" i="2"/>
  <c r="P3951" i="2"/>
  <c r="O3951" i="2"/>
  <c r="T3950" i="2"/>
  <c r="S3950" i="2"/>
  <c r="R3950" i="2"/>
  <c r="Q3950" i="2"/>
  <c r="P3950" i="2"/>
  <c r="O3950" i="2"/>
  <c r="T3949" i="2"/>
  <c r="S3949" i="2"/>
  <c r="R3949" i="2"/>
  <c r="Q3949" i="2"/>
  <c r="P3949" i="2"/>
  <c r="O3949" i="2"/>
  <c r="T3948" i="2"/>
  <c r="S3948" i="2"/>
  <c r="R3948" i="2"/>
  <c r="Q3948" i="2"/>
  <c r="P3948" i="2"/>
  <c r="O3948" i="2"/>
  <c r="T3947" i="2"/>
  <c r="S3947" i="2"/>
  <c r="R3947" i="2"/>
  <c r="Q3947" i="2"/>
  <c r="P3947" i="2"/>
  <c r="O3947" i="2"/>
  <c r="T3946" i="2"/>
  <c r="S3946" i="2"/>
  <c r="R3946" i="2"/>
  <c r="Q3946" i="2"/>
  <c r="P3946" i="2"/>
  <c r="O3946" i="2"/>
  <c r="T3945" i="2"/>
  <c r="S3945" i="2"/>
  <c r="R3945" i="2"/>
  <c r="Q3945" i="2"/>
  <c r="P3945" i="2"/>
  <c r="O3945" i="2"/>
  <c r="T3944" i="2"/>
  <c r="S3944" i="2"/>
  <c r="R3944" i="2"/>
  <c r="Q3944" i="2"/>
  <c r="P3944" i="2"/>
  <c r="O3944" i="2"/>
  <c r="T3943" i="2"/>
  <c r="S3943" i="2"/>
  <c r="R3943" i="2"/>
  <c r="Q3943" i="2"/>
  <c r="P3943" i="2"/>
  <c r="O3943" i="2"/>
  <c r="T3942" i="2"/>
  <c r="S3942" i="2"/>
  <c r="R3942" i="2"/>
  <c r="Q3942" i="2"/>
  <c r="P3942" i="2"/>
  <c r="O3942" i="2"/>
  <c r="T3941" i="2"/>
  <c r="S3941" i="2"/>
  <c r="R3941" i="2"/>
  <c r="Q3941" i="2"/>
  <c r="P3941" i="2"/>
  <c r="O3941" i="2"/>
  <c r="T3940" i="2"/>
  <c r="S3940" i="2"/>
  <c r="R3940" i="2"/>
  <c r="Q3940" i="2"/>
  <c r="P3940" i="2"/>
  <c r="O3940" i="2"/>
  <c r="T3939" i="2"/>
  <c r="S3939" i="2"/>
  <c r="R3939" i="2"/>
  <c r="Q3939" i="2"/>
  <c r="P3939" i="2"/>
  <c r="O3939" i="2"/>
  <c r="T3938" i="2"/>
  <c r="S3938" i="2"/>
  <c r="R3938" i="2"/>
  <c r="Q3938" i="2"/>
  <c r="P3938" i="2"/>
  <c r="O3938" i="2"/>
  <c r="T3937" i="2"/>
  <c r="S3937" i="2"/>
  <c r="R3937" i="2"/>
  <c r="Q3937" i="2"/>
  <c r="P3937" i="2"/>
  <c r="O3937" i="2"/>
  <c r="T3936" i="2"/>
  <c r="S3936" i="2"/>
  <c r="R3936" i="2"/>
  <c r="Q3936" i="2"/>
  <c r="P3936" i="2"/>
  <c r="O3936" i="2"/>
  <c r="T3935" i="2"/>
  <c r="S3935" i="2"/>
  <c r="R3935" i="2"/>
  <c r="Q3935" i="2"/>
  <c r="P3935" i="2"/>
  <c r="O3935" i="2"/>
  <c r="T3934" i="2"/>
  <c r="S3934" i="2"/>
  <c r="R3934" i="2"/>
  <c r="Q3934" i="2"/>
  <c r="P3934" i="2"/>
  <c r="O3934" i="2"/>
  <c r="T3933" i="2"/>
  <c r="S3933" i="2"/>
  <c r="R3933" i="2"/>
  <c r="Q3933" i="2"/>
  <c r="P3933" i="2"/>
  <c r="O3933" i="2"/>
  <c r="T3932" i="2"/>
  <c r="S3932" i="2"/>
  <c r="R3932" i="2"/>
  <c r="Q3932" i="2"/>
  <c r="P3932" i="2"/>
  <c r="O3932" i="2"/>
  <c r="T3931" i="2"/>
  <c r="S3931" i="2"/>
  <c r="R3931" i="2"/>
  <c r="Q3931" i="2"/>
  <c r="P3931" i="2"/>
  <c r="O3931" i="2"/>
  <c r="T3930" i="2"/>
  <c r="S3930" i="2"/>
  <c r="R3930" i="2"/>
  <c r="Q3930" i="2"/>
  <c r="P3930" i="2"/>
  <c r="O3930" i="2"/>
  <c r="T3929" i="2"/>
  <c r="S3929" i="2"/>
  <c r="R3929" i="2"/>
  <c r="Q3929" i="2"/>
  <c r="P3929" i="2"/>
  <c r="O3929" i="2"/>
  <c r="T3928" i="2"/>
  <c r="S3928" i="2"/>
  <c r="R3928" i="2"/>
  <c r="Q3928" i="2"/>
  <c r="P3928" i="2"/>
  <c r="O3928" i="2"/>
  <c r="T3927" i="2"/>
  <c r="T3926" i="2"/>
  <c r="T3925" i="2"/>
  <c r="T3924" i="2"/>
  <c r="T3923" i="2"/>
  <c r="T3922" i="2"/>
  <c r="T3921" i="2"/>
  <c r="S3921" i="2"/>
  <c r="R3921" i="2"/>
  <c r="Q3921" i="2"/>
  <c r="P3921" i="2"/>
  <c r="O3921" i="2"/>
  <c r="T3920" i="2"/>
  <c r="S3920" i="2"/>
  <c r="R3920" i="2"/>
  <c r="Q3920" i="2"/>
  <c r="P3920" i="2"/>
  <c r="O3920" i="2"/>
  <c r="T3919" i="2"/>
  <c r="S3919" i="2"/>
  <c r="R3919" i="2"/>
  <c r="Q3919" i="2"/>
  <c r="P3919" i="2"/>
  <c r="O3919" i="2"/>
  <c r="T3918" i="2"/>
  <c r="S3918" i="2"/>
  <c r="R3918" i="2"/>
  <c r="Q3918" i="2"/>
  <c r="P3918" i="2"/>
  <c r="O3918" i="2"/>
  <c r="T3917" i="2"/>
  <c r="S3917" i="2"/>
  <c r="R3917" i="2"/>
  <c r="Q3917" i="2"/>
  <c r="P3917" i="2"/>
  <c r="O3917" i="2"/>
  <c r="T3916" i="2"/>
  <c r="S3916" i="2"/>
  <c r="R3916" i="2"/>
  <c r="Q3916" i="2"/>
  <c r="P3916" i="2"/>
  <c r="O3916" i="2"/>
  <c r="T3915" i="2"/>
  <c r="S3915" i="2"/>
  <c r="R3915" i="2"/>
  <c r="Q3915" i="2"/>
  <c r="P3915" i="2"/>
  <c r="O3915" i="2"/>
  <c r="T3914" i="2"/>
  <c r="S3914" i="2"/>
  <c r="R3914" i="2"/>
  <c r="Q3914" i="2"/>
  <c r="P3914" i="2"/>
  <c r="O3914" i="2"/>
  <c r="T3913" i="2"/>
  <c r="S3913" i="2"/>
  <c r="R3913" i="2"/>
  <c r="Q3913" i="2"/>
  <c r="P3913" i="2"/>
  <c r="O3913" i="2"/>
  <c r="T3912" i="2"/>
  <c r="T3911" i="2"/>
  <c r="T3910" i="2"/>
  <c r="T3909" i="2"/>
  <c r="T3908" i="2"/>
  <c r="T3907" i="2"/>
  <c r="T3906" i="2"/>
  <c r="T3905" i="2"/>
  <c r="T3904" i="2"/>
  <c r="T3903" i="2"/>
  <c r="T3902" i="2"/>
  <c r="T3901" i="2"/>
  <c r="T3900" i="2"/>
  <c r="T3899" i="2"/>
  <c r="T3898" i="2"/>
  <c r="T3897" i="2"/>
  <c r="T3896" i="2"/>
  <c r="T3895" i="2"/>
  <c r="T3894" i="2"/>
  <c r="T3893" i="2"/>
  <c r="T3892" i="2"/>
  <c r="T3891" i="2"/>
  <c r="T3890" i="2"/>
  <c r="T3889" i="2"/>
  <c r="T3888" i="2"/>
  <c r="T3887" i="2"/>
  <c r="T3886" i="2"/>
  <c r="T3885" i="2"/>
  <c r="T3884" i="2"/>
  <c r="S3884" i="2"/>
  <c r="R3884" i="2"/>
  <c r="Q3884" i="2"/>
  <c r="P3884" i="2"/>
  <c r="O3884" i="2"/>
  <c r="T3883" i="2"/>
  <c r="S3883" i="2"/>
  <c r="R3883" i="2"/>
  <c r="Q3883" i="2"/>
  <c r="P3883" i="2"/>
  <c r="O3883" i="2"/>
  <c r="T3882" i="2"/>
  <c r="S3882" i="2"/>
  <c r="R3882" i="2"/>
  <c r="Q3882" i="2"/>
  <c r="P3882" i="2"/>
  <c r="O3882" i="2"/>
  <c r="T3881" i="2"/>
  <c r="S3881" i="2"/>
  <c r="R3881" i="2"/>
  <c r="Q3881" i="2"/>
  <c r="P3881" i="2"/>
  <c r="O3881" i="2"/>
  <c r="T3880" i="2"/>
  <c r="S3880" i="2"/>
  <c r="R3880" i="2"/>
  <c r="Q3880" i="2"/>
  <c r="P3880" i="2"/>
  <c r="O3880" i="2"/>
  <c r="T3879" i="2"/>
  <c r="S3879" i="2"/>
  <c r="R3879" i="2"/>
  <c r="Q3879" i="2"/>
  <c r="P3879" i="2"/>
  <c r="O3879" i="2"/>
  <c r="T3878" i="2"/>
  <c r="S3878" i="2"/>
  <c r="R3878" i="2"/>
  <c r="Q3878" i="2"/>
  <c r="P3878" i="2"/>
  <c r="O3878" i="2"/>
  <c r="T3877" i="2"/>
  <c r="S3877" i="2"/>
  <c r="R3877" i="2"/>
  <c r="Q3877" i="2"/>
  <c r="P3877" i="2"/>
  <c r="O3877" i="2"/>
  <c r="T3876" i="2"/>
  <c r="S3876" i="2"/>
  <c r="R3876" i="2"/>
  <c r="Q3876" i="2"/>
  <c r="P3876" i="2"/>
  <c r="O3876" i="2"/>
  <c r="T3875" i="2"/>
  <c r="S3875" i="2"/>
  <c r="R3875" i="2"/>
  <c r="Q3875" i="2"/>
  <c r="P3875" i="2"/>
  <c r="O3875" i="2"/>
  <c r="T3874" i="2"/>
  <c r="S3874" i="2"/>
  <c r="R3874" i="2"/>
  <c r="Q3874" i="2"/>
  <c r="P3874" i="2"/>
  <c r="O3874" i="2"/>
  <c r="T3873" i="2"/>
  <c r="S3873" i="2"/>
  <c r="R3873" i="2"/>
  <c r="Q3873" i="2"/>
  <c r="P3873" i="2"/>
  <c r="O3873" i="2"/>
  <c r="T3872" i="2"/>
  <c r="S3872" i="2"/>
  <c r="R3872" i="2"/>
  <c r="Q3872" i="2"/>
  <c r="P3872" i="2"/>
  <c r="O3872" i="2"/>
  <c r="T3871" i="2"/>
  <c r="S3871" i="2"/>
  <c r="R3871" i="2"/>
  <c r="Q3871" i="2"/>
  <c r="P3871" i="2"/>
  <c r="O3871" i="2"/>
  <c r="T3870" i="2"/>
  <c r="S3870" i="2"/>
  <c r="R3870" i="2"/>
  <c r="Q3870" i="2"/>
  <c r="P3870" i="2"/>
  <c r="O3870" i="2"/>
  <c r="T3869" i="2"/>
  <c r="S3869" i="2"/>
  <c r="R3869" i="2"/>
  <c r="Q3869" i="2"/>
  <c r="P3869" i="2"/>
  <c r="O3869" i="2"/>
  <c r="T3868" i="2"/>
  <c r="S3868" i="2"/>
  <c r="R3868" i="2"/>
  <c r="Q3868" i="2"/>
  <c r="P3868" i="2"/>
  <c r="O3868" i="2"/>
  <c r="T3867" i="2"/>
  <c r="S3867" i="2"/>
  <c r="R3867" i="2"/>
  <c r="Q3867" i="2"/>
  <c r="P3867" i="2"/>
  <c r="O3867" i="2"/>
  <c r="T3866" i="2"/>
  <c r="S3866" i="2"/>
  <c r="R3866" i="2"/>
  <c r="Q3866" i="2"/>
  <c r="P3866" i="2"/>
  <c r="O3866" i="2"/>
  <c r="T3865" i="2"/>
  <c r="S3865" i="2"/>
  <c r="R3865" i="2"/>
  <c r="Q3865" i="2"/>
  <c r="P3865" i="2"/>
  <c r="O3865" i="2"/>
  <c r="T3864" i="2"/>
  <c r="S3864" i="2"/>
  <c r="R3864" i="2"/>
  <c r="Q3864" i="2"/>
  <c r="P3864" i="2"/>
  <c r="O3864" i="2"/>
  <c r="T3863" i="2"/>
  <c r="S3863" i="2"/>
  <c r="R3863" i="2"/>
  <c r="Q3863" i="2"/>
  <c r="P3863" i="2"/>
  <c r="O3863" i="2"/>
  <c r="T3862" i="2"/>
  <c r="T3861" i="2"/>
  <c r="T3860" i="2"/>
  <c r="T3859" i="2"/>
  <c r="T3858" i="2"/>
  <c r="T3857" i="2"/>
  <c r="T3856" i="2"/>
  <c r="T3855" i="2"/>
  <c r="T3854" i="2"/>
  <c r="T3853" i="2"/>
  <c r="T3852" i="2"/>
  <c r="T3851" i="2"/>
  <c r="T3850" i="2"/>
  <c r="T3849" i="2"/>
  <c r="T3848" i="2"/>
  <c r="T3847" i="2"/>
  <c r="T3846" i="2"/>
  <c r="T3845" i="2"/>
  <c r="T3844" i="2"/>
  <c r="T3843" i="2"/>
  <c r="T3842" i="2"/>
  <c r="T3841" i="2"/>
  <c r="T3840" i="2"/>
  <c r="T3839" i="2"/>
  <c r="T3838" i="2"/>
  <c r="T3837" i="2"/>
  <c r="T3836" i="2"/>
  <c r="T3835" i="2"/>
  <c r="T3834" i="2"/>
  <c r="T3833" i="2"/>
  <c r="T3832" i="2"/>
  <c r="T3831" i="2"/>
  <c r="T3830" i="2"/>
  <c r="T3829" i="2"/>
  <c r="T3828" i="2"/>
  <c r="S3828" i="2"/>
  <c r="R3828" i="2"/>
  <c r="Q3828" i="2"/>
  <c r="P3828" i="2"/>
  <c r="O3828" i="2"/>
  <c r="T3827" i="2"/>
  <c r="T3826" i="2"/>
  <c r="T3825" i="2"/>
  <c r="T3824" i="2"/>
  <c r="S3824" i="2"/>
  <c r="R3824" i="2"/>
  <c r="Q3824" i="2"/>
  <c r="P3824" i="2"/>
  <c r="O3824" i="2"/>
  <c r="T3823" i="2"/>
  <c r="S3823" i="2"/>
  <c r="R3823" i="2"/>
  <c r="Q3823" i="2"/>
  <c r="P3823" i="2"/>
  <c r="O3823" i="2"/>
  <c r="E3823" i="2"/>
  <c r="T3822" i="2"/>
  <c r="S3822" i="2"/>
  <c r="R3822" i="2"/>
  <c r="Q3822" i="2"/>
  <c r="P3822" i="2"/>
  <c r="O3822" i="2"/>
  <c r="E3822" i="2"/>
  <c r="T3821" i="2"/>
  <c r="S3821" i="2"/>
  <c r="R3821" i="2"/>
  <c r="Q3821" i="2"/>
  <c r="P3821" i="2"/>
  <c r="O3821" i="2"/>
  <c r="E3821" i="2"/>
  <c r="T3820" i="2"/>
  <c r="S3820" i="2"/>
  <c r="R3820" i="2"/>
  <c r="Q3820" i="2"/>
  <c r="P3820" i="2"/>
  <c r="O3820" i="2"/>
  <c r="E3820" i="2"/>
  <c r="T3819" i="2"/>
  <c r="S3819" i="2"/>
  <c r="R3819" i="2"/>
  <c r="Q3819" i="2"/>
  <c r="P3819" i="2"/>
  <c r="O3819" i="2"/>
  <c r="E3819" i="2"/>
  <c r="T3818" i="2"/>
  <c r="S3818" i="2"/>
  <c r="R3818" i="2"/>
  <c r="Q3818" i="2"/>
  <c r="P3818" i="2"/>
  <c r="O3818" i="2"/>
  <c r="E3818" i="2"/>
  <c r="T3817" i="2"/>
  <c r="S3817" i="2"/>
  <c r="R3817" i="2"/>
  <c r="Q3817" i="2"/>
  <c r="P3817" i="2"/>
  <c r="O3817" i="2"/>
  <c r="E3817" i="2"/>
  <c r="T3816" i="2"/>
  <c r="S3816" i="2"/>
  <c r="R3816" i="2"/>
  <c r="Q3816" i="2"/>
  <c r="P3816" i="2"/>
  <c r="O3816" i="2"/>
  <c r="E3816" i="2"/>
  <c r="T3815" i="2"/>
  <c r="S3815" i="2"/>
  <c r="R3815" i="2"/>
  <c r="Q3815" i="2"/>
  <c r="P3815" i="2"/>
  <c r="O3815" i="2"/>
  <c r="E3815" i="2"/>
  <c r="T3814" i="2"/>
  <c r="S3814" i="2"/>
  <c r="R3814" i="2"/>
  <c r="Q3814" i="2"/>
  <c r="P3814" i="2"/>
  <c r="O3814" i="2"/>
  <c r="E3814" i="2"/>
  <c r="T3813" i="2"/>
  <c r="S3813" i="2"/>
  <c r="R3813" i="2"/>
  <c r="Q3813" i="2"/>
  <c r="P3813" i="2"/>
  <c r="O3813" i="2"/>
  <c r="E3813" i="2"/>
  <c r="T3812" i="2"/>
  <c r="S3812" i="2"/>
  <c r="R3812" i="2"/>
  <c r="Q3812" i="2"/>
  <c r="P3812" i="2"/>
  <c r="O3812" i="2"/>
  <c r="E3812" i="2"/>
  <c r="T3811" i="2"/>
  <c r="S3811" i="2"/>
  <c r="R3811" i="2"/>
  <c r="Q3811" i="2"/>
  <c r="P3811" i="2"/>
  <c r="O3811" i="2"/>
  <c r="E3811" i="2"/>
  <c r="T3810" i="2"/>
  <c r="S3810" i="2"/>
  <c r="R3810" i="2"/>
  <c r="Q3810" i="2"/>
  <c r="P3810" i="2"/>
  <c r="O3810" i="2"/>
  <c r="E3810" i="2"/>
  <c r="T3809" i="2"/>
  <c r="S3809" i="2"/>
  <c r="R3809" i="2"/>
  <c r="Q3809" i="2"/>
  <c r="P3809" i="2"/>
  <c r="O3809" i="2"/>
  <c r="E3809" i="2"/>
  <c r="T3808" i="2"/>
  <c r="S3808" i="2"/>
  <c r="R3808" i="2"/>
  <c r="Q3808" i="2"/>
  <c r="P3808" i="2"/>
  <c r="O3808" i="2"/>
  <c r="E3808" i="2"/>
  <c r="T3807" i="2"/>
  <c r="S3807" i="2"/>
  <c r="R3807" i="2"/>
  <c r="Q3807" i="2"/>
  <c r="P3807" i="2"/>
  <c r="O3807" i="2"/>
  <c r="E3807" i="2"/>
  <c r="T3806" i="2"/>
  <c r="S3806" i="2"/>
  <c r="R3806" i="2"/>
  <c r="Q3806" i="2"/>
  <c r="P3806" i="2"/>
  <c r="O3806" i="2"/>
  <c r="E3806" i="2"/>
  <c r="T3805" i="2"/>
  <c r="S3805" i="2"/>
  <c r="R3805" i="2"/>
  <c r="Q3805" i="2"/>
  <c r="P3805" i="2"/>
  <c r="O3805" i="2"/>
  <c r="E3805" i="2"/>
  <c r="T3804" i="2"/>
  <c r="S3804" i="2"/>
  <c r="R3804" i="2"/>
  <c r="Q3804" i="2"/>
  <c r="P3804" i="2"/>
  <c r="O3804" i="2"/>
  <c r="E3804" i="2"/>
  <c r="T3803" i="2"/>
  <c r="S3803" i="2"/>
  <c r="R3803" i="2"/>
  <c r="Q3803" i="2"/>
  <c r="P3803" i="2"/>
  <c r="O3803" i="2"/>
  <c r="E3803" i="2"/>
  <c r="T3802" i="2"/>
  <c r="S3802" i="2"/>
  <c r="R3802" i="2"/>
  <c r="Q3802" i="2"/>
  <c r="P3802" i="2"/>
  <c r="O3802" i="2"/>
  <c r="E3802" i="2"/>
  <c r="T3801" i="2"/>
  <c r="S3801" i="2"/>
  <c r="R3801" i="2"/>
  <c r="Q3801" i="2"/>
  <c r="P3801" i="2"/>
  <c r="O3801" i="2"/>
  <c r="E3801" i="2"/>
  <c r="T3800" i="2"/>
  <c r="S3800" i="2"/>
  <c r="R3800" i="2"/>
  <c r="Q3800" i="2"/>
  <c r="P3800" i="2"/>
  <c r="O3800" i="2"/>
  <c r="E3800" i="2"/>
  <c r="T3799" i="2"/>
  <c r="S3799" i="2"/>
  <c r="R3799" i="2"/>
  <c r="Q3799" i="2"/>
  <c r="P3799" i="2"/>
  <c r="O3799" i="2"/>
  <c r="E3799" i="2"/>
  <c r="T3798" i="2"/>
  <c r="S3798" i="2"/>
  <c r="R3798" i="2"/>
  <c r="Q3798" i="2"/>
  <c r="P3798" i="2"/>
  <c r="O3798" i="2"/>
  <c r="E3798" i="2"/>
  <c r="T3797" i="2"/>
  <c r="S3797" i="2"/>
  <c r="R3797" i="2"/>
  <c r="Q3797" i="2"/>
  <c r="P3797" i="2"/>
  <c r="O3797" i="2"/>
  <c r="E3797" i="2"/>
  <c r="T3796" i="2"/>
  <c r="S3796" i="2"/>
  <c r="R3796" i="2"/>
  <c r="Q3796" i="2"/>
  <c r="P3796" i="2"/>
  <c r="O3796" i="2"/>
  <c r="E3796" i="2"/>
  <c r="T3795" i="2"/>
  <c r="S3795" i="2"/>
  <c r="R3795" i="2"/>
  <c r="Q3795" i="2"/>
  <c r="P3795" i="2"/>
  <c r="O3795" i="2"/>
  <c r="E3795" i="2"/>
  <c r="T3794" i="2"/>
  <c r="S3794" i="2"/>
  <c r="R3794" i="2"/>
  <c r="Q3794" i="2"/>
  <c r="P3794" i="2"/>
  <c r="O3794" i="2"/>
  <c r="E3794" i="2"/>
  <c r="T3793" i="2"/>
  <c r="S3793" i="2"/>
  <c r="R3793" i="2"/>
  <c r="Q3793" i="2"/>
  <c r="P3793" i="2"/>
  <c r="O3793" i="2"/>
  <c r="E3793" i="2"/>
  <c r="T3792" i="2"/>
  <c r="S3792" i="2"/>
  <c r="R3792" i="2"/>
  <c r="Q3792" i="2"/>
  <c r="P3792" i="2"/>
  <c r="O3792" i="2"/>
  <c r="E3792" i="2"/>
  <c r="T3791" i="2"/>
  <c r="S3791" i="2"/>
  <c r="R3791" i="2"/>
  <c r="Q3791" i="2"/>
  <c r="P3791" i="2"/>
  <c r="O3791" i="2"/>
  <c r="E3791" i="2"/>
  <c r="T3790" i="2"/>
  <c r="S3790" i="2"/>
  <c r="R3790" i="2"/>
  <c r="Q3790" i="2"/>
  <c r="P3790" i="2"/>
  <c r="O3790" i="2"/>
  <c r="E3790" i="2"/>
  <c r="T3789" i="2"/>
  <c r="S3789" i="2"/>
  <c r="R3789" i="2"/>
  <c r="Q3789" i="2"/>
  <c r="P3789" i="2"/>
  <c r="O3789" i="2"/>
  <c r="E3789" i="2"/>
  <c r="T3788" i="2"/>
  <c r="S3788" i="2"/>
  <c r="R3788" i="2"/>
  <c r="Q3788" i="2"/>
  <c r="P3788" i="2"/>
  <c r="O3788" i="2"/>
  <c r="E3788" i="2"/>
  <c r="T3787" i="2"/>
  <c r="S3787" i="2"/>
  <c r="R3787" i="2"/>
  <c r="Q3787" i="2"/>
  <c r="P3787" i="2"/>
  <c r="O3787" i="2"/>
  <c r="E3787" i="2"/>
  <c r="T3786" i="2"/>
  <c r="S3786" i="2"/>
  <c r="R3786" i="2"/>
  <c r="Q3786" i="2"/>
  <c r="P3786" i="2"/>
  <c r="O3786" i="2"/>
  <c r="E3786" i="2"/>
  <c r="T3785" i="2"/>
  <c r="S3785" i="2"/>
  <c r="R3785" i="2"/>
  <c r="Q3785" i="2"/>
  <c r="P3785" i="2"/>
  <c r="O3785" i="2"/>
  <c r="E3785" i="2"/>
  <c r="T3784" i="2"/>
  <c r="S3784" i="2"/>
  <c r="R3784" i="2"/>
  <c r="Q3784" i="2"/>
  <c r="P3784" i="2"/>
  <c r="O3784" i="2"/>
  <c r="E3784" i="2"/>
  <c r="T3783" i="2"/>
  <c r="S3783" i="2"/>
  <c r="R3783" i="2"/>
  <c r="Q3783" i="2"/>
  <c r="P3783" i="2"/>
  <c r="O3783" i="2"/>
  <c r="E3783" i="2"/>
  <c r="T3782" i="2"/>
  <c r="S3782" i="2"/>
  <c r="R3782" i="2"/>
  <c r="Q3782" i="2"/>
  <c r="P3782" i="2"/>
  <c r="O3782" i="2"/>
  <c r="E3782" i="2"/>
  <c r="T3781" i="2"/>
  <c r="S3781" i="2"/>
  <c r="R3781" i="2"/>
  <c r="Q3781" i="2"/>
  <c r="P3781" i="2"/>
  <c r="O3781" i="2"/>
  <c r="E3781" i="2"/>
  <c r="T3780" i="2"/>
  <c r="S3780" i="2"/>
  <c r="R3780" i="2"/>
  <c r="Q3780" i="2"/>
  <c r="P3780" i="2"/>
  <c r="O3780" i="2"/>
  <c r="E3780" i="2"/>
  <c r="T3779" i="2"/>
  <c r="S3779" i="2"/>
  <c r="R3779" i="2"/>
  <c r="Q3779" i="2"/>
  <c r="P3779" i="2"/>
  <c r="O3779" i="2"/>
  <c r="E3779" i="2"/>
  <c r="T3778" i="2"/>
  <c r="S3778" i="2"/>
  <c r="R3778" i="2"/>
  <c r="Q3778" i="2"/>
  <c r="P3778" i="2"/>
  <c r="O3778" i="2"/>
  <c r="E3778" i="2"/>
  <c r="T3777" i="2"/>
  <c r="S3777" i="2"/>
  <c r="R3777" i="2"/>
  <c r="Q3777" i="2"/>
  <c r="P3777" i="2"/>
  <c r="O3777" i="2"/>
  <c r="E3777" i="2"/>
  <c r="T3776" i="2"/>
  <c r="S3776" i="2"/>
  <c r="R3776" i="2"/>
  <c r="Q3776" i="2"/>
  <c r="P3776" i="2"/>
  <c r="O3776" i="2"/>
  <c r="E3776" i="2"/>
  <c r="T3775" i="2"/>
  <c r="S3775" i="2"/>
  <c r="R3775" i="2"/>
  <c r="Q3775" i="2"/>
  <c r="P3775" i="2"/>
  <c r="O3775" i="2"/>
  <c r="T3774" i="2"/>
  <c r="S3774" i="2"/>
  <c r="R3774" i="2"/>
  <c r="Q3774" i="2"/>
  <c r="P3774" i="2"/>
  <c r="O3774" i="2"/>
  <c r="T3773" i="2"/>
  <c r="S3773" i="2"/>
  <c r="R3773" i="2"/>
  <c r="Q3773" i="2"/>
  <c r="P3773" i="2"/>
  <c r="O3773" i="2"/>
  <c r="T3772" i="2"/>
  <c r="S3772" i="2"/>
  <c r="R3772" i="2"/>
  <c r="Q3772" i="2"/>
  <c r="P3772" i="2"/>
  <c r="O3772" i="2"/>
  <c r="T3771" i="2"/>
  <c r="S3771" i="2"/>
  <c r="R3771" i="2"/>
  <c r="Q3771" i="2"/>
  <c r="P3771" i="2"/>
  <c r="O3771" i="2"/>
  <c r="T3770" i="2"/>
  <c r="S3770" i="2"/>
  <c r="R3770" i="2"/>
  <c r="Q3770" i="2"/>
  <c r="P3770" i="2"/>
  <c r="O3770" i="2"/>
  <c r="T3769" i="2"/>
  <c r="S3769" i="2"/>
  <c r="R3769" i="2"/>
  <c r="Q3769" i="2"/>
  <c r="P3769" i="2"/>
  <c r="O3769" i="2"/>
  <c r="T3768" i="2"/>
  <c r="S3768" i="2"/>
  <c r="R3768" i="2"/>
  <c r="Q3768" i="2"/>
  <c r="P3768" i="2"/>
  <c r="O3768" i="2"/>
  <c r="T3767" i="2"/>
  <c r="S3767" i="2"/>
  <c r="R3767" i="2"/>
  <c r="Q3767" i="2"/>
  <c r="P3767" i="2"/>
  <c r="O3767" i="2"/>
  <c r="T3766" i="2"/>
  <c r="S3766" i="2"/>
  <c r="R3766" i="2"/>
  <c r="Q3766" i="2"/>
  <c r="P3766" i="2"/>
  <c r="O3766" i="2"/>
  <c r="T3765" i="2"/>
  <c r="S3765" i="2"/>
  <c r="R3765" i="2"/>
  <c r="Q3765" i="2"/>
  <c r="P3765" i="2"/>
  <c r="O3765" i="2"/>
  <c r="T3764" i="2"/>
  <c r="S3764" i="2"/>
  <c r="R3764" i="2"/>
  <c r="Q3764" i="2"/>
  <c r="P3764" i="2"/>
  <c r="O3764" i="2"/>
  <c r="T3763" i="2"/>
  <c r="S3763" i="2"/>
  <c r="R3763" i="2"/>
  <c r="Q3763" i="2"/>
  <c r="P3763" i="2"/>
  <c r="O3763" i="2"/>
  <c r="T3762" i="2"/>
  <c r="S3762" i="2"/>
  <c r="R3762" i="2"/>
  <c r="Q3762" i="2"/>
  <c r="P3762" i="2"/>
  <c r="O3762" i="2"/>
  <c r="T3761" i="2"/>
  <c r="S3761" i="2"/>
  <c r="R3761" i="2"/>
  <c r="Q3761" i="2"/>
  <c r="P3761" i="2"/>
  <c r="O3761" i="2"/>
  <c r="T3760" i="2"/>
  <c r="S3760" i="2"/>
  <c r="R3760" i="2"/>
  <c r="Q3760" i="2"/>
  <c r="P3760" i="2"/>
  <c r="O3760" i="2"/>
  <c r="T3759" i="2"/>
  <c r="S3759" i="2"/>
  <c r="R3759" i="2"/>
  <c r="Q3759" i="2"/>
  <c r="P3759" i="2"/>
  <c r="O3759" i="2"/>
  <c r="T3758" i="2"/>
  <c r="S3758" i="2"/>
  <c r="R3758" i="2"/>
  <c r="Q3758" i="2"/>
  <c r="P3758" i="2"/>
  <c r="O3758" i="2"/>
  <c r="T3757" i="2"/>
  <c r="S3757" i="2"/>
  <c r="R3757" i="2"/>
  <c r="Q3757" i="2"/>
  <c r="P3757" i="2"/>
  <c r="O3757" i="2"/>
  <c r="T3756" i="2"/>
  <c r="S3756" i="2"/>
  <c r="R3756" i="2"/>
  <c r="Q3756" i="2"/>
  <c r="P3756" i="2"/>
  <c r="O3756" i="2"/>
  <c r="T3755" i="2"/>
  <c r="S3755" i="2"/>
  <c r="R3755" i="2"/>
  <c r="Q3755" i="2"/>
  <c r="P3755" i="2"/>
  <c r="O3755" i="2"/>
  <c r="T3754" i="2"/>
  <c r="S3754" i="2"/>
  <c r="R3754" i="2"/>
  <c r="Q3754" i="2"/>
  <c r="P3754" i="2"/>
  <c r="O3754" i="2"/>
  <c r="T3753" i="2"/>
  <c r="S3753" i="2"/>
  <c r="R3753" i="2"/>
  <c r="Q3753" i="2"/>
  <c r="P3753" i="2"/>
  <c r="O3753" i="2"/>
  <c r="T3752" i="2"/>
  <c r="S3752" i="2"/>
  <c r="R3752" i="2"/>
  <c r="Q3752" i="2"/>
  <c r="P3752" i="2"/>
  <c r="O3752" i="2"/>
  <c r="T3751" i="2"/>
  <c r="S3751" i="2"/>
  <c r="R3751" i="2"/>
  <c r="Q3751" i="2"/>
  <c r="P3751" i="2"/>
  <c r="O3751" i="2"/>
  <c r="T3750" i="2"/>
  <c r="S3750" i="2"/>
  <c r="R3750" i="2"/>
  <c r="Q3750" i="2"/>
  <c r="P3750" i="2"/>
  <c r="O3750" i="2"/>
  <c r="T3749" i="2"/>
  <c r="T3748" i="2"/>
  <c r="T3747" i="2"/>
  <c r="T3746" i="2"/>
  <c r="S3746" i="2"/>
  <c r="R3746" i="2"/>
  <c r="Q3746" i="2"/>
  <c r="P3746" i="2"/>
  <c r="O3746" i="2"/>
  <c r="T3745" i="2"/>
  <c r="T3744" i="2"/>
  <c r="T3743" i="2"/>
  <c r="T3742" i="2"/>
  <c r="T3741" i="2"/>
  <c r="T3740" i="2"/>
  <c r="T3739" i="2"/>
  <c r="T3738" i="2"/>
  <c r="T3737" i="2"/>
  <c r="T3736" i="2"/>
  <c r="T3735" i="2"/>
  <c r="T3734" i="2"/>
  <c r="T3733" i="2"/>
  <c r="S3733" i="2"/>
  <c r="R3733" i="2"/>
  <c r="Q3733" i="2"/>
  <c r="P3733" i="2"/>
  <c r="O3733" i="2"/>
  <c r="T3732" i="2"/>
  <c r="T3731" i="2"/>
  <c r="S3731" i="2"/>
  <c r="R3731" i="2"/>
  <c r="Q3731" i="2"/>
  <c r="P3731" i="2"/>
  <c r="O3731" i="2"/>
  <c r="T3730" i="2"/>
  <c r="S3730" i="2"/>
  <c r="R3730" i="2"/>
  <c r="Q3730" i="2"/>
  <c r="P3730" i="2"/>
  <c r="O3730" i="2"/>
  <c r="T3729" i="2"/>
  <c r="S3729" i="2"/>
  <c r="R3729" i="2"/>
  <c r="Q3729" i="2"/>
  <c r="P3729" i="2"/>
  <c r="O3729" i="2"/>
  <c r="T3728" i="2"/>
  <c r="S3728" i="2"/>
  <c r="R3728" i="2"/>
  <c r="Q3728" i="2"/>
  <c r="P3728" i="2"/>
  <c r="O3728" i="2"/>
  <c r="T3727" i="2"/>
  <c r="S3727" i="2"/>
  <c r="R3727" i="2"/>
  <c r="Q3727" i="2"/>
  <c r="P3727" i="2"/>
  <c r="O3727" i="2"/>
  <c r="T3726" i="2"/>
  <c r="S3726" i="2"/>
  <c r="R3726" i="2"/>
  <c r="Q3726" i="2"/>
  <c r="P3726" i="2"/>
  <c r="O3726" i="2"/>
  <c r="T3725" i="2"/>
  <c r="S3725" i="2"/>
  <c r="R3725" i="2"/>
  <c r="Q3725" i="2"/>
  <c r="P3725" i="2"/>
  <c r="O3725" i="2"/>
  <c r="T3724" i="2"/>
  <c r="S3724" i="2"/>
  <c r="R3724" i="2"/>
  <c r="Q3724" i="2"/>
  <c r="P3724" i="2"/>
  <c r="O3724" i="2"/>
  <c r="T3723" i="2"/>
  <c r="S3723" i="2"/>
  <c r="R3723" i="2"/>
  <c r="Q3723" i="2"/>
  <c r="P3723" i="2"/>
  <c r="O3723" i="2"/>
  <c r="T3722" i="2"/>
  <c r="S3722" i="2"/>
  <c r="R3722" i="2"/>
  <c r="Q3722" i="2"/>
  <c r="P3722" i="2"/>
  <c r="O3722" i="2"/>
  <c r="T3721" i="2"/>
  <c r="T3720" i="2"/>
  <c r="T3719" i="2"/>
  <c r="S3719" i="2"/>
  <c r="R3719" i="2"/>
  <c r="Q3719" i="2"/>
  <c r="P3719" i="2"/>
  <c r="O3719" i="2"/>
  <c r="T3718" i="2"/>
  <c r="S3718" i="2"/>
  <c r="R3718" i="2"/>
  <c r="Q3718" i="2"/>
  <c r="P3718" i="2"/>
  <c r="O3718" i="2"/>
  <c r="T3717" i="2"/>
  <c r="S3717" i="2"/>
  <c r="R3717" i="2"/>
  <c r="Q3717" i="2"/>
  <c r="P3717" i="2"/>
  <c r="O3717" i="2"/>
  <c r="T3716" i="2"/>
  <c r="S3716" i="2"/>
  <c r="R3716" i="2"/>
  <c r="Q3716" i="2"/>
  <c r="P3716" i="2"/>
  <c r="O3716" i="2"/>
  <c r="T3715" i="2"/>
  <c r="S3715" i="2"/>
  <c r="R3715" i="2"/>
  <c r="Q3715" i="2"/>
  <c r="P3715" i="2"/>
  <c r="O3715" i="2"/>
  <c r="T3714" i="2"/>
  <c r="S3714" i="2"/>
  <c r="R3714" i="2"/>
  <c r="Q3714" i="2"/>
  <c r="P3714" i="2"/>
  <c r="O3714" i="2"/>
  <c r="T3713" i="2"/>
  <c r="S3713" i="2"/>
  <c r="R3713" i="2"/>
  <c r="Q3713" i="2"/>
  <c r="P3713" i="2"/>
  <c r="O3713" i="2"/>
  <c r="T3712" i="2"/>
  <c r="S3712" i="2"/>
  <c r="R3712" i="2"/>
  <c r="Q3712" i="2"/>
  <c r="P3712" i="2"/>
  <c r="O3712" i="2"/>
  <c r="T3711" i="2"/>
  <c r="S3711" i="2"/>
  <c r="R3711" i="2"/>
  <c r="Q3711" i="2"/>
  <c r="P3711" i="2"/>
  <c r="O3711" i="2"/>
  <c r="T3710" i="2"/>
  <c r="S3710" i="2"/>
  <c r="R3710" i="2"/>
  <c r="Q3710" i="2"/>
  <c r="P3710" i="2"/>
  <c r="O3710" i="2"/>
  <c r="T3709" i="2"/>
  <c r="S3709" i="2"/>
  <c r="R3709" i="2"/>
  <c r="Q3709" i="2"/>
  <c r="P3709" i="2"/>
  <c r="O3709" i="2"/>
  <c r="T3708" i="2"/>
  <c r="T3707" i="2"/>
  <c r="T3706" i="2"/>
  <c r="T3705" i="2"/>
  <c r="S3705" i="2"/>
  <c r="R3705" i="2"/>
  <c r="Q3705" i="2"/>
  <c r="P3705" i="2"/>
  <c r="O3705" i="2"/>
  <c r="T3704" i="2"/>
  <c r="S3704" i="2"/>
  <c r="R3704" i="2"/>
  <c r="Q3704" i="2"/>
  <c r="P3704" i="2"/>
  <c r="O3704" i="2"/>
  <c r="T3703" i="2"/>
  <c r="S3703" i="2"/>
  <c r="R3703" i="2"/>
  <c r="Q3703" i="2"/>
  <c r="P3703" i="2"/>
  <c r="O3703" i="2"/>
  <c r="T3702" i="2"/>
  <c r="S3702" i="2"/>
  <c r="R3702" i="2"/>
  <c r="Q3702" i="2"/>
  <c r="P3702" i="2"/>
  <c r="O3702" i="2"/>
  <c r="T3701" i="2"/>
  <c r="S3701" i="2"/>
  <c r="R3701" i="2"/>
  <c r="Q3701" i="2"/>
  <c r="P3701" i="2"/>
  <c r="O3701" i="2"/>
  <c r="T3700" i="2"/>
  <c r="S3700" i="2"/>
  <c r="R3700" i="2"/>
  <c r="Q3700" i="2"/>
  <c r="P3700" i="2"/>
  <c r="O3700" i="2"/>
  <c r="T3699" i="2"/>
  <c r="S3699" i="2"/>
  <c r="R3699" i="2"/>
  <c r="Q3699" i="2"/>
  <c r="P3699" i="2"/>
  <c r="O3699" i="2"/>
  <c r="T3698" i="2"/>
  <c r="S3698" i="2"/>
  <c r="R3698" i="2"/>
  <c r="Q3698" i="2"/>
  <c r="P3698" i="2"/>
  <c r="O3698" i="2"/>
  <c r="T3697" i="2"/>
  <c r="S3697" i="2"/>
  <c r="R3697" i="2"/>
  <c r="Q3697" i="2"/>
  <c r="P3697" i="2"/>
  <c r="O3697" i="2"/>
  <c r="T3696" i="2"/>
  <c r="S3696" i="2"/>
  <c r="R3696" i="2"/>
  <c r="Q3696" i="2"/>
  <c r="P3696" i="2"/>
  <c r="O3696" i="2"/>
  <c r="T3695" i="2"/>
  <c r="S3695" i="2"/>
  <c r="R3695" i="2"/>
  <c r="Q3695" i="2"/>
  <c r="P3695" i="2"/>
  <c r="O3695" i="2"/>
  <c r="T3694" i="2"/>
  <c r="S3694" i="2"/>
  <c r="R3694" i="2"/>
  <c r="Q3694" i="2"/>
  <c r="P3694" i="2"/>
  <c r="O3694" i="2"/>
  <c r="T3693" i="2"/>
  <c r="S3693" i="2"/>
  <c r="R3693" i="2"/>
  <c r="Q3693" i="2"/>
  <c r="P3693" i="2"/>
  <c r="O3693" i="2"/>
  <c r="T3692" i="2"/>
  <c r="S3692" i="2"/>
  <c r="R3692" i="2"/>
  <c r="Q3692" i="2"/>
  <c r="P3692" i="2"/>
  <c r="O3692" i="2"/>
  <c r="T3691" i="2"/>
  <c r="S3691" i="2"/>
  <c r="R3691" i="2"/>
  <c r="Q3691" i="2"/>
  <c r="P3691" i="2"/>
  <c r="O3691" i="2"/>
  <c r="T3690" i="2"/>
  <c r="S3690" i="2"/>
  <c r="R3690" i="2"/>
  <c r="Q3690" i="2"/>
  <c r="P3690" i="2"/>
  <c r="O3690" i="2"/>
  <c r="T3689" i="2"/>
  <c r="S3689" i="2"/>
  <c r="R3689" i="2"/>
  <c r="Q3689" i="2"/>
  <c r="P3689" i="2"/>
  <c r="O3689" i="2"/>
  <c r="T3688" i="2"/>
  <c r="S3688" i="2"/>
  <c r="R3688" i="2"/>
  <c r="Q3688" i="2"/>
  <c r="P3688" i="2"/>
  <c r="O3688" i="2"/>
  <c r="T3687" i="2"/>
  <c r="S3687" i="2"/>
  <c r="R3687" i="2"/>
  <c r="Q3687" i="2"/>
  <c r="P3687" i="2"/>
  <c r="O3687" i="2"/>
  <c r="T3686" i="2"/>
  <c r="S3686" i="2"/>
  <c r="R3686" i="2"/>
  <c r="Q3686" i="2"/>
  <c r="P3686" i="2"/>
  <c r="O3686" i="2"/>
  <c r="T3685" i="2"/>
  <c r="T3684" i="2"/>
  <c r="S3684" i="2"/>
  <c r="R3684" i="2"/>
  <c r="Q3684" i="2"/>
  <c r="P3684" i="2"/>
  <c r="O3684" i="2"/>
  <c r="T3683" i="2"/>
  <c r="S3683" i="2"/>
  <c r="R3683" i="2"/>
  <c r="Q3683" i="2"/>
  <c r="P3683" i="2"/>
  <c r="O3683" i="2"/>
  <c r="T3682" i="2"/>
  <c r="S3682" i="2"/>
  <c r="R3682" i="2"/>
  <c r="Q3682" i="2"/>
  <c r="P3682" i="2"/>
  <c r="O3682" i="2"/>
  <c r="T3681" i="2"/>
  <c r="S3681" i="2"/>
  <c r="R3681" i="2"/>
  <c r="Q3681" i="2"/>
  <c r="P3681" i="2"/>
  <c r="O3681" i="2"/>
  <c r="T3680" i="2"/>
  <c r="S3680" i="2"/>
  <c r="R3680" i="2"/>
  <c r="Q3680" i="2"/>
  <c r="P3680" i="2"/>
  <c r="O3680" i="2"/>
  <c r="T3679" i="2"/>
  <c r="T3678" i="2"/>
  <c r="T3677" i="2"/>
  <c r="S3677" i="2"/>
  <c r="R3677" i="2"/>
  <c r="Q3677" i="2"/>
  <c r="P3677" i="2"/>
  <c r="O3677" i="2"/>
  <c r="T3676" i="2"/>
  <c r="T3675" i="2"/>
  <c r="T3674" i="2"/>
  <c r="T3673" i="2"/>
  <c r="T3672" i="2"/>
  <c r="T3671" i="2"/>
  <c r="T3670" i="2"/>
  <c r="T3669" i="2"/>
  <c r="T3668" i="2"/>
  <c r="T3667" i="2"/>
  <c r="T3666" i="2"/>
  <c r="T3665" i="2"/>
  <c r="T3664" i="2"/>
  <c r="T3663" i="2"/>
  <c r="T3662" i="2"/>
  <c r="T3661" i="2"/>
  <c r="T3660" i="2"/>
  <c r="T3659" i="2"/>
  <c r="T3658" i="2"/>
  <c r="T3657" i="2"/>
  <c r="T3656" i="2"/>
  <c r="T3655" i="2"/>
  <c r="T3654" i="2"/>
  <c r="T3653" i="2"/>
  <c r="T3652" i="2"/>
  <c r="T3651" i="2"/>
  <c r="T3650" i="2"/>
  <c r="T3649" i="2"/>
  <c r="T3648" i="2"/>
  <c r="T3647" i="2"/>
  <c r="T3646" i="2"/>
  <c r="T3645" i="2"/>
  <c r="T3644" i="2"/>
  <c r="T3643" i="2"/>
  <c r="T3642" i="2"/>
  <c r="T3641" i="2"/>
  <c r="T3640" i="2"/>
  <c r="T3639" i="2"/>
  <c r="T3638" i="2"/>
  <c r="T3637" i="2"/>
  <c r="T3636" i="2"/>
  <c r="T3635" i="2"/>
  <c r="S3635" i="2"/>
  <c r="R3635" i="2"/>
  <c r="Q3635" i="2"/>
  <c r="P3635" i="2"/>
  <c r="O3635" i="2"/>
  <c r="T3634" i="2"/>
  <c r="S3634" i="2"/>
  <c r="R3634" i="2"/>
  <c r="Q3634" i="2"/>
  <c r="P3634" i="2"/>
  <c r="O3634" i="2"/>
  <c r="T3633" i="2"/>
  <c r="S3633" i="2"/>
  <c r="R3633" i="2"/>
  <c r="Q3633" i="2"/>
  <c r="P3633" i="2"/>
  <c r="O3633" i="2"/>
  <c r="T3632" i="2"/>
  <c r="S3632" i="2"/>
  <c r="R3632" i="2"/>
  <c r="Q3632" i="2"/>
  <c r="P3632" i="2"/>
  <c r="O3632" i="2"/>
  <c r="T3631" i="2"/>
  <c r="S3631" i="2"/>
  <c r="R3631" i="2"/>
  <c r="Q3631" i="2"/>
  <c r="P3631" i="2"/>
  <c r="O3631" i="2"/>
  <c r="T3630" i="2"/>
  <c r="S3630" i="2"/>
  <c r="R3630" i="2"/>
  <c r="Q3630" i="2"/>
  <c r="P3630" i="2"/>
  <c r="O3630" i="2"/>
  <c r="T3629" i="2"/>
  <c r="S3629" i="2"/>
  <c r="R3629" i="2"/>
  <c r="Q3629" i="2"/>
  <c r="P3629" i="2"/>
  <c r="O3629" i="2"/>
  <c r="T3628" i="2"/>
  <c r="S3628" i="2"/>
  <c r="R3628" i="2"/>
  <c r="Q3628" i="2"/>
  <c r="P3628" i="2"/>
  <c r="O3628" i="2"/>
  <c r="T3627" i="2"/>
  <c r="S3627" i="2"/>
  <c r="R3627" i="2"/>
  <c r="Q3627" i="2"/>
  <c r="P3627" i="2"/>
  <c r="O3627" i="2"/>
  <c r="T3626" i="2"/>
  <c r="S3626" i="2"/>
  <c r="R3626" i="2"/>
  <c r="Q3626" i="2"/>
  <c r="P3626" i="2"/>
  <c r="O3626" i="2"/>
  <c r="T3625" i="2"/>
  <c r="S3625" i="2"/>
  <c r="R3625" i="2"/>
  <c r="Q3625" i="2"/>
  <c r="P3625" i="2"/>
  <c r="O3625" i="2"/>
  <c r="T3624" i="2"/>
  <c r="S3624" i="2"/>
  <c r="R3624" i="2"/>
  <c r="Q3624" i="2"/>
  <c r="P3624" i="2"/>
  <c r="O3624" i="2"/>
  <c r="T3623" i="2"/>
  <c r="S3623" i="2"/>
  <c r="R3623" i="2"/>
  <c r="Q3623" i="2"/>
  <c r="P3623" i="2"/>
  <c r="O3623" i="2"/>
  <c r="T3622" i="2"/>
  <c r="S3622" i="2"/>
  <c r="R3622" i="2"/>
  <c r="Q3622" i="2"/>
  <c r="P3622" i="2"/>
  <c r="O3622" i="2"/>
  <c r="T3621" i="2"/>
  <c r="S3621" i="2"/>
  <c r="R3621" i="2"/>
  <c r="Q3621" i="2"/>
  <c r="P3621" i="2"/>
  <c r="O3621" i="2"/>
  <c r="T3620" i="2"/>
  <c r="S3620" i="2"/>
  <c r="R3620" i="2"/>
  <c r="Q3620" i="2"/>
  <c r="P3620" i="2"/>
  <c r="O3620" i="2"/>
  <c r="T3619" i="2"/>
  <c r="S3619" i="2"/>
  <c r="R3619" i="2"/>
  <c r="Q3619" i="2"/>
  <c r="P3619" i="2"/>
  <c r="O3619" i="2"/>
  <c r="T3618" i="2"/>
  <c r="S3618" i="2"/>
  <c r="R3618" i="2"/>
  <c r="Q3618" i="2"/>
  <c r="P3618" i="2"/>
  <c r="O3618" i="2"/>
  <c r="T3617" i="2"/>
  <c r="S3617" i="2"/>
  <c r="R3617" i="2"/>
  <c r="Q3617" i="2"/>
  <c r="P3617" i="2"/>
  <c r="O3617" i="2"/>
  <c r="T3616" i="2"/>
  <c r="S3616" i="2"/>
  <c r="R3616" i="2"/>
  <c r="Q3616" i="2"/>
  <c r="P3616" i="2"/>
  <c r="O3616" i="2"/>
  <c r="T3615" i="2"/>
  <c r="S3615" i="2"/>
  <c r="R3615" i="2"/>
  <c r="Q3615" i="2"/>
  <c r="P3615" i="2"/>
  <c r="O3615" i="2"/>
  <c r="T3614" i="2"/>
  <c r="S3614" i="2"/>
  <c r="R3614" i="2"/>
  <c r="Q3614" i="2"/>
  <c r="P3614" i="2"/>
  <c r="O3614" i="2"/>
  <c r="T3613" i="2"/>
  <c r="S3613" i="2"/>
  <c r="R3613" i="2"/>
  <c r="Q3613" i="2"/>
  <c r="P3613" i="2"/>
  <c r="O3613" i="2"/>
  <c r="T3612" i="2"/>
  <c r="S3612" i="2"/>
  <c r="R3612" i="2"/>
  <c r="Q3612" i="2"/>
  <c r="P3612" i="2"/>
  <c r="O3612" i="2"/>
  <c r="T3611" i="2"/>
  <c r="S3611" i="2"/>
  <c r="R3611" i="2"/>
  <c r="Q3611" i="2"/>
  <c r="P3611" i="2"/>
  <c r="O3611" i="2"/>
  <c r="T3610" i="2"/>
  <c r="S3610" i="2"/>
  <c r="R3610" i="2"/>
  <c r="Q3610" i="2"/>
  <c r="P3610" i="2"/>
  <c r="O3610" i="2"/>
  <c r="T3609" i="2"/>
  <c r="S3609" i="2"/>
  <c r="R3609" i="2"/>
  <c r="Q3609" i="2"/>
  <c r="P3609" i="2"/>
  <c r="O3609" i="2"/>
  <c r="T3608" i="2"/>
  <c r="S3608" i="2"/>
  <c r="R3608" i="2"/>
  <c r="Q3608" i="2"/>
  <c r="P3608" i="2"/>
  <c r="O3608" i="2"/>
  <c r="T3607" i="2"/>
  <c r="S3607" i="2"/>
  <c r="R3607" i="2"/>
  <c r="Q3607" i="2"/>
  <c r="P3607" i="2"/>
  <c r="O3607" i="2"/>
  <c r="T3606" i="2"/>
  <c r="S3606" i="2"/>
  <c r="R3606" i="2"/>
  <c r="Q3606" i="2"/>
  <c r="P3606" i="2"/>
  <c r="O3606" i="2"/>
  <c r="T3605" i="2"/>
  <c r="S3605" i="2"/>
  <c r="R3605" i="2"/>
  <c r="Q3605" i="2"/>
  <c r="P3605" i="2"/>
  <c r="O3605" i="2"/>
  <c r="T3604" i="2"/>
  <c r="T3603" i="2"/>
  <c r="T3602" i="2"/>
  <c r="T3601" i="2"/>
  <c r="T3600" i="2"/>
  <c r="T3599" i="2"/>
  <c r="T3598" i="2"/>
  <c r="T3597" i="2"/>
  <c r="T3596" i="2"/>
  <c r="T3595" i="2"/>
  <c r="T3594" i="2"/>
  <c r="T3593" i="2"/>
  <c r="T3592" i="2"/>
  <c r="T3591" i="2"/>
  <c r="T3590" i="2"/>
  <c r="T3589" i="2"/>
  <c r="T3588" i="2"/>
  <c r="T3587" i="2"/>
  <c r="T3586" i="2"/>
  <c r="T3585" i="2"/>
  <c r="T3584" i="2"/>
  <c r="T3583" i="2"/>
  <c r="T3582" i="2"/>
  <c r="T3581" i="2"/>
  <c r="T3580" i="2"/>
  <c r="T3579" i="2"/>
  <c r="T3578" i="2"/>
  <c r="T3577" i="2"/>
  <c r="T3576" i="2"/>
  <c r="T3575" i="2"/>
  <c r="T3574" i="2"/>
  <c r="T3573" i="2"/>
  <c r="T3572" i="2"/>
  <c r="T3571" i="2"/>
  <c r="T3570" i="2"/>
  <c r="T3569" i="2"/>
  <c r="T3568" i="2"/>
  <c r="T3567" i="2"/>
  <c r="T3566" i="2"/>
  <c r="T3565" i="2"/>
  <c r="T3564" i="2"/>
  <c r="T3563" i="2"/>
  <c r="T3562" i="2"/>
  <c r="T3561" i="2"/>
  <c r="T3560" i="2"/>
  <c r="T3559" i="2"/>
  <c r="T3558" i="2"/>
  <c r="T3557" i="2"/>
  <c r="T3556" i="2"/>
  <c r="T3555" i="2"/>
  <c r="T3554" i="2"/>
  <c r="T3553" i="2"/>
  <c r="T3552" i="2"/>
  <c r="T3551" i="2"/>
  <c r="T3550" i="2"/>
  <c r="T3549" i="2"/>
  <c r="T3548" i="2"/>
  <c r="T3547" i="2"/>
  <c r="T3546" i="2"/>
  <c r="T3545" i="2"/>
  <c r="T3544" i="2"/>
  <c r="T3543" i="2"/>
  <c r="T3542" i="2"/>
  <c r="T3541" i="2"/>
  <c r="T3540" i="2"/>
  <c r="T3539" i="2"/>
  <c r="T3538" i="2"/>
  <c r="T3537" i="2"/>
  <c r="T3536" i="2"/>
  <c r="T3535" i="2"/>
  <c r="T3534" i="2"/>
  <c r="T3533" i="2"/>
  <c r="T3532" i="2"/>
  <c r="T3531" i="2"/>
  <c r="T3530" i="2"/>
  <c r="T3529" i="2"/>
  <c r="T3528" i="2"/>
  <c r="T3527" i="2"/>
  <c r="T3526" i="2"/>
  <c r="T3525" i="2"/>
  <c r="T3524" i="2"/>
  <c r="T3523" i="2"/>
  <c r="T3522" i="2"/>
  <c r="T3521" i="2"/>
  <c r="T3520" i="2"/>
  <c r="T3519" i="2"/>
  <c r="T3518" i="2"/>
  <c r="T3517" i="2"/>
  <c r="T3516" i="2"/>
  <c r="T3515" i="2"/>
  <c r="T3514" i="2"/>
  <c r="T3513" i="2"/>
  <c r="S3513" i="2"/>
  <c r="R3513" i="2"/>
  <c r="Q3513" i="2"/>
  <c r="P3513" i="2"/>
  <c r="O3513" i="2"/>
  <c r="T3512" i="2"/>
  <c r="S3512" i="2"/>
  <c r="R3512" i="2"/>
  <c r="Q3512" i="2"/>
  <c r="P3512" i="2"/>
  <c r="O3512" i="2"/>
  <c r="T3511" i="2"/>
  <c r="S3511" i="2"/>
  <c r="R3511" i="2"/>
  <c r="Q3511" i="2"/>
  <c r="P3511" i="2"/>
  <c r="O3511" i="2"/>
  <c r="T3510" i="2"/>
  <c r="S3510" i="2"/>
  <c r="R3510" i="2"/>
  <c r="Q3510" i="2"/>
  <c r="P3510" i="2"/>
  <c r="O3510" i="2"/>
  <c r="T3509" i="2"/>
  <c r="S3509" i="2"/>
  <c r="R3509" i="2"/>
  <c r="Q3509" i="2"/>
  <c r="P3509" i="2"/>
  <c r="O3509" i="2"/>
  <c r="T3508" i="2"/>
  <c r="S3508" i="2"/>
  <c r="R3508" i="2"/>
  <c r="Q3508" i="2"/>
  <c r="P3508" i="2"/>
  <c r="O3508" i="2"/>
  <c r="T3507" i="2"/>
  <c r="S3507" i="2"/>
  <c r="R3507" i="2"/>
  <c r="Q3507" i="2"/>
  <c r="P3507" i="2"/>
  <c r="O3507" i="2"/>
  <c r="T3506" i="2"/>
  <c r="S3506" i="2"/>
  <c r="R3506" i="2"/>
  <c r="Q3506" i="2"/>
  <c r="P3506" i="2"/>
  <c r="O3506" i="2"/>
  <c r="T3505" i="2"/>
  <c r="S3505" i="2"/>
  <c r="R3505" i="2"/>
  <c r="Q3505" i="2"/>
  <c r="P3505" i="2"/>
  <c r="O3505" i="2"/>
  <c r="T3504" i="2"/>
  <c r="S3504" i="2"/>
  <c r="R3504" i="2"/>
  <c r="Q3504" i="2"/>
  <c r="P3504" i="2"/>
  <c r="O3504" i="2"/>
  <c r="T3503" i="2"/>
  <c r="S3503" i="2"/>
  <c r="R3503" i="2"/>
  <c r="Q3503" i="2"/>
  <c r="P3503" i="2"/>
  <c r="O3503" i="2"/>
  <c r="T3502" i="2"/>
  <c r="S3502" i="2"/>
  <c r="R3502" i="2"/>
  <c r="Q3502" i="2"/>
  <c r="P3502" i="2"/>
  <c r="O3502" i="2"/>
  <c r="T3501" i="2"/>
  <c r="S3501" i="2"/>
  <c r="R3501" i="2"/>
  <c r="Q3501" i="2"/>
  <c r="P3501" i="2"/>
  <c r="O3501" i="2"/>
  <c r="T3500" i="2"/>
  <c r="S3500" i="2"/>
  <c r="R3500" i="2"/>
  <c r="Q3500" i="2"/>
  <c r="P3500" i="2"/>
  <c r="O3500" i="2"/>
  <c r="T3499" i="2"/>
  <c r="S3499" i="2"/>
  <c r="R3499" i="2"/>
  <c r="Q3499" i="2"/>
  <c r="P3499" i="2"/>
  <c r="O3499" i="2"/>
  <c r="T3498" i="2"/>
  <c r="T3497" i="2"/>
  <c r="S3497" i="2"/>
  <c r="R3497" i="2"/>
  <c r="Q3497" i="2"/>
  <c r="P3497" i="2"/>
  <c r="O3497" i="2"/>
  <c r="T3496" i="2"/>
  <c r="S3496" i="2"/>
  <c r="R3496" i="2"/>
  <c r="Q3496" i="2"/>
  <c r="P3496" i="2"/>
  <c r="O3496" i="2"/>
  <c r="T3495" i="2"/>
  <c r="S3495" i="2"/>
  <c r="R3495" i="2"/>
  <c r="Q3495" i="2"/>
  <c r="P3495" i="2"/>
  <c r="O3495" i="2"/>
  <c r="T3494" i="2"/>
  <c r="S3494" i="2"/>
  <c r="R3494" i="2"/>
  <c r="Q3494" i="2"/>
  <c r="P3494" i="2"/>
  <c r="O3494" i="2"/>
  <c r="T3493" i="2"/>
  <c r="S3493" i="2"/>
  <c r="R3493" i="2"/>
  <c r="Q3493" i="2"/>
  <c r="P3493" i="2"/>
  <c r="O3493" i="2"/>
  <c r="T3492" i="2"/>
  <c r="S3492" i="2"/>
  <c r="R3492" i="2"/>
  <c r="Q3492" i="2"/>
  <c r="P3492" i="2"/>
  <c r="O3492" i="2"/>
  <c r="T3491" i="2"/>
  <c r="S3491" i="2"/>
  <c r="R3491" i="2"/>
  <c r="Q3491" i="2"/>
  <c r="P3491" i="2"/>
  <c r="O3491" i="2"/>
  <c r="T3490" i="2"/>
  <c r="S3490" i="2"/>
  <c r="R3490" i="2"/>
  <c r="Q3490" i="2"/>
  <c r="P3490" i="2"/>
  <c r="O3490" i="2"/>
  <c r="T3489" i="2"/>
  <c r="S3489" i="2"/>
  <c r="R3489" i="2"/>
  <c r="Q3489" i="2"/>
  <c r="P3489" i="2"/>
  <c r="O3489" i="2"/>
  <c r="T3488" i="2"/>
  <c r="S3488" i="2"/>
  <c r="R3488" i="2"/>
  <c r="Q3488" i="2"/>
  <c r="P3488" i="2"/>
  <c r="O3488" i="2"/>
  <c r="T3487" i="2"/>
  <c r="S3487" i="2"/>
  <c r="R3487" i="2"/>
  <c r="Q3487" i="2"/>
  <c r="P3487" i="2"/>
  <c r="O3487" i="2"/>
  <c r="T3486" i="2"/>
  <c r="S3486" i="2"/>
  <c r="R3486" i="2"/>
  <c r="Q3486" i="2"/>
  <c r="P3486" i="2"/>
  <c r="O3486" i="2"/>
  <c r="T3485" i="2"/>
  <c r="S3485" i="2"/>
  <c r="R3485" i="2"/>
  <c r="Q3485" i="2"/>
  <c r="P3485" i="2"/>
  <c r="O3485" i="2"/>
  <c r="T3484" i="2"/>
  <c r="S3484" i="2"/>
  <c r="R3484" i="2"/>
  <c r="Q3484" i="2"/>
  <c r="P3484" i="2"/>
  <c r="O3484" i="2"/>
  <c r="T3483" i="2"/>
  <c r="S3483" i="2"/>
  <c r="R3483" i="2"/>
  <c r="Q3483" i="2"/>
  <c r="P3483" i="2"/>
  <c r="O3483" i="2"/>
  <c r="T3482" i="2"/>
  <c r="S3482" i="2"/>
  <c r="R3482" i="2"/>
  <c r="Q3482" i="2"/>
  <c r="P3482" i="2"/>
  <c r="O3482" i="2"/>
  <c r="T3481" i="2"/>
  <c r="S3481" i="2"/>
  <c r="R3481" i="2"/>
  <c r="Q3481" i="2"/>
  <c r="P3481" i="2"/>
  <c r="O3481" i="2"/>
  <c r="T3480" i="2"/>
  <c r="S3480" i="2"/>
  <c r="R3480" i="2"/>
  <c r="Q3480" i="2"/>
  <c r="P3480" i="2"/>
  <c r="O3480" i="2"/>
  <c r="T3479" i="2"/>
  <c r="S3479" i="2"/>
  <c r="R3479" i="2"/>
  <c r="Q3479" i="2"/>
  <c r="P3479" i="2"/>
  <c r="O3479" i="2"/>
  <c r="T3478" i="2"/>
  <c r="S3478" i="2"/>
  <c r="R3478" i="2"/>
  <c r="Q3478" i="2"/>
  <c r="P3478" i="2"/>
  <c r="O3478" i="2"/>
  <c r="T3477" i="2"/>
  <c r="S3477" i="2"/>
  <c r="R3477" i="2"/>
  <c r="Q3477" i="2"/>
  <c r="P3477" i="2"/>
  <c r="O3477" i="2"/>
  <c r="T3476" i="2"/>
  <c r="S3476" i="2"/>
  <c r="R3476" i="2"/>
  <c r="Q3476" i="2"/>
  <c r="P3476" i="2"/>
  <c r="O3476" i="2"/>
  <c r="T3475" i="2"/>
  <c r="S3475" i="2"/>
  <c r="R3475" i="2"/>
  <c r="Q3475" i="2"/>
  <c r="P3475" i="2"/>
  <c r="O3475" i="2"/>
  <c r="T3474" i="2"/>
  <c r="S3474" i="2"/>
  <c r="R3474" i="2"/>
  <c r="Q3474" i="2"/>
  <c r="P3474" i="2"/>
  <c r="O3474" i="2"/>
  <c r="T3473" i="2"/>
  <c r="S3473" i="2"/>
  <c r="R3473" i="2"/>
  <c r="Q3473" i="2"/>
  <c r="P3473" i="2"/>
  <c r="O3473" i="2"/>
  <c r="T3472" i="2"/>
  <c r="S3472" i="2"/>
  <c r="R3472" i="2"/>
  <c r="Q3472" i="2"/>
  <c r="P3472" i="2"/>
  <c r="O3472" i="2"/>
  <c r="T3471" i="2"/>
  <c r="S3471" i="2"/>
  <c r="R3471" i="2"/>
  <c r="Q3471" i="2"/>
  <c r="P3471" i="2"/>
  <c r="O3471" i="2"/>
  <c r="T3470" i="2"/>
  <c r="S3470" i="2"/>
  <c r="R3470" i="2"/>
  <c r="Q3470" i="2"/>
  <c r="P3470" i="2"/>
  <c r="O3470" i="2"/>
  <c r="T3469" i="2"/>
  <c r="S3469" i="2"/>
  <c r="R3469" i="2"/>
  <c r="Q3469" i="2"/>
  <c r="P3469" i="2"/>
  <c r="O3469" i="2"/>
  <c r="T3468" i="2"/>
  <c r="S3468" i="2"/>
  <c r="R3468" i="2"/>
  <c r="Q3468" i="2"/>
  <c r="P3468" i="2"/>
  <c r="O3468" i="2"/>
  <c r="T3467" i="2"/>
  <c r="S3467" i="2"/>
  <c r="R3467" i="2"/>
  <c r="Q3467" i="2"/>
  <c r="P3467" i="2"/>
  <c r="O3467" i="2"/>
  <c r="T3466" i="2"/>
  <c r="S3466" i="2"/>
  <c r="R3466" i="2"/>
  <c r="Q3466" i="2"/>
  <c r="P3466" i="2"/>
  <c r="O3466" i="2"/>
  <c r="T3465" i="2"/>
  <c r="S3465" i="2"/>
  <c r="R3465" i="2"/>
  <c r="Q3465" i="2"/>
  <c r="P3465" i="2"/>
  <c r="O3465" i="2"/>
  <c r="T3464" i="2"/>
  <c r="S3464" i="2"/>
  <c r="R3464" i="2"/>
  <c r="Q3464" i="2"/>
  <c r="P3464" i="2"/>
  <c r="O3464" i="2"/>
  <c r="T3463" i="2"/>
  <c r="S3463" i="2"/>
  <c r="R3463" i="2"/>
  <c r="Q3463" i="2"/>
  <c r="P3463" i="2"/>
  <c r="O3463" i="2"/>
  <c r="T3462" i="2"/>
  <c r="S3462" i="2"/>
  <c r="R3462" i="2"/>
  <c r="Q3462" i="2"/>
  <c r="P3462" i="2"/>
  <c r="O3462" i="2"/>
  <c r="T3461" i="2"/>
  <c r="S3461" i="2"/>
  <c r="R3461" i="2"/>
  <c r="Q3461" i="2"/>
  <c r="P3461" i="2"/>
  <c r="O3461" i="2"/>
  <c r="T3460" i="2"/>
  <c r="S3460" i="2"/>
  <c r="R3460" i="2"/>
  <c r="Q3460" i="2"/>
  <c r="P3460" i="2"/>
  <c r="O3460" i="2"/>
  <c r="T3459" i="2"/>
  <c r="S3459" i="2"/>
  <c r="R3459" i="2"/>
  <c r="Q3459" i="2"/>
  <c r="P3459" i="2"/>
  <c r="O3459" i="2"/>
  <c r="T3458" i="2"/>
  <c r="S3458" i="2"/>
  <c r="R3458" i="2"/>
  <c r="Q3458" i="2"/>
  <c r="P3458" i="2"/>
  <c r="O3458" i="2"/>
  <c r="T3457" i="2"/>
  <c r="S3457" i="2"/>
  <c r="R3457" i="2"/>
  <c r="Q3457" i="2"/>
  <c r="P3457" i="2"/>
  <c r="O3457" i="2"/>
  <c r="T3456" i="2"/>
  <c r="S3456" i="2"/>
  <c r="R3456" i="2"/>
  <c r="Q3456" i="2"/>
  <c r="P3456" i="2"/>
  <c r="O3456" i="2"/>
  <c r="T3455" i="2"/>
  <c r="S3455" i="2"/>
  <c r="R3455" i="2"/>
  <c r="Q3455" i="2"/>
  <c r="P3455" i="2"/>
  <c r="O3455" i="2"/>
  <c r="T3454" i="2"/>
  <c r="S3454" i="2"/>
  <c r="R3454" i="2"/>
  <c r="Q3454" i="2"/>
  <c r="P3454" i="2"/>
  <c r="O3454" i="2"/>
  <c r="T3453" i="2"/>
  <c r="S3453" i="2"/>
  <c r="R3453" i="2"/>
  <c r="Q3453" i="2"/>
  <c r="P3453" i="2"/>
  <c r="O3453" i="2"/>
  <c r="T3452" i="2"/>
  <c r="S3452" i="2"/>
  <c r="R3452" i="2"/>
  <c r="Q3452" i="2"/>
  <c r="P3452" i="2"/>
  <c r="O3452" i="2"/>
  <c r="T3451" i="2"/>
  <c r="S3451" i="2"/>
  <c r="R3451" i="2"/>
  <c r="Q3451" i="2"/>
  <c r="P3451" i="2"/>
  <c r="O3451" i="2"/>
  <c r="T3450" i="2"/>
  <c r="S3450" i="2"/>
  <c r="R3450" i="2"/>
  <c r="Q3450" i="2"/>
  <c r="P3450" i="2"/>
  <c r="O3450" i="2"/>
  <c r="T3449" i="2"/>
  <c r="S3449" i="2"/>
  <c r="R3449" i="2"/>
  <c r="Q3449" i="2"/>
  <c r="P3449" i="2"/>
  <c r="O3449" i="2"/>
  <c r="T3448" i="2"/>
  <c r="S3448" i="2"/>
  <c r="R3448" i="2"/>
  <c r="Q3448" i="2"/>
  <c r="P3448" i="2"/>
  <c r="O3448" i="2"/>
  <c r="T3447" i="2"/>
  <c r="S3447" i="2"/>
  <c r="R3447" i="2"/>
  <c r="Q3447" i="2"/>
  <c r="P3447" i="2"/>
  <c r="O3447" i="2"/>
  <c r="T3446" i="2"/>
  <c r="S3446" i="2"/>
  <c r="R3446" i="2"/>
  <c r="Q3446" i="2"/>
  <c r="P3446" i="2"/>
  <c r="O3446" i="2"/>
  <c r="T3445" i="2"/>
  <c r="S3445" i="2"/>
  <c r="R3445" i="2"/>
  <c r="Q3445" i="2"/>
  <c r="P3445" i="2"/>
  <c r="O3445" i="2"/>
  <c r="T3444" i="2"/>
  <c r="S3444" i="2"/>
  <c r="R3444" i="2"/>
  <c r="Q3444" i="2"/>
  <c r="P3444" i="2"/>
  <c r="O3444" i="2"/>
  <c r="T3443" i="2"/>
  <c r="S3443" i="2"/>
  <c r="R3443" i="2"/>
  <c r="Q3443" i="2"/>
  <c r="P3443" i="2"/>
  <c r="O3443" i="2"/>
  <c r="T3442" i="2"/>
  <c r="S3442" i="2"/>
  <c r="R3442" i="2"/>
  <c r="Q3442" i="2"/>
  <c r="P3442" i="2"/>
  <c r="O3442" i="2"/>
  <c r="T3441" i="2"/>
  <c r="S3441" i="2"/>
  <c r="R3441" i="2"/>
  <c r="Q3441" i="2"/>
  <c r="P3441" i="2"/>
  <c r="O3441" i="2"/>
  <c r="T3440" i="2"/>
  <c r="S3440" i="2"/>
  <c r="R3440" i="2"/>
  <c r="Q3440" i="2"/>
  <c r="P3440" i="2"/>
  <c r="O3440" i="2"/>
  <c r="T3439" i="2"/>
  <c r="S3439" i="2"/>
  <c r="R3439" i="2"/>
  <c r="Q3439" i="2"/>
  <c r="P3439" i="2"/>
  <c r="O3439" i="2"/>
  <c r="T3438" i="2"/>
  <c r="S3438" i="2"/>
  <c r="R3438" i="2"/>
  <c r="Q3438" i="2"/>
  <c r="P3438" i="2"/>
  <c r="O3438" i="2"/>
  <c r="T3437" i="2"/>
  <c r="S3437" i="2"/>
  <c r="R3437" i="2"/>
  <c r="Q3437" i="2"/>
  <c r="P3437" i="2"/>
  <c r="O3437" i="2"/>
  <c r="T3436" i="2"/>
  <c r="S3436" i="2"/>
  <c r="R3436" i="2"/>
  <c r="Q3436" i="2"/>
  <c r="P3436" i="2"/>
  <c r="O3436" i="2"/>
  <c r="T3435" i="2"/>
  <c r="S3435" i="2"/>
  <c r="R3435" i="2"/>
  <c r="Q3435" i="2"/>
  <c r="P3435" i="2"/>
  <c r="O3435" i="2"/>
  <c r="T3434" i="2"/>
  <c r="S3434" i="2"/>
  <c r="R3434" i="2"/>
  <c r="Q3434" i="2"/>
  <c r="P3434" i="2"/>
  <c r="O3434" i="2"/>
  <c r="T3433" i="2"/>
  <c r="S3433" i="2"/>
  <c r="R3433" i="2"/>
  <c r="Q3433" i="2"/>
  <c r="P3433" i="2"/>
  <c r="O3433" i="2"/>
  <c r="T3432" i="2"/>
  <c r="S3432" i="2"/>
  <c r="R3432" i="2"/>
  <c r="Q3432" i="2"/>
  <c r="P3432" i="2"/>
  <c r="O3432" i="2"/>
  <c r="T3431" i="2"/>
  <c r="S3431" i="2"/>
  <c r="R3431" i="2"/>
  <c r="Q3431" i="2"/>
  <c r="P3431" i="2"/>
  <c r="O3431" i="2"/>
  <c r="T3430" i="2"/>
  <c r="S3430" i="2"/>
  <c r="R3430" i="2"/>
  <c r="Q3430" i="2"/>
  <c r="P3430" i="2"/>
  <c r="O3430" i="2"/>
  <c r="T3429" i="2"/>
  <c r="S3429" i="2"/>
  <c r="R3429" i="2"/>
  <c r="Q3429" i="2"/>
  <c r="P3429" i="2"/>
  <c r="O3429" i="2"/>
  <c r="T3428" i="2"/>
  <c r="S3428" i="2"/>
  <c r="R3428" i="2"/>
  <c r="Q3428" i="2"/>
  <c r="P3428" i="2"/>
  <c r="O3428" i="2"/>
  <c r="T3427" i="2"/>
  <c r="S3427" i="2"/>
  <c r="R3427" i="2"/>
  <c r="Q3427" i="2"/>
  <c r="P3427" i="2"/>
  <c r="O3427" i="2"/>
  <c r="T3426" i="2"/>
  <c r="S3426" i="2"/>
  <c r="R3426" i="2"/>
  <c r="Q3426" i="2"/>
  <c r="P3426" i="2"/>
  <c r="O3426" i="2"/>
  <c r="T3425" i="2"/>
  <c r="S3425" i="2"/>
  <c r="R3425" i="2"/>
  <c r="Q3425" i="2"/>
  <c r="P3425" i="2"/>
  <c r="O3425" i="2"/>
  <c r="T3424" i="2"/>
  <c r="S3424" i="2"/>
  <c r="R3424" i="2"/>
  <c r="Q3424" i="2"/>
  <c r="P3424" i="2"/>
  <c r="O3424" i="2"/>
  <c r="T3423" i="2"/>
  <c r="S3423" i="2"/>
  <c r="R3423" i="2"/>
  <c r="Q3423" i="2"/>
  <c r="P3423" i="2"/>
  <c r="O3423" i="2"/>
  <c r="T3422" i="2"/>
  <c r="S3422" i="2"/>
  <c r="R3422" i="2"/>
  <c r="Q3422" i="2"/>
  <c r="P3422" i="2"/>
  <c r="O3422" i="2"/>
  <c r="T3421" i="2"/>
  <c r="S3421" i="2"/>
  <c r="R3421" i="2"/>
  <c r="Q3421" i="2"/>
  <c r="P3421" i="2"/>
  <c r="O3421" i="2"/>
  <c r="T3420" i="2"/>
  <c r="S3420" i="2"/>
  <c r="R3420" i="2"/>
  <c r="Q3420" i="2"/>
  <c r="P3420" i="2"/>
  <c r="O3420" i="2"/>
  <c r="T3419" i="2"/>
  <c r="S3419" i="2"/>
  <c r="R3419" i="2"/>
  <c r="Q3419" i="2"/>
  <c r="P3419" i="2"/>
  <c r="O3419" i="2"/>
  <c r="T3418" i="2"/>
  <c r="S3418" i="2"/>
  <c r="R3418" i="2"/>
  <c r="Q3418" i="2"/>
  <c r="P3418" i="2"/>
  <c r="O3418" i="2"/>
  <c r="T3417" i="2"/>
  <c r="S3417" i="2"/>
  <c r="R3417" i="2"/>
  <c r="Q3417" i="2"/>
  <c r="P3417" i="2"/>
  <c r="O3417" i="2"/>
  <c r="T3416" i="2"/>
  <c r="S3416" i="2"/>
  <c r="R3416" i="2"/>
  <c r="Q3416" i="2"/>
  <c r="P3416" i="2"/>
  <c r="O3416" i="2"/>
  <c r="T3415" i="2"/>
  <c r="S3415" i="2"/>
  <c r="R3415" i="2"/>
  <c r="Q3415" i="2"/>
  <c r="P3415" i="2"/>
  <c r="O3415" i="2"/>
  <c r="T3414" i="2"/>
  <c r="S3414" i="2"/>
  <c r="R3414" i="2"/>
  <c r="Q3414" i="2"/>
  <c r="P3414" i="2"/>
  <c r="O3414" i="2"/>
  <c r="T3413" i="2"/>
  <c r="S3413" i="2"/>
  <c r="R3413" i="2"/>
  <c r="Q3413" i="2"/>
  <c r="P3413" i="2"/>
  <c r="O3413" i="2"/>
  <c r="T3412" i="2"/>
  <c r="S3412" i="2"/>
  <c r="R3412" i="2"/>
  <c r="Q3412" i="2"/>
  <c r="P3412" i="2"/>
  <c r="O3412" i="2"/>
  <c r="T3411" i="2"/>
  <c r="S3411" i="2"/>
  <c r="R3411" i="2"/>
  <c r="Q3411" i="2"/>
  <c r="P3411" i="2"/>
  <c r="O3411" i="2"/>
  <c r="T3410" i="2"/>
  <c r="S3410" i="2"/>
  <c r="R3410" i="2"/>
  <c r="Q3410" i="2"/>
  <c r="P3410" i="2"/>
  <c r="O3410" i="2"/>
  <c r="T3409" i="2"/>
  <c r="S3409" i="2"/>
  <c r="R3409" i="2"/>
  <c r="Q3409" i="2"/>
  <c r="P3409" i="2"/>
  <c r="O3409" i="2"/>
  <c r="T3408" i="2"/>
  <c r="S3408" i="2"/>
  <c r="R3408" i="2"/>
  <c r="Q3408" i="2"/>
  <c r="P3408" i="2"/>
  <c r="O3408" i="2"/>
  <c r="T3407" i="2"/>
  <c r="S3407" i="2"/>
  <c r="R3407" i="2"/>
  <c r="Q3407" i="2"/>
  <c r="P3407" i="2"/>
  <c r="O3407" i="2"/>
  <c r="T3406" i="2"/>
  <c r="S3406" i="2"/>
  <c r="R3406" i="2"/>
  <c r="Q3406" i="2"/>
  <c r="P3406" i="2"/>
  <c r="O3406" i="2"/>
  <c r="T3405" i="2"/>
  <c r="S3405" i="2"/>
  <c r="R3405" i="2"/>
  <c r="Q3405" i="2"/>
  <c r="P3405" i="2"/>
  <c r="O3405" i="2"/>
  <c r="T3404" i="2"/>
  <c r="S3404" i="2"/>
  <c r="R3404" i="2"/>
  <c r="Q3404" i="2"/>
  <c r="P3404" i="2"/>
  <c r="O3404" i="2"/>
  <c r="T3403" i="2"/>
  <c r="S3403" i="2"/>
  <c r="R3403" i="2"/>
  <c r="Q3403" i="2"/>
  <c r="P3403" i="2"/>
  <c r="O3403" i="2"/>
  <c r="T3402" i="2"/>
  <c r="S3402" i="2"/>
  <c r="R3402" i="2"/>
  <c r="Q3402" i="2"/>
  <c r="P3402" i="2"/>
  <c r="O3402" i="2"/>
  <c r="T3401" i="2"/>
  <c r="S3401" i="2"/>
  <c r="R3401" i="2"/>
  <c r="Q3401" i="2"/>
  <c r="P3401" i="2"/>
  <c r="O3401" i="2"/>
  <c r="T3400" i="2"/>
  <c r="S3400" i="2"/>
  <c r="R3400" i="2"/>
  <c r="Q3400" i="2"/>
  <c r="P3400" i="2"/>
  <c r="O3400" i="2"/>
  <c r="T3399" i="2"/>
  <c r="S3399" i="2"/>
  <c r="R3399" i="2"/>
  <c r="Q3399" i="2"/>
  <c r="P3399" i="2"/>
  <c r="O3399" i="2"/>
  <c r="T3398" i="2"/>
  <c r="S3398" i="2"/>
  <c r="R3398" i="2"/>
  <c r="Q3398" i="2"/>
  <c r="P3398" i="2"/>
  <c r="O3398" i="2"/>
  <c r="T3397" i="2"/>
  <c r="S3397" i="2"/>
  <c r="R3397" i="2"/>
  <c r="Q3397" i="2"/>
  <c r="P3397" i="2"/>
  <c r="O3397" i="2"/>
  <c r="T3396" i="2"/>
  <c r="S3396" i="2"/>
  <c r="R3396" i="2"/>
  <c r="Q3396" i="2"/>
  <c r="P3396" i="2"/>
  <c r="O3396" i="2"/>
  <c r="T3395" i="2"/>
  <c r="S3395" i="2"/>
  <c r="R3395" i="2"/>
  <c r="Q3395" i="2"/>
  <c r="P3395" i="2"/>
  <c r="O3395" i="2"/>
  <c r="T3394" i="2"/>
  <c r="S3394" i="2"/>
  <c r="R3394" i="2"/>
  <c r="Q3394" i="2"/>
  <c r="P3394" i="2"/>
  <c r="O3394" i="2"/>
  <c r="T3393" i="2"/>
  <c r="S3393" i="2"/>
  <c r="R3393" i="2"/>
  <c r="Q3393" i="2"/>
  <c r="P3393" i="2"/>
  <c r="O3393" i="2"/>
  <c r="T3392" i="2"/>
  <c r="S3392" i="2"/>
  <c r="R3392" i="2"/>
  <c r="Q3392" i="2"/>
  <c r="P3392" i="2"/>
  <c r="O3392" i="2"/>
  <c r="T3391" i="2"/>
  <c r="S3391" i="2"/>
  <c r="R3391" i="2"/>
  <c r="Q3391" i="2"/>
  <c r="P3391" i="2"/>
  <c r="O3391" i="2"/>
  <c r="T3390" i="2"/>
  <c r="S3390" i="2"/>
  <c r="R3390" i="2"/>
  <c r="Q3390" i="2"/>
  <c r="P3390" i="2"/>
  <c r="O3390" i="2"/>
  <c r="T3389" i="2"/>
  <c r="S3389" i="2"/>
  <c r="R3389" i="2"/>
  <c r="Q3389" i="2"/>
  <c r="P3389" i="2"/>
  <c r="O3389" i="2"/>
  <c r="T3388" i="2"/>
  <c r="S3388" i="2"/>
  <c r="R3388" i="2"/>
  <c r="Q3388" i="2"/>
  <c r="P3388" i="2"/>
  <c r="O3388" i="2"/>
  <c r="T3387" i="2"/>
  <c r="S3387" i="2"/>
  <c r="R3387" i="2"/>
  <c r="Q3387" i="2"/>
  <c r="P3387" i="2"/>
  <c r="O3387" i="2"/>
  <c r="T3386" i="2"/>
  <c r="S3386" i="2"/>
  <c r="R3386" i="2"/>
  <c r="Q3386" i="2"/>
  <c r="P3386" i="2"/>
  <c r="O3386" i="2"/>
  <c r="T3385" i="2"/>
  <c r="S3385" i="2"/>
  <c r="R3385" i="2"/>
  <c r="Q3385" i="2"/>
  <c r="P3385" i="2"/>
  <c r="O3385" i="2"/>
  <c r="T3384" i="2"/>
  <c r="S3384" i="2"/>
  <c r="R3384" i="2"/>
  <c r="Q3384" i="2"/>
  <c r="P3384" i="2"/>
  <c r="O3384" i="2"/>
  <c r="T3383" i="2"/>
  <c r="S3383" i="2"/>
  <c r="R3383" i="2"/>
  <c r="Q3383" i="2"/>
  <c r="P3383" i="2"/>
  <c r="O3383" i="2"/>
  <c r="T3382" i="2"/>
  <c r="S3382" i="2"/>
  <c r="R3382" i="2"/>
  <c r="Q3382" i="2"/>
  <c r="P3382" i="2"/>
  <c r="O3382" i="2"/>
  <c r="T3381" i="2"/>
  <c r="S3381" i="2"/>
  <c r="R3381" i="2"/>
  <c r="Q3381" i="2"/>
  <c r="P3381" i="2"/>
  <c r="O3381" i="2"/>
  <c r="T3380" i="2"/>
  <c r="S3380" i="2"/>
  <c r="R3380" i="2"/>
  <c r="Q3380" i="2"/>
  <c r="P3380" i="2"/>
  <c r="O3380" i="2"/>
  <c r="T3379" i="2"/>
  <c r="S3379" i="2"/>
  <c r="R3379" i="2"/>
  <c r="Q3379" i="2"/>
  <c r="P3379" i="2"/>
  <c r="O3379" i="2"/>
  <c r="T3378" i="2"/>
  <c r="S3378" i="2"/>
  <c r="R3378" i="2"/>
  <c r="Q3378" i="2"/>
  <c r="P3378" i="2"/>
  <c r="O3378" i="2"/>
  <c r="T3377" i="2"/>
  <c r="S3377" i="2"/>
  <c r="R3377" i="2"/>
  <c r="Q3377" i="2"/>
  <c r="P3377" i="2"/>
  <c r="O3377" i="2"/>
  <c r="T3376" i="2"/>
  <c r="S3376" i="2"/>
  <c r="R3376" i="2"/>
  <c r="Q3376" i="2"/>
  <c r="P3376" i="2"/>
  <c r="O3376" i="2"/>
  <c r="T3375" i="2"/>
  <c r="S3375" i="2"/>
  <c r="R3375" i="2"/>
  <c r="Q3375" i="2"/>
  <c r="P3375" i="2"/>
  <c r="O3375" i="2"/>
  <c r="T3374" i="2"/>
  <c r="S3374" i="2"/>
  <c r="R3374" i="2"/>
  <c r="Q3374" i="2"/>
  <c r="P3374" i="2"/>
  <c r="O3374" i="2"/>
  <c r="T3373" i="2"/>
  <c r="S3373" i="2"/>
  <c r="R3373" i="2"/>
  <c r="Q3373" i="2"/>
  <c r="P3373" i="2"/>
  <c r="O3373" i="2"/>
  <c r="T3372" i="2"/>
  <c r="S3372" i="2"/>
  <c r="R3372" i="2"/>
  <c r="Q3372" i="2"/>
  <c r="P3372" i="2"/>
  <c r="O3372" i="2"/>
  <c r="T3371" i="2"/>
  <c r="S3371" i="2"/>
  <c r="R3371" i="2"/>
  <c r="Q3371" i="2"/>
  <c r="P3371" i="2"/>
  <c r="O3371" i="2"/>
  <c r="T3370" i="2"/>
  <c r="S3370" i="2"/>
  <c r="R3370" i="2"/>
  <c r="Q3370" i="2"/>
  <c r="P3370" i="2"/>
  <c r="O3370" i="2"/>
  <c r="T3369" i="2"/>
  <c r="S3369" i="2"/>
  <c r="R3369" i="2"/>
  <c r="Q3369" i="2"/>
  <c r="P3369" i="2"/>
  <c r="O3369" i="2"/>
  <c r="T3368" i="2"/>
  <c r="S3368" i="2"/>
  <c r="R3368" i="2"/>
  <c r="Q3368" i="2"/>
  <c r="P3368" i="2"/>
  <c r="O3368" i="2"/>
  <c r="T3367" i="2"/>
  <c r="S3367" i="2"/>
  <c r="R3367" i="2"/>
  <c r="Q3367" i="2"/>
  <c r="P3367" i="2"/>
  <c r="O3367" i="2"/>
  <c r="T3366" i="2"/>
  <c r="S3366" i="2"/>
  <c r="R3366" i="2"/>
  <c r="Q3366" i="2"/>
  <c r="P3366" i="2"/>
  <c r="O3366" i="2"/>
  <c r="T3365" i="2"/>
  <c r="S3365" i="2"/>
  <c r="R3365" i="2"/>
  <c r="Q3365" i="2"/>
  <c r="P3365" i="2"/>
  <c r="O3365" i="2"/>
  <c r="T3364" i="2"/>
  <c r="S3364" i="2"/>
  <c r="R3364" i="2"/>
  <c r="Q3364" i="2"/>
  <c r="P3364" i="2"/>
  <c r="O3364" i="2"/>
  <c r="T3363" i="2"/>
  <c r="S3363" i="2"/>
  <c r="R3363" i="2"/>
  <c r="Q3363" i="2"/>
  <c r="P3363" i="2"/>
  <c r="O3363" i="2"/>
  <c r="T3362" i="2"/>
  <c r="S3362" i="2"/>
  <c r="R3362" i="2"/>
  <c r="Q3362" i="2"/>
  <c r="P3362" i="2"/>
  <c r="O3362" i="2"/>
  <c r="T3361" i="2"/>
  <c r="S3361" i="2"/>
  <c r="R3361" i="2"/>
  <c r="Q3361" i="2"/>
  <c r="P3361" i="2"/>
  <c r="O3361" i="2"/>
  <c r="T3360" i="2"/>
  <c r="S3360" i="2"/>
  <c r="R3360" i="2"/>
  <c r="Q3360" i="2"/>
  <c r="P3360" i="2"/>
  <c r="O3360" i="2"/>
  <c r="T3359" i="2"/>
  <c r="S3359" i="2"/>
  <c r="R3359" i="2"/>
  <c r="Q3359" i="2"/>
  <c r="P3359" i="2"/>
  <c r="O3359" i="2"/>
  <c r="T3358" i="2"/>
  <c r="S3358" i="2"/>
  <c r="R3358" i="2"/>
  <c r="Q3358" i="2"/>
  <c r="P3358" i="2"/>
  <c r="O3358" i="2"/>
  <c r="T3357" i="2"/>
  <c r="S3357" i="2"/>
  <c r="R3357" i="2"/>
  <c r="Q3357" i="2"/>
  <c r="P3357" i="2"/>
  <c r="O3357" i="2"/>
  <c r="T3356" i="2"/>
  <c r="S3356" i="2"/>
  <c r="R3356" i="2"/>
  <c r="Q3356" i="2"/>
  <c r="P3356" i="2"/>
  <c r="O3356" i="2"/>
  <c r="T3355" i="2"/>
  <c r="S3355" i="2"/>
  <c r="R3355" i="2"/>
  <c r="Q3355" i="2"/>
  <c r="P3355" i="2"/>
  <c r="O3355" i="2"/>
  <c r="T3354" i="2"/>
  <c r="S3354" i="2"/>
  <c r="R3354" i="2"/>
  <c r="Q3354" i="2"/>
  <c r="P3354" i="2"/>
  <c r="O3354" i="2"/>
  <c r="T3353" i="2"/>
  <c r="S3353" i="2"/>
  <c r="R3353" i="2"/>
  <c r="Q3353" i="2"/>
  <c r="P3353" i="2"/>
  <c r="O3353" i="2"/>
  <c r="T3352" i="2"/>
  <c r="S3352" i="2"/>
  <c r="R3352" i="2"/>
  <c r="Q3352" i="2"/>
  <c r="P3352" i="2"/>
  <c r="O3352" i="2"/>
  <c r="T3351" i="2"/>
  <c r="S3351" i="2"/>
  <c r="R3351" i="2"/>
  <c r="Q3351" i="2"/>
  <c r="P3351" i="2"/>
  <c r="O3351" i="2"/>
  <c r="T3350" i="2"/>
  <c r="S3350" i="2"/>
  <c r="R3350" i="2"/>
  <c r="Q3350" i="2"/>
  <c r="P3350" i="2"/>
  <c r="O3350" i="2"/>
  <c r="T3349" i="2"/>
  <c r="S3349" i="2"/>
  <c r="R3349" i="2"/>
  <c r="Q3349" i="2"/>
  <c r="P3349" i="2"/>
  <c r="O3349" i="2"/>
  <c r="T3348" i="2"/>
  <c r="S3348" i="2"/>
  <c r="R3348" i="2"/>
  <c r="Q3348" i="2"/>
  <c r="P3348" i="2"/>
  <c r="O3348" i="2"/>
  <c r="T3347" i="2"/>
  <c r="S3347" i="2"/>
  <c r="R3347" i="2"/>
  <c r="Q3347" i="2"/>
  <c r="P3347" i="2"/>
  <c r="O3347" i="2"/>
  <c r="T3346" i="2"/>
  <c r="S3346" i="2"/>
  <c r="R3346" i="2"/>
  <c r="Q3346" i="2"/>
  <c r="P3346" i="2"/>
  <c r="O3346" i="2"/>
  <c r="T3345" i="2"/>
  <c r="S3345" i="2"/>
  <c r="R3345" i="2"/>
  <c r="Q3345" i="2"/>
  <c r="P3345" i="2"/>
  <c r="O3345" i="2"/>
  <c r="T3344" i="2"/>
  <c r="S3344" i="2"/>
  <c r="R3344" i="2"/>
  <c r="Q3344" i="2"/>
  <c r="P3344" i="2"/>
  <c r="O3344" i="2"/>
  <c r="T3343" i="2"/>
  <c r="S3343" i="2"/>
  <c r="R3343" i="2"/>
  <c r="Q3343" i="2"/>
  <c r="P3343" i="2"/>
  <c r="O3343" i="2"/>
  <c r="T3342" i="2"/>
  <c r="S3342" i="2"/>
  <c r="R3342" i="2"/>
  <c r="Q3342" i="2"/>
  <c r="P3342" i="2"/>
  <c r="O3342" i="2"/>
  <c r="T3341" i="2"/>
  <c r="S3341" i="2"/>
  <c r="R3341" i="2"/>
  <c r="Q3341" i="2"/>
  <c r="P3341" i="2"/>
  <c r="O3341" i="2"/>
  <c r="T3340" i="2"/>
  <c r="S3340" i="2"/>
  <c r="R3340" i="2"/>
  <c r="Q3340" i="2"/>
  <c r="P3340" i="2"/>
  <c r="O3340" i="2"/>
  <c r="T3339" i="2"/>
  <c r="S3339" i="2"/>
  <c r="R3339" i="2"/>
  <c r="Q3339" i="2"/>
  <c r="P3339" i="2"/>
  <c r="O3339" i="2"/>
  <c r="T3338" i="2"/>
  <c r="S3338" i="2"/>
  <c r="R3338" i="2"/>
  <c r="Q3338" i="2"/>
  <c r="P3338" i="2"/>
  <c r="O3338" i="2"/>
  <c r="T3337" i="2"/>
  <c r="S3337" i="2"/>
  <c r="R3337" i="2"/>
  <c r="Q3337" i="2"/>
  <c r="P3337" i="2"/>
  <c r="O3337" i="2"/>
  <c r="T3336" i="2"/>
  <c r="S3336" i="2"/>
  <c r="R3336" i="2"/>
  <c r="Q3336" i="2"/>
  <c r="P3336" i="2"/>
  <c r="O3336" i="2"/>
  <c r="T3335" i="2"/>
  <c r="S3335" i="2"/>
  <c r="R3335" i="2"/>
  <c r="Q3335" i="2"/>
  <c r="P3335" i="2"/>
  <c r="O3335" i="2"/>
  <c r="T3334" i="2"/>
  <c r="S3334" i="2"/>
  <c r="R3334" i="2"/>
  <c r="Q3334" i="2"/>
  <c r="P3334" i="2"/>
  <c r="O3334" i="2"/>
  <c r="T3333" i="2"/>
  <c r="S3333" i="2"/>
  <c r="R3333" i="2"/>
  <c r="Q3333" i="2"/>
  <c r="P3333" i="2"/>
  <c r="O3333" i="2"/>
  <c r="T3332" i="2"/>
  <c r="S3332" i="2"/>
  <c r="R3332" i="2"/>
  <c r="Q3332" i="2"/>
  <c r="P3332" i="2"/>
  <c r="O3332" i="2"/>
  <c r="T3331" i="2"/>
  <c r="S3331" i="2"/>
  <c r="R3331" i="2"/>
  <c r="Q3331" i="2"/>
  <c r="P3331" i="2"/>
  <c r="O3331" i="2"/>
  <c r="T3330" i="2"/>
  <c r="S3330" i="2"/>
  <c r="R3330" i="2"/>
  <c r="Q3330" i="2"/>
  <c r="P3330" i="2"/>
  <c r="O3330" i="2"/>
  <c r="T3329" i="2"/>
  <c r="S3329" i="2"/>
  <c r="R3329" i="2"/>
  <c r="Q3329" i="2"/>
  <c r="P3329" i="2"/>
  <c r="O3329" i="2"/>
  <c r="T3328" i="2"/>
  <c r="S3328" i="2"/>
  <c r="R3328" i="2"/>
  <c r="Q3328" i="2"/>
  <c r="P3328" i="2"/>
  <c r="O3328" i="2"/>
  <c r="T3327" i="2"/>
  <c r="S3327" i="2"/>
  <c r="R3327" i="2"/>
  <c r="Q3327" i="2"/>
  <c r="P3327" i="2"/>
  <c r="O3327" i="2"/>
  <c r="T3326" i="2"/>
  <c r="S3326" i="2"/>
  <c r="R3326" i="2"/>
  <c r="Q3326" i="2"/>
  <c r="P3326" i="2"/>
  <c r="O3326" i="2"/>
  <c r="T3325" i="2"/>
  <c r="S3325" i="2"/>
  <c r="R3325" i="2"/>
  <c r="Q3325" i="2"/>
  <c r="P3325" i="2"/>
  <c r="O3325" i="2"/>
  <c r="T3324" i="2"/>
  <c r="S3324" i="2"/>
  <c r="R3324" i="2"/>
  <c r="Q3324" i="2"/>
  <c r="P3324" i="2"/>
  <c r="O3324" i="2"/>
  <c r="T3323" i="2"/>
  <c r="S3323" i="2"/>
  <c r="R3323" i="2"/>
  <c r="Q3323" i="2"/>
  <c r="P3323" i="2"/>
  <c r="O3323" i="2"/>
  <c r="T3322" i="2"/>
  <c r="S3322" i="2"/>
  <c r="R3322" i="2"/>
  <c r="Q3322" i="2"/>
  <c r="P3322" i="2"/>
  <c r="O3322" i="2"/>
  <c r="T3321" i="2"/>
  <c r="S3321" i="2"/>
  <c r="R3321" i="2"/>
  <c r="Q3321" i="2"/>
  <c r="P3321" i="2"/>
  <c r="O3321" i="2"/>
  <c r="T3320" i="2"/>
  <c r="S3320" i="2"/>
  <c r="R3320" i="2"/>
  <c r="Q3320" i="2"/>
  <c r="P3320" i="2"/>
  <c r="O3320" i="2"/>
  <c r="T3319" i="2"/>
  <c r="S3319" i="2"/>
  <c r="R3319" i="2"/>
  <c r="Q3319" i="2"/>
  <c r="P3319" i="2"/>
  <c r="O3319" i="2"/>
  <c r="T3318" i="2"/>
  <c r="S3318" i="2"/>
  <c r="R3318" i="2"/>
  <c r="Q3318" i="2"/>
  <c r="P3318" i="2"/>
  <c r="O3318" i="2"/>
  <c r="T3317" i="2"/>
  <c r="S3317" i="2"/>
  <c r="R3317" i="2"/>
  <c r="Q3317" i="2"/>
  <c r="P3317" i="2"/>
  <c r="O3317" i="2"/>
  <c r="T3316" i="2"/>
  <c r="S3316" i="2"/>
  <c r="R3316" i="2"/>
  <c r="Q3316" i="2"/>
  <c r="P3316" i="2"/>
  <c r="O3316" i="2"/>
  <c r="T3315" i="2"/>
  <c r="S3315" i="2"/>
  <c r="R3315" i="2"/>
  <c r="Q3315" i="2"/>
  <c r="P3315" i="2"/>
  <c r="O3315" i="2"/>
  <c r="T3314" i="2"/>
  <c r="S3314" i="2"/>
  <c r="R3314" i="2"/>
  <c r="Q3314" i="2"/>
  <c r="P3314" i="2"/>
  <c r="O3314" i="2"/>
  <c r="T3313" i="2"/>
  <c r="S3313" i="2"/>
  <c r="R3313" i="2"/>
  <c r="Q3313" i="2"/>
  <c r="P3313" i="2"/>
  <c r="O3313" i="2"/>
  <c r="T3312" i="2"/>
  <c r="S3312" i="2"/>
  <c r="R3312" i="2"/>
  <c r="Q3312" i="2"/>
  <c r="P3312" i="2"/>
  <c r="O3312" i="2"/>
  <c r="T3311" i="2"/>
  <c r="S3311" i="2"/>
  <c r="R3311" i="2"/>
  <c r="Q3311" i="2"/>
  <c r="P3311" i="2"/>
  <c r="O3311" i="2"/>
  <c r="T3310" i="2"/>
  <c r="S3310" i="2"/>
  <c r="R3310" i="2"/>
  <c r="Q3310" i="2"/>
  <c r="P3310" i="2"/>
  <c r="O3310" i="2"/>
  <c r="T3309" i="2"/>
  <c r="S3309" i="2"/>
  <c r="R3309" i="2"/>
  <c r="Q3309" i="2"/>
  <c r="P3309" i="2"/>
  <c r="O3309" i="2"/>
  <c r="T3308" i="2"/>
  <c r="S3308" i="2"/>
  <c r="R3308" i="2"/>
  <c r="Q3308" i="2"/>
  <c r="P3308" i="2"/>
  <c r="O3308" i="2"/>
  <c r="T3307" i="2"/>
  <c r="S3307" i="2"/>
  <c r="R3307" i="2"/>
  <c r="Q3307" i="2"/>
  <c r="P3307" i="2"/>
  <c r="O3307" i="2"/>
  <c r="T3306" i="2"/>
  <c r="S3306" i="2"/>
  <c r="R3306" i="2"/>
  <c r="Q3306" i="2"/>
  <c r="P3306" i="2"/>
  <c r="O3306" i="2"/>
  <c r="T3305" i="2"/>
  <c r="S3305" i="2"/>
  <c r="R3305" i="2"/>
  <c r="Q3305" i="2"/>
  <c r="P3305" i="2"/>
  <c r="O3305" i="2"/>
  <c r="T3304" i="2"/>
  <c r="S3304" i="2"/>
  <c r="R3304" i="2"/>
  <c r="Q3304" i="2"/>
  <c r="P3304" i="2"/>
  <c r="O3304" i="2"/>
  <c r="T3303" i="2"/>
  <c r="S3303" i="2"/>
  <c r="R3303" i="2"/>
  <c r="Q3303" i="2"/>
  <c r="P3303" i="2"/>
  <c r="O3303" i="2"/>
  <c r="T3302" i="2"/>
  <c r="S3302" i="2"/>
  <c r="R3302" i="2"/>
  <c r="Q3302" i="2"/>
  <c r="P3302" i="2"/>
  <c r="O3302" i="2"/>
  <c r="T3301" i="2"/>
  <c r="S3301" i="2"/>
  <c r="R3301" i="2"/>
  <c r="Q3301" i="2"/>
  <c r="P3301" i="2"/>
  <c r="O3301" i="2"/>
  <c r="T3300" i="2"/>
  <c r="S3300" i="2"/>
  <c r="R3300" i="2"/>
  <c r="Q3300" i="2"/>
  <c r="P3300" i="2"/>
  <c r="O3300" i="2"/>
  <c r="T3299" i="2"/>
  <c r="S3299" i="2"/>
  <c r="R3299" i="2"/>
  <c r="Q3299" i="2"/>
  <c r="P3299" i="2"/>
  <c r="O3299" i="2"/>
  <c r="T3298" i="2"/>
  <c r="S3298" i="2"/>
  <c r="R3298" i="2"/>
  <c r="Q3298" i="2"/>
  <c r="P3298" i="2"/>
  <c r="O3298" i="2"/>
  <c r="T3297" i="2"/>
  <c r="S3297" i="2"/>
  <c r="R3297" i="2"/>
  <c r="Q3297" i="2"/>
  <c r="P3297" i="2"/>
  <c r="O3297" i="2"/>
  <c r="T3296" i="2"/>
  <c r="S3296" i="2"/>
  <c r="R3296" i="2"/>
  <c r="Q3296" i="2"/>
  <c r="P3296" i="2"/>
  <c r="O3296" i="2"/>
  <c r="T3295" i="2"/>
  <c r="S3295" i="2"/>
  <c r="R3295" i="2"/>
  <c r="Q3295" i="2"/>
  <c r="P3295" i="2"/>
  <c r="O3295" i="2"/>
  <c r="T3294" i="2"/>
  <c r="S3294" i="2"/>
  <c r="R3294" i="2"/>
  <c r="Q3294" i="2"/>
  <c r="P3294" i="2"/>
  <c r="O3294" i="2"/>
  <c r="T3293" i="2"/>
  <c r="S3293" i="2"/>
  <c r="R3293" i="2"/>
  <c r="Q3293" i="2"/>
  <c r="P3293" i="2"/>
  <c r="O3293" i="2"/>
  <c r="T3292" i="2"/>
  <c r="S3292" i="2"/>
  <c r="R3292" i="2"/>
  <c r="Q3292" i="2"/>
  <c r="P3292" i="2"/>
  <c r="O3292" i="2"/>
  <c r="T3291" i="2"/>
  <c r="S3291" i="2"/>
  <c r="R3291" i="2"/>
  <c r="Q3291" i="2"/>
  <c r="P3291" i="2"/>
  <c r="O3291" i="2"/>
  <c r="T3290" i="2"/>
  <c r="S3290" i="2"/>
  <c r="R3290" i="2"/>
  <c r="Q3290" i="2"/>
  <c r="P3290" i="2"/>
  <c r="O3290" i="2"/>
  <c r="T3289" i="2"/>
  <c r="S3289" i="2"/>
  <c r="R3289" i="2"/>
  <c r="Q3289" i="2"/>
  <c r="P3289" i="2"/>
  <c r="O3289" i="2"/>
  <c r="T3288" i="2"/>
  <c r="S3288" i="2"/>
  <c r="R3288" i="2"/>
  <c r="Q3288" i="2"/>
  <c r="P3288" i="2"/>
  <c r="O3288" i="2"/>
  <c r="T3287" i="2"/>
  <c r="S3287" i="2"/>
  <c r="R3287" i="2"/>
  <c r="Q3287" i="2"/>
  <c r="P3287" i="2"/>
  <c r="O3287" i="2"/>
  <c r="T3286" i="2"/>
  <c r="S3286" i="2"/>
  <c r="R3286" i="2"/>
  <c r="Q3286" i="2"/>
  <c r="P3286" i="2"/>
  <c r="O3286" i="2"/>
  <c r="T3285" i="2"/>
  <c r="S3285" i="2"/>
  <c r="R3285" i="2"/>
  <c r="Q3285" i="2"/>
  <c r="P3285" i="2"/>
  <c r="O3285" i="2"/>
  <c r="T3284" i="2"/>
  <c r="S3284" i="2"/>
  <c r="R3284" i="2"/>
  <c r="Q3284" i="2"/>
  <c r="P3284" i="2"/>
  <c r="O3284" i="2"/>
  <c r="T3283" i="2"/>
  <c r="S3283" i="2"/>
  <c r="R3283" i="2"/>
  <c r="Q3283" i="2"/>
  <c r="P3283" i="2"/>
  <c r="O3283" i="2"/>
  <c r="T3282" i="2"/>
  <c r="S3282" i="2"/>
  <c r="R3282" i="2"/>
  <c r="Q3282" i="2"/>
  <c r="P3282" i="2"/>
  <c r="O3282" i="2"/>
  <c r="T3281" i="2"/>
  <c r="S3281" i="2"/>
  <c r="R3281" i="2"/>
  <c r="Q3281" i="2"/>
  <c r="P3281" i="2"/>
  <c r="O3281" i="2"/>
  <c r="T3280" i="2"/>
  <c r="S3280" i="2"/>
  <c r="R3280" i="2"/>
  <c r="Q3280" i="2"/>
  <c r="P3280" i="2"/>
  <c r="O3280" i="2"/>
  <c r="T3279" i="2"/>
  <c r="S3279" i="2"/>
  <c r="R3279" i="2"/>
  <c r="Q3279" i="2"/>
  <c r="P3279" i="2"/>
  <c r="O3279" i="2"/>
  <c r="T3278" i="2"/>
  <c r="S3278" i="2"/>
  <c r="R3278" i="2"/>
  <c r="Q3278" i="2"/>
  <c r="P3278" i="2"/>
  <c r="O3278" i="2"/>
  <c r="T3277" i="2"/>
  <c r="S3277" i="2"/>
  <c r="R3277" i="2"/>
  <c r="Q3277" i="2"/>
  <c r="P3277" i="2"/>
  <c r="O3277" i="2"/>
  <c r="T3276" i="2"/>
  <c r="S3276" i="2"/>
  <c r="R3276" i="2"/>
  <c r="Q3276" i="2"/>
  <c r="P3276" i="2"/>
  <c r="O3276" i="2"/>
  <c r="T3275" i="2"/>
  <c r="S3275" i="2"/>
  <c r="R3275" i="2"/>
  <c r="Q3275" i="2"/>
  <c r="P3275" i="2"/>
  <c r="O3275" i="2"/>
  <c r="T3274" i="2"/>
  <c r="S3274" i="2"/>
  <c r="R3274" i="2"/>
  <c r="Q3274" i="2"/>
  <c r="P3274" i="2"/>
  <c r="O3274" i="2"/>
  <c r="T3273" i="2"/>
  <c r="S3273" i="2"/>
  <c r="R3273" i="2"/>
  <c r="Q3273" i="2"/>
  <c r="P3273" i="2"/>
  <c r="O3273" i="2"/>
  <c r="T3272" i="2"/>
  <c r="S3272" i="2"/>
  <c r="R3272" i="2"/>
  <c r="Q3272" i="2"/>
  <c r="P3272" i="2"/>
  <c r="O3272" i="2"/>
  <c r="T3271" i="2"/>
  <c r="S3271" i="2"/>
  <c r="R3271" i="2"/>
  <c r="Q3271" i="2"/>
  <c r="P3271" i="2"/>
  <c r="O3271" i="2"/>
  <c r="T3270" i="2"/>
  <c r="S3270" i="2"/>
  <c r="R3270" i="2"/>
  <c r="Q3270" i="2"/>
  <c r="P3270" i="2"/>
  <c r="O3270" i="2"/>
  <c r="T3269" i="2"/>
  <c r="S3269" i="2"/>
  <c r="R3269" i="2"/>
  <c r="Q3269" i="2"/>
  <c r="P3269" i="2"/>
  <c r="O3269" i="2"/>
  <c r="T3268" i="2"/>
  <c r="S3268" i="2"/>
  <c r="R3268" i="2"/>
  <c r="Q3268" i="2"/>
  <c r="P3268" i="2"/>
  <c r="O3268" i="2"/>
  <c r="T3267" i="2"/>
  <c r="S3267" i="2"/>
  <c r="R3267" i="2"/>
  <c r="Q3267" i="2"/>
  <c r="P3267" i="2"/>
  <c r="O3267" i="2"/>
  <c r="T3266" i="2"/>
  <c r="S3266" i="2"/>
  <c r="R3266" i="2"/>
  <c r="Q3266" i="2"/>
  <c r="P3266" i="2"/>
  <c r="O3266" i="2"/>
  <c r="T3265" i="2"/>
  <c r="S3265" i="2"/>
  <c r="R3265" i="2"/>
  <c r="Q3265" i="2"/>
  <c r="P3265" i="2"/>
  <c r="O3265" i="2"/>
  <c r="T3264" i="2"/>
  <c r="S3264" i="2"/>
  <c r="R3264" i="2"/>
  <c r="Q3264" i="2"/>
  <c r="P3264" i="2"/>
  <c r="O3264" i="2"/>
  <c r="T3263" i="2"/>
  <c r="S3263" i="2"/>
  <c r="R3263" i="2"/>
  <c r="Q3263" i="2"/>
  <c r="P3263" i="2"/>
  <c r="O3263" i="2"/>
  <c r="T3262" i="2"/>
  <c r="S3262" i="2"/>
  <c r="R3262" i="2"/>
  <c r="Q3262" i="2"/>
  <c r="P3262" i="2"/>
  <c r="O3262" i="2"/>
  <c r="T3261" i="2"/>
  <c r="S3261" i="2"/>
  <c r="R3261" i="2"/>
  <c r="Q3261" i="2"/>
  <c r="P3261" i="2"/>
  <c r="O3261" i="2"/>
  <c r="T3260" i="2"/>
  <c r="S3260" i="2"/>
  <c r="R3260" i="2"/>
  <c r="Q3260" i="2"/>
  <c r="P3260" i="2"/>
  <c r="O3260" i="2"/>
  <c r="T3259" i="2"/>
  <c r="S3259" i="2"/>
  <c r="R3259" i="2"/>
  <c r="Q3259" i="2"/>
  <c r="P3259" i="2"/>
  <c r="O3259" i="2"/>
  <c r="T3258" i="2"/>
  <c r="S3258" i="2"/>
  <c r="R3258" i="2"/>
  <c r="Q3258" i="2"/>
  <c r="P3258" i="2"/>
  <c r="O3258" i="2"/>
  <c r="T3257" i="2"/>
  <c r="S3257" i="2"/>
  <c r="R3257" i="2"/>
  <c r="Q3257" i="2"/>
  <c r="P3257" i="2"/>
  <c r="O3257" i="2"/>
  <c r="T3256" i="2"/>
  <c r="S3256" i="2"/>
  <c r="R3256" i="2"/>
  <c r="Q3256" i="2"/>
  <c r="P3256" i="2"/>
  <c r="O3256" i="2"/>
  <c r="T3255" i="2"/>
  <c r="S3255" i="2"/>
  <c r="R3255" i="2"/>
  <c r="Q3255" i="2"/>
  <c r="P3255" i="2"/>
  <c r="O3255" i="2"/>
  <c r="T3254" i="2"/>
  <c r="S3254" i="2"/>
  <c r="R3254" i="2"/>
  <c r="Q3254" i="2"/>
  <c r="P3254" i="2"/>
  <c r="O3254" i="2"/>
  <c r="T3253" i="2"/>
  <c r="S3253" i="2"/>
  <c r="R3253" i="2"/>
  <c r="Q3253" i="2"/>
  <c r="P3253" i="2"/>
  <c r="O3253" i="2"/>
  <c r="T3252" i="2"/>
  <c r="S3252" i="2"/>
  <c r="R3252" i="2"/>
  <c r="Q3252" i="2"/>
  <c r="P3252" i="2"/>
  <c r="O3252" i="2"/>
  <c r="T3251" i="2"/>
  <c r="S3251" i="2"/>
  <c r="R3251" i="2"/>
  <c r="Q3251" i="2"/>
  <c r="P3251" i="2"/>
  <c r="O3251" i="2"/>
  <c r="T3250" i="2"/>
  <c r="S3250" i="2"/>
  <c r="R3250" i="2"/>
  <c r="Q3250" i="2"/>
  <c r="P3250" i="2"/>
  <c r="O3250" i="2"/>
  <c r="T3249" i="2"/>
  <c r="S3249" i="2"/>
  <c r="R3249" i="2"/>
  <c r="Q3249" i="2"/>
  <c r="P3249" i="2"/>
  <c r="O3249" i="2"/>
  <c r="T3248" i="2"/>
  <c r="S3248" i="2"/>
  <c r="R3248" i="2"/>
  <c r="Q3248" i="2"/>
  <c r="P3248" i="2"/>
  <c r="O3248" i="2"/>
  <c r="T3247" i="2"/>
  <c r="S3247" i="2"/>
  <c r="R3247" i="2"/>
  <c r="Q3247" i="2"/>
  <c r="P3247" i="2"/>
  <c r="O3247" i="2"/>
  <c r="T3246" i="2"/>
  <c r="S3246" i="2"/>
  <c r="R3246" i="2"/>
  <c r="Q3246" i="2"/>
  <c r="P3246" i="2"/>
  <c r="O3246" i="2"/>
  <c r="T3245" i="2"/>
  <c r="S3245" i="2"/>
  <c r="R3245" i="2"/>
  <c r="Q3245" i="2"/>
  <c r="P3245" i="2"/>
  <c r="O3245" i="2"/>
  <c r="T3244" i="2"/>
  <c r="S3244" i="2"/>
  <c r="R3244" i="2"/>
  <c r="Q3244" i="2"/>
  <c r="P3244" i="2"/>
  <c r="O3244" i="2"/>
  <c r="T3243" i="2"/>
  <c r="S3243" i="2"/>
  <c r="R3243" i="2"/>
  <c r="Q3243" i="2"/>
  <c r="P3243" i="2"/>
  <c r="O3243" i="2"/>
  <c r="T3242" i="2"/>
  <c r="S3242" i="2"/>
  <c r="R3242" i="2"/>
  <c r="Q3242" i="2"/>
  <c r="P3242" i="2"/>
  <c r="O3242" i="2"/>
  <c r="T3241" i="2"/>
  <c r="S3241" i="2"/>
  <c r="R3241" i="2"/>
  <c r="Q3241" i="2"/>
  <c r="P3241" i="2"/>
  <c r="O3241" i="2"/>
  <c r="T3240" i="2"/>
  <c r="S3240" i="2"/>
  <c r="R3240" i="2"/>
  <c r="Q3240" i="2"/>
  <c r="P3240" i="2"/>
  <c r="O3240" i="2"/>
  <c r="T3239" i="2"/>
  <c r="S3239" i="2"/>
  <c r="R3239" i="2"/>
  <c r="Q3239" i="2"/>
  <c r="P3239" i="2"/>
  <c r="O3239" i="2"/>
  <c r="T3238" i="2"/>
  <c r="S3238" i="2"/>
  <c r="R3238" i="2"/>
  <c r="Q3238" i="2"/>
  <c r="P3238" i="2"/>
  <c r="O3238" i="2"/>
  <c r="T3237" i="2"/>
  <c r="S3237" i="2"/>
  <c r="R3237" i="2"/>
  <c r="Q3237" i="2"/>
  <c r="P3237" i="2"/>
  <c r="O3237" i="2"/>
  <c r="T3236" i="2"/>
  <c r="S3236" i="2"/>
  <c r="R3236" i="2"/>
  <c r="Q3236" i="2"/>
  <c r="P3236" i="2"/>
  <c r="O3236" i="2"/>
  <c r="T3235" i="2"/>
  <c r="S3235" i="2"/>
  <c r="R3235" i="2"/>
  <c r="Q3235" i="2"/>
  <c r="P3235" i="2"/>
  <c r="O3235" i="2"/>
  <c r="T3234" i="2"/>
  <c r="S3234" i="2"/>
  <c r="R3234" i="2"/>
  <c r="Q3234" i="2"/>
  <c r="P3234" i="2"/>
  <c r="O3234" i="2"/>
  <c r="T3233" i="2"/>
  <c r="S3233" i="2"/>
  <c r="R3233" i="2"/>
  <c r="Q3233" i="2"/>
  <c r="P3233" i="2"/>
  <c r="O3233" i="2"/>
  <c r="T3232" i="2"/>
  <c r="S3232" i="2"/>
  <c r="R3232" i="2"/>
  <c r="Q3232" i="2"/>
  <c r="P3232" i="2"/>
  <c r="O3232" i="2"/>
  <c r="T3231" i="2"/>
  <c r="S3231" i="2"/>
  <c r="R3231" i="2"/>
  <c r="Q3231" i="2"/>
  <c r="P3231" i="2"/>
  <c r="O3231" i="2"/>
  <c r="T3230" i="2"/>
  <c r="S3230" i="2"/>
  <c r="R3230" i="2"/>
  <c r="Q3230" i="2"/>
  <c r="P3230" i="2"/>
  <c r="O3230" i="2"/>
  <c r="T3229" i="2"/>
  <c r="S3229" i="2"/>
  <c r="R3229" i="2"/>
  <c r="Q3229" i="2"/>
  <c r="P3229" i="2"/>
  <c r="O3229" i="2"/>
  <c r="T3228" i="2"/>
  <c r="S3228" i="2"/>
  <c r="R3228" i="2"/>
  <c r="Q3228" i="2"/>
  <c r="P3228" i="2"/>
  <c r="O3228" i="2"/>
  <c r="T3227" i="2"/>
  <c r="S3227" i="2"/>
  <c r="R3227" i="2"/>
  <c r="Q3227" i="2"/>
  <c r="P3227" i="2"/>
  <c r="O3227" i="2"/>
  <c r="T3226" i="2"/>
  <c r="S3226" i="2"/>
  <c r="R3226" i="2"/>
  <c r="Q3226" i="2"/>
  <c r="P3226" i="2"/>
  <c r="O3226" i="2"/>
  <c r="T3225" i="2"/>
  <c r="S3225" i="2"/>
  <c r="R3225" i="2"/>
  <c r="Q3225" i="2"/>
  <c r="P3225" i="2"/>
  <c r="O3225" i="2"/>
  <c r="T3224" i="2"/>
  <c r="S3224" i="2"/>
  <c r="R3224" i="2"/>
  <c r="Q3224" i="2"/>
  <c r="P3224" i="2"/>
  <c r="O3224" i="2"/>
  <c r="T3223" i="2"/>
  <c r="S3223" i="2"/>
  <c r="R3223" i="2"/>
  <c r="Q3223" i="2"/>
  <c r="P3223" i="2"/>
  <c r="O3223" i="2"/>
  <c r="T3222" i="2"/>
  <c r="S3222" i="2"/>
  <c r="R3222" i="2"/>
  <c r="Q3222" i="2"/>
  <c r="P3222" i="2"/>
  <c r="O3222" i="2"/>
  <c r="T3221" i="2"/>
  <c r="S3221" i="2"/>
  <c r="R3221" i="2"/>
  <c r="Q3221" i="2"/>
  <c r="P3221" i="2"/>
  <c r="O3221" i="2"/>
  <c r="T3220" i="2"/>
  <c r="S3220" i="2"/>
  <c r="R3220" i="2"/>
  <c r="Q3220" i="2"/>
  <c r="P3220" i="2"/>
  <c r="O3220" i="2"/>
  <c r="T3219" i="2"/>
  <c r="S3219" i="2"/>
  <c r="R3219" i="2"/>
  <c r="Q3219" i="2"/>
  <c r="P3219" i="2"/>
  <c r="O3219" i="2"/>
  <c r="T3218" i="2"/>
  <c r="S3218" i="2"/>
  <c r="R3218" i="2"/>
  <c r="Q3218" i="2"/>
  <c r="P3218" i="2"/>
  <c r="O3218" i="2"/>
  <c r="T3217" i="2"/>
  <c r="S3217" i="2"/>
  <c r="R3217" i="2"/>
  <c r="Q3217" i="2"/>
  <c r="P3217" i="2"/>
  <c r="O3217" i="2"/>
  <c r="T3216" i="2"/>
  <c r="S3216" i="2"/>
  <c r="R3216" i="2"/>
  <c r="Q3216" i="2"/>
  <c r="P3216" i="2"/>
  <c r="O3216" i="2"/>
  <c r="T3215" i="2"/>
  <c r="S3215" i="2"/>
  <c r="R3215" i="2"/>
  <c r="Q3215" i="2"/>
  <c r="P3215" i="2"/>
  <c r="O3215" i="2"/>
  <c r="T3214" i="2"/>
  <c r="S3214" i="2"/>
  <c r="R3214" i="2"/>
  <c r="Q3214" i="2"/>
  <c r="P3214" i="2"/>
  <c r="O3214" i="2"/>
  <c r="T3213" i="2"/>
  <c r="S3213" i="2"/>
  <c r="R3213" i="2"/>
  <c r="Q3213" i="2"/>
  <c r="P3213" i="2"/>
  <c r="O3213" i="2"/>
  <c r="T3212" i="2"/>
  <c r="S3212" i="2"/>
  <c r="R3212" i="2"/>
  <c r="Q3212" i="2"/>
  <c r="P3212" i="2"/>
  <c r="O3212" i="2"/>
  <c r="T3211" i="2"/>
  <c r="S3211" i="2"/>
  <c r="R3211" i="2"/>
  <c r="Q3211" i="2"/>
  <c r="P3211" i="2"/>
  <c r="O3211" i="2"/>
  <c r="T3210" i="2"/>
  <c r="S3210" i="2"/>
  <c r="R3210" i="2"/>
  <c r="Q3210" i="2"/>
  <c r="P3210" i="2"/>
  <c r="O3210" i="2"/>
  <c r="T3209" i="2"/>
  <c r="S3209" i="2"/>
  <c r="R3209" i="2"/>
  <c r="Q3209" i="2"/>
  <c r="P3209" i="2"/>
  <c r="O3209" i="2"/>
  <c r="T3208" i="2"/>
  <c r="S3208" i="2"/>
  <c r="R3208" i="2"/>
  <c r="Q3208" i="2"/>
  <c r="P3208" i="2"/>
  <c r="O3208" i="2"/>
  <c r="T3207" i="2"/>
  <c r="S3207" i="2"/>
  <c r="R3207" i="2"/>
  <c r="Q3207" i="2"/>
  <c r="P3207" i="2"/>
  <c r="O3207" i="2"/>
  <c r="T3206" i="2"/>
  <c r="S3206" i="2"/>
  <c r="R3206" i="2"/>
  <c r="Q3206" i="2"/>
  <c r="P3206" i="2"/>
  <c r="O3206" i="2"/>
  <c r="T3205" i="2"/>
  <c r="S3205" i="2"/>
  <c r="R3205" i="2"/>
  <c r="Q3205" i="2"/>
  <c r="P3205" i="2"/>
  <c r="O3205" i="2"/>
  <c r="T3204" i="2"/>
  <c r="S3204" i="2"/>
  <c r="R3204" i="2"/>
  <c r="Q3204" i="2"/>
  <c r="P3204" i="2"/>
  <c r="O3204" i="2"/>
  <c r="T3203" i="2"/>
  <c r="S3203" i="2"/>
  <c r="R3203" i="2"/>
  <c r="Q3203" i="2"/>
  <c r="P3203" i="2"/>
  <c r="O3203" i="2"/>
  <c r="T3202" i="2"/>
  <c r="S3202" i="2"/>
  <c r="R3202" i="2"/>
  <c r="Q3202" i="2"/>
  <c r="P3202" i="2"/>
  <c r="O3202" i="2"/>
  <c r="T3201" i="2"/>
  <c r="S3201" i="2"/>
  <c r="R3201" i="2"/>
  <c r="Q3201" i="2"/>
  <c r="P3201" i="2"/>
  <c r="O3201" i="2"/>
  <c r="T3200" i="2"/>
  <c r="S3200" i="2"/>
  <c r="R3200" i="2"/>
  <c r="Q3200" i="2"/>
  <c r="P3200" i="2"/>
  <c r="O3200" i="2"/>
  <c r="T3199" i="2"/>
  <c r="S3199" i="2"/>
  <c r="R3199" i="2"/>
  <c r="Q3199" i="2"/>
  <c r="P3199" i="2"/>
  <c r="O3199" i="2"/>
  <c r="T3198" i="2"/>
  <c r="S3198" i="2"/>
  <c r="R3198" i="2"/>
  <c r="Q3198" i="2"/>
  <c r="P3198" i="2"/>
  <c r="O3198" i="2"/>
  <c r="T3197" i="2"/>
  <c r="S3197" i="2"/>
  <c r="R3197" i="2"/>
  <c r="Q3197" i="2"/>
  <c r="P3197" i="2"/>
  <c r="O3197" i="2"/>
  <c r="T3196" i="2"/>
  <c r="S3196" i="2"/>
  <c r="R3196" i="2"/>
  <c r="Q3196" i="2"/>
  <c r="P3196" i="2"/>
  <c r="O3196" i="2"/>
  <c r="T3195" i="2"/>
  <c r="S3195" i="2"/>
  <c r="R3195" i="2"/>
  <c r="Q3195" i="2"/>
  <c r="P3195" i="2"/>
  <c r="O3195" i="2"/>
  <c r="T3194" i="2"/>
  <c r="S3194" i="2"/>
  <c r="R3194" i="2"/>
  <c r="Q3194" i="2"/>
  <c r="P3194" i="2"/>
  <c r="O3194" i="2"/>
  <c r="T3193" i="2"/>
  <c r="S3193" i="2"/>
  <c r="R3193" i="2"/>
  <c r="Q3193" i="2"/>
  <c r="P3193" i="2"/>
  <c r="O3193" i="2"/>
  <c r="T3192" i="2"/>
  <c r="S3192" i="2"/>
  <c r="R3192" i="2"/>
  <c r="Q3192" i="2"/>
  <c r="P3192" i="2"/>
  <c r="O3192" i="2"/>
  <c r="T3191" i="2"/>
  <c r="S3191" i="2"/>
  <c r="R3191" i="2"/>
  <c r="Q3191" i="2"/>
  <c r="P3191" i="2"/>
  <c r="O3191" i="2"/>
  <c r="T3190" i="2"/>
  <c r="S3190" i="2"/>
  <c r="R3190" i="2"/>
  <c r="Q3190" i="2"/>
  <c r="P3190" i="2"/>
  <c r="O3190" i="2"/>
  <c r="T3189" i="2"/>
  <c r="S3189" i="2"/>
  <c r="R3189" i="2"/>
  <c r="Q3189" i="2"/>
  <c r="P3189" i="2"/>
  <c r="O3189" i="2"/>
  <c r="T3188" i="2"/>
  <c r="S3188" i="2"/>
  <c r="R3188" i="2"/>
  <c r="Q3188" i="2"/>
  <c r="P3188" i="2"/>
  <c r="O3188" i="2"/>
  <c r="T3187" i="2"/>
  <c r="S3187" i="2"/>
  <c r="R3187" i="2"/>
  <c r="Q3187" i="2"/>
  <c r="P3187" i="2"/>
  <c r="O3187" i="2"/>
  <c r="T3186" i="2"/>
  <c r="S3186" i="2"/>
  <c r="R3186" i="2"/>
  <c r="Q3186" i="2"/>
  <c r="P3186" i="2"/>
  <c r="O3186" i="2"/>
  <c r="T3185" i="2"/>
  <c r="S3185" i="2"/>
  <c r="R3185" i="2"/>
  <c r="Q3185" i="2"/>
  <c r="P3185" i="2"/>
  <c r="O3185" i="2"/>
  <c r="T3184" i="2"/>
  <c r="S3184" i="2"/>
  <c r="R3184" i="2"/>
  <c r="Q3184" i="2"/>
  <c r="P3184" i="2"/>
  <c r="O3184" i="2"/>
  <c r="T3183" i="2"/>
  <c r="S3183" i="2"/>
  <c r="R3183" i="2"/>
  <c r="Q3183" i="2"/>
  <c r="P3183" i="2"/>
  <c r="O3183" i="2"/>
  <c r="T3182" i="2"/>
  <c r="S3182" i="2"/>
  <c r="R3182" i="2"/>
  <c r="Q3182" i="2"/>
  <c r="P3182" i="2"/>
  <c r="O3182" i="2"/>
  <c r="T3181" i="2"/>
  <c r="S3181" i="2"/>
  <c r="R3181" i="2"/>
  <c r="Q3181" i="2"/>
  <c r="P3181" i="2"/>
  <c r="O3181" i="2"/>
  <c r="T3180" i="2"/>
  <c r="S3180" i="2"/>
  <c r="R3180" i="2"/>
  <c r="Q3180" i="2"/>
  <c r="P3180" i="2"/>
  <c r="O3180" i="2"/>
  <c r="T3179" i="2"/>
  <c r="S3179" i="2"/>
  <c r="R3179" i="2"/>
  <c r="Q3179" i="2"/>
  <c r="P3179" i="2"/>
  <c r="O3179" i="2"/>
  <c r="T3178" i="2"/>
  <c r="S3178" i="2"/>
  <c r="R3178" i="2"/>
  <c r="Q3178" i="2"/>
  <c r="P3178" i="2"/>
  <c r="O3178" i="2"/>
  <c r="T3177" i="2"/>
  <c r="S3177" i="2"/>
  <c r="R3177" i="2"/>
  <c r="Q3177" i="2"/>
  <c r="P3177" i="2"/>
  <c r="O3177" i="2"/>
  <c r="T3176" i="2"/>
  <c r="S3176" i="2"/>
  <c r="R3176" i="2"/>
  <c r="Q3176" i="2"/>
  <c r="P3176" i="2"/>
  <c r="O3176" i="2"/>
  <c r="T3175" i="2"/>
  <c r="S3175" i="2"/>
  <c r="R3175" i="2"/>
  <c r="Q3175" i="2"/>
  <c r="P3175" i="2"/>
  <c r="O3175" i="2"/>
  <c r="T3174" i="2"/>
  <c r="S3174" i="2"/>
  <c r="R3174" i="2"/>
  <c r="Q3174" i="2"/>
  <c r="P3174" i="2"/>
  <c r="O3174" i="2"/>
  <c r="T3173" i="2"/>
  <c r="S3173" i="2"/>
  <c r="R3173" i="2"/>
  <c r="Q3173" i="2"/>
  <c r="P3173" i="2"/>
  <c r="O3173" i="2"/>
  <c r="T3172" i="2"/>
  <c r="S3172" i="2"/>
  <c r="R3172" i="2"/>
  <c r="Q3172" i="2"/>
  <c r="P3172" i="2"/>
  <c r="O3172" i="2"/>
  <c r="T3171" i="2"/>
  <c r="S3171" i="2"/>
  <c r="R3171" i="2"/>
  <c r="Q3171" i="2"/>
  <c r="P3171" i="2"/>
  <c r="O3171" i="2"/>
  <c r="T3170" i="2"/>
  <c r="S3170" i="2"/>
  <c r="R3170" i="2"/>
  <c r="Q3170" i="2"/>
  <c r="P3170" i="2"/>
  <c r="O3170" i="2"/>
  <c r="T3169" i="2"/>
  <c r="S3169" i="2"/>
  <c r="R3169" i="2"/>
  <c r="Q3169" i="2"/>
  <c r="P3169" i="2"/>
  <c r="O3169" i="2"/>
  <c r="T3168" i="2"/>
  <c r="S3168" i="2"/>
  <c r="R3168" i="2"/>
  <c r="Q3168" i="2"/>
  <c r="P3168" i="2"/>
  <c r="O3168" i="2"/>
  <c r="T3167" i="2"/>
  <c r="S3167" i="2"/>
  <c r="R3167" i="2"/>
  <c r="Q3167" i="2"/>
  <c r="P3167" i="2"/>
  <c r="O3167" i="2"/>
  <c r="T3166" i="2"/>
  <c r="S3166" i="2"/>
  <c r="R3166" i="2"/>
  <c r="Q3166" i="2"/>
  <c r="P3166" i="2"/>
  <c r="O3166" i="2"/>
  <c r="T3165" i="2"/>
  <c r="S3165" i="2"/>
  <c r="R3165" i="2"/>
  <c r="Q3165" i="2"/>
  <c r="P3165" i="2"/>
  <c r="O3165" i="2"/>
  <c r="T3164" i="2"/>
  <c r="S3164" i="2"/>
  <c r="R3164" i="2"/>
  <c r="Q3164" i="2"/>
  <c r="P3164" i="2"/>
  <c r="O3164" i="2"/>
  <c r="T3163" i="2"/>
  <c r="S3163" i="2"/>
  <c r="R3163" i="2"/>
  <c r="Q3163" i="2"/>
  <c r="P3163" i="2"/>
  <c r="O3163" i="2"/>
  <c r="T3162" i="2"/>
  <c r="S3162" i="2"/>
  <c r="R3162" i="2"/>
  <c r="Q3162" i="2"/>
  <c r="P3162" i="2"/>
  <c r="O3162" i="2"/>
  <c r="T3161" i="2"/>
  <c r="S3161" i="2"/>
  <c r="R3161" i="2"/>
  <c r="Q3161" i="2"/>
  <c r="P3161" i="2"/>
  <c r="O3161" i="2"/>
  <c r="T3160" i="2"/>
  <c r="S3160" i="2"/>
  <c r="R3160" i="2"/>
  <c r="Q3160" i="2"/>
  <c r="P3160" i="2"/>
  <c r="O3160" i="2"/>
  <c r="T3159" i="2"/>
  <c r="S3159" i="2"/>
  <c r="R3159" i="2"/>
  <c r="Q3159" i="2"/>
  <c r="P3159" i="2"/>
  <c r="O3159" i="2"/>
  <c r="T3158" i="2"/>
  <c r="S3158" i="2"/>
  <c r="R3158" i="2"/>
  <c r="Q3158" i="2"/>
  <c r="P3158" i="2"/>
  <c r="O3158" i="2"/>
  <c r="T3157" i="2"/>
  <c r="S3157" i="2"/>
  <c r="R3157" i="2"/>
  <c r="Q3157" i="2"/>
  <c r="P3157" i="2"/>
  <c r="O3157" i="2"/>
  <c r="T3156" i="2"/>
  <c r="S3156" i="2"/>
  <c r="R3156" i="2"/>
  <c r="Q3156" i="2"/>
  <c r="P3156" i="2"/>
  <c r="O3156" i="2"/>
  <c r="T3155" i="2"/>
  <c r="S3155" i="2"/>
  <c r="R3155" i="2"/>
  <c r="Q3155" i="2"/>
  <c r="P3155" i="2"/>
  <c r="O3155" i="2"/>
  <c r="T3154" i="2"/>
  <c r="S3154" i="2"/>
  <c r="R3154" i="2"/>
  <c r="Q3154" i="2"/>
  <c r="P3154" i="2"/>
  <c r="O3154" i="2"/>
  <c r="T3153" i="2"/>
  <c r="S3153" i="2"/>
  <c r="R3153" i="2"/>
  <c r="Q3153" i="2"/>
  <c r="P3153" i="2"/>
  <c r="O3153" i="2"/>
  <c r="T3152" i="2"/>
  <c r="S3152" i="2"/>
  <c r="R3152" i="2"/>
  <c r="Q3152" i="2"/>
  <c r="P3152" i="2"/>
  <c r="O3152" i="2"/>
  <c r="T3151" i="2"/>
  <c r="S3151" i="2"/>
  <c r="R3151" i="2"/>
  <c r="Q3151" i="2"/>
  <c r="P3151" i="2"/>
  <c r="O3151" i="2"/>
  <c r="T3150" i="2"/>
  <c r="S3150" i="2"/>
  <c r="R3150" i="2"/>
  <c r="Q3150" i="2"/>
  <c r="P3150" i="2"/>
  <c r="O3150" i="2"/>
  <c r="T3149" i="2"/>
  <c r="S3149" i="2"/>
  <c r="R3149" i="2"/>
  <c r="Q3149" i="2"/>
  <c r="P3149" i="2"/>
  <c r="O3149" i="2"/>
  <c r="T3148" i="2"/>
  <c r="S3148" i="2"/>
  <c r="R3148" i="2"/>
  <c r="Q3148" i="2"/>
  <c r="P3148" i="2"/>
  <c r="O3148" i="2"/>
  <c r="T3147" i="2"/>
  <c r="S3147" i="2"/>
  <c r="R3147" i="2"/>
  <c r="Q3147" i="2"/>
  <c r="P3147" i="2"/>
  <c r="O3147" i="2"/>
  <c r="T3146" i="2"/>
  <c r="S3146" i="2"/>
  <c r="R3146" i="2"/>
  <c r="Q3146" i="2"/>
  <c r="P3146" i="2"/>
  <c r="O3146" i="2"/>
  <c r="T3145" i="2"/>
  <c r="S3145" i="2"/>
  <c r="R3145" i="2"/>
  <c r="Q3145" i="2"/>
  <c r="P3145" i="2"/>
  <c r="O3145" i="2"/>
  <c r="T3144" i="2"/>
  <c r="S3144" i="2"/>
  <c r="R3144" i="2"/>
  <c r="Q3144" i="2"/>
  <c r="P3144" i="2"/>
  <c r="O3144" i="2"/>
  <c r="T3143" i="2"/>
  <c r="S3143" i="2"/>
  <c r="R3143" i="2"/>
  <c r="Q3143" i="2"/>
  <c r="P3143" i="2"/>
  <c r="O3143" i="2"/>
  <c r="T3142" i="2"/>
  <c r="S3142" i="2"/>
  <c r="R3142" i="2"/>
  <c r="Q3142" i="2"/>
  <c r="P3142" i="2"/>
  <c r="O3142" i="2"/>
  <c r="T3141" i="2"/>
  <c r="S3141" i="2"/>
  <c r="R3141" i="2"/>
  <c r="Q3141" i="2"/>
  <c r="P3141" i="2"/>
  <c r="O3141" i="2"/>
  <c r="T3140" i="2"/>
  <c r="S3140" i="2"/>
  <c r="R3140" i="2"/>
  <c r="Q3140" i="2"/>
  <c r="P3140" i="2"/>
  <c r="O3140" i="2"/>
  <c r="T3139" i="2"/>
  <c r="S3139" i="2"/>
  <c r="R3139" i="2"/>
  <c r="Q3139" i="2"/>
  <c r="P3139" i="2"/>
  <c r="O3139" i="2"/>
  <c r="T3138" i="2"/>
  <c r="S3138" i="2"/>
  <c r="R3138" i="2"/>
  <c r="Q3138" i="2"/>
  <c r="P3138" i="2"/>
  <c r="O3138" i="2"/>
  <c r="T3137" i="2"/>
  <c r="S3137" i="2"/>
  <c r="R3137" i="2"/>
  <c r="Q3137" i="2"/>
  <c r="P3137" i="2"/>
  <c r="O3137" i="2"/>
  <c r="T3136" i="2"/>
  <c r="S3136" i="2"/>
  <c r="R3136" i="2"/>
  <c r="Q3136" i="2"/>
  <c r="P3136" i="2"/>
  <c r="O3136" i="2"/>
  <c r="T3135" i="2"/>
  <c r="S3135" i="2"/>
  <c r="R3135" i="2"/>
  <c r="Q3135" i="2"/>
  <c r="P3135" i="2"/>
  <c r="O3135" i="2"/>
  <c r="T3134" i="2"/>
  <c r="S3134" i="2"/>
  <c r="R3134" i="2"/>
  <c r="Q3134" i="2"/>
  <c r="P3134" i="2"/>
  <c r="O3134" i="2"/>
  <c r="T3133" i="2"/>
  <c r="S3133" i="2"/>
  <c r="R3133" i="2"/>
  <c r="Q3133" i="2"/>
  <c r="P3133" i="2"/>
  <c r="O3133" i="2"/>
  <c r="T3132" i="2"/>
  <c r="S3132" i="2"/>
  <c r="R3132" i="2"/>
  <c r="Q3132" i="2"/>
  <c r="P3132" i="2"/>
  <c r="O3132" i="2"/>
  <c r="T3131" i="2"/>
  <c r="S3131" i="2"/>
  <c r="R3131" i="2"/>
  <c r="Q3131" i="2"/>
  <c r="P3131" i="2"/>
  <c r="O3131" i="2"/>
  <c r="T3130" i="2"/>
  <c r="S3130" i="2"/>
  <c r="R3130" i="2"/>
  <c r="Q3130" i="2"/>
  <c r="P3130" i="2"/>
  <c r="O3130" i="2"/>
  <c r="T3129" i="2"/>
  <c r="S3129" i="2"/>
  <c r="R3129" i="2"/>
  <c r="Q3129" i="2"/>
  <c r="P3129" i="2"/>
  <c r="O3129" i="2"/>
  <c r="T3128" i="2"/>
  <c r="S3128" i="2"/>
  <c r="R3128" i="2"/>
  <c r="Q3128" i="2"/>
  <c r="P3128" i="2"/>
  <c r="O3128" i="2"/>
  <c r="T3127" i="2"/>
  <c r="S3127" i="2"/>
  <c r="R3127" i="2"/>
  <c r="Q3127" i="2"/>
  <c r="P3127" i="2"/>
  <c r="O3127" i="2"/>
  <c r="T3126" i="2"/>
  <c r="S3126" i="2"/>
  <c r="R3126" i="2"/>
  <c r="Q3126" i="2"/>
  <c r="P3126" i="2"/>
  <c r="O3126" i="2"/>
  <c r="T3125" i="2"/>
  <c r="S3125" i="2"/>
  <c r="R3125" i="2"/>
  <c r="Q3125" i="2"/>
  <c r="P3125" i="2"/>
  <c r="O3125" i="2"/>
  <c r="T3124" i="2"/>
  <c r="S3124" i="2"/>
  <c r="R3124" i="2"/>
  <c r="Q3124" i="2"/>
  <c r="P3124" i="2"/>
  <c r="O3124" i="2"/>
  <c r="T3123" i="2"/>
  <c r="S3123" i="2"/>
  <c r="R3123" i="2"/>
  <c r="Q3123" i="2"/>
  <c r="P3123" i="2"/>
  <c r="O3123" i="2"/>
  <c r="T3122" i="2"/>
  <c r="S3122" i="2"/>
  <c r="R3122" i="2"/>
  <c r="Q3122" i="2"/>
  <c r="P3122" i="2"/>
  <c r="O3122" i="2"/>
  <c r="T3121" i="2"/>
  <c r="S3121" i="2"/>
  <c r="R3121" i="2"/>
  <c r="Q3121" i="2"/>
  <c r="P3121" i="2"/>
  <c r="O3121" i="2"/>
  <c r="T3120" i="2"/>
  <c r="S3120" i="2"/>
  <c r="R3120" i="2"/>
  <c r="Q3120" i="2"/>
  <c r="P3120" i="2"/>
  <c r="O3120" i="2"/>
  <c r="T3119" i="2"/>
  <c r="S3119" i="2"/>
  <c r="R3119" i="2"/>
  <c r="Q3119" i="2"/>
  <c r="P3119" i="2"/>
  <c r="O3119" i="2"/>
  <c r="T3118" i="2"/>
  <c r="S3118" i="2"/>
  <c r="R3118" i="2"/>
  <c r="Q3118" i="2"/>
  <c r="P3118" i="2"/>
  <c r="O3118" i="2"/>
  <c r="T3117" i="2"/>
  <c r="S3117" i="2"/>
  <c r="R3117" i="2"/>
  <c r="Q3117" i="2"/>
  <c r="P3117" i="2"/>
  <c r="O3117" i="2"/>
  <c r="T3116" i="2"/>
  <c r="S3116" i="2"/>
  <c r="R3116" i="2"/>
  <c r="Q3116" i="2"/>
  <c r="P3116" i="2"/>
  <c r="O3116" i="2"/>
  <c r="T3115" i="2"/>
  <c r="S3115" i="2"/>
  <c r="R3115" i="2"/>
  <c r="Q3115" i="2"/>
  <c r="P3115" i="2"/>
  <c r="O3115" i="2"/>
  <c r="T3114" i="2"/>
  <c r="S3114" i="2"/>
  <c r="R3114" i="2"/>
  <c r="Q3114" i="2"/>
  <c r="P3114" i="2"/>
  <c r="O3114" i="2"/>
  <c r="T3113" i="2"/>
  <c r="S3113" i="2"/>
  <c r="R3113" i="2"/>
  <c r="Q3113" i="2"/>
  <c r="P3113" i="2"/>
  <c r="O3113" i="2"/>
  <c r="T3112" i="2"/>
  <c r="S3112" i="2"/>
  <c r="R3112" i="2"/>
  <c r="Q3112" i="2"/>
  <c r="P3112" i="2"/>
  <c r="O3112" i="2"/>
  <c r="T3111" i="2"/>
  <c r="S3111" i="2"/>
  <c r="R3111" i="2"/>
  <c r="Q3111" i="2"/>
  <c r="P3111" i="2"/>
  <c r="O3111" i="2"/>
  <c r="T3110" i="2"/>
  <c r="S3110" i="2"/>
  <c r="R3110" i="2"/>
  <c r="Q3110" i="2"/>
  <c r="P3110" i="2"/>
  <c r="O3110" i="2"/>
  <c r="T3109" i="2"/>
  <c r="S3109" i="2"/>
  <c r="R3109" i="2"/>
  <c r="Q3109" i="2"/>
  <c r="P3109" i="2"/>
  <c r="O3109" i="2"/>
  <c r="T3108" i="2"/>
  <c r="S3108" i="2"/>
  <c r="R3108" i="2"/>
  <c r="Q3108" i="2"/>
  <c r="P3108" i="2"/>
  <c r="O3108" i="2"/>
  <c r="T3107" i="2"/>
  <c r="S3107" i="2"/>
  <c r="R3107" i="2"/>
  <c r="Q3107" i="2"/>
  <c r="P3107" i="2"/>
  <c r="O3107" i="2"/>
  <c r="T3106" i="2"/>
  <c r="S3106" i="2"/>
  <c r="R3106" i="2"/>
  <c r="Q3106" i="2"/>
  <c r="P3106" i="2"/>
  <c r="O3106" i="2"/>
  <c r="T3105" i="2"/>
  <c r="S3105" i="2"/>
  <c r="R3105" i="2"/>
  <c r="Q3105" i="2"/>
  <c r="P3105" i="2"/>
  <c r="O3105" i="2"/>
  <c r="T3104" i="2"/>
  <c r="S3104" i="2"/>
  <c r="R3104" i="2"/>
  <c r="Q3104" i="2"/>
  <c r="P3104" i="2"/>
  <c r="O3104" i="2"/>
  <c r="T3103" i="2"/>
  <c r="S3103" i="2"/>
  <c r="R3103" i="2"/>
  <c r="Q3103" i="2"/>
  <c r="P3103" i="2"/>
  <c r="O3103" i="2"/>
  <c r="T3102" i="2"/>
  <c r="S3102" i="2"/>
  <c r="R3102" i="2"/>
  <c r="Q3102" i="2"/>
  <c r="P3102" i="2"/>
  <c r="O3102" i="2"/>
  <c r="T3101" i="2"/>
  <c r="S3101" i="2"/>
  <c r="R3101" i="2"/>
  <c r="Q3101" i="2"/>
  <c r="P3101" i="2"/>
  <c r="O3101" i="2"/>
  <c r="T3100" i="2"/>
  <c r="S3100" i="2"/>
  <c r="R3100" i="2"/>
  <c r="Q3100" i="2"/>
  <c r="P3100" i="2"/>
  <c r="O3100" i="2"/>
  <c r="T3099" i="2"/>
  <c r="S3099" i="2"/>
  <c r="R3099" i="2"/>
  <c r="Q3099" i="2"/>
  <c r="P3099" i="2"/>
  <c r="O3099" i="2"/>
  <c r="T3098" i="2"/>
  <c r="S3098" i="2"/>
  <c r="R3098" i="2"/>
  <c r="Q3098" i="2"/>
  <c r="P3098" i="2"/>
  <c r="O3098" i="2"/>
  <c r="T3097" i="2"/>
  <c r="S3097" i="2"/>
  <c r="R3097" i="2"/>
  <c r="Q3097" i="2"/>
  <c r="P3097" i="2"/>
  <c r="O3097" i="2"/>
  <c r="T3096" i="2"/>
  <c r="S3096" i="2"/>
  <c r="R3096" i="2"/>
  <c r="Q3096" i="2"/>
  <c r="P3096" i="2"/>
  <c r="O3096" i="2"/>
  <c r="T3095" i="2"/>
  <c r="S3095" i="2"/>
  <c r="R3095" i="2"/>
  <c r="Q3095" i="2"/>
  <c r="P3095" i="2"/>
  <c r="O3095" i="2"/>
  <c r="T3094" i="2"/>
  <c r="S3094" i="2"/>
  <c r="R3094" i="2"/>
  <c r="Q3094" i="2"/>
  <c r="P3094" i="2"/>
  <c r="O3094" i="2"/>
  <c r="T3093" i="2"/>
  <c r="S3093" i="2"/>
  <c r="R3093" i="2"/>
  <c r="Q3093" i="2"/>
  <c r="P3093" i="2"/>
  <c r="O3093" i="2"/>
  <c r="T3092" i="2"/>
  <c r="S3092" i="2"/>
  <c r="R3092" i="2"/>
  <c r="Q3092" i="2"/>
  <c r="P3092" i="2"/>
  <c r="O3092" i="2"/>
  <c r="T3091" i="2"/>
  <c r="S3091" i="2"/>
  <c r="R3091" i="2"/>
  <c r="Q3091" i="2"/>
  <c r="P3091" i="2"/>
  <c r="O3091" i="2"/>
  <c r="T3090" i="2"/>
  <c r="S3090" i="2"/>
  <c r="R3090" i="2"/>
  <c r="Q3090" i="2"/>
  <c r="P3090" i="2"/>
  <c r="O3090" i="2"/>
  <c r="T3089" i="2"/>
  <c r="S3089" i="2"/>
  <c r="R3089" i="2"/>
  <c r="Q3089" i="2"/>
  <c r="P3089" i="2"/>
  <c r="O3089" i="2"/>
  <c r="T3088" i="2"/>
  <c r="S3088" i="2"/>
  <c r="R3088" i="2"/>
  <c r="Q3088" i="2"/>
  <c r="P3088" i="2"/>
  <c r="O3088" i="2"/>
  <c r="T3087" i="2"/>
  <c r="S3087" i="2"/>
  <c r="R3087" i="2"/>
  <c r="Q3087" i="2"/>
  <c r="P3087" i="2"/>
  <c r="O3087" i="2"/>
  <c r="T3086" i="2"/>
  <c r="S3086" i="2"/>
  <c r="R3086" i="2"/>
  <c r="Q3086" i="2"/>
  <c r="P3086" i="2"/>
  <c r="O3086" i="2"/>
  <c r="T3085" i="2"/>
  <c r="S3085" i="2"/>
  <c r="R3085" i="2"/>
  <c r="Q3085" i="2"/>
  <c r="P3085" i="2"/>
  <c r="O3085" i="2"/>
  <c r="T3084" i="2"/>
  <c r="S3084" i="2"/>
  <c r="R3084" i="2"/>
  <c r="Q3084" i="2"/>
  <c r="P3084" i="2"/>
  <c r="O3084" i="2"/>
  <c r="T3083" i="2"/>
  <c r="S3083" i="2"/>
  <c r="R3083" i="2"/>
  <c r="Q3083" i="2"/>
  <c r="P3083" i="2"/>
  <c r="O3083" i="2"/>
  <c r="T3082" i="2"/>
  <c r="S3082" i="2"/>
  <c r="R3082" i="2"/>
  <c r="Q3082" i="2"/>
  <c r="P3082" i="2"/>
  <c r="O3082" i="2"/>
  <c r="T3081" i="2"/>
  <c r="S3081" i="2"/>
  <c r="R3081" i="2"/>
  <c r="Q3081" i="2"/>
  <c r="P3081" i="2"/>
  <c r="O3081" i="2"/>
  <c r="T3080" i="2"/>
  <c r="S3080" i="2"/>
  <c r="R3080" i="2"/>
  <c r="Q3080" i="2"/>
  <c r="P3080" i="2"/>
  <c r="O3080" i="2"/>
  <c r="T3079" i="2"/>
  <c r="S3079" i="2"/>
  <c r="R3079" i="2"/>
  <c r="Q3079" i="2"/>
  <c r="P3079" i="2"/>
  <c r="O3079" i="2"/>
  <c r="T3078" i="2"/>
  <c r="S3078" i="2"/>
  <c r="R3078" i="2"/>
  <c r="Q3078" i="2"/>
  <c r="P3078" i="2"/>
  <c r="O3078" i="2"/>
  <c r="T3077" i="2"/>
  <c r="S3077" i="2"/>
  <c r="R3077" i="2"/>
  <c r="Q3077" i="2"/>
  <c r="P3077" i="2"/>
  <c r="O3077" i="2"/>
  <c r="T3076" i="2"/>
  <c r="S3076" i="2"/>
  <c r="R3076" i="2"/>
  <c r="Q3076" i="2"/>
  <c r="P3076" i="2"/>
  <c r="O3076" i="2"/>
  <c r="T3075" i="2"/>
  <c r="S3075" i="2"/>
  <c r="R3075" i="2"/>
  <c r="Q3075" i="2"/>
  <c r="P3075" i="2"/>
  <c r="O3075" i="2"/>
  <c r="T3074" i="2"/>
  <c r="S3074" i="2"/>
  <c r="R3074" i="2"/>
  <c r="Q3074" i="2"/>
  <c r="P3074" i="2"/>
  <c r="O3074" i="2"/>
  <c r="T3073" i="2"/>
  <c r="S3073" i="2"/>
  <c r="R3073" i="2"/>
  <c r="Q3073" i="2"/>
  <c r="P3073" i="2"/>
  <c r="O3073" i="2"/>
  <c r="T3072" i="2"/>
  <c r="S3072" i="2"/>
  <c r="R3072" i="2"/>
  <c r="Q3072" i="2"/>
  <c r="P3072" i="2"/>
  <c r="O3072" i="2"/>
  <c r="T3071" i="2"/>
  <c r="S3071" i="2"/>
  <c r="R3071" i="2"/>
  <c r="Q3071" i="2"/>
  <c r="P3071" i="2"/>
  <c r="O3071" i="2"/>
  <c r="T3070" i="2"/>
  <c r="S3070" i="2"/>
  <c r="R3070" i="2"/>
  <c r="Q3070" i="2"/>
  <c r="P3070" i="2"/>
  <c r="O3070" i="2"/>
  <c r="T3069" i="2"/>
  <c r="S3069" i="2"/>
  <c r="R3069" i="2"/>
  <c r="Q3069" i="2"/>
  <c r="P3069" i="2"/>
  <c r="O3069" i="2"/>
  <c r="T3068" i="2"/>
  <c r="S3068" i="2"/>
  <c r="R3068" i="2"/>
  <c r="Q3068" i="2"/>
  <c r="P3068" i="2"/>
  <c r="O3068" i="2"/>
  <c r="T3067" i="2"/>
  <c r="S3067" i="2"/>
  <c r="R3067" i="2"/>
  <c r="Q3067" i="2"/>
  <c r="P3067" i="2"/>
  <c r="O3067" i="2"/>
  <c r="T3066" i="2"/>
  <c r="S3066" i="2"/>
  <c r="R3066" i="2"/>
  <c r="Q3066" i="2"/>
  <c r="P3066" i="2"/>
  <c r="O3066" i="2"/>
  <c r="T3065" i="2"/>
  <c r="S3065" i="2"/>
  <c r="R3065" i="2"/>
  <c r="Q3065" i="2"/>
  <c r="P3065" i="2"/>
  <c r="O3065" i="2"/>
  <c r="T3064" i="2"/>
  <c r="S3064" i="2"/>
  <c r="R3064" i="2"/>
  <c r="Q3064" i="2"/>
  <c r="P3064" i="2"/>
  <c r="O3064" i="2"/>
  <c r="T3063" i="2"/>
  <c r="S3063" i="2"/>
  <c r="R3063" i="2"/>
  <c r="Q3063" i="2"/>
  <c r="P3063" i="2"/>
  <c r="O3063" i="2"/>
  <c r="T3062" i="2"/>
  <c r="S3062" i="2"/>
  <c r="R3062" i="2"/>
  <c r="Q3062" i="2"/>
  <c r="P3062" i="2"/>
  <c r="O3062" i="2"/>
  <c r="T3061" i="2"/>
  <c r="S3061" i="2"/>
  <c r="R3061" i="2"/>
  <c r="Q3061" i="2"/>
  <c r="P3061" i="2"/>
  <c r="O3061" i="2"/>
  <c r="T3060" i="2"/>
  <c r="S3060" i="2"/>
  <c r="R3060" i="2"/>
  <c r="Q3060" i="2"/>
  <c r="P3060" i="2"/>
  <c r="O3060" i="2"/>
  <c r="T3059" i="2"/>
  <c r="S3059" i="2"/>
  <c r="R3059" i="2"/>
  <c r="Q3059" i="2"/>
  <c r="P3059" i="2"/>
  <c r="O3059" i="2"/>
  <c r="T3058" i="2"/>
  <c r="S3058" i="2"/>
  <c r="R3058" i="2"/>
  <c r="Q3058" i="2"/>
  <c r="P3058" i="2"/>
  <c r="O3058" i="2"/>
  <c r="T3057" i="2"/>
  <c r="S3057" i="2"/>
  <c r="R3057" i="2"/>
  <c r="Q3057" i="2"/>
  <c r="P3057" i="2"/>
  <c r="O3057" i="2"/>
  <c r="T3056" i="2"/>
  <c r="S3056" i="2"/>
  <c r="R3056" i="2"/>
  <c r="Q3056" i="2"/>
  <c r="P3056" i="2"/>
  <c r="O3056" i="2"/>
  <c r="T3055" i="2"/>
  <c r="S3055" i="2"/>
  <c r="R3055" i="2"/>
  <c r="Q3055" i="2"/>
  <c r="P3055" i="2"/>
  <c r="O3055" i="2"/>
  <c r="T3054" i="2"/>
  <c r="S3054" i="2"/>
  <c r="R3054" i="2"/>
  <c r="Q3054" i="2"/>
  <c r="P3054" i="2"/>
  <c r="O3054" i="2"/>
  <c r="T3053" i="2"/>
  <c r="S3053" i="2"/>
  <c r="R3053" i="2"/>
  <c r="Q3053" i="2"/>
  <c r="P3053" i="2"/>
  <c r="O3053" i="2"/>
  <c r="T3052" i="2"/>
  <c r="S3052" i="2"/>
  <c r="R3052" i="2"/>
  <c r="Q3052" i="2"/>
  <c r="P3052" i="2"/>
  <c r="O3052" i="2"/>
  <c r="T3051" i="2"/>
  <c r="S3051" i="2"/>
  <c r="R3051" i="2"/>
  <c r="Q3051" i="2"/>
  <c r="P3051" i="2"/>
  <c r="O3051" i="2"/>
  <c r="T3050" i="2"/>
  <c r="S3050" i="2"/>
  <c r="R3050" i="2"/>
  <c r="Q3050" i="2"/>
  <c r="P3050" i="2"/>
  <c r="O3050" i="2"/>
  <c r="T3049" i="2"/>
  <c r="S3049" i="2"/>
  <c r="R3049" i="2"/>
  <c r="Q3049" i="2"/>
  <c r="P3049" i="2"/>
  <c r="O3049" i="2"/>
  <c r="T3048" i="2"/>
  <c r="S3048" i="2"/>
  <c r="R3048" i="2"/>
  <c r="Q3048" i="2"/>
  <c r="P3048" i="2"/>
  <c r="O3048" i="2"/>
  <c r="T3047" i="2"/>
  <c r="S3047" i="2"/>
  <c r="R3047" i="2"/>
  <c r="Q3047" i="2"/>
  <c r="P3047" i="2"/>
  <c r="O3047" i="2"/>
  <c r="T3046" i="2"/>
  <c r="S3046" i="2"/>
  <c r="R3046" i="2"/>
  <c r="Q3046" i="2"/>
  <c r="P3046" i="2"/>
  <c r="O3046" i="2"/>
  <c r="T3045" i="2"/>
  <c r="S3045" i="2"/>
  <c r="R3045" i="2"/>
  <c r="Q3045" i="2"/>
  <c r="P3045" i="2"/>
  <c r="O3045" i="2"/>
  <c r="T3044" i="2"/>
  <c r="S3044" i="2"/>
  <c r="R3044" i="2"/>
  <c r="Q3044" i="2"/>
  <c r="P3044" i="2"/>
  <c r="O3044" i="2"/>
  <c r="T3043" i="2"/>
  <c r="S3043" i="2"/>
  <c r="R3043" i="2"/>
  <c r="Q3043" i="2"/>
  <c r="P3043" i="2"/>
  <c r="O3043" i="2"/>
  <c r="T3042" i="2"/>
  <c r="S3042" i="2"/>
  <c r="R3042" i="2"/>
  <c r="Q3042" i="2"/>
  <c r="P3042" i="2"/>
  <c r="O3042" i="2"/>
  <c r="T3041" i="2"/>
  <c r="S3041" i="2"/>
  <c r="R3041" i="2"/>
  <c r="Q3041" i="2"/>
  <c r="P3041" i="2"/>
  <c r="O3041" i="2"/>
  <c r="T3040" i="2"/>
  <c r="S3040" i="2"/>
  <c r="R3040" i="2"/>
  <c r="Q3040" i="2"/>
  <c r="P3040" i="2"/>
  <c r="O3040" i="2"/>
  <c r="T3039" i="2"/>
  <c r="S3039" i="2"/>
  <c r="R3039" i="2"/>
  <c r="Q3039" i="2"/>
  <c r="P3039" i="2"/>
  <c r="O3039" i="2"/>
  <c r="T3038" i="2"/>
  <c r="S3038" i="2"/>
  <c r="R3038" i="2"/>
  <c r="Q3038" i="2"/>
  <c r="P3038" i="2"/>
  <c r="O3038" i="2"/>
  <c r="T3037" i="2"/>
  <c r="S3037" i="2"/>
  <c r="R3037" i="2"/>
  <c r="Q3037" i="2"/>
  <c r="P3037" i="2"/>
  <c r="O3037" i="2"/>
  <c r="T3036" i="2"/>
  <c r="S3036" i="2"/>
  <c r="R3036" i="2"/>
  <c r="Q3036" i="2"/>
  <c r="P3036" i="2"/>
  <c r="O3036" i="2"/>
  <c r="T3035" i="2"/>
  <c r="S3035" i="2"/>
  <c r="R3035" i="2"/>
  <c r="Q3035" i="2"/>
  <c r="P3035" i="2"/>
  <c r="O3035" i="2"/>
  <c r="T3034" i="2"/>
  <c r="S3034" i="2"/>
  <c r="R3034" i="2"/>
  <c r="Q3034" i="2"/>
  <c r="P3034" i="2"/>
  <c r="O3034" i="2"/>
  <c r="T3033" i="2"/>
  <c r="S3033" i="2"/>
  <c r="R3033" i="2"/>
  <c r="Q3033" i="2"/>
  <c r="P3033" i="2"/>
  <c r="O3033" i="2"/>
  <c r="T3032" i="2"/>
  <c r="S3032" i="2"/>
  <c r="R3032" i="2"/>
  <c r="Q3032" i="2"/>
  <c r="P3032" i="2"/>
  <c r="O3032" i="2"/>
  <c r="T3031" i="2"/>
  <c r="S3031" i="2"/>
  <c r="R3031" i="2"/>
  <c r="Q3031" i="2"/>
  <c r="P3031" i="2"/>
  <c r="O3031" i="2"/>
  <c r="T3030" i="2"/>
  <c r="S3030" i="2"/>
  <c r="R3030" i="2"/>
  <c r="Q3030" i="2"/>
  <c r="P3030" i="2"/>
  <c r="O3030" i="2"/>
  <c r="T3029" i="2"/>
  <c r="S3029" i="2"/>
  <c r="R3029" i="2"/>
  <c r="Q3029" i="2"/>
  <c r="P3029" i="2"/>
  <c r="O3029" i="2"/>
  <c r="T3028" i="2"/>
  <c r="S3028" i="2"/>
  <c r="R3028" i="2"/>
  <c r="Q3028" i="2"/>
  <c r="P3028" i="2"/>
  <c r="O3028" i="2"/>
  <c r="T3027" i="2"/>
  <c r="S3027" i="2"/>
  <c r="R3027" i="2"/>
  <c r="Q3027" i="2"/>
  <c r="P3027" i="2"/>
  <c r="O3027" i="2"/>
  <c r="T3026" i="2"/>
  <c r="S3026" i="2"/>
  <c r="R3026" i="2"/>
  <c r="Q3026" i="2"/>
  <c r="P3026" i="2"/>
  <c r="O3026" i="2"/>
  <c r="T3025" i="2"/>
  <c r="S3025" i="2"/>
  <c r="R3025" i="2"/>
  <c r="Q3025" i="2"/>
  <c r="P3025" i="2"/>
  <c r="O3025" i="2"/>
  <c r="T3024" i="2"/>
  <c r="S3024" i="2"/>
  <c r="R3024" i="2"/>
  <c r="Q3024" i="2"/>
  <c r="P3024" i="2"/>
  <c r="O3024" i="2"/>
  <c r="T3023" i="2"/>
  <c r="S3023" i="2"/>
  <c r="R3023" i="2"/>
  <c r="Q3023" i="2"/>
  <c r="P3023" i="2"/>
  <c r="O3023" i="2"/>
  <c r="T3022" i="2"/>
  <c r="S3022" i="2"/>
  <c r="R3022" i="2"/>
  <c r="Q3022" i="2"/>
  <c r="P3022" i="2"/>
  <c r="O3022" i="2"/>
  <c r="T3021" i="2"/>
  <c r="S3021" i="2"/>
  <c r="R3021" i="2"/>
  <c r="Q3021" i="2"/>
  <c r="P3021" i="2"/>
  <c r="O3021" i="2"/>
  <c r="T3020" i="2"/>
  <c r="S3020" i="2"/>
  <c r="R3020" i="2"/>
  <c r="Q3020" i="2"/>
  <c r="P3020" i="2"/>
  <c r="O3020" i="2"/>
  <c r="T3019" i="2"/>
  <c r="S3019" i="2"/>
  <c r="R3019" i="2"/>
  <c r="Q3019" i="2"/>
  <c r="P3019" i="2"/>
  <c r="O3019" i="2"/>
  <c r="T3018" i="2"/>
  <c r="S3018" i="2"/>
  <c r="R3018" i="2"/>
  <c r="Q3018" i="2"/>
  <c r="P3018" i="2"/>
  <c r="O3018" i="2"/>
  <c r="T3017" i="2"/>
  <c r="S3017" i="2"/>
  <c r="R3017" i="2"/>
  <c r="Q3017" i="2"/>
  <c r="P3017" i="2"/>
  <c r="O3017" i="2"/>
  <c r="T3016" i="2"/>
  <c r="S3016" i="2"/>
  <c r="R3016" i="2"/>
  <c r="Q3016" i="2"/>
  <c r="P3016" i="2"/>
  <c r="O3016" i="2"/>
  <c r="T3015" i="2"/>
  <c r="S3015" i="2"/>
  <c r="R3015" i="2"/>
  <c r="Q3015" i="2"/>
  <c r="P3015" i="2"/>
  <c r="O3015" i="2"/>
  <c r="T3014" i="2"/>
  <c r="S3014" i="2"/>
  <c r="R3014" i="2"/>
  <c r="Q3014" i="2"/>
  <c r="P3014" i="2"/>
  <c r="O3014" i="2"/>
  <c r="T3013" i="2"/>
  <c r="S3013" i="2"/>
  <c r="R3013" i="2"/>
  <c r="Q3013" i="2"/>
  <c r="P3013" i="2"/>
  <c r="O3013" i="2"/>
  <c r="T3012" i="2"/>
  <c r="S3012" i="2"/>
  <c r="R3012" i="2"/>
  <c r="Q3012" i="2"/>
  <c r="P3012" i="2"/>
  <c r="O3012" i="2"/>
  <c r="T3011" i="2"/>
  <c r="S3011" i="2"/>
  <c r="R3011" i="2"/>
  <c r="Q3011" i="2"/>
  <c r="P3011" i="2"/>
  <c r="O3011" i="2"/>
  <c r="T3010" i="2"/>
  <c r="S3010" i="2"/>
  <c r="R3010" i="2"/>
  <c r="Q3010" i="2"/>
  <c r="P3010" i="2"/>
  <c r="O3010" i="2"/>
  <c r="T3009" i="2"/>
  <c r="S3009" i="2"/>
  <c r="R3009" i="2"/>
  <c r="Q3009" i="2"/>
  <c r="P3009" i="2"/>
  <c r="O3009" i="2"/>
  <c r="T3008" i="2"/>
  <c r="S3008" i="2"/>
  <c r="R3008" i="2"/>
  <c r="Q3008" i="2"/>
  <c r="P3008" i="2"/>
  <c r="O3008" i="2"/>
  <c r="T3007" i="2"/>
  <c r="S3007" i="2"/>
  <c r="R3007" i="2"/>
  <c r="Q3007" i="2"/>
  <c r="P3007" i="2"/>
  <c r="O3007" i="2"/>
  <c r="T3006" i="2"/>
  <c r="S3006" i="2"/>
  <c r="R3006" i="2"/>
  <c r="Q3006" i="2"/>
  <c r="P3006" i="2"/>
  <c r="O3006" i="2"/>
  <c r="T3005" i="2"/>
  <c r="S3005" i="2"/>
  <c r="R3005" i="2"/>
  <c r="Q3005" i="2"/>
  <c r="P3005" i="2"/>
  <c r="O3005" i="2"/>
  <c r="T3004" i="2"/>
  <c r="S3004" i="2"/>
  <c r="R3004" i="2"/>
  <c r="Q3004" i="2"/>
  <c r="P3004" i="2"/>
  <c r="O3004" i="2"/>
  <c r="T3003" i="2"/>
  <c r="S3003" i="2"/>
  <c r="R3003" i="2"/>
  <c r="Q3003" i="2"/>
  <c r="P3003" i="2"/>
  <c r="O3003" i="2"/>
  <c r="T3002" i="2"/>
  <c r="S3002" i="2"/>
  <c r="R3002" i="2"/>
  <c r="Q3002" i="2"/>
  <c r="P3002" i="2"/>
  <c r="O3002" i="2"/>
  <c r="T3001" i="2"/>
  <c r="S3001" i="2"/>
  <c r="R3001" i="2"/>
  <c r="Q3001" i="2"/>
  <c r="P3001" i="2"/>
  <c r="O3001" i="2"/>
  <c r="T3000" i="2"/>
  <c r="S3000" i="2"/>
  <c r="R3000" i="2"/>
  <c r="Q3000" i="2"/>
  <c r="P3000" i="2"/>
  <c r="O3000" i="2"/>
  <c r="T2999" i="2"/>
  <c r="S2999" i="2"/>
  <c r="R2999" i="2"/>
  <c r="Q2999" i="2"/>
  <c r="P2999" i="2"/>
  <c r="O2999" i="2"/>
  <c r="T2998" i="2"/>
  <c r="S2998" i="2"/>
  <c r="R2998" i="2"/>
  <c r="Q2998" i="2"/>
  <c r="P2998" i="2"/>
  <c r="O2998" i="2"/>
  <c r="T2997" i="2"/>
  <c r="S2997" i="2"/>
  <c r="R2997" i="2"/>
  <c r="Q2997" i="2"/>
  <c r="P2997" i="2"/>
  <c r="O2997" i="2"/>
  <c r="T2996" i="2"/>
  <c r="S2996" i="2"/>
  <c r="R2996" i="2"/>
  <c r="Q2996" i="2"/>
  <c r="P2996" i="2"/>
  <c r="O2996" i="2"/>
  <c r="T2995" i="2"/>
  <c r="S2995" i="2"/>
  <c r="R2995" i="2"/>
  <c r="Q2995" i="2"/>
  <c r="P2995" i="2"/>
  <c r="O2995" i="2"/>
  <c r="T2994" i="2"/>
  <c r="S2994" i="2"/>
  <c r="R2994" i="2"/>
  <c r="Q2994" i="2"/>
  <c r="P2994" i="2"/>
  <c r="O2994" i="2"/>
  <c r="T2993" i="2"/>
  <c r="S2993" i="2"/>
  <c r="R2993" i="2"/>
  <c r="Q2993" i="2"/>
  <c r="P2993" i="2"/>
  <c r="O2993" i="2"/>
  <c r="T2992" i="2"/>
  <c r="S2992" i="2"/>
  <c r="R2992" i="2"/>
  <c r="Q2992" i="2"/>
  <c r="P2992" i="2"/>
  <c r="O2992" i="2"/>
  <c r="T2991" i="2"/>
  <c r="S2991" i="2"/>
  <c r="R2991" i="2"/>
  <c r="Q2991" i="2"/>
  <c r="P2991" i="2"/>
  <c r="O2991" i="2"/>
  <c r="T2990" i="2"/>
  <c r="S2990" i="2"/>
  <c r="R2990" i="2"/>
  <c r="Q2990" i="2"/>
  <c r="P2990" i="2"/>
  <c r="O2990" i="2"/>
  <c r="T2989" i="2"/>
  <c r="S2989" i="2"/>
  <c r="R2989" i="2"/>
  <c r="Q2989" i="2"/>
  <c r="P2989" i="2"/>
  <c r="O2989" i="2"/>
  <c r="T2988" i="2"/>
  <c r="S2988" i="2"/>
  <c r="R2988" i="2"/>
  <c r="Q2988" i="2"/>
  <c r="P2988" i="2"/>
  <c r="O2988" i="2"/>
  <c r="T2987" i="2"/>
  <c r="S2987" i="2"/>
  <c r="R2987" i="2"/>
  <c r="Q2987" i="2"/>
  <c r="P2987" i="2"/>
  <c r="O2987" i="2"/>
  <c r="T2986" i="2"/>
  <c r="S2986" i="2"/>
  <c r="R2986" i="2"/>
  <c r="Q2986" i="2"/>
  <c r="P2986" i="2"/>
  <c r="O2986" i="2"/>
  <c r="T2985" i="2"/>
  <c r="S2985" i="2"/>
  <c r="R2985" i="2"/>
  <c r="Q2985" i="2"/>
  <c r="P2985" i="2"/>
  <c r="O2985" i="2"/>
  <c r="T2984" i="2"/>
  <c r="S2984" i="2"/>
  <c r="R2984" i="2"/>
  <c r="Q2984" i="2"/>
  <c r="P2984" i="2"/>
  <c r="O2984" i="2"/>
  <c r="T2983" i="2"/>
  <c r="S2983" i="2"/>
  <c r="R2983" i="2"/>
  <c r="Q2983" i="2"/>
  <c r="P2983" i="2"/>
  <c r="O2983" i="2"/>
  <c r="T2982" i="2"/>
  <c r="S2982" i="2"/>
  <c r="R2982" i="2"/>
  <c r="Q2982" i="2"/>
  <c r="P2982" i="2"/>
  <c r="O2982" i="2"/>
  <c r="T2981" i="2"/>
  <c r="S2981" i="2"/>
  <c r="R2981" i="2"/>
  <c r="Q2981" i="2"/>
  <c r="P2981" i="2"/>
  <c r="O2981" i="2"/>
  <c r="T2980" i="2"/>
  <c r="S2980" i="2"/>
  <c r="R2980" i="2"/>
  <c r="Q2980" i="2"/>
  <c r="P2980" i="2"/>
  <c r="O2980" i="2"/>
  <c r="T2979" i="2"/>
  <c r="S2979" i="2"/>
  <c r="R2979" i="2"/>
  <c r="Q2979" i="2"/>
  <c r="P2979" i="2"/>
  <c r="O2979" i="2"/>
  <c r="T2978" i="2"/>
  <c r="S2978" i="2"/>
  <c r="R2978" i="2"/>
  <c r="Q2978" i="2"/>
  <c r="P2978" i="2"/>
  <c r="O2978" i="2"/>
  <c r="T2977" i="2"/>
  <c r="S2977" i="2"/>
  <c r="R2977" i="2"/>
  <c r="Q2977" i="2"/>
  <c r="P2977" i="2"/>
  <c r="O2977" i="2"/>
  <c r="T2976" i="2"/>
  <c r="S2976" i="2"/>
  <c r="R2976" i="2"/>
  <c r="Q2976" i="2"/>
  <c r="P2976" i="2"/>
  <c r="O2976" i="2"/>
  <c r="T2975" i="2"/>
  <c r="S2975" i="2"/>
  <c r="R2975" i="2"/>
  <c r="Q2975" i="2"/>
  <c r="P2975" i="2"/>
  <c r="O2975" i="2"/>
  <c r="T2974" i="2"/>
  <c r="S2974" i="2"/>
  <c r="R2974" i="2"/>
  <c r="Q2974" i="2"/>
  <c r="P2974" i="2"/>
  <c r="O2974" i="2"/>
  <c r="T2973" i="2"/>
  <c r="S2973" i="2"/>
  <c r="R2973" i="2"/>
  <c r="Q2973" i="2"/>
  <c r="P2973" i="2"/>
  <c r="O2973" i="2"/>
  <c r="T2972" i="2"/>
  <c r="S2972" i="2"/>
  <c r="R2972" i="2"/>
  <c r="Q2972" i="2"/>
  <c r="P2972" i="2"/>
  <c r="O2972" i="2"/>
  <c r="T2971" i="2"/>
  <c r="S2971" i="2"/>
  <c r="R2971" i="2"/>
  <c r="Q2971" i="2"/>
  <c r="P2971" i="2"/>
  <c r="O2971" i="2"/>
  <c r="T2970" i="2"/>
  <c r="S2970" i="2"/>
  <c r="R2970" i="2"/>
  <c r="Q2970" i="2"/>
  <c r="P2970" i="2"/>
  <c r="O2970" i="2"/>
  <c r="T2969" i="2"/>
  <c r="S2969" i="2"/>
  <c r="R2969" i="2"/>
  <c r="Q2969" i="2"/>
  <c r="P2969" i="2"/>
  <c r="O2969" i="2"/>
  <c r="T2968" i="2"/>
  <c r="S2968" i="2"/>
  <c r="R2968" i="2"/>
  <c r="Q2968" i="2"/>
  <c r="P2968" i="2"/>
  <c r="O2968" i="2"/>
  <c r="T2967" i="2"/>
  <c r="S2967" i="2"/>
  <c r="R2967" i="2"/>
  <c r="Q2967" i="2"/>
  <c r="P2967" i="2"/>
  <c r="O2967" i="2"/>
  <c r="T2966" i="2"/>
  <c r="S2966" i="2"/>
  <c r="R2966" i="2"/>
  <c r="Q2966" i="2"/>
  <c r="P2966" i="2"/>
  <c r="O2966" i="2"/>
  <c r="T2965" i="2"/>
  <c r="S2965" i="2"/>
  <c r="R2965" i="2"/>
  <c r="Q2965" i="2"/>
  <c r="P2965" i="2"/>
  <c r="O2965" i="2"/>
  <c r="T2964" i="2"/>
  <c r="S2964" i="2"/>
  <c r="R2964" i="2"/>
  <c r="Q2964" i="2"/>
  <c r="P2964" i="2"/>
  <c r="O2964" i="2"/>
  <c r="T2963" i="2"/>
  <c r="S2963" i="2"/>
  <c r="R2963" i="2"/>
  <c r="Q2963" i="2"/>
  <c r="P2963" i="2"/>
  <c r="O2963" i="2"/>
  <c r="T2962" i="2"/>
  <c r="S2962" i="2"/>
  <c r="R2962" i="2"/>
  <c r="Q2962" i="2"/>
  <c r="P2962" i="2"/>
  <c r="O2962" i="2"/>
  <c r="T2961" i="2"/>
  <c r="S2961" i="2"/>
  <c r="R2961" i="2"/>
  <c r="Q2961" i="2"/>
  <c r="P2961" i="2"/>
  <c r="O2961" i="2"/>
  <c r="T2960" i="2"/>
  <c r="S2960" i="2"/>
  <c r="R2960" i="2"/>
  <c r="Q2960" i="2"/>
  <c r="P2960" i="2"/>
  <c r="O2960" i="2"/>
  <c r="T2959" i="2"/>
  <c r="S2959" i="2"/>
  <c r="R2959" i="2"/>
  <c r="Q2959" i="2"/>
  <c r="P2959" i="2"/>
  <c r="O2959" i="2"/>
  <c r="T2958" i="2"/>
  <c r="S2958" i="2"/>
  <c r="R2958" i="2"/>
  <c r="Q2958" i="2"/>
  <c r="P2958" i="2"/>
  <c r="O2958" i="2"/>
  <c r="T2957" i="2"/>
  <c r="S2957" i="2"/>
  <c r="R2957" i="2"/>
  <c r="Q2957" i="2"/>
  <c r="P2957" i="2"/>
  <c r="O2957" i="2"/>
  <c r="T2956" i="2"/>
  <c r="S2956" i="2"/>
  <c r="R2956" i="2"/>
  <c r="Q2956" i="2"/>
  <c r="P2956" i="2"/>
  <c r="O2956" i="2"/>
  <c r="T2955" i="2"/>
  <c r="S2955" i="2"/>
  <c r="R2955" i="2"/>
  <c r="Q2955" i="2"/>
  <c r="P2955" i="2"/>
  <c r="O2955" i="2"/>
  <c r="T2954" i="2"/>
  <c r="S2954" i="2"/>
  <c r="R2954" i="2"/>
  <c r="Q2954" i="2"/>
  <c r="P2954" i="2"/>
  <c r="O2954" i="2"/>
  <c r="T2953" i="2"/>
  <c r="S2953" i="2"/>
  <c r="R2953" i="2"/>
  <c r="Q2953" i="2"/>
  <c r="P2953" i="2"/>
  <c r="O2953" i="2"/>
  <c r="T2952" i="2"/>
  <c r="S2952" i="2"/>
  <c r="R2952" i="2"/>
  <c r="Q2952" i="2"/>
  <c r="P2952" i="2"/>
  <c r="O2952" i="2"/>
  <c r="T2951" i="2"/>
  <c r="S2951" i="2"/>
  <c r="R2951" i="2"/>
  <c r="Q2951" i="2"/>
  <c r="P2951" i="2"/>
  <c r="O2951" i="2"/>
  <c r="T2950" i="2"/>
  <c r="S2950" i="2"/>
  <c r="R2950" i="2"/>
  <c r="Q2950" i="2"/>
  <c r="P2950" i="2"/>
  <c r="O2950" i="2"/>
  <c r="T2949" i="2"/>
  <c r="S2949" i="2"/>
  <c r="R2949" i="2"/>
  <c r="Q2949" i="2"/>
  <c r="P2949" i="2"/>
  <c r="O2949" i="2"/>
  <c r="T2948" i="2"/>
  <c r="S2948" i="2"/>
  <c r="R2948" i="2"/>
  <c r="Q2948" i="2"/>
  <c r="P2948" i="2"/>
  <c r="O2948" i="2"/>
  <c r="T2947" i="2"/>
  <c r="S2947" i="2"/>
  <c r="R2947" i="2"/>
  <c r="Q2947" i="2"/>
  <c r="P2947" i="2"/>
  <c r="O2947" i="2"/>
  <c r="T2946" i="2"/>
  <c r="S2946" i="2"/>
  <c r="R2946" i="2"/>
  <c r="Q2946" i="2"/>
  <c r="P2946" i="2"/>
  <c r="O2946" i="2"/>
  <c r="T2945" i="2"/>
  <c r="S2945" i="2"/>
  <c r="R2945" i="2"/>
  <c r="Q2945" i="2"/>
  <c r="P2945" i="2"/>
  <c r="O2945" i="2"/>
  <c r="T2944" i="2"/>
  <c r="S2944" i="2"/>
  <c r="R2944" i="2"/>
  <c r="Q2944" i="2"/>
  <c r="P2944" i="2"/>
  <c r="O2944" i="2"/>
  <c r="T2943" i="2"/>
  <c r="S2943" i="2"/>
  <c r="R2943" i="2"/>
  <c r="Q2943" i="2"/>
  <c r="P2943" i="2"/>
  <c r="O2943" i="2"/>
  <c r="T2942" i="2"/>
  <c r="S2942" i="2"/>
  <c r="R2942" i="2"/>
  <c r="Q2942" i="2"/>
  <c r="P2942" i="2"/>
  <c r="O2942" i="2"/>
  <c r="T2941" i="2"/>
  <c r="S2941" i="2"/>
  <c r="R2941" i="2"/>
  <c r="Q2941" i="2"/>
  <c r="P2941" i="2"/>
  <c r="O2941" i="2"/>
  <c r="T2940" i="2"/>
  <c r="S2940" i="2"/>
  <c r="R2940" i="2"/>
  <c r="Q2940" i="2"/>
  <c r="P2940" i="2"/>
  <c r="O2940" i="2"/>
  <c r="T2939" i="2"/>
  <c r="S2939" i="2"/>
  <c r="R2939" i="2"/>
  <c r="Q2939" i="2"/>
  <c r="P2939" i="2"/>
  <c r="O2939" i="2"/>
  <c r="T2938" i="2"/>
  <c r="S2938" i="2"/>
  <c r="R2938" i="2"/>
  <c r="Q2938" i="2"/>
  <c r="P2938" i="2"/>
  <c r="O2938" i="2"/>
  <c r="T2937" i="2"/>
  <c r="S2937" i="2"/>
  <c r="R2937" i="2"/>
  <c r="Q2937" i="2"/>
  <c r="P2937" i="2"/>
  <c r="O2937" i="2"/>
  <c r="T2936" i="2"/>
  <c r="S2936" i="2"/>
  <c r="R2936" i="2"/>
  <c r="Q2936" i="2"/>
  <c r="P2936" i="2"/>
  <c r="O2936" i="2"/>
  <c r="T2935" i="2"/>
  <c r="S2935" i="2"/>
  <c r="R2935" i="2"/>
  <c r="Q2935" i="2"/>
  <c r="P2935" i="2"/>
  <c r="O2935" i="2"/>
  <c r="T2934" i="2"/>
  <c r="S2934" i="2"/>
  <c r="R2934" i="2"/>
  <c r="Q2934" i="2"/>
  <c r="P2934" i="2"/>
  <c r="O2934" i="2"/>
  <c r="T2933" i="2"/>
  <c r="S2933" i="2"/>
  <c r="R2933" i="2"/>
  <c r="Q2933" i="2"/>
  <c r="P2933" i="2"/>
  <c r="O2933" i="2"/>
  <c r="T2932" i="2"/>
  <c r="S2932" i="2"/>
  <c r="R2932" i="2"/>
  <c r="Q2932" i="2"/>
  <c r="P2932" i="2"/>
  <c r="O2932" i="2"/>
  <c r="T2931" i="2"/>
  <c r="S2931" i="2"/>
  <c r="R2931" i="2"/>
  <c r="Q2931" i="2"/>
  <c r="P2931" i="2"/>
  <c r="O2931" i="2"/>
  <c r="T2930" i="2"/>
  <c r="S2930" i="2"/>
  <c r="R2930" i="2"/>
  <c r="Q2930" i="2"/>
  <c r="P2930" i="2"/>
  <c r="O2930" i="2"/>
  <c r="T2929" i="2"/>
  <c r="S2929" i="2"/>
  <c r="R2929" i="2"/>
  <c r="Q2929" i="2"/>
  <c r="P2929" i="2"/>
  <c r="O2929" i="2"/>
  <c r="T2928" i="2"/>
  <c r="S2928" i="2"/>
  <c r="R2928" i="2"/>
  <c r="Q2928" i="2"/>
  <c r="P2928" i="2"/>
  <c r="O2928" i="2"/>
  <c r="T2927" i="2"/>
  <c r="S2927" i="2"/>
  <c r="R2927" i="2"/>
  <c r="Q2927" i="2"/>
  <c r="P2927" i="2"/>
  <c r="O2927" i="2"/>
  <c r="T2926" i="2"/>
  <c r="S2926" i="2"/>
  <c r="R2926" i="2"/>
  <c r="Q2926" i="2"/>
  <c r="P2926" i="2"/>
  <c r="O2926" i="2"/>
  <c r="T2925" i="2"/>
  <c r="S2925" i="2"/>
  <c r="R2925" i="2"/>
  <c r="Q2925" i="2"/>
  <c r="P2925" i="2"/>
  <c r="O2925" i="2"/>
  <c r="T2924" i="2"/>
  <c r="S2924" i="2"/>
  <c r="R2924" i="2"/>
  <c r="Q2924" i="2"/>
  <c r="P2924" i="2"/>
  <c r="O2924" i="2"/>
  <c r="T2923" i="2"/>
  <c r="S2923" i="2"/>
  <c r="R2923" i="2"/>
  <c r="Q2923" i="2"/>
  <c r="P2923" i="2"/>
  <c r="O2923" i="2"/>
  <c r="T2922" i="2"/>
  <c r="S2922" i="2"/>
  <c r="R2922" i="2"/>
  <c r="Q2922" i="2"/>
  <c r="P2922" i="2"/>
  <c r="O2922" i="2"/>
  <c r="T2921" i="2"/>
  <c r="S2921" i="2"/>
  <c r="R2921" i="2"/>
  <c r="Q2921" i="2"/>
  <c r="P2921" i="2"/>
  <c r="O2921" i="2"/>
  <c r="T2920" i="2"/>
  <c r="S2920" i="2"/>
  <c r="R2920" i="2"/>
  <c r="Q2920" i="2"/>
  <c r="P2920" i="2"/>
  <c r="O2920" i="2"/>
  <c r="T2919" i="2"/>
  <c r="S2919" i="2"/>
  <c r="R2919" i="2"/>
  <c r="Q2919" i="2"/>
  <c r="P2919" i="2"/>
  <c r="O2919" i="2"/>
  <c r="T2918" i="2"/>
  <c r="S2918" i="2"/>
  <c r="R2918" i="2"/>
  <c r="Q2918" i="2"/>
  <c r="P2918" i="2"/>
  <c r="O2918" i="2"/>
  <c r="T2917" i="2"/>
  <c r="S2917" i="2"/>
  <c r="R2917" i="2"/>
  <c r="Q2917" i="2"/>
  <c r="P2917" i="2"/>
  <c r="O2917" i="2"/>
  <c r="T2916" i="2"/>
  <c r="S2916" i="2"/>
  <c r="R2916" i="2"/>
  <c r="Q2916" i="2"/>
  <c r="P2916" i="2"/>
  <c r="O2916" i="2"/>
  <c r="T2915" i="2"/>
  <c r="S2915" i="2"/>
  <c r="R2915" i="2"/>
  <c r="Q2915" i="2"/>
  <c r="P2915" i="2"/>
  <c r="O2915" i="2"/>
  <c r="T2914" i="2"/>
  <c r="S2914" i="2"/>
  <c r="R2914" i="2"/>
  <c r="Q2914" i="2"/>
  <c r="P2914" i="2"/>
  <c r="O2914" i="2"/>
  <c r="T2913" i="2"/>
  <c r="S2913" i="2"/>
  <c r="R2913" i="2"/>
  <c r="Q2913" i="2"/>
  <c r="P2913" i="2"/>
  <c r="O2913" i="2"/>
  <c r="T2912" i="2"/>
  <c r="S2912" i="2"/>
  <c r="R2912" i="2"/>
  <c r="Q2912" i="2"/>
  <c r="P2912" i="2"/>
  <c r="O2912" i="2"/>
  <c r="T2911" i="2"/>
  <c r="S2911" i="2"/>
  <c r="R2911" i="2"/>
  <c r="Q2911" i="2"/>
  <c r="P2911" i="2"/>
  <c r="O2911" i="2"/>
  <c r="T2910" i="2"/>
  <c r="S2910" i="2"/>
  <c r="R2910" i="2"/>
  <c r="Q2910" i="2"/>
  <c r="P2910" i="2"/>
  <c r="O2910" i="2"/>
  <c r="T2909" i="2"/>
  <c r="S2909" i="2"/>
  <c r="R2909" i="2"/>
  <c r="Q2909" i="2"/>
  <c r="P2909" i="2"/>
  <c r="O2909" i="2"/>
  <c r="T2908" i="2"/>
  <c r="S2908" i="2"/>
  <c r="R2908" i="2"/>
  <c r="Q2908" i="2"/>
  <c r="P2908" i="2"/>
  <c r="O2908" i="2"/>
  <c r="T2907" i="2"/>
  <c r="S2907" i="2"/>
  <c r="R2907" i="2"/>
  <c r="Q2907" i="2"/>
  <c r="P2907" i="2"/>
  <c r="O2907" i="2"/>
  <c r="T2906" i="2"/>
  <c r="S2906" i="2"/>
  <c r="R2906" i="2"/>
  <c r="Q2906" i="2"/>
  <c r="P2906" i="2"/>
  <c r="O2906" i="2"/>
  <c r="T2905" i="2"/>
  <c r="S2905" i="2"/>
  <c r="R2905" i="2"/>
  <c r="Q2905" i="2"/>
  <c r="P2905" i="2"/>
  <c r="O2905" i="2"/>
  <c r="T2904" i="2"/>
  <c r="S2904" i="2"/>
  <c r="R2904" i="2"/>
  <c r="Q2904" i="2"/>
  <c r="P2904" i="2"/>
  <c r="O2904" i="2"/>
  <c r="T2903" i="2"/>
  <c r="S2903" i="2"/>
  <c r="R2903" i="2"/>
  <c r="Q2903" i="2"/>
  <c r="P2903" i="2"/>
  <c r="O2903" i="2"/>
  <c r="T2902" i="2"/>
  <c r="S2902" i="2"/>
  <c r="R2902" i="2"/>
  <c r="Q2902" i="2"/>
  <c r="P2902" i="2"/>
  <c r="O2902" i="2"/>
  <c r="T2901" i="2"/>
  <c r="S2901" i="2"/>
  <c r="R2901" i="2"/>
  <c r="Q2901" i="2"/>
  <c r="P2901" i="2"/>
  <c r="O2901" i="2"/>
  <c r="T2900" i="2"/>
  <c r="S2900" i="2"/>
  <c r="R2900" i="2"/>
  <c r="Q2900" i="2"/>
  <c r="P2900" i="2"/>
  <c r="O2900" i="2"/>
  <c r="T2899" i="2"/>
  <c r="S2899" i="2"/>
  <c r="R2899" i="2"/>
  <c r="Q2899" i="2"/>
  <c r="P2899" i="2"/>
  <c r="O2899" i="2"/>
  <c r="T2898" i="2"/>
  <c r="S2898" i="2"/>
  <c r="R2898" i="2"/>
  <c r="Q2898" i="2"/>
  <c r="P2898" i="2"/>
  <c r="O2898" i="2"/>
  <c r="T2897" i="2"/>
  <c r="S2897" i="2"/>
  <c r="R2897" i="2"/>
  <c r="Q2897" i="2"/>
  <c r="P2897" i="2"/>
  <c r="O2897" i="2"/>
  <c r="T2896" i="2"/>
  <c r="S2896" i="2"/>
  <c r="R2896" i="2"/>
  <c r="Q2896" i="2"/>
  <c r="P2896" i="2"/>
  <c r="O2896" i="2"/>
  <c r="T2895" i="2"/>
  <c r="S2895" i="2"/>
  <c r="R2895" i="2"/>
  <c r="Q2895" i="2"/>
  <c r="P2895" i="2"/>
  <c r="O2895" i="2"/>
  <c r="T2894" i="2"/>
  <c r="S2894" i="2"/>
  <c r="R2894" i="2"/>
  <c r="Q2894" i="2"/>
  <c r="P2894" i="2"/>
  <c r="O2894" i="2"/>
  <c r="T2893" i="2"/>
  <c r="S2893" i="2"/>
  <c r="R2893" i="2"/>
  <c r="Q2893" i="2"/>
  <c r="P2893" i="2"/>
  <c r="O2893" i="2"/>
  <c r="T2892" i="2"/>
  <c r="S2892" i="2"/>
  <c r="R2892" i="2"/>
  <c r="Q2892" i="2"/>
  <c r="P2892" i="2"/>
  <c r="O2892" i="2"/>
  <c r="T2891" i="2"/>
  <c r="S2891" i="2"/>
  <c r="R2891" i="2"/>
  <c r="Q2891" i="2"/>
  <c r="P2891" i="2"/>
  <c r="O2891" i="2"/>
  <c r="T2890" i="2"/>
  <c r="S2890" i="2"/>
  <c r="R2890" i="2"/>
  <c r="Q2890" i="2"/>
  <c r="P2890" i="2"/>
  <c r="O2890" i="2"/>
  <c r="T2889" i="2"/>
  <c r="S2889" i="2"/>
  <c r="R2889" i="2"/>
  <c r="Q2889" i="2"/>
  <c r="P2889" i="2"/>
  <c r="O2889" i="2"/>
  <c r="T2888" i="2"/>
  <c r="S2888" i="2"/>
  <c r="R2888" i="2"/>
  <c r="Q2888" i="2"/>
  <c r="P2888" i="2"/>
  <c r="O2888" i="2"/>
  <c r="T2887" i="2"/>
  <c r="S2887" i="2"/>
  <c r="R2887" i="2"/>
  <c r="Q2887" i="2"/>
  <c r="P2887" i="2"/>
  <c r="O2887" i="2"/>
  <c r="T2886" i="2"/>
  <c r="S2886" i="2"/>
  <c r="R2886" i="2"/>
  <c r="Q2886" i="2"/>
  <c r="P2886" i="2"/>
  <c r="O2886" i="2"/>
  <c r="T2885" i="2"/>
  <c r="S2885" i="2"/>
  <c r="R2885" i="2"/>
  <c r="Q2885" i="2"/>
  <c r="P2885" i="2"/>
  <c r="O2885" i="2"/>
  <c r="T2884" i="2"/>
  <c r="S2884" i="2"/>
  <c r="R2884" i="2"/>
  <c r="Q2884" i="2"/>
  <c r="P2884" i="2"/>
  <c r="O2884" i="2"/>
  <c r="T2883" i="2"/>
  <c r="S2883" i="2"/>
  <c r="R2883" i="2"/>
  <c r="Q2883" i="2"/>
  <c r="P2883" i="2"/>
  <c r="O2883" i="2"/>
  <c r="T2882" i="2"/>
  <c r="S2882" i="2"/>
  <c r="R2882" i="2"/>
  <c r="Q2882" i="2"/>
  <c r="P2882" i="2"/>
  <c r="O2882" i="2"/>
  <c r="T2881" i="2"/>
  <c r="S2881" i="2"/>
  <c r="R2881" i="2"/>
  <c r="Q2881" i="2"/>
  <c r="P2881" i="2"/>
  <c r="O2881" i="2"/>
  <c r="T2880" i="2"/>
  <c r="S2880" i="2"/>
  <c r="R2880" i="2"/>
  <c r="Q2880" i="2"/>
  <c r="P2880" i="2"/>
  <c r="O2880" i="2"/>
  <c r="T2879" i="2"/>
  <c r="S2879" i="2"/>
  <c r="R2879" i="2"/>
  <c r="Q2879" i="2"/>
  <c r="P2879" i="2"/>
  <c r="O2879" i="2"/>
  <c r="T2878" i="2"/>
  <c r="S2878" i="2"/>
  <c r="R2878" i="2"/>
  <c r="Q2878" i="2"/>
  <c r="P2878" i="2"/>
  <c r="O2878" i="2"/>
  <c r="T2877" i="2"/>
  <c r="S2877" i="2"/>
  <c r="R2877" i="2"/>
  <c r="Q2877" i="2"/>
  <c r="P2877" i="2"/>
  <c r="O2877" i="2"/>
  <c r="T2876" i="2"/>
  <c r="S2876" i="2"/>
  <c r="R2876" i="2"/>
  <c r="Q2876" i="2"/>
  <c r="P2876" i="2"/>
  <c r="O2876" i="2"/>
  <c r="T2875" i="2"/>
  <c r="S2875" i="2"/>
  <c r="R2875" i="2"/>
  <c r="Q2875" i="2"/>
  <c r="P2875" i="2"/>
  <c r="O2875" i="2"/>
  <c r="T2874" i="2"/>
  <c r="S2874" i="2"/>
  <c r="R2874" i="2"/>
  <c r="Q2874" i="2"/>
  <c r="P2874" i="2"/>
  <c r="O2874" i="2"/>
  <c r="T2873" i="2"/>
  <c r="S2873" i="2"/>
  <c r="R2873" i="2"/>
  <c r="Q2873" i="2"/>
  <c r="P2873" i="2"/>
  <c r="O2873" i="2"/>
  <c r="T2872" i="2"/>
  <c r="S2872" i="2"/>
  <c r="R2872" i="2"/>
  <c r="Q2872" i="2"/>
  <c r="P2872" i="2"/>
  <c r="O2872" i="2"/>
  <c r="T2871" i="2"/>
  <c r="S2871" i="2"/>
  <c r="R2871" i="2"/>
  <c r="Q2871" i="2"/>
  <c r="P2871" i="2"/>
  <c r="O2871" i="2"/>
  <c r="T2870" i="2"/>
  <c r="S2870" i="2"/>
  <c r="R2870" i="2"/>
  <c r="Q2870" i="2"/>
  <c r="P2870" i="2"/>
  <c r="O2870" i="2"/>
  <c r="T2869" i="2"/>
  <c r="S2869" i="2"/>
  <c r="R2869" i="2"/>
  <c r="Q2869" i="2"/>
  <c r="P2869" i="2"/>
  <c r="O2869" i="2"/>
  <c r="T2868" i="2"/>
  <c r="S2868" i="2"/>
  <c r="R2868" i="2"/>
  <c r="Q2868" i="2"/>
  <c r="P2868" i="2"/>
  <c r="O2868" i="2"/>
  <c r="T2867" i="2"/>
  <c r="S2867" i="2"/>
  <c r="R2867" i="2"/>
  <c r="Q2867" i="2"/>
  <c r="P2867" i="2"/>
  <c r="O2867" i="2"/>
  <c r="T2866" i="2"/>
  <c r="S2866" i="2"/>
  <c r="R2866" i="2"/>
  <c r="Q2866" i="2"/>
  <c r="P2866" i="2"/>
  <c r="O2866" i="2"/>
  <c r="T2865" i="2"/>
  <c r="S2865" i="2"/>
  <c r="R2865" i="2"/>
  <c r="Q2865" i="2"/>
  <c r="P2865" i="2"/>
  <c r="O2865" i="2"/>
  <c r="T2864" i="2"/>
  <c r="S2864" i="2"/>
  <c r="R2864" i="2"/>
  <c r="Q2864" i="2"/>
  <c r="P2864" i="2"/>
  <c r="O2864" i="2"/>
  <c r="T2863" i="2"/>
  <c r="S2863" i="2"/>
  <c r="R2863" i="2"/>
  <c r="Q2863" i="2"/>
  <c r="P2863" i="2"/>
  <c r="O2863" i="2"/>
  <c r="T2862" i="2"/>
  <c r="S2862" i="2"/>
  <c r="R2862" i="2"/>
  <c r="Q2862" i="2"/>
  <c r="P2862" i="2"/>
  <c r="O2862" i="2"/>
  <c r="T2861" i="2"/>
  <c r="S2861" i="2"/>
  <c r="R2861" i="2"/>
  <c r="Q2861" i="2"/>
  <c r="P2861" i="2"/>
  <c r="O2861" i="2"/>
  <c r="T2860" i="2"/>
  <c r="S2860" i="2"/>
  <c r="R2860" i="2"/>
  <c r="Q2860" i="2"/>
  <c r="P2860" i="2"/>
  <c r="O2860" i="2"/>
  <c r="T2859" i="2"/>
  <c r="S2859" i="2"/>
  <c r="R2859" i="2"/>
  <c r="Q2859" i="2"/>
  <c r="P2859" i="2"/>
  <c r="O2859" i="2"/>
  <c r="T2858" i="2"/>
  <c r="S2858" i="2"/>
  <c r="R2858" i="2"/>
  <c r="Q2858" i="2"/>
  <c r="P2858" i="2"/>
  <c r="O2858" i="2"/>
  <c r="T2857" i="2"/>
  <c r="S2857" i="2"/>
  <c r="R2857" i="2"/>
  <c r="Q2857" i="2"/>
  <c r="P2857" i="2"/>
  <c r="O2857" i="2"/>
  <c r="T2856" i="2"/>
  <c r="S2856" i="2"/>
  <c r="R2856" i="2"/>
  <c r="Q2856" i="2"/>
  <c r="P2856" i="2"/>
  <c r="O2856" i="2"/>
  <c r="T2855" i="2"/>
  <c r="S2855" i="2"/>
  <c r="R2855" i="2"/>
  <c r="Q2855" i="2"/>
  <c r="P2855" i="2"/>
  <c r="O2855" i="2"/>
  <c r="T2854" i="2"/>
  <c r="S2854" i="2"/>
  <c r="R2854" i="2"/>
  <c r="Q2854" i="2"/>
  <c r="P2854" i="2"/>
  <c r="O2854" i="2"/>
  <c r="T2853" i="2"/>
  <c r="S2853" i="2"/>
  <c r="R2853" i="2"/>
  <c r="Q2853" i="2"/>
  <c r="P2853" i="2"/>
  <c r="O2853" i="2"/>
  <c r="T2852" i="2"/>
  <c r="S2852" i="2"/>
  <c r="R2852" i="2"/>
  <c r="Q2852" i="2"/>
  <c r="P2852" i="2"/>
  <c r="O2852" i="2"/>
  <c r="T2851" i="2"/>
  <c r="S2851" i="2"/>
  <c r="R2851" i="2"/>
  <c r="Q2851" i="2"/>
  <c r="P2851" i="2"/>
  <c r="O2851" i="2"/>
  <c r="T2850" i="2"/>
  <c r="S2850" i="2"/>
  <c r="R2850" i="2"/>
  <c r="Q2850" i="2"/>
  <c r="P2850" i="2"/>
  <c r="O2850" i="2"/>
  <c r="T2849" i="2"/>
  <c r="S2849" i="2"/>
  <c r="R2849" i="2"/>
  <c r="Q2849" i="2"/>
  <c r="P2849" i="2"/>
  <c r="O2849" i="2"/>
  <c r="T2848" i="2"/>
  <c r="S2848" i="2"/>
  <c r="R2848" i="2"/>
  <c r="Q2848" i="2"/>
  <c r="P2848" i="2"/>
  <c r="O2848" i="2"/>
  <c r="T2847" i="2"/>
  <c r="S2847" i="2"/>
  <c r="R2847" i="2"/>
  <c r="Q2847" i="2"/>
  <c r="P2847" i="2"/>
  <c r="O2847" i="2"/>
  <c r="T2846" i="2"/>
  <c r="S2846" i="2"/>
  <c r="R2846" i="2"/>
  <c r="Q2846" i="2"/>
  <c r="P2846" i="2"/>
  <c r="O2846" i="2"/>
  <c r="T2845" i="2"/>
  <c r="S2845" i="2"/>
  <c r="R2845" i="2"/>
  <c r="Q2845" i="2"/>
  <c r="P2845" i="2"/>
  <c r="O2845" i="2"/>
  <c r="T2844" i="2"/>
  <c r="S2844" i="2"/>
  <c r="R2844" i="2"/>
  <c r="Q2844" i="2"/>
  <c r="P2844" i="2"/>
  <c r="O2844" i="2"/>
  <c r="T2843" i="2"/>
  <c r="S2843" i="2"/>
  <c r="R2843" i="2"/>
  <c r="Q2843" i="2"/>
  <c r="P2843" i="2"/>
  <c r="O2843" i="2"/>
  <c r="T2842" i="2"/>
  <c r="S2842" i="2"/>
  <c r="R2842" i="2"/>
  <c r="Q2842" i="2"/>
  <c r="P2842" i="2"/>
  <c r="O2842" i="2"/>
  <c r="T2841" i="2"/>
  <c r="S2841" i="2"/>
  <c r="R2841" i="2"/>
  <c r="Q2841" i="2"/>
  <c r="P2841" i="2"/>
  <c r="O2841" i="2"/>
  <c r="T2840" i="2"/>
  <c r="S2840" i="2"/>
  <c r="R2840" i="2"/>
  <c r="Q2840" i="2"/>
  <c r="P2840" i="2"/>
  <c r="O2840" i="2"/>
  <c r="T2839" i="2"/>
  <c r="S2839" i="2"/>
  <c r="R2839" i="2"/>
  <c r="Q2839" i="2"/>
  <c r="P2839" i="2"/>
  <c r="O2839" i="2"/>
  <c r="T2838" i="2"/>
  <c r="S2838" i="2"/>
  <c r="R2838" i="2"/>
  <c r="Q2838" i="2"/>
  <c r="P2838" i="2"/>
  <c r="O2838" i="2"/>
  <c r="T2837" i="2"/>
  <c r="S2837" i="2"/>
  <c r="R2837" i="2"/>
  <c r="Q2837" i="2"/>
  <c r="P2837" i="2"/>
  <c r="O2837" i="2"/>
  <c r="T2836" i="2"/>
  <c r="S2836" i="2"/>
  <c r="R2836" i="2"/>
  <c r="Q2836" i="2"/>
  <c r="P2836" i="2"/>
  <c r="O2836" i="2"/>
  <c r="T2835" i="2"/>
  <c r="S2835" i="2"/>
  <c r="R2835" i="2"/>
  <c r="Q2835" i="2"/>
  <c r="P2835" i="2"/>
  <c r="O2835" i="2"/>
  <c r="T2834" i="2"/>
  <c r="S2834" i="2"/>
  <c r="R2834" i="2"/>
  <c r="Q2834" i="2"/>
  <c r="P2834" i="2"/>
  <c r="O2834" i="2"/>
  <c r="T2833" i="2"/>
  <c r="S2833" i="2"/>
  <c r="R2833" i="2"/>
  <c r="Q2833" i="2"/>
  <c r="P2833" i="2"/>
  <c r="O2833" i="2"/>
  <c r="T2832" i="2"/>
  <c r="S2832" i="2"/>
  <c r="R2832" i="2"/>
  <c r="Q2832" i="2"/>
  <c r="P2832" i="2"/>
  <c r="O2832" i="2"/>
  <c r="T2831" i="2"/>
  <c r="S2831" i="2"/>
  <c r="R2831" i="2"/>
  <c r="Q2831" i="2"/>
  <c r="P2831" i="2"/>
  <c r="O2831" i="2"/>
  <c r="T2830" i="2"/>
  <c r="S2830" i="2"/>
  <c r="R2830" i="2"/>
  <c r="Q2830" i="2"/>
  <c r="P2830" i="2"/>
  <c r="O2830" i="2"/>
  <c r="T2829" i="2"/>
  <c r="S2829" i="2"/>
  <c r="R2829" i="2"/>
  <c r="Q2829" i="2"/>
  <c r="P2829" i="2"/>
  <c r="O2829" i="2"/>
  <c r="T2828" i="2"/>
  <c r="S2828" i="2"/>
  <c r="R2828" i="2"/>
  <c r="Q2828" i="2"/>
  <c r="P2828" i="2"/>
  <c r="O2828" i="2"/>
  <c r="T2827" i="2"/>
  <c r="S2827" i="2"/>
  <c r="R2827" i="2"/>
  <c r="Q2827" i="2"/>
  <c r="P2827" i="2"/>
  <c r="O2827" i="2"/>
  <c r="T2826" i="2"/>
  <c r="S2826" i="2"/>
  <c r="R2826" i="2"/>
  <c r="Q2826" i="2"/>
  <c r="P2826" i="2"/>
  <c r="O2826" i="2"/>
  <c r="T2825" i="2"/>
  <c r="S2825" i="2"/>
  <c r="R2825" i="2"/>
  <c r="Q2825" i="2"/>
  <c r="P2825" i="2"/>
  <c r="O2825" i="2"/>
  <c r="T2824" i="2"/>
  <c r="S2824" i="2"/>
  <c r="R2824" i="2"/>
  <c r="Q2824" i="2"/>
  <c r="P2824" i="2"/>
  <c r="O2824" i="2"/>
  <c r="T2823" i="2"/>
  <c r="S2823" i="2"/>
  <c r="R2823" i="2"/>
  <c r="Q2823" i="2"/>
  <c r="P2823" i="2"/>
  <c r="O2823" i="2"/>
  <c r="T2822" i="2"/>
  <c r="S2822" i="2"/>
  <c r="R2822" i="2"/>
  <c r="Q2822" i="2"/>
  <c r="P2822" i="2"/>
  <c r="O2822" i="2"/>
  <c r="T2821" i="2"/>
  <c r="S2821" i="2"/>
  <c r="R2821" i="2"/>
  <c r="Q2821" i="2"/>
  <c r="P2821" i="2"/>
  <c r="O2821" i="2"/>
  <c r="T2820" i="2"/>
  <c r="S2820" i="2"/>
  <c r="R2820" i="2"/>
  <c r="Q2820" i="2"/>
  <c r="P2820" i="2"/>
  <c r="O2820" i="2"/>
  <c r="T2819" i="2"/>
  <c r="S2819" i="2"/>
  <c r="R2819" i="2"/>
  <c r="Q2819" i="2"/>
  <c r="P2819" i="2"/>
  <c r="O2819" i="2"/>
  <c r="T2818" i="2"/>
  <c r="S2818" i="2"/>
  <c r="R2818" i="2"/>
  <c r="Q2818" i="2"/>
  <c r="P2818" i="2"/>
  <c r="O2818" i="2"/>
  <c r="T2817" i="2"/>
  <c r="S2817" i="2"/>
  <c r="R2817" i="2"/>
  <c r="Q2817" i="2"/>
  <c r="P2817" i="2"/>
  <c r="O2817" i="2"/>
  <c r="T2816" i="2"/>
  <c r="S2816" i="2"/>
  <c r="R2816" i="2"/>
  <c r="Q2816" i="2"/>
  <c r="P2816" i="2"/>
  <c r="O2816" i="2"/>
  <c r="T2815" i="2"/>
  <c r="S2815" i="2"/>
  <c r="R2815" i="2"/>
  <c r="Q2815" i="2"/>
  <c r="P2815" i="2"/>
  <c r="O2815" i="2"/>
  <c r="T2814" i="2"/>
  <c r="S2814" i="2"/>
  <c r="R2814" i="2"/>
  <c r="Q2814" i="2"/>
  <c r="P2814" i="2"/>
  <c r="O2814" i="2"/>
  <c r="T2813" i="2"/>
  <c r="S2813" i="2"/>
  <c r="R2813" i="2"/>
  <c r="Q2813" i="2"/>
  <c r="P2813" i="2"/>
  <c r="O2813" i="2"/>
  <c r="T2812" i="2"/>
  <c r="S2812" i="2"/>
  <c r="R2812" i="2"/>
  <c r="Q2812" i="2"/>
  <c r="P2812" i="2"/>
  <c r="O2812" i="2"/>
  <c r="T2811" i="2"/>
  <c r="S2811" i="2"/>
  <c r="R2811" i="2"/>
  <c r="Q2811" i="2"/>
  <c r="P2811" i="2"/>
  <c r="O2811" i="2"/>
  <c r="T2810" i="2"/>
  <c r="S2810" i="2"/>
  <c r="R2810" i="2"/>
  <c r="Q2810" i="2"/>
  <c r="P2810" i="2"/>
  <c r="O2810" i="2"/>
  <c r="T2809" i="2"/>
  <c r="S2809" i="2"/>
  <c r="R2809" i="2"/>
  <c r="Q2809" i="2"/>
  <c r="P2809" i="2"/>
  <c r="O2809" i="2"/>
  <c r="T2808" i="2"/>
  <c r="S2808" i="2"/>
  <c r="R2808" i="2"/>
  <c r="Q2808" i="2"/>
  <c r="P2808" i="2"/>
  <c r="O2808" i="2"/>
  <c r="T2807" i="2"/>
  <c r="S2807" i="2"/>
  <c r="R2807" i="2"/>
  <c r="Q2807" i="2"/>
  <c r="P2807" i="2"/>
  <c r="O2807" i="2"/>
  <c r="T2806" i="2"/>
  <c r="S2806" i="2"/>
  <c r="R2806" i="2"/>
  <c r="Q2806" i="2"/>
  <c r="P2806" i="2"/>
  <c r="O2806" i="2"/>
  <c r="T2805" i="2"/>
  <c r="S2805" i="2"/>
  <c r="R2805" i="2"/>
  <c r="Q2805" i="2"/>
  <c r="P2805" i="2"/>
  <c r="O2805" i="2"/>
  <c r="T2804" i="2"/>
  <c r="S2804" i="2"/>
  <c r="R2804" i="2"/>
  <c r="Q2804" i="2"/>
  <c r="P2804" i="2"/>
  <c r="O2804" i="2"/>
  <c r="T2803" i="2"/>
  <c r="S2803" i="2"/>
  <c r="R2803" i="2"/>
  <c r="Q2803" i="2"/>
  <c r="P2803" i="2"/>
  <c r="O2803" i="2"/>
  <c r="T2802" i="2"/>
  <c r="S2802" i="2"/>
  <c r="R2802" i="2"/>
  <c r="Q2802" i="2"/>
  <c r="P2802" i="2"/>
  <c r="O2802" i="2"/>
  <c r="T2801" i="2"/>
  <c r="S2801" i="2"/>
  <c r="R2801" i="2"/>
  <c r="Q2801" i="2"/>
  <c r="P2801" i="2"/>
  <c r="O2801" i="2"/>
  <c r="T2800" i="2"/>
  <c r="S2800" i="2"/>
  <c r="R2800" i="2"/>
  <c r="Q2800" i="2"/>
  <c r="P2800" i="2"/>
  <c r="O2800" i="2"/>
  <c r="T2799" i="2"/>
  <c r="S2799" i="2"/>
  <c r="R2799" i="2"/>
  <c r="Q2799" i="2"/>
  <c r="P2799" i="2"/>
  <c r="O2799" i="2"/>
  <c r="T2798" i="2"/>
  <c r="S2798" i="2"/>
  <c r="R2798" i="2"/>
  <c r="Q2798" i="2"/>
  <c r="P2798" i="2"/>
  <c r="O2798" i="2"/>
  <c r="T2797" i="2"/>
  <c r="S2797" i="2"/>
  <c r="R2797" i="2"/>
  <c r="Q2797" i="2"/>
  <c r="P2797" i="2"/>
  <c r="O2797" i="2"/>
  <c r="T2796" i="2"/>
  <c r="S2796" i="2"/>
  <c r="R2796" i="2"/>
  <c r="Q2796" i="2"/>
  <c r="P2796" i="2"/>
  <c r="O2796" i="2"/>
  <c r="T2795" i="2"/>
  <c r="S2795" i="2"/>
  <c r="R2795" i="2"/>
  <c r="Q2795" i="2"/>
  <c r="P2795" i="2"/>
  <c r="O2795" i="2"/>
  <c r="T2794" i="2"/>
  <c r="S2794" i="2"/>
  <c r="R2794" i="2"/>
  <c r="Q2794" i="2"/>
  <c r="P2794" i="2"/>
  <c r="O2794" i="2"/>
  <c r="T2793" i="2"/>
  <c r="S2793" i="2"/>
  <c r="R2793" i="2"/>
  <c r="Q2793" i="2"/>
  <c r="P2793" i="2"/>
  <c r="O2793" i="2"/>
  <c r="T2792" i="2"/>
  <c r="S2792" i="2"/>
  <c r="R2792" i="2"/>
  <c r="Q2792" i="2"/>
  <c r="P2792" i="2"/>
  <c r="O2792" i="2"/>
  <c r="T2791" i="2"/>
  <c r="S2791" i="2"/>
  <c r="R2791" i="2"/>
  <c r="Q2791" i="2"/>
  <c r="P2791" i="2"/>
  <c r="O2791" i="2"/>
  <c r="T2790" i="2"/>
  <c r="S2790" i="2"/>
  <c r="R2790" i="2"/>
  <c r="Q2790" i="2"/>
  <c r="P2790" i="2"/>
  <c r="O2790" i="2"/>
  <c r="T2789" i="2"/>
  <c r="S2789" i="2"/>
  <c r="R2789" i="2"/>
  <c r="Q2789" i="2"/>
  <c r="P2789" i="2"/>
  <c r="O2789" i="2"/>
  <c r="T2788" i="2"/>
  <c r="S2788" i="2"/>
  <c r="R2788" i="2"/>
  <c r="Q2788" i="2"/>
  <c r="P2788" i="2"/>
  <c r="O2788" i="2"/>
  <c r="T2787" i="2"/>
  <c r="S2787" i="2"/>
  <c r="R2787" i="2"/>
  <c r="Q2787" i="2"/>
  <c r="P2787" i="2"/>
  <c r="O2787" i="2"/>
  <c r="T2786" i="2"/>
  <c r="S2786" i="2"/>
  <c r="R2786" i="2"/>
  <c r="Q2786" i="2"/>
  <c r="P2786" i="2"/>
  <c r="O2786" i="2"/>
  <c r="T2785" i="2"/>
  <c r="S2785" i="2"/>
  <c r="R2785" i="2"/>
  <c r="Q2785" i="2"/>
  <c r="P2785" i="2"/>
  <c r="O2785" i="2"/>
  <c r="T2784" i="2"/>
  <c r="S2784" i="2"/>
  <c r="R2784" i="2"/>
  <c r="Q2784" i="2"/>
  <c r="P2784" i="2"/>
  <c r="O2784" i="2"/>
  <c r="T2783" i="2"/>
  <c r="S2783" i="2"/>
  <c r="R2783" i="2"/>
  <c r="Q2783" i="2"/>
  <c r="P2783" i="2"/>
  <c r="O2783" i="2"/>
  <c r="T2782" i="2"/>
  <c r="S2782" i="2"/>
  <c r="R2782" i="2"/>
  <c r="Q2782" i="2"/>
  <c r="P2782" i="2"/>
  <c r="O2782" i="2"/>
  <c r="T2781" i="2"/>
  <c r="S2781" i="2"/>
  <c r="R2781" i="2"/>
  <c r="Q2781" i="2"/>
  <c r="P2781" i="2"/>
  <c r="O2781" i="2"/>
  <c r="T2780" i="2"/>
  <c r="S2780" i="2"/>
  <c r="R2780" i="2"/>
  <c r="Q2780" i="2"/>
  <c r="P2780" i="2"/>
  <c r="O2780" i="2"/>
  <c r="T2779" i="2"/>
  <c r="S2779" i="2"/>
  <c r="R2779" i="2"/>
  <c r="Q2779" i="2"/>
  <c r="P2779" i="2"/>
  <c r="O2779" i="2"/>
  <c r="T2778" i="2"/>
  <c r="S2778" i="2"/>
  <c r="R2778" i="2"/>
  <c r="Q2778" i="2"/>
  <c r="P2778" i="2"/>
  <c r="O2778" i="2"/>
  <c r="T2777" i="2"/>
  <c r="S2777" i="2"/>
  <c r="R2777" i="2"/>
  <c r="Q2777" i="2"/>
  <c r="P2777" i="2"/>
  <c r="O2777" i="2"/>
  <c r="T2776" i="2"/>
  <c r="S2776" i="2"/>
  <c r="R2776" i="2"/>
  <c r="Q2776" i="2"/>
  <c r="P2776" i="2"/>
  <c r="O2776" i="2"/>
  <c r="T2775" i="2"/>
  <c r="S2775" i="2"/>
  <c r="R2775" i="2"/>
  <c r="Q2775" i="2"/>
  <c r="P2775" i="2"/>
  <c r="O2775" i="2"/>
  <c r="T2774" i="2"/>
  <c r="S2774" i="2"/>
  <c r="R2774" i="2"/>
  <c r="Q2774" i="2"/>
  <c r="P2774" i="2"/>
  <c r="O2774" i="2"/>
  <c r="T2773" i="2"/>
  <c r="S2773" i="2"/>
  <c r="R2773" i="2"/>
  <c r="Q2773" i="2"/>
  <c r="P2773" i="2"/>
  <c r="O2773" i="2"/>
  <c r="T2772" i="2"/>
  <c r="S2772" i="2"/>
  <c r="R2772" i="2"/>
  <c r="Q2772" i="2"/>
  <c r="P2772" i="2"/>
  <c r="O2772" i="2"/>
  <c r="T2771" i="2"/>
  <c r="S2771" i="2"/>
  <c r="R2771" i="2"/>
  <c r="Q2771" i="2"/>
  <c r="P2771" i="2"/>
  <c r="O2771" i="2"/>
  <c r="T2770" i="2"/>
  <c r="S2770" i="2"/>
  <c r="R2770" i="2"/>
  <c r="Q2770" i="2"/>
  <c r="P2770" i="2"/>
  <c r="O2770" i="2"/>
  <c r="T2769" i="2"/>
  <c r="S2769" i="2"/>
  <c r="R2769" i="2"/>
  <c r="Q2769" i="2"/>
  <c r="P2769" i="2"/>
  <c r="O2769" i="2"/>
  <c r="T2768" i="2"/>
  <c r="S2768" i="2"/>
  <c r="R2768" i="2"/>
  <c r="Q2768" i="2"/>
  <c r="P2768" i="2"/>
  <c r="O2768" i="2"/>
  <c r="T2767" i="2"/>
  <c r="S2767" i="2"/>
  <c r="R2767" i="2"/>
  <c r="Q2767" i="2"/>
  <c r="P2767" i="2"/>
  <c r="O2767" i="2"/>
  <c r="T2766" i="2"/>
  <c r="S2766" i="2"/>
  <c r="R2766" i="2"/>
  <c r="Q2766" i="2"/>
  <c r="P2766" i="2"/>
  <c r="O2766" i="2"/>
  <c r="T2765" i="2"/>
  <c r="S2765" i="2"/>
  <c r="R2765" i="2"/>
  <c r="Q2765" i="2"/>
  <c r="P2765" i="2"/>
  <c r="O2765" i="2"/>
  <c r="T2764" i="2"/>
  <c r="S2764" i="2"/>
  <c r="R2764" i="2"/>
  <c r="Q2764" i="2"/>
  <c r="P2764" i="2"/>
  <c r="O2764" i="2"/>
  <c r="T2763" i="2"/>
  <c r="S2763" i="2"/>
  <c r="R2763" i="2"/>
  <c r="Q2763" i="2"/>
  <c r="P2763" i="2"/>
  <c r="O2763" i="2"/>
  <c r="T2762" i="2"/>
  <c r="S2762" i="2"/>
  <c r="R2762" i="2"/>
  <c r="Q2762" i="2"/>
  <c r="P2762" i="2"/>
  <c r="O2762" i="2"/>
  <c r="T2761" i="2"/>
  <c r="S2761" i="2"/>
  <c r="R2761" i="2"/>
  <c r="Q2761" i="2"/>
  <c r="P2761" i="2"/>
  <c r="O2761" i="2"/>
  <c r="T2760" i="2"/>
  <c r="S2760" i="2"/>
  <c r="R2760" i="2"/>
  <c r="Q2760" i="2"/>
  <c r="P2760" i="2"/>
  <c r="O2760" i="2"/>
  <c r="T2759" i="2"/>
  <c r="S2759" i="2"/>
  <c r="R2759" i="2"/>
  <c r="Q2759" i="2"/>
  <c r="P2759" i="2"/>
  <c r="O2759" i="2"/>
  <c r="T2758" i="2"/>
  <c r="S2758" i="2"/>
  <c r="R2758" i="2"/>
  <c r="Q2758" i="2"/>
  <c r="P2758" i="2"/>
  <c r="O2758" i="2"/>
  <c r="T2757" i="2"/>
  <c r="S2757" i="2"/>
  <c r="R2757" i="2"/>
  <c r="Q2757" i="2"/>
  <c r="P2757" i="2"/>
  <c r="O2757" i="2"/>
  <c r="T2756" i="2"/>
  <c r="S2756" i="2"/>
  <c r="R2756" i="2"/>
  <c r="Q2756" i="2"/>
  <c r="P2756" i="2"/>
  <c r="O2756" i="2"/>
  <c r="T2755" i="2"/>
  <c r="S2755" i="2"/>
  <c r="R2755" i="2"/>
  <c r="Q2755" i="2"/>
  <c r="P2755" i="2"/>
  <c r="O2755" i="2"/>
  <c r="T2754" i="2"/>
  <c r="S2754" i="2"/>
  <c r="R2754" i="2"/>
  <c r="Q2754" i="2"/>
  <c r="P2754" i="2"/>
  <c r="O2754" i="2"/>
  <c r="T2753" i="2"/>
  <c r="S2753" i="2"/>
  <c r="R2753" i="2"/>
  <c r="Q2753" i="2"/>
  <c r="P2753" i="2"/>
  <c r="O2753" i="2"/>
  <c r="T2752" i="2"/>
  <c r="S2752" i="2"/>
  <c r="R2752" i="2"/>
  <c r="Q2752" i="2"/>
  <c r="P2752" i="2"/>
  <c r="O2752" i="2"/>
  <c r="T2751" i="2"/>
  <c r="S2751" i="2"/>
  <c r="R2751" i="2"/>
  <c r="Q2751" i="2"/>
  <c r="P2751" i="2"/>
  <c r="O2751" i="2"/>
  <c r="T2750" i="2"/>
  <c r="S2750" i="2"/>
  <c r="R2750" i="2"/>
  <c r="Q2750" i="2"/>
  <c r="P2750" i="2"/>
  <c r="O2750" i="2"/>
  <c r="T2749" i="2"/>
  <c r="S2749" i="2"/>
  <c r="R2749" i="2"/>
  <c r="Q2749" i="2"/>
  <c r="P2749" i="2"/>
  <c r="O2749" i="2"/>
  <c r="T2748" i="2"/>
  <c r="S2748" i="2"/>
  <c r="R2748" i="2"/>
  <c r="Q2748" i="2"/>
  <c r="P2748" i="2"/>
  <c r="O2748" i="2"/>
  <c r="T2747" i="2"/>
  <c r="S2747" i="2"/>
  <c r="R2747" i="2"/>
  <c r="Q2747" i="2"/>
  <c r="P2747" i="2"/>
  <c r="O2747" i="2"/>
  <c r="T2746" i="2"/>
  <c r="S2746" i="2"/>
  <c r="R2746" i="2"/>
  <c r="Q2746" i="2"/>
  <c r="P2746" i="2"/>
  <c r="O2746" i="2"/>
  <c r="T2745" i="2"/>
  <c r="S2745" i="2"/>
  <c r="R2745" i="2"/>
  <c r="Q2745" i="2"/>
  <c r="P2745" i="2"/>
  <c r="O2745" i="2"/>
  <c r="T2744" i="2"/>
  <c r="S2744" i="2"/>
  <c r="R2744" i="2"/>
  <c r="Q2744" i="2"/>
  <c r="P2744" i="2"/>
  <c r="O2744" i="2"/>
  <c r="T2743" i="2"/>
  <c r="S2743" i="2"/>
  <c r="R2743" i="2"/>
  <c r="Q2743" i="2"/>
  <c r="P2743" i="2"/>
  <c r="O2743" i="2"/>
  <c r="T2742" i="2"/>
  <c r="S2742" i="2"/>
  <c r="R2742" i="2"/>
  <c r="Q2742" i="2"/>
  <c r="P2742" i="2"/>
  <c r="O2742" i="2"/>
  <c r="T2741" i="2"/>
  <c r="S2741" i="2"/>
  <c r="R2741" i="2"/>
  <c r="Q2741" i="2"/>
  <c r="P2741" i="2"/>
  <c r="O2741" i="2"/>
  <c r="T2740" i="2"/>
  <c r="S2740" i="2"/>
  <c r="R2740" i="2"/>
  <c r="Q2740" i="2"/>
  <c r="P2740" i="2"/>
  <c r="O2740" i="2"/>
  <c r="T2739" i="2"/>
  <c r="S2739" i="2"/>
  <c r="R2739" i="2"/>
  <c r="Q2739" i="2"/>
  <c r="P2739" i="2"/>
  <c r="O2739" i="2"/>
  <c r="T2738" i="2"/>
  <c r="S2738" i="2"/>
  <c r="R2738" i="2"/>
  <c r="Q2738" i="2"/>
  <c r="P2738" i="2"/>
  <c r="O2738" i="2"/>
  <c r="T2737" i="2"/>
  <c r="S2737" i="2"/>
  <c r="R2737" i="2"/>
  <c r="Q2737" i="2"/>
  <c r="P2737" i="2"/>
  <c r="O2737" i="2"/>
  <c r="T2736" i="2"/>
  <c r="S2736" i="2"/>
  <c r="R2736" i="2"/>
  <c r="Q2736" i="2"/>
  <c r="P2736" i="2"/>
  <c r="O2736" i="2"/>
  <c r="T2735" i="2"/>
  <c r="S2735" i="2"/>
  <c r="R2735" i="2"/>
  <c r="Q2735" i="2"/>
  <c r="P2735" i="2"/>
  <c r="O2735" i="2"/>
  <c r="T2734" i="2"/>
  <c r="S2734" i="2"/>
  <c r="R2734" i="2"/>
  <c r="Q2734" i="2"/>
  <c r="P2734" i="2"/>
  <c r="O2734" i="2"/>
  <c r="T2733" i="2"/>
  <c r="S2733" i="2"/>
  <c r="R2733" i="2"/>
  <c r="Q2733" i="2"/>
  <c r="P2733" i="2"/>
  <c r="O2733" i="2"/>
  <c r="T2732" i="2"/>
  <c r="S2732" i="2"/>
  <c r="R2732" i="2"/>
  <c r="Q2732" i="2"/>
  <c r="P2732" i="2"/>
  <c r="O2732" i="2"/>
  <c r="T2731" i="2"/>
  <c r="S2731" i="2"/>
  <c r="R2731" i="2"/>
  <c r="Q2731" i="2"/>
  <c r="P2731" i="2"/>
  <c r="O2731" i="2"/>
  <c r="T2730" i="2"/>
  <c r="S2730" i="2"/>
  <c r="R2730" i="2"/>
  <c r="Q2730" i="2"/>
  <c r="P2730" i="2"/>
  <c r="O2730" i="2"/>
  <c r="T2729" i="2"/>
  <c r="S2729" i="2"/>
  <c r="R2729" i="2"/>
  <c r="Q2729" i="2"/>
  <c r="P2729" i="2"/>
  <c r="O2729" i="2"/>
  <c r="T2728" i="2"/>
  <c r="S2728" i="2"/>
  <c r="R2728" i="2"/>
  <c r="Q2728" i="2"/>
  <c r="P2728" i="2"/>
  <c r="O2728" i="2"/>
  <c r="T2727" i="2"/>
  <c r="S2727" i="2"/>
  <c r="R2727" i="2"/>
  <c r="Q2727" i="2"/>
  <c r="P2727" i="2"/>
  <c r="O2727" i="2"/>
  <c r="T2726" i="2"/>
  <c r="S2726" i="2"/>
  <c r="R2726" i="2"/>
  <c r="Q2726" i="2"/>
  <c r="P2726" i="2"/>
  <c r="O2726" i="2"/>
  <c r="T2725" i="2"/>
  <c r="S2725" i="2"/>
  <c r="R2725" i="2"/>
  <c r="Q2725" i="2"/>
  <c r="P2725" i="2"/>
  <c r="O2725" i="2"/>
  <c r="T2724" i="2"/>
  <c r="S2724" i="2"/>
  <c r="R2724" i="2"/>
  <c r="Q2724" i="2"/>
  <c r="P2724" i="2"/>
  <c r="O2724" i="2"/>
  <c r="T2723" i="2"/>
  <c r="S2723" i="2"/>
  <c r="R2723" i="2"/>
  <c r="Q2723" i="2"/>
  <c r="P2723" i="2"/>
  <c r="O2723" i="2"/>
  <c r="T2722" i="2"/>
  <c r="S2722" i="2"/>
  <c r="R2722" i="2"/>
  <c r="Q2722" i="2"/>
  <c r="P2722" i="2"/>
  <c r="O2722" i="2"/>
  <c r="T2721" i="2"/>
  <c r="S2721" i="2"/>
  <c r="R2721" i="2"/>
  <c r="Q2721" i="2"/>
  <c r="P2721" i="2"/>
  <c r="O2721" i="2"/>
  <c r="T2720" i="2"/>
  <c r="S2720" i="2"/>
  <c r="R2720" i="2"/>
  <c r="Q2720" i="2"/>
  <c r="P2720" i="2"/>
  <c r="O2720" i="2"/>
  <c r="T2719" i="2"/>
  <c r="S2719" i="2"/>
  <c r="R2719" i="2"/>
  <c r="Q2719" i="2"/>
  <c r="P2719" i="2"/>
  <c r="O2719" i="2"/>
  <c r="T2718" i="2"/>
  <c r="S2718" i="2"/>
  <c r="R2718" i="2"/>
  <c r="Q2718" i="2"/>
  <c r="P2718" i="2"/>
  <c r="O2718" i="2"/>
  <c r="T2717" i="2"/>
  <c r="S2717" i="2"/>
  <c r="R2717" i="2"/>
  <c r="Q2717" i="2"/>
  <c r="P2717" i="2"/>
  <c r="O2717" i="2"/>
  <c r="T2716" i="2"/>
  <c r="S2716" i="2"/>
  <c r="R2716" i="2"/>
  <c r="Q2716" i="2"/>
  <c r="P2716" i="2"/>
  <c r="O2716" i="2"/>
  <c r="T2715" i="2"/>
  <c r="S2715" i="2"/>
  <c r="R2715" i="2"/>
  <c r="Q2715" i="2"/>
  <c r="P2715" i="2"/>
  <c r="O2715" i="2"/>
  <c r="T2714" i="2"/>
  <c r="S2714" i="2"/>
  <c r="R2714" i="2"/>
  <c r="Q2714" i="2"/>
  <c r="P2714" i="2"/>
  <c r="O2714" i="2"/>
  <c r="T2713" i="2"/>
  <c r="S2713" i="2"/>
  <c r="R2713" i="2"/>
  <c r="Q2713" i="2"/>
  <c r="P2713" i="2"/>
  <c r="O2713" i="2"/>
  <c r="T2712" i="2"/>
  <c r="S2712" i="2"/>
  <c r="R2712" i="2"/>
  <c r="Q2712" i="2"/>
  <c r="P2712" i="2"/>
  <c r="O2712" i="2"/>
  <c r="T2711" i="2"/>
  <c r="S2711" i="2"/>
  <c r="R2711" i="2"/>
  <c r="Q2711" i="2"/>
  <c r="P2711" i="2"/>
  <c r="O2711" i="2"/>
  <c r="T2710" i="2"/>
  <c r="S2710" i="2"/>
  <c r="R2710" i="2"/>
  <c r="Q2710" i="2"/>
  <c r="P2710" i="2"/>
  <c r="O2710" i="2"/>
  <c r="T2709" i="2"/>
  <c r="S2709" i="2"/>
  <c r="R2709" i="2"/>
  <c r="Q2709" i="2"/>
  <c r="P2709" i="2"/>
  <c r="O2709" i="2"/>
  <c r="T2708" i="2"/>
  <c r="S2708" i="2"/>
  <c r="R2708" i="2"/>
  <c r="Q2708" i="2"/>
  <c r="P2708" i="2"/>
  <c r="O2708" i="2"/>
  <c r="T2707" i="2"/>
  <c r="S2707" i="2"/>
  <c r="R2707" i="2"/>
  <c r="Q2707" i="2"/>
  <c r="P2707" i="2"/>
  <c r="O2707" i="2"/>
  <c r="T2706" i="2"/>
  <c r="S2706" i="2"/>
  <c r="R2706" i="2"/>
  <c r="Q2706" i="2"/>
  <c r="P2706" i="2"/>
  <c r="O2706" i="2"/>
  <c r="T2705" i="2"/>
  <c r="S2705" i="2"/>
  <c r="R2705" i="2"/>
  <c r="Q2705" i="2"/>
  <c r="P2705" i="2"/>
  <c r="O2705" i="2"/>
  <c r="T2704" i="2"/>
  <c r="S2704" i="2"/>
  <c r="R2704" i="2"/>
  <c r="Q2704" i="2"/>
  <c r="P2704" i="2"/>
  <c r="O2704" i="2"/>
  <c r="T2703" i="2"/>
  <c r="S2703" i="2"/>
  <c r="R2703" i="2"/>
  <c r="Q2703" i="2"/>
  <c r="P2703" i="2"/>
  <c r="O2703" i="2"/>
  <c r="T2702" i="2"/>
  <c r="S2702" i="2"/>
  <c r="R2702" i="2"/>
  <c r="Q2702" i="2"/>
  <c r="P2702" i="2"/>
  <c r="O2702" i="2"/>
  <c r="T2701" i="2"/>
  <c r="S2701" i="2"/>
  <c r="R2701" i="2"/>
  <c r="Q2701" i="2"/>
  <c r="P2701" i="2"/>
  <c r="O2701" i="2"/>
  <c r="T2700" i="2"/>
  <c r="S2700" i="2"/>
  <c r="R2700" i="2"/>
  <c r="Q2700" i="2"/>
  <c r="P2700" i="2"/>
  <c r="O2700" i="2"/>
  <c r="T2699" i="2"/>
  <c r="S2699" i="2"/>
  <c r="R2699" i="2"/>
  <c r="Q2699" i="2"/>
  <c r="P2699" i="2"/>
  <c r="O2699" i="2"/>
  <c r="T2698" i="2"/>
  <c r="S2698" i="2"/>
  <c r="R2698" i="2"/>
  <c r="Q2698" i="2"/>
  <c r="P2698" i="2"/>
  <c r="O2698" i="2"/>
  <c r="T2697" i="2"/>
  <c r="S2697" i="2"/>
  <c r="R2697" i="2"/>
  <c r="Q2697" i="2"/>
  <c r="P2697" i="2"/>
  <c r="O2697" i="2"/>
  <c r="T2696" i="2"/>
  <c r="S2696" i="2"/>
  <c r="R2696" i="2"/>
  <c r="Q2696" i="2"/>
  <c r="P2696" i="2"/>
  <c r="O2696" i="2"/>
  <c r="T2695" i="2"/>
  <c r="S2695" i="2"/>
  <c r="R2695" i="2"/>
  <c r="Q2695" i="2"/>
  <c r="P2695" i="2"/>
  <c r="O2695" i="2"/>
  <c r="T2694" i="2"/>
  <c r="S2694" i="2"/>
  <c r="R2694" i="2"/>
  <c r="Q2694" i="2"/>
  <c r="P2694" i="2"/>
  <c r="O2694" i="2"/>
  <c r="T2693" i="2"/>
  <c r="S2693" i="2"/>
  <c r="R2693" i="2"/>
  <c r="Q2693" i="2"/>
  <c r="P2693" i="2"/>
  <c r="O2693" i="2"/>
  <c r="T2692" i="2"/>
  <c r="S2692" i="2"/>
  <c r="R2692" i="2"/>
  <c r="Q2692" i="2"/>
  <c r="P2692" i="2"/>
  <c r="O2692" i="2"/>
  <c r="T2691" i="2"/>
  <c r="S2691" i="2"/>
  <c r="R2691" i="2"/>
  <c r="Q2691" i="2"/>
  <c r="P2691" i="2"/>
  <c r="O2691" i="2"/>
  <c r="T2690" i="2"/>
  <c r="S2690" i="2"/>
  <c r="R2690" i="2"/>
  <c r="Q2690" i="2"/>
  <c r="P2690" i="2"/>
  <c r="O2690" i="2"/>
  <c r="T2689" i="2"/>
  <c r="S2689" i="2"/>
  <c r="R2689" i="2"/>
  <c r="Q2689" i="2"/>
  <c r="P2689" i="2"/>
  <c r="O2689" i="2"/>
  <c r="T2688" i="2"/>
  <c r="S2688" i="2"/>
  <c r="R2688" i="2"/>
  <c r="Q2688" i="2"/>
  <c r="P2688" i="2"/>
  <c r="O2688" i="2"/>
  <c r="T2687" i="2"/>
  <c r="S2687" i="2"/>
  <c r="R2687" i="2"/>
  <c r="Q2687" i="2"/>
  <c r="P2687" i="2"/>
  <c r="O2687" i="2"/>
  <c r="T2686" i="2"/>
  <c r="S2686" i="2"/>
  <c r="R2686" i="2"/>
  <c r="Q2686" i="2"/>
  <c r="P2686" i="2"/>
  <c r="O2686" i="2"/>
  <c r="T2685" i="2"/>
  <c r="S2685" i="2"/>
  <c r="R2685" i="2"/>
  <c r="Q2685" i="2"/>
  <c r="P2685" i="2"/>
  <c r="O2685" i="2"/>
  <c r="T2684" i="2"/>
  <c r="S2684" i="2"/>
  <c r="R2684" i="2"/>
  <c r="Q2684" i="2"/>
  <c r="P2684" i="2"/>
  <c r="O2684" i="2"/>
  <c r="T2683" i="2"/>
  <c r="S2683" i="2"/>
  <c r="R2683" i="2"/>
  <c r="Q2683" i="2"/>
  <c r="P2683" i="2"/>
  <c r="O2683" i="2"/>
  <c r="T2682" i="2"/>
  <c r="S2682" i="2"/>
  <c r="R2682" i="2"/>
  <c r="Q2682" i="2"/>
  <c r="P2682" i="2"/>
  <c r="O2682" i="2"/>
  <c r="T2681" i="2"/>
  <c r="S2681" i="2"/>
  <c r="R2681" i="2"/>
  <c r="Q2681" i="2"/>
  <c r="P2681" i="2"/>
  <c r="O2681" i="2"/>
  <c r="T2680" i="2"/>
  <c r="S2680" i="2"/>
  <c r="R2680" i="2"/>
  <c r="Q2680" i="2"/>
  <c r="P2680" i="2"/>
  <c r="O2680" i="2"/>
  <c r="T2679" i="2"/>
  <c r="S2679" i="2"/>
  <c r="R2679" i="2"/>
  <c r="Q2679" i="2"/>
  <c r="P2679" i="2"/>
  <c r="O2679" i="2"/>
  <c r="T2678" i="2"/>
  <c r="S2678" i="2"/>
  <c r="R2678" i="2"/>
  <c r="Q2678" i="2"/>
  <c r="P2678" i="2"/>
  <c r="O2678" i="2"/>
  <c r="T2677" i="2"/>
  <c r="S2677" i="2"/>
  <c r="R2677" i="2"/>
  <c r="Q2677" i="2"/>
  <c r="P2677" i="2"/>
  <c r="O2677" i="2"/>
  <c r="T2676" i="2"/>
  <c r="S2676" i="2"/>
  <c r="R2676" i="2"/>
  <c r="Q2676" i="2"/>
  <c r="P2676" i="2"/>
  <c r="O2676" i="2"/>
  <c r="T2675" i="2"/>
  <c r="S2675" i="2"/>
  <c r="R2675" i="2"/>
  <c r="Q2675" i="2"/>
  <c r="P2675" i="2"/>
  <c r="O2675" i="2"/>
  <c r="T2674" i="2"/>
  <c r="S2674" i="2"/>
  <c r="R2674" i="2"/>
  <c r="Q2674" i="2"/>
  <c r="P2674" i="2"/>
  <c r="O2674" i="2"/>
  <c r="T2673" i="2"/>
  <c r="S2673" i="2"/>
  <c r="R2673" i="2"/>
  <c r="Q2673" i="2"/>
  <c r="P2673" i="2"/>
  <c r="O2673" i="2"/>
  <c r="T2672" i="2"/>
  <c r="S2672" i="2"/>
  <c r="R2672" i="2"/>
  <c r="Q2672" i="2"/>
  <c r="P2672" i="2"/>
  <c r="O2672" i="2"/>
  <c r="T2671" i="2"/>
  <c r="S2671" i="2"/>
  <c r="R2671" i="2"/>
  <c r="Q2671" i="2"/>
  <c r="P2671" i="2"/>
  <c r="O2671" i="2"/>
  <c r="T2670" i="2"/>
  <c r="S2670" i="2"/>
  <c r="R2670" i="2"/>
  <c r="Q2670" i="2"/>
  <c r="P2670" i="2"/>
  <c r="O2670" i="2"/>
  <c r="T2669" i="2"/>
  <c r="S2669" i="2"/>
  <c r="R2669" i="2"/>
  <c r="Q2669" i="2"/>
  <c r="P2669" i="2"/>
  <c r="O2669" i="2"/>
  <c r="T2668" i="2"/>
  <c r="S2668" i="2"/>
  <c r="R2668" i="2"/>
  <c r="Q2668" i="2"/>
  <c r="P2668" i="2"/>
  <c r="O2668" i="2"/>
  <c r="T2667" i="2"/>
  <c r="S2667" i="2"/>
  <c r="R2667" i="2"/>
  <c r="Q2667" i="2"/>
  <c r="P2667" i="2"/>
  <c r="O2667" i="2"/>
  <c r="T2666" i="2"/>
  <c r="S2666" i="2"/>
  <c r="R2666" i="2"/>
  <c r="Q2666" i="2"/>
  <c r="P2666" i="2"/>
  <c r="O2666" i="2"/>
  <c r="T2665" i="2"/>
  <c r="S2665" i="2"/>
  <c r="R2665" i="2"/>
  <c r="Q2665" i="2"/>
  <c r="P2665" i="2"/>
  <c r="O2665" i="2"/>
  <c r="T2664" i="2"/>
  <c r="S2664" i="2"/>
  <c r="R2664" i="2"/>
  <c r="Q2664" i="2"/>
  <c r="P2664" i="2"/>
  <c r="O2664" i="2"/>
  <c r="T2663" i="2"/>
  <c r="S2663" i="2"/>
  <c r="R2663" i="2"/>
  <c r="Q2663" i="2"/>
  <c r="P2663" i="2"/>
  <c r="O2663" i="2"/>
  <c r="T2662" i="2"/>
  <c r="S2662" i="2"/>
  <c r="R2662" i="2"/>
  <c r="Q2662" i="2"/>
  <c r="P2662" i="2"/>
  <c r="O2662" i="2"/>
  <c r="T2661" i="2"/>
  <c r="S2661" i="2"/>
  <c r="R2661" i="2"/>
  <c r="Q2661" i="2"/>
  <c r="P2661" i="2"/>
  <c r="O2661" i="2"/>
  <c r="T2660" i="2"/>
  <c r="S2660" i="2"/>
  <c r="R2660" i="2"/>
  <c r="Q2660" i="2"/>
  <c r="P2660" i="2"/>
  <c r="O2660" i="2"/>
  <c r="T2659" i="2"/>
  <c r="S2659" i="2"/>
  <c r="R2659" i="2"/>
  <c r="Q2659" i="2"/>
  <c r="P2659" i="2"/>
  <c r="O2659" i="2"/>
  <c r="T2658" i="2"/>
  <c r="S2658" i="2"/>
  <c r="R2658" i="2"/>
  <c r="Q2658" i="2"/>
  <c r="P2658" i="2"/>
  <c r="O2658" i="2"/>
  <c r="T2657" i="2"/>
  <c r="S2657" i="2"/>
  <c r="R2657" i="2"/>
  <c r="Q2657" i="2"/>
  <c r="P2657" i="2"/>
  <c r="O2657" i="2"/>
  <c r="T2656" i="2"/>
  <c r="S2656" i="2"/>
  <c r="R2656" i="2"/>
  <c r="Q2656" i="2"/>
  <c r="P2656" i="2"/>
  <c r="O2656" i="2"/>
  <c r="T2655" i="2"/>
  <c r="S2655" i="2"/>
  <c r="R2655" i="2"/>
  <c r="Q2655" i="2"/>
  <c r="P2655" i="2"/>
  <c r="O2655" i="2"/>
  <c r="T2654" i="2"/>
  <c r="S2654" i="2"/>
  <c r="R2654" i="2"/>
  <c r="Q2654" i="2"/>
  <c r="P2654" i="2"/>
  <c r="O2654" i="2"/>
  <c r="T2653" i="2"/>
  <c r="S2653" i="2"/>
  <c r="R2653" i="2"/>
  <c r="Q2653" i="2"/>
  <c r="P2653" i="2"/>
  <c r="O2653" i="2"/>
  <c r="T2652" i="2"/>
  <c r="S2652" i="2"/>
  <c r="R2652" i="2"/>
  <c r="Q2652" i="2"/>
  <c r="P2652" i="2"/>
  <c r="O2652" i="2"/>
  <c r="T2651" i="2"/>
  <c r="S2651" i="2"/>
  <c r="R2651" i="2"/>
  <c r="Q2651" i="2"/>
  <c r="P2651" i="2"/>
  <c r="O2651" i="2"/>
  <c r="T2650" i="2"/>
  <c r="S2650" i="2"/>
  <c r="R2650" i="2"/>
  <c r="Q2650" i="2"/>
  <c r="P2650" i="2"/>
  <c r="O2650" i="2"/>
  <c r="T2649" i="2"/>
  <c r="S2649" i="2"/>
  <c r="R2649" i="2"/>
  <c r="Q2649" i="2"/>
  <c r="P2649" i="2"/>
  <c r="O2649" i="2"/>
  <c r="T2648" i="2"/>
  <c r="S2648" i="2"/>
  <c r="R2648" i="2"/>
  <c r="Q2648" i="2"/>
  <c r="P2648" i="2"/>
  <c r="O2648" i="2"/>
  <c r="T2647" i="2"/>
  <c r="S2647" i="2"/>
  <c r="R2647" i="2"/>
  <c r="Q2647" i="2"/>
  <c r="P2647" i="2"/>
  <c r="O2647" i="2"/>
  <c r="T2646" i="2"/>
  <c r="S2646" i="2"/>
  <c r="R2646" i="2"/>
  <c r="Q2646" i="2"/>
  <c r="P2646" i="2"/>
  <c r="O2646" i="2"/>
  <c r="T2645" i="2"/>
  <c r="S2645" i="2"/>
  <c r="R2645" i="2"/>
  <c r="Q2645" i="2"/>
  <c r="P2645" i="2"/>
  <c r="O2645" i="2"/>
  <c r="T2644" i="2"/>
  <c r="S2644" i="2"/>
  <c r="R2644" i="2"/>
  <c r="Q2644" i="2"/>
  <c r="P2644" i="2"/>
  <c r="O2644" i="2"/>
  <c r="T2643" i="2"/>
  <c r="S2643" i="2"/>
  <c r="R2643" i="2"/>
  <c r="Q2643" i="2"/>
  <c r="P2643" i="2"/>
  <c r="O2643" i="2"/>
  <c r="T2642" i="2"/>
  <c r="S2642" i="2"/>
  <c r="R2642" i="2"/>
  <c r="Q2642" i="2"/>
  <c r="P2642" i="2"/>
  <c r="O2642" i="2"/>
  <c r="T2641" i="2"/>
  <c r="S2641" i="2"/>
  <c r="R2641" i="2"/>
  <c r="Q2641" i="2"/>
  <c r="P2641" i="2"/>
  <c r="O2641" i="2"/>
  <c r="T2640" i="2"/>
  <c r="S2640" i="2"/>
  <c r="R2640" i="2"/>
  <c r="Q2640" i="2"/>
  <c r="P2640" i="2"/>
  <c r="O2640" i="2"/>
  <c r="T2639" i="2"/>
  <c r="S2639" i="2"/>
  <c r="R2639" i="2"/>
  <c r="Q2639" i="2"/>
  <c r="P2639" i="2"/>
  <c r="O2639" i="2"/>
  <c r="T2638" i="2"/>
  <c r="S2638" i="2"/>
  <c r="R2638" i="2"/>
  <c r="Q2638" i="2"/>
  <c r="P2638" i="2"/>
  <c r="O2638" i="2"/>
  <c r="T2637" i="2"/>
  <c r="S2637" i="2"/>
  <c r="R2637" i="2"/>
  <c r="Q2637" i="2"/>
  <c r="P2637" i="2"/>
  <c r="O2637" i="2"/>
  <c r="T2636" i="2"/>
  <c r="S2636" i="2"/>
  <c r="R2636" i="2"/>
  <c r="Q2636" i="2"/>
  <c r="P2636" i="2"/>
  <c r="O2636" i="2"/>
  <c r="T2635" i="2"/>
  <c r="S2635" i="2"/>
  <c r="R2635" i="2"/>
  <c r="Q2635" i="2"/>
  <c r="P2635" i="2"/>
  <c r="O2635" i="2"/>
  <c r="T2634" i="2"/>
  <c r="S2634" i="2"/>
  <c r="R2634" i="2"/>
  <c r="Q2634" i="2"/>
  <c r="P2634" i="2"/>
  <c r="O2634" i="2"/>
  <c r="T2633" i="2"/>
  <c r="S2633" i="2"/>
  <c r="R2633" i="2"/>
  <c r="Q2633" i="2"/>
  <c r="P2633" i="2"/>
  <c r="O2633" i="2"/>
  <c r="T2632" i="2"/>
  <c r="S2632" i="2"/>
  <c r="R2632" i="2"/>
  <c r="Q2632" i="2"/>
  <c r="P2632" i="2"/>
  <c r="O2632" i="2"/>
  <c r="T2631" i="2"/>
  <c r="S2631" i="2"/>
  <c r="R2631" i="2"/>
  <c r="Q2631" i="2"/>
  <c r="P2631" i="2"/>
  <c r="O2631" i="2"/>
  <c r="T2630" i="2"/>
  <c r="S2630" i="2"/>
  <c r="R2630" i="2"/>
  <c r="Q2630" i="2"/>
  <c r="P2630" i="2"/>
  <c r="O2630" i="2"/>
  <c r="T2629" i="2"/>
  <c r="S2629" i="2"/>
  <c r="R2629" i="2"/>
  <c r="Q2629" i="2"/>
  <c r="P2629" i="2"/>
  <c r="O2629" i="2"/>
  <c r="T2628" i="2"/>
  <c r="S2628" i="2"/>
  <c r="R2628" i="2"/>
  <c r="Q2628" i="2"/>
  <c r="P2628" i="2"/>
  <c r="O2628" i="2"/>
  <c r="T2627" i="2"/>
  <c r="S2627" i="2"/>
  <c r="R2627" i="2"/>
  <c r="Q2627" i="2"/>
  <c r="P2627" i="2"/>
  <c r="O2627" i="2"/>
  <c r="T2626" i="2"/>
  <c r="S2626" i="2"/>
  <c r="R2626" i="2"/>
  <c r="Q2626" i="2"/>
  <c r="P2626" i="2"/>
  <c r="O2626" i="2"/>
  <c r="T2625" i="2"/>
  <c r="S2625" i="2"/>
  <c r="R2625" i="2"/>
  <c r="Q2625" i="2"/>
  <c r="P2625" i="2"/>
  <c r="O2625" i="2"/>
  <c r="T2624" i="2"/>
  <c r="S2624" i="2"/>
  <c r="R2624" i="2"/>
  <c r="Q2624" i="2"/>
  <c r="P2624" i="2"/>
  <c r="O2624" i="2"/>
  <c r="T2623" i="2"/>
  <c r="S2623" i="2"/>
  <c r="R2623" i="2"/>
  <c r="Q2623" i="2"/>
  <c r="P2623" i="2"/>
  <c r="O2623" i="2"/>
  <c r="T2622" i="2"/>
  <c r="S2622" i="2"/>
  <c r="R2622" i="2"/>
  <c r="Q2622" i="2"/>
  <c r="P2622" i="2"/>
  <c r="O2622" i="2"/>
  <c r="T2621" i="2"/>
  <c r="S2621" i="2"/>
  <c r="R2621" i="2"/>
  <c r="Q2621" i="2"/>
  <c r="P2621" i="2"/>
  <c r="O2621" i="2"/>
  <c r="T2620" i="2"/>
  <c r="S2620" i="2"/>
  <c r="R2620" i="2"/>
  <c r="Q2620" i="2"/>
  <c r="P2620" i="2"/>
  <c r="O2620" i="2"/>
  <c r="T2619" i="2"/>
  <c r="S2619" i="2"/>
  <c r="R2619" i="2"/>
  <c r="Q2619" i="2"/>
  <c r="P2619" i="2"/>
  <c r="O2619" i="2"/>
  <c r="T2618" i="2"/>
  <c r="S2618" i="2"/>
  <c r="R2618" i="2"/>
  <c r="Q2618" i="2"/>
  <c r="P2618" i="2"/>
  <c r="O2618" i="2"/>
  <c r="T2617" i="2"/>
  <c r="S2617" i="2"/>
  <c r="R2617" i="2"/>
  <c r="Q2617" i="2"/>
  <c r="P2617" i="2"/>
  <c r="O2617" i="2"/>
  <c r="T2616" i="2"/>
  <c r="S2616" i="2"/>
  <c r="R2616" i="2"/>
  <c r="Q2616" i="2"/>
  <c r="P2616" i="2"/>
  <c r="O2616" i="2"/>
  <c r="T2615" i="2"/>
  <c r="S2615" i="2"/>
  <c r="R2615" i="2"/>
  <c r="Q2615" i="2"/>
  <c r="P2615" i="2"/>
  <c r="O2615" i="2"/>
  <c r="T2614" i="2"/>
  <c r="S2614" i="2"/>
  <c r="R2614" i="2"/>
  <c r="Q2614" i="2"/>
  <c r="P2614" i="2"/>
  <c r="O2614" i="2"/>
  <c r="T2613" i="2"/>
  <c r="S2613" i="2"/>
  <c r="R2613" i="2"/>
  <c r="Q2613" i="2"/>
  <c r="P2613" i="2"/>
  <c r="O2613" i="2"/>
  <c r="T2612" i="2"/>
  <c r="S2612" i="2"/>
  <c r="R2612" i="2"/>
  <c r="Q2612" i="2"/>
  <c r="P2612" i="2"/>
  <c r="O2612" i="2"/>
  <c r="T2611" i="2"/>
  <c r="S2611" i="2"/>
  <c r="R2611" i="2"/>
  <c r="Q2611" i="2"/>
  <c r="P2611" i="2"/>
  <c r="O2611" i="2"/>
  <c r="T2610" i="2"/>
  <c r="S2610" i="2"/>
  <c r="R2610" i="2"/>
  <c r="Q2610" i="2"/>
  <c r="P2610" i="2"/>
  <c r="O2610" i="2"/>
  <c r="T2609" i="2"/>
  <c r="S2609" i="2"/>
  <c r="R2609" i="2"/>
  <c r="Q2609" i="2"/>
  <c r="P2609" i="2"/>
  <c r="O2609" i="2"/>
  <c r="T2608" i="2"/>
  <c r="S2608" i="2"/>
  <c r="R2608" i="2"/>
  <c r="Q2608" i="2"/>
  <c r="P2608" i="2"/>
  <c r="O2608" i="2"/>
  <c r="T2607" i="2"/>
  <c r="S2607" i="2"/>
  <c r="R2607" i="2"/>
  <c r="Q2607" i="2"/>
  <c r="P2607" i="2"/>
  <c r="O2607" i="2"/>
  <c r="T2606" i="2"/>
  <c r="S2606" i="2"/>
  <c r="R2606" i="2"/>
  <c r="Q2606" i="2"/>
  <c r="P2606" i="2"/>
  <c r="O2606" i="2"/>
  <c r="T2605" i="2"/>
  <c r="S2605" i="2"/>
  <c r="R2605" i="2"/>
  <c r="Q2605" i="2"/>
  <c r="P2605" i="2"/>
  <c r="O2605" i="2"/>
  <c r="T2604" i="2"/>
  <c r="S2604" i="2"/>
  <c r="R2604" i="2"/>
  <c r="Q2604" i="2"/>
  <c r="P2604" i="2"/>
  <c r="O2604" i="2"/>
  <c r="T2603" i="2"/>
  <c r="S2603" i="2"/>
  <c r="R2603" i="2"/>
  <c r="Q2603" i="2"/>
  <c r="P2603" i="2"/>
  <c r="O2603" i="2"/>
  <c r="T2602" i="2"/>
  <c r="S2602" i="2"/>
  <c r="R2602" i="2"/>
  <c r="Q2602" i="2"/>
  <c r="P2602" i="2"/>
  <c r="O2602" i="2"/>
  <c r="T2601" i="2"/>
  <c r="S2601" i="2"/>
  <c r="R2601" i="2"/>
  <c r="Q2601" i="2"/>
  <c r="P2601" i="2"/>
  <c r="O2601" i="2"/>
  <c r="T2600" i="2"/>
  <c r="S2600" i="2"/>
  <c r="R2600" i="2"/>
  <c r="Q2600" i="2"/>
  <c r="P2600" i="2"/>
  <c r="O2600" i="2"/>
  <c r="T2599" i="2"/>
  <c r="S2599" i="2"/>
  <c r="R2599" i="2"/>
  <c r="Q2599" i="2"/>
  <c r="P2599" i="2"/>
  <c r="O2599" i="2"/>
  <c r="T2598" i="2"/>
  <c r="S2598" i="2"/>
  <c r="R2598" i="2"/>
  <c r="Q2598" i="2"/>
  <c r="P2598" i="2"/>
  <c r="O2598" i="2"/>
  <c r="T2597" i="2"/>
  <c r="S2597" i="2"/>
  <c r="R2597" i="2"/>
  <c r="Q2597" i="2"/>
  <c r="P2597" i="2"/>
  <c r="O2597" i="2"/>
  <c r="T2596" i="2"/>
  <c r="S2596" i="2"/>
  <c r="R2596" i="2"/>
  <c r="Q2596" i="2"/>
  <c r="P2596" i="2"/>
  <c r="O2596" i="2"/>
  <c r="T2595" i="2"/>
  <c r="S2595" i="2"/>
  <c r="R2595" i="2"/>
  <c r="Q2595" i="2"/>
  <c r="P2595" i="2"/>
  <c r="O2595" i="2"/>
  <c r="T2594" i="2"/>
  <c r="S2594" i="2"/>
  <c r="R2594" i="2"/>
  <c r="Q2594" i="2"/>
  <c r="P2594" i="2"/>
  <c r="O2594" i="2"/>
  <c r="T2593" i="2"/>
  <c r="S2593" i="2"/>
  <c r="R2593" i="2"/>
  <c r="Q2593" i="2"/>
  <c r="P2593" i="2"/>
  <c r="O2593" i="2"/>
  <c r="T2592" i="2"/>
  <c r="S2592" i="2"/>
  <c r="R2592" i="2"/>
  <c r="Q2592" i="2"/>
  <c r="P2592" i="2"/>
  <c r="O2592" i="2"/>
  <c r="T2591" i="2"/>
  <c r="S2591" i="2"/>
  <c r="R2591" i="2"/>
  <c r="Q2591" i="2"/>
  <c r="P2591" i="2"/>
  <c r="O2591" i="2"/>
  <c r="T2590" i="2"/>
  <c r="S2590" i="2"/>
  <c r="R2590" i="2"/>
  <c r="Q2590" i="2"/>
  <c r="P2590" i="2"/>
  <c r="O2590" i="2"/>
  <c r="T2589" i="2"/>
  <c r="S2589" i="2"/>
  <c r="R2589" i="2"/>
  <c r="Q2589" i="2"/>
  <c r="P2589" i="2"/>
  <c r="O2589" i="2"/>
  <c r="T2588" i="2"/>
  <c r="S2588" i="2"/>
  <c r="R2588" i="2"/>
  <c r="Q2588" i="2"/>
  <c r="P2588" i="2"/>
  <c r="O2588" i="2"/>
  <c r="T2587" i="2"/>
  <c r="S2587" i="2"/>
  <c r="R2587" i="2"/>
  <c r="Q2587" i="2"/>
  <c r="P2587" i="2"/>
  <c r="O2587" i="2"/>
  <c r="T2586" i="2"/>
  <c r="S2586" i="2"/>
  <c r="R2586" i="2"/>
  <c r="Q2586" i="2"/>
  <c r="P2586" i="2"/>
  <c r="O2586" i="2"/>
  <c r="T2585" i="2"/>
  <c r="S2585" i="2"/>
  <c r="R2585" i="2"/>
  <c r="Q2585" i="2"/>
  <c r="P2585" i="2"/>
  <c r="O2585" i="2"/>
  <c r="T2584" i="2"/>
  <c r="S2584" i="2"/>
  <c r="R2584" i="2"/>
  <c r="Q2584" i="2"/>
  <c r="P2584" i="2"/>
  <c r="O2584" i="2"/>
  <c r="T2583" i="2"/>
  <c r="S2583" i="2"/>
  <c r="R2583" i="2"/>
  <c r="Q2583" i="2"/>
  <c r="P2583" i="2"/>
  <c r="O2583" i="2"/>
  <c r="T2582" i="2"/>
  <c r="S2582" i="2"/>
  <c r="R2582" i="2"/>
  <c r="Q2582" i="2"/>
  <c r="P2582" i="2"/>
  <c r="O2582" i="2"/>
  <c r="T2581" i="2"/>
  <c r="S2581" i="2"/>
  <c r="R2581" i="2"/>
  <c r="Q2581" i="2"/>
  <c r="P2581" i="2"/>
  <c r="O2581" i="2"/>
  <c r="T2580" i="2"/>
  <c r="S2580" i="2"/>
  <c r="R2580" i="2"/>
  <c r="Q2580" i="2"/>
  <c r="P2580" i="2"/>
  <c r="O2580" i="2"/>
  <c r="T2579" i="2"/>
  <c r="S2579" i="2"/>
  <c r="R2579" i="2"/>
  <c r="Q2579" i="2"/>
  <c r="P2579" i="2"/>
  <c r="O2579" i="2"/>
  <c r="T2578" i="2"/>
  <c r="S2578" i="2"/>
  <c r="R2578" i="2"/>
  <c r="Q2578" i="2"/>
  <c r="P2578" i="2"/>
  <c r="O2578" i="2"/>
  <c r="T2577" i="2"/>
  <c r="S2577" i="2"/>
  <c r="R2577" i="2"/>
  <c r="Q2577" i="2"/>
  <c r="P2577" i="2"/>
  <c r="O2577" i="2"/>
  <c r="T2576" i="2"/>
  <c r="S2576" i="2"/>
  <c r="R2576" i="2"/>
  <c r="Q2576" i="2"/>
  <c r="P2576" i="2"/>
  <c r="O2576" i="2"/>
  <c r="T2575" i="2"/>
  <c r="S2575" i="2"/>
  <c r="R2575" i="2"/>
  <c r="Q2575" i="2"/>
  <c r="P2575" i="2"/>
  <c r="O2575" i="2"/>
  <c r="T2574" i="2"/>
  <c r="S2574" i="2"/>
  <c r="R2574" i="2"/>
  <c r="Q2574" i="2"/>
  <c r="P2574" i="2"/>
  <c r="O2574" i="2"/>
  <c r="T2573" i="2"/>
  <c r="S2573" i="2"/>
  <c r="R2573" i="2"/>
  <c r="Q2573" i="2"/>
  <c r="P2573" i="2"/>
  <c r="O2573" i="2"/>
  <c r="T2572" i="2"/>
  <c r="S2572" i="2"/>
  <c r="R2572" i="2"/>
  <c r="Q2572" i="2"/>
  <c r="P2572" i="2"/>
  <c r="O2572" i="2"/>
  <c r="T2571" i="2"/>
  <c r="S2571" i="2"/>
  <c r="R2571" i="2"/>
  <c r="Q2571" i="2"/>
  <c r="P2571" i="2"/>
  <c r="O2571" i="2"/>
  <c r="T2570" i="2"/>
  <c r="S2570" i="2"/>
  <c r="R2570" i="2"/>
  <c r="Q2570" i="2"/>
  <c r="P2570" i="2"/>
  <c r="O2570" i="2"/>
  <c r="T2569" i="2"/>
  <c r="S2569" i="2"/>
  <c r="R2569" i="2"/>
  <c r="Q2569" i="2"/>
  <c r="P2569" i="2"/>
  <c r="O2569" i="2"/>
  <c r="T2568" i="2"/>
  <c r="S2568" i="2"/>
  <c r="R2568" i="2"/>
  <c r="Q2568" i="2"/>
  <c r="P2568" i="2"/>
  <c r="O2568" i="2"/>
  <c r="T2567" i="2"/>
  <c r="S2567" i="2"/>
  <c r="R2567" i="2"/>
  <c r="Q2567" i="2"/>
  <c r="P2567" i="2"/>
  <c r="O2567" i="2"/>
  <c r="T2566" i="2"/>
  <c r="S2566" i="2"/>
  <c r="R2566" i="2"/>
  <c r="Q2566" i="2"/>
  <c r="P2566" i="2"/>
  <c r="O2566" i="2"/>
  <c r="T2565" i="2"/>
  <c r="S2565" i="2"/>
  <c r="R2565" i="2"/>
  <c r="Q2565" i="2"/>
  <c r="P2565" i="2"/>
  <c r="O2565" i="2"/>
  <c r="T2564" i="2"/>
  <c r="S2564" i="2"/>
  <c r="R2564" i="2"/>
  <c r="Q2564" i="2"/>
  <c r="P2564" i="2"/>
  <c r="O2564" i="2"/>
  <c r="T2563" i="2"/>
  <c r="S2563" i="2"/>
  <c r="R2563" i="2"/>
  <c r="Q2563" i="2"/>
  <c r="P2563" i="2"/>
  <c r="O2563" i="2"/>
  <c r="T2562" i="2"/>
  <c r="S2562" i="2"/>
  <c r="R2562" i="2"/>
  <c r="Q2562" i="2"/>
  <c r="P2562" i="2"/>
  <c r="O2562" i="2"/>
  <c r="T2561" i="2"/>
  <c r="S2561" i="2"/>
  <c r="R2561" i="2"/>
  <c r="Q2561" i="2"/>
  <c r="P2561" i="2"/>
  <c r="O2561" i="2"/>
  <c r="T2560" i="2"/>
  <c r="S2560" i="2"/>
  <c r="R2560" i="2"/>
  <c r="Q2560" i="2"/>
  <c r="P2560" i="2"/>
  <c r="O2560" i="2"/>
  <c r="T2559" i="2"/>
  <c r="S2559" i="2"/>
  <c r="R2559" i="2"/>
  <c r="Q2559" i="2"/>
  <c r="P2559" i="2"/>
  <c r="O2559" i="2"/>
  <c r="T2558" i="2"/>
  <c r="S2558" i="2"/>
  <c r="R2558" i="2"/>
  <c r="Q2558" i="2"/>
  <c r="P2558" i="2"/>
  <c r="O2558" i="2"/>
  <c r="T2557" i="2"/>
  <c r="S2557" i="2"/>
  <c r="R2557" i="2"/>
  <c r="Q2557" i="2"/>
  <c r="P2557" i="2"/>
  <c r="O2557" i="2"/>
  <c r="T2556" i="2"/>
  <c r="S2556" i="2"/>
  <c r="R2556" i="2"/>
  <c r="Q2556" i="2"/>
  <c r="P2556" i="2"/>
  <c r="O2556" i="2"/>
  <c r="T2555" i="2"/>
  <c r="S2555" i="2"/>
  <c r="R2555" i="2"/>
  <c r="Q2555" i="2"/>
  <c r="P2555" i="2"/>
  <c r="O2555" i="2"/>
  <c r="T2554" i="2"/>
  <c r="S2554" i="2"/>
  <c r="R2554" i="2"/>
  <c r="Q2554" i="2"/>
  <c r="P2554" i="2"/>
  <c r="O2554" i="2"/>
  <c r="T2553" i="2"/>
  <c r="S2553" i="2"/>
  <c r="R2553" i="2"/>
  <c r="Q2553" i="2"/>
  <c r="P2553" i="2"/>
  <c r="O2553" i="2"/>
  <c r="T2552" i="2"/>
  <c r="S2552" i="2"/>
  <c r="R2552" i="2"/>
  <c r="Q2552" i="2"/>
  <c r="P2552" i="2"/>
  <c r="O2552" i="2"/>
  <c r="T2551" i="2"/>
  <c r="S2551" i="2"/>
  <c r="R2551" i="2"/>
  <c r="Q2551" i="2"/>
  <c r="P2551" i="2"/>
  <c r="O2551" i="2"/>
  <c r="T2550" i="2"/>
  <c r="S2550" i="2"/>
  <c r="R2550" i="2"/>
  <c r="Q2550" i="2"/>
  <c r="P2550" i="2"/>
  <c r="O2550" i="2"/>
  <c r="T2549" i="2"/>
  <c r="S2549" i="2"/>
  <c r="R2549" i="2"/>
  <c r="Q2549" i="2"/>
  <c r="P2549" i="2"/>
  <c r="O2549" i="2"/>
  <c r="T2548" i="2"/>
  <c r="S2548" i="2"/>
  <c r="R2548" i="2"/>
  <c r="Q2548" i="2"/>
  <c r="P2548" i="2"/>
  <c r="O2548" i="2"/>
  <c r="T2547" i="2"/>
  <c r="S2547" i="2"/>
  <c r="R2547" i="2"/>
  <c r="Q2547" i="2"/>
  <c r="P2547" i="2"/>
  <c r="O2547" i="2"/>
  <c r="T2546" i="2"/>
  <c r="S2546" i="2"/>
  <c r="R2546" i="2"/>
  <c r="Q2546" i="2"/>
  <c r="P2546" i="2"/>
  <c r="O2546" i="2"/>
  <c r="T2545" i="2"/>
  <c r="S2545" i="2"/>
  <c r="R2545" i="2"/>
  <c r="Q2545" i="2"/>
  <c r="P2545" i="2"/>
  <c r="O2545" i="2"/>
  <c r="T2544" i="2"/>
  <c r="S2544" i="2"/>
  <c r="R2544" i="2"/>
  <c r="Q2544" i="2"/>
  <c r="P2544" i="2"/>
  <c r="O2544" i="2"/>
  <c r="T2543" i="2"/>
  <c r="S2543" i="2"/>
  <c r="R2543" i="2"/>
  <c r="Q2543" i="2"/>
  <c r="P2543" i="2"/>
  <c r="O2543" i="2"/>
  <c r="T2542" i="2"/>
  <c r="S2542" i="2"/>
  <c r="R2542" i="2"/>
  <c r="Q2542" i="2"/>
  <c r="P2542" i="2"/>
  <c r="O2542" i="2"/>
  <c r="T2541" i="2"/>
  <c r="S2541" i="2"/>
  <c r="R2541" i="2"/>
  <c r="Q2541" i="2"/>
  <c r="P2541" i="2"/>
  <c r="O2541" i="2"/>
  <c r="T2540" i="2"/>
  <c r="S2540" i="2"/>
  <c r="R2540" i="2"/>
  <c r="Q2540" i="2"/>
  <c r="P2540" i="2"/>
  <c r="O2540" i="2"/>
  <c r="T2539" i="2"/>
  <c r="S2539" i="2"/>
  <c r="R2539" i="2"/>
  <c r="Q2539" i="2"/>
  <c r="P2539" i="2"/>
  <c r="O2539" i="2"/>
  <c r="T2538" i="2"/>
  <c r="S2538" i="2"/>
  <c r="R2538" i="2"/>
  <c r="Q2538" i="2"/>
  <c r="P2538" i="2"/>
  <c r="O2538" i="2"/>
  <c r="T2537" i="2"/>
  <c r="S2537" i="2"/>
  <c r="R2537" i="2"/>
  <c r="Q2537" i="2"/>
  <c r="P2537" i="2"/>
  <c r="O2537" i="2"/>
  <c r="T2536" i="2"/>
  <c r="S2536" i="2"/>
  <c r="R2536" i="2"/>
  <c r="Q2536" i="2"/>
  <c r="P2536" i="2"/>
  <c r="O2536" i="2"/>
  <c r="T2535" i="2"/>
  <c r="S2535" i="2"/>
  <c r="R2535" i="2"/>
  <c r="Q2535" i="2"/>
  <c r="P2535" i="2"/>
  <c r="O2535" i="2"/>
  <c r="T2534" i="2"/>
  <c r="S2534" i="2"/>
  <c r="R2534" i="2"/>
  <c r="Q2534" i="2"/>
  <c r="P2534" i="2"/>
  <c r="O2534" i="2"/>
  <c r="T2533" i="2"/>
  <c r="S2533" i="2"/>
  <c r="R2533" i="2"/>
  <c r="Q2533" i="2"/>
  <c r="P2533" i="2"/>
  <c r="O2533" i="2"/>
  <c r="T2532" i="2"/>
  <c r="S2532" i="2"/>
  <c r="R2532" i="2"/>
  <c r="Q2532" i="2"/>
  <c r="P2532" i="2"/>
  <c r="O2532" i="2"/>
  <c r="T2531" i="2"/>
  <c r="S2531" i="2"/>
  <c r="R2531" i="2"/>
  <c r="Q2531" i="2"/>
  <c r="P2531" i="2"/>
  <c r="O2531" i="2"/>
  <c r="T2530" i="2"/>
  <c r="S2530" i="2"/>
  <c r="R2530" i="2"/>
  <c r="Q2530" i="2"/>
  <c r="P2530" i="2"/>
  <c r="O2530" i="2"/>
  <c r="T2529" i="2"/>
  <c r="S2529" i="2"/>
  <c r="R2529" i="2"/>
  <c r="Q2529" i="2"/>
  <c r="P2529" i="2"/>
  <c r="O2529" i="2"/>
  <c r="T2528" i="2"/>
  <c r="S2528" i="2"/>
  <c r="R2528" i="2"/>
  <c r="Q2528" i="2"/>
  <c r="P2528" i="2"/>
  <c r="O2528" i="2"/>
  <c r="T2527" i="2"/>
  <c r="S2527" i="2"/>
  <c r="R2527" i="2"/>
  <c r="Q2527" i="2"/>
  <c r="P2527" i="2"/>
  <c r="O2527" i="2"/>
  <c r="T2526" i="2"/>
  <c r="S2526" i="2"/>
  <c r="R2526" i="2"/>
  <c r="Q2526" i="2"/>
  <c r="P2526" i="2"/>
  <c r="O2526" i="2"/>
  <c r="T2525" i="2"/>
  <c r="S2525" i="2"/>
  <c r="R2525" i="2"/>
  <c r="Q2525" i="2"/>
  <c r="P2525" i="2"/>
  <c r="O2525" i="2"/>
  <c r="T2524" i="2"/>
  <c r="S2524" i="2"/>
  <c r="R2524" i="2"/>
  <c r="Q2524" i="2"/>
  <c r="P2524" i="2"/>
  <c r="O2524" i="2"/>
  <c r="T2523" i="2"/>
  <c r="S2523" i="2"/>
  <c r="R2523" i="2"/>
  <c r="Q2523" i="2"/>
  <c r="P2523" i="2"/>
  <c r="O2523" i="2"/>
  <c r="T2522" i="2"/>
  <c r="S2522" i="2"/>
  <c r="R2522" i="2"/>
  <c r="Q2522" i="2"/>
  <c r="P2522" i="2"/>
  <c r="O2522" i="2"/>
  <c r="T2521" i="2"/>
  <c r="S2521" i="2"/>
  <c r="R2521" i="2"/>
  <c r="Q2521" i="2"/>
  <c r="P2521" i="2"/>
  <c r="O2521" i="2"/>
  <c r="T2520" i="2"/>
  <c r="S2520" i="2"/>
  <c r="R2520" i="2"/>
  <c r="Q2520" i="2"/>
  <c r="P2520" i="2"/>
  <c r="O2520" i="2"/>
  <c r="T2519" i="2"/>
  <c r="S2519" i="2"/>
  <c r="R2519" i="2"/>
  <c r="Q2519" i="2"/>
  <c r="P2519" i="2"/>
  <c r="O2519" i="2"/>
  <c r="T2518" i="2"/>
  <c r="S2518" i="2"/>
  <c r="R2518" i="2"/>
  <c r="Q2518" i="2"/>
  <c r="P2518" i="2"/>
  <c r="O2518" i="2"/>
  <c r="T2517" i="2"/>
  <c r="S2517" i="2"/>
  <c r="R2517" i="2"/>
  <c r="Q2517" i="2"/>
  <c r="P2517" i="2"/>
  <c r="O2517" i="2"/>
  <c r="T2516" i="2"/>
  <c r="S2516" i="2"/>
  <c r="R2516" i="2"/>
  <c r="Q2516" i="2"/>
  <c r="P2516" i="2"/>
  <c r="O2516" i="2"/>
  <c r="T2515" i="2"/>
  <c r="S2515" i="2"/>
  <c r="R2515" i="2"/>
  <c r="Q2515" i="2"/>
  <c r="P2515" i="2"/>
  <c r="O2515" i="2"/>
  <c r="T2514" i="2"/>
  <c r="S2514" i="2"/>
  <c r="R2514" i="2"/>
  <c r="Q2514" i="2"/>
  <c r="P2514" i="2"/>
  <c r="O2514" i="2"/>
  <c r="T2513" i="2"/>
  <c r="S2513" i="2"/>
  <c r="R2513" i="2"/>
  <c r="Q2513" i="2"/>
  <c r="P2513" i="2"/>
  <c r="O2513" i="2"/>
  <c r="T2512" i="2"/>
  <c r="S2512" i="2"/>
  <c r="R2512" i="2"/>
  <c r="Q2512" i="2"/>
  <c r="P2512" i="2"/>
  <c r="O2512" i="2"/>
  <c r="T2511" i="2"/>
  <c r="S2511" i="2"/>
  <c r="R2511" i="2"/>
  <c r="Q2511" i="2"/>
  <c r="P2511" i="2"/>
  <c r="O2511" i="2"/>
  <c r="T2510" i="2"/>
  <c r="S2510" i="2"/>
  <c r="R2510" i="2"/>
  <c r="Q2510" i="2"/>
  <c r="P2510" i="2"/>
  <c r="O2510" i="2"/>
  <c r="T2509" i="2"/>
  <c r="S2509" i="2"/>
  <c r="R2509" i="2"/>
  <c r="Q2509" i="2"/>
  <c r="P2509" i="2"/>
  <c r="O2509" i="2"/>
  <c r="T2508" i="2"/>
  <c r="S2508" i="2"/>
  <c r="R2508" i="2"/>
  <c r="Q2508" i="2"/>
  <c r="P2508" i="2"/>
  <c r="O2508" i="2"/>
  <c r="T2507" i="2"/>
  <c r="S2507" i="2"/>
  <c r="R2507" i="2"/>
  <c r="Q2507" i="2"/>
  <c r="P2507" i="2"/>
  <c r="O2507" i="2"/>
  <c r="T2506" i="2"/>
  <c r="S2506" i="2"/>
  <c r="R2506" i="2"/>
  <c r="Q2506" i="2"/>
  <c r="P2506" i="2"/>
  <c r="O2506" i="2"/>
  <c r="T2505" i="2"/>
  <c r="S2505" i="2"/>
  <c r="R2505" i="2"/>
  <c r="Q2505" i="2"/>
  <c r="P2505" i="2"/>
  <c r="O2505" i="2"/>
  <c r="T2504" i="2"/>
  <c r="S2504" i="2"/>
  <c r="R2504" i="2"/>
  <c r="Q2504" i="2"/>
  <c r="P2504" i="2"/>
  <c r="O2504" i="2"/>
  <c r="T2503" i="2"/>
  <c r="S2503" i="2"/>
  <c r="R2503" i="2"/>
  <c r="Q2503" i="2"/>
  <c r="P2503" i="2"/>
  <c r="O2503" i="2"/>
  <c r="T2502" i="2"/>
  <c r="S2502" i="2"/>
  <c r="R2502" i="2"/>
  <c r="Q2502" i="2"/>
  <c r="P2502" i="2"/>
  <c r="O2502" i="2"/>
  <c r="T2501" i="2"/>
  <c r="S2501" i="2"/>
  <c r="R2501" i="2"/>
  <c r="Q2501" i="2"/>
  <c r="P2501" i="2"/>
  <c r="O2501" i="2"/>
  <c r="T2500" i="2"/>
  <c r="S2500" i="2"/>
  <c r="R2500" i="2"/>
  <c r="Q2500" i="2"/>
  <c r="P2500" i="2"/>
  <c r="O2500" i="2"/>
  <c r="T2499" i="2"/>
  <c r="S2499" i="2"/>
  <c r="R2499" i="2"/>
  <c r="Q2499" i="2"/>
  <c r="P2499" i="2"/>
  <c r="O2499" i="2"/>
  <c r="T2498" i="2"/>
  <c r="S2498" i="2"/>
  <c r="R2498" i="2"/>
  <c r="Q2498" i="2"/>
  <c r="P2498" i="2"/>
  <c r="O2498" i="2"/>
  <c r="T2497" i="2"/>
  <c r="S2497" i="2"/>
  <c r="R2497" i="2"/>
  <c r="Q2497" i="2"/>
  <c r="P2497" i="2"/>
  <c r="O2497" i="2"/>
  <c r="T2496" i="2"/>
  <c r="S2496" i="2"/>
  <c r="R2496" i="2"/>
  <c r="Q2496" i="2"/>
  <c r="P2496" i="2"/>
  <c r="O2496" i="2"/>
  <c r="T2495" i="2"/>
  <c r="S2495" i="2"/>
  <c r="R2495" i="2"/>
  <c r="Q2495" i="2"/>
  <c r="P2495" i="2"/>
  <c r="O2495" i="2"/>
  <c r="T2494" i="2"/>
  <c r="S2494" i="2"/>
  <c r="R2494" i="2"/>
  <c r="Q2494" i="2"/>
  <c r="P2494" i="2"/>
  <c r="O2494" i="2"/>
  <c r="T2493" i="2"/>
  <c r="S2493" i="2"/>
  <c r="R2493" i="2"/>
  <c r="Q2493" i="2"/>
  <c r="P2493" i="2"/>
  <c r="O2493" i="2"/>
  <c r="T2492" i="2"/>
  <c r="S2492" i="2"/>
  <c r="R2492" i="2"/>
  <c r="Q2492" i="2"/>
  <c r="P2492" i="2"/>
  <c r="O2492" i="2"/>
  <c r="T2491" i="2"/>
  <c r="S2491" i="2"/>
  <c r="R2491" i="2"/>
  <c r="Q2491" i="2"/>
  <c r="P2491" i="2"/>
  <c r="O2491" i="2"/>
  <c r="T2490" i="2"/>
  <c r="S2490" i="2"/>
  <c r="R2490" i="2"/>
  <c r="Q2490" i="2"/>
  <c r="P2490" i="2"/>
  <c r="O2490" i="2"/>
  <c r="T2489" i="2"/>
  <c r="S2489" i="2"/>
  <c r="R2489" i="2"/>
  <c r="Q2489" i="2"/>
  <c r="P2489" i="2"/>
  <c r="O2489" i="2"/>
  <c r="T2488" i="2"/>
  <c r="S2488" i="2"/>
  <c r="R2488" i="2"/>
  <c r="Q2488" i="2"/>
  <c r="P2488" i="2"/>
  <c r="O2488" i="2"/>
  <c r="T2487" i="2"/>
  <c r="S2487" i="2"/>
  <c r="R2487" i="2"/>
  <c r="Q2487" i="2"/>
  <c r="P2487" i="2"/>
  <c r="O2487" i="2"/>
  <c r="T2486" i="2"/>
  <c r="S2486" i="2"/>
  <c r="R2486" i="2"/>
  <c r="Q2486" i="2"/>
  <c r="P2486" i="2"/>
  <c r="O2486" i="2"/>
  <c r="T2485" i="2"/>
  <c r="S2485" i="2"/>
  <c r="R2485" i="2"/>
  <c r="Q2485" i="2"/>
  <c r="P2485" i="2"/>
  <c r="O2485" i="2"/>
  <c r="T2484" i="2"/>
  <c r="S2484" i="2"/>
  <c r="R2484" i="2"/>
  <c r="Q2484" i="2"/>
  <c r="P2484" i="2"/>
  <c r="O2484" i="2"/>
  <c r="T2483" i="2"/>
  <c r="S2483" i="2"/>
  <c r="R2483" i="2"/>
  <c r="Q2483" i="2"/>
  <c r="P2483" i="2"/>
  <c r="O2483" i="2"/>
  <c r="T2482" i="2"/>
  <c r="S2482" i="2"/>
  <c r="R2482" i="2"/>
  <c r="Q2482" i="2"/>
  <c r="P2482" i="2"/>
  <c r="O2482" i="2"/>
  <c r="T2481" i="2"/>
  <c r="S2481" i="2"/>
  <c r="R2481" i="2"/>
  <c r="Q2481" i="2"/>
  <c r="P2481" i="2"/>
  <c r="O2481" i="2"/>
  <c r="T2480" i="2"/>
  <c r="S2480" i="2"/>
  <c r="R2480" i="2"/>
  <c r="Q2480" i="2"/>
  <c r="P2480" i="2"/>
  <c r="O2480" i="2"/>
  <c r="T2479" i="2"/>
  <c r="S2479" i="2"/>
  <c r="R2479" i="2"/>
  <c r="Q2479" i="2"/>
  <c r="P2479" i="2"/>
  <c r="O2479" i="2"/>
  <c r="T2478" i="2"/>
  <c r="S2478" i="2"/>
  <c r="R2478" i="2"/>
  <c r="Q2478" i="2"/>
  <c r="P2478" i="2"/>
  <c r="O2478" i="2"/>
  <c r="T2477" i="2"/>
  <c r="S2477" i="2"/>
  <c r="R2477" i="2"/>
  <c r="Q2477" i="2"/>
  <c r="P2477" i="2"/>
  <c r="O2477" i="2"/>
  <c r="T2476" i="2"/>
  <c r="S2476" i="2"/>
  <c r="R2476" i="2"/>
  <c r="Q2476" i="2"/>
  <c r="P2476" i="2"/>
  <c r="O2476" i="2"/>
  <c r="T2475" i="2"/>
  <c r="S2475" i="2"/>
  <c r="R2475" i="2"/>
  <c r="Q2475" i="2"/>
  <c r="P2475" i="2"/>
  <c r="O2475" i="2"/>
  <c r="T2474" i="2"/>
  <c r="S2474" i="2"/>
  <c r="R2474" i="2"/>
  <c r="Q2474" i="2"/>
  <c r="P2474" i="2"/>
  <c r="O2474" i="2"/>
  <c r="T2473" i="2"/>
  <c r="S2473" i="2"/>
  <c r="R2473" i="2"/>
  <c r="Q2473" i="2"/>
  <c r="P2473" i="2"/>
  <c r="O2473" i="2"/>
  <c r="T2472" i="2"/>
  <c r="S2472" i="2"/>
  <c r="R2472" i="2"/>
  <c r="Q2472" i="2"/>
  <c r="P2472" i="2"/>
  <c r="O2472" i="2"/>
  <c r="T2471" i="2"/>
  <c r="S2471" i="2"/>
  <c r="R2471" i="2"/>
  <c r="Q2471" i="2"/>
  <c r="P2471" i="2"/>
  <c r="O2471" i="2"/>
  <c r="T2470" i="2"/>
  <c r="S2470" i="2"/>
  <c r="R2470" i="2"/>
  <c r="Q2470" i="2"/>
  <c r="P2470" i="2"/>
  <c r="O2470" i="2"/>
  <c r="T2469" i="2"/>
  <c r="S2469" i="2"/>
  <c r="R2469" i="2"/>
  <c r="Q2469" i="2"/>
  <c r="P2469" i="2"/>
  <c r="O2469" i="2"/>
  <c r="T2468" i="2"/>
  <c r="S2468" i="2"/>
  <c r="R2468" i="2"/>
  <c r="Q2468" i="2"/>
  <c r="P2468" i="2"/>
  <c r="O2468" i="2"/>
  <c r="T2467" i="2"/>
  <c r="S2467" i="2"/>
  <c r="R2467" i="2"/>
  <c r="Q2467" i="2"/>
  <c r="P2467" i="2"/>
  <c r="O2467" i="2"/>
  <c r="T2466" i="2"/>
  <c r="S2466" i="2"/>
  <c r="R2466" i="2"/>
  <c r="Q2466" i="2"/>
  <c r="P2466" i="2"/>
  <c r="O2466" i="2"/>
  <c r="T2465" i="2"/>
  <c r="S2465" i="2"/>
  <c r="R2465" i="2"/>
  <c r="Q2465" i="2"/>
  <c r="P2465" i="2"/>
  <c r="O2465" i="2"/>
  <c r="T2464" i="2"/>
  <c r="S2464" i="2"/>
  <c r="R2464" i="2"/>
  <c r="Q2464" i="2"/>
  <c r="P2464" i="2"/>
  <c r="O2464" i="2"/>
  <c r="T2463" i="2"/>
  <c r="S2463" i="2"/>
  <c r="R2463" i="2"/>
  <c r="Q2463" i="2"/>
  <c r="P2463" i="2"/>
  <c r="O2463" i="2"/>
  <c r="T2462" i="2"/>
  <c r="S2462" i="2"/>
  <c r="R2462" i="2"/>
  <c r="Q2462" i="2"/>
  <c r="P2462" i="2"/>
  <c r="O2462" i="2"/>
  <c r="T2461" i="2"/>
  <c r="S2461" i="2"/>
  <c r="R2461" i="2"/>
  <c r="Q2461" i="2"/>
  <c r="P2461" i="2"/>
  <c r="O2461" i="2"/>
  <c r="T2460" i="2"/>
  <c r="S2460" i="2"/>
  <c r="R2460" i="2"/>
  <c r="Q2460" i="2"/>
  <c r="P2460" i="2"/>
  <c r="O2460" i="2"/>
  <c r="T2459" i="2"/>
  <c r="S2459" i="2"/>
  <c r="R2459" i="2"/>
  <c r="Q2459" i="2"/>
  <c r="P2459" i="2"/>
  <c r="O2459" i="2"/>
  <c r="T2458" i="2"/>
  <c r="S2458" i="2"/>
  <c r="R2458" i="2"/>
  <c r="Q2458" i="2"/>
  <c r="P2458" i="2"/>
  <c r="O2458" i="2"/>
  <c r="T2457" i="2"/>
  <c r="S2457" i="2"/>
  <c r="R2457" i="2"/>
  <c r="Q2457" i="2"/>
  <c r="P2457" i="2"/>
  <c r="O2457" i="2"/>
  <c r="T2456" i="2"/>
  <c r="S2456" i="2"/>
  <c r="R2456" i="2"/>
  <c r="Q2456" i="2"/>
  <c r="P2456" i="2"/>
  <c r="O2456" i="2"/>
  <c r="T2455" i="2"/>
  <c r="S2455" i="2"/>
  <c r="R2455" i="2"/>
  <c r="Q2455" i="2"/>
  <c r="P2455" i="2"/>
  <c r="O2455" i="2"/>
  <c r="T2454" i="2"/>
  <c r="S2454" i="2"/>
  <c r="R2454" i="2"/>
  <c r="Q2454" i="2"/>
  <c r="P2454" i="2"/>
  <c r="O2454" i="2"/>
  <c r="T2453" i="2"/>
  <c r="S2453" i="2"/>
  <c r="R2453" i="2"/>
  <c r="Q2453" i="2"/>
  <c r="P2453" i="2"/>
  <c r="O2453" i="2"/>
  <c r="T2452" i="2"/>
  <c r="S2452" i="2"/>
  <c r="R2452" i="2"/>
  <c r="Q2452" i="2"/>
  <c r="P2452" i="2"/>
  <c r="O2452" i="2"/>
  <c r="T2451" i="2"/>
  <c r="S2451" i="2"/>
  <c r="R2451" i="2"/>
  <c r="Q2451" i="2"/>
  <c r="P2451" i="2"/>
  <c r="O2451" i="2"/>
  <c r="T2450" i="2"/>
  <c r="S2450" i="2"/>
  <c r="R2450" i="2"/>
  <c r="Q2450" i="2"/>
  <c r="P2450" i="2"/>
  <c r="O2450" i="2"/>
  <c r="T2449" i="2"/>
  <c r="S2449" i="2"/>
  <c r="R2449" i="2"/>
  <c r="Q2449" i="2"/>
  <c r="P2449" i="2"/>
  <c r="O2449" i="2"/>
  <c r="T2448" i="2"/>
  <c r="S2448" i="2"/>
  <c r="R2448" i="2"/>
  <c r="Q2448" i="2"/>
  <c r="P2448" i="2"/>
  <c r="O2448" i="2"/>
  <c r="T2447" i="2"/>
  <c r="S2447" i="2"/>
  <c r="R2447" i="2"/>
  <c r="Q2447" i="2"/>
  <c r="P2447" i="2"/>
  <c r="O2447" i="2"/>
  <c r="T2446" i="2"/>
  <c r="S2446" i="2"/>
  <c r="R2446" i="2"/>
  <c r="Q2446" i="2"/>
  <c r="P2446" i="2"/>
  <c r="O2446" i="2"/>
  <c r="T2445" i="2"/>
  <c r="S2445" i="2"/>
  <c r="R2445" i="2"/>
  <c r="Q2445" i="2"/>
  <c r="P2445" i="2"/>
  <c r="O2445" i="2"/>
  <c r="T2444" i="2"/>
  <c r="S2444" i="2"/>
  <c r="R2444" i="2"/>
  <c r="Q2444" i="2"/>
  <c r="P2444" i="2"/>
  <c r="O2444" i="2"/>
  <c r="T2443" i="2"/>
  <c r="S2443" i="2"/>
  <c r="R2443" i="2"/>
  <c r="Q2443" i="2"/>
  <c r="P2443" i="2"/>
  <c r="O2443" i="2"/>
  <c r="T2442" i="2"/>
  <c r="S2442" i="2"/>
  <c r="R2442" i="2"/>
  <c r="Q2442" i="2"/>
  <c r="P2442" i="2"/>
  <c r="O2442" i="2"/>
  <c r="T2441" i="2"/>
  <c r="S2441" i="2"/>
  <c r="R2441" i="2"/>
  <c r="Q2441" i="2"/>
  <c r="P2441" i="2"/>
  <c r="O2441" i="2"/>
  <c r="T2440" i="2"/>
  <c r="S2440" i="2"/>
  <c r="R2440" i="2"/>
  <c r="Q2440" i="2"/>
  <c r="P2440" i="2"/>
  <c r="O2440" i="2"/>
  <c r="T2439" i="2"/>
  <c r="S2439" i="2"/>
  <c r="R2439" i="2"/>
  <c r="Q2439" i="2"/>
  <c r="P2439" i="2"/>
  <c r="O2439" i="2"/>
  <c r="T2438" i="2"/>
  <c r="S2438" i="2"/>
  <c r="R2438" i="2"/>
  <c r="Q2438" i="2"/>
  <c r="P2438" i="2"/>
  <c r="O2438" i="2"/>
  <c r="T2437" i="2"/>
  <c r="S2437" i="2"/>
  <c r="R2437" i="2"/>
  <c r="Q2437" i="2"/>
  <c r="P2437" i="2"/>
  <c r="O2437" i="2"/>
  <c r="T2436" i="2"/>
  <c r="S2436" i="2"/>
  <c r="R2436" i="2"/>
  <c r="Q2436" i="2"/>
  <c r="P2436" i="2"/>
  <c r="O2436" i="2"/>
  <c r="T2435" i="2"/>
  <c r="S2435" i="2"/>
  <c r="R2435" i="2"/>
  <c r="Q2435" i="2"/>
  <c r="P2435" i="2"/>
  <c r="O2435" i="2"/>
  <c r="T2434" i="2"/>
  <c r="S2434" i="2"/>
  <c r="R2434" i="2"/>
  <c r="Q2434" i="2"/>
  <c r="P2434" i="2"/>
  <c r="O2434" i="2"/>
  <c r="T2433" i="2"/>
  <c r="S2433" i="2"/>
  <c r="R2433" i="2"/>
  <c r="Q2433" i="2"/>
  <c r="P2433" i="2"/>
  <c r="O2433" i="2"/>
  <c r="T2432" i="2"/>
  <c r="S2432" i="2"/>
  <c r="R2432" i="2"/>
  <c r="Q2432" i="2"/>
  <c r="P2432" i="2"/>
  <c r="O2432" i="2"/>
  <c r="T2431" i="2"/>
  <c r="S2431" i="2"/>
  <c r="R2431" i="2"/>
  <c r="Q2431" i="2"/>
  <c r="P2431" i="2"/>
  <c r="O2431" i="2"/>
  <c r="T2430" i="2"/>
  <c r="S2430" i="2"/>
  <c r="R2430" i="2"/>
  <c r="Q2430" i="2"/>
  <c r="P2430" i="2"/>
  <c r="O2430" i="2"/>
  <c r="T2429" i="2"/>
  <c r="S2429" i="2"/>
  <c r="R2429" i="2"/>
  <c r="Q2429" i="2"/>
  <c r="P2429" i="2"/>
  <c r="O2429" i="2"/>
  <c r="T2428" i="2"/>
  <c r="S2428" i="2"/>
  <c r="R2428" i="2"/>
  <c r="Q2428" i="2"/>
  <c r="P2428" i="2"/>
  <c r="O2428" i="2"/>
  <c r="T2427" i="2"/>
  <c r="S2427" i="2"/>
  <c r="R2427" i="2"/>
  <c r="Q2427" i="2"/>
  <c r="P2427" i="2"/>
  <c r="O2427" i="2"/>
  <c r="T2426" i="2"/>
  <c r="S2426" i="2"/>
  <c r="R2426" i="2"/>
  <c r="Q2426" i="2"/>
  <c r="P2426" i="2"/>
  <c r="O2426" i="2"/>
  <c r="T2425" i="2"/>
  <c r="S2425" i="2"/>
  <c r="R2425" i="2"/>
  <c r="Q2425" i="2"/>
  <c r="P2425" i="2"/>
  <c r="O2425" i="2"/>
  <c r="T2424" i="2"/>
  <c r="S2424" i="2"/>
  <c r="R2424" i="2"/>
  <c r="Q2424" i="2"/>
  <c r="P2424" i="2"/>
  <c r="O2424" i="2"/>
  <c r="T2423" i="2"/>
  <c r="S2423" i="2"/>
  <c r="R2423" i="2"/>
  <c r="Q2423" i="2"/>
  <c r="P2423" i="2"/>
  <c r="O2423" i="2"/>
  <c r="T2422" i="2"/>
  <c r="S2422" i="2"/>
  <c r="R2422" i="2"/>
  <c r="Q2422" i="2"/>
  <c r="P2422" i="2"/>
  <c r="O2422" i="2"/>
  <c r="T2421" i="2"/>
  <c r="S2421" i="2"/>
  <c r="R2421" i="2"/>
  <c r="Q2421" i="2"/>
  <c r="P2421" i="2"/>
  <c r="O2421" i="2"/>
  <c r="T2420" i="2"/>
  <c r="S2420" i="2"/>
  <c r="R2420" i="2"/>
  <c r="Q2420" i="2"/>
  <c r="P2420" i="2"/>
  <c r="O2420" i="2"/>
  <c r="T2419" i="2"/>
  <c r="S2419" i="2"/>
  <c r="R2419" i="2"/>
  <c r="Q2419" i="2"/>
  <c r="P2419" i="2"/>
  <c r="O2419" i="2"/>
  <c r="T2418" i="2"/>
  <c r="S2418" i="2"/>
  <c r="R2418" i="2"/>
  <c r="Q2418" i="2"/>
  <c r="P2418" i="2"/>
  <c r="O2418" i="2"/>
  <c r="T2417" i="2"/>
  <c r="S2417" i="2"/>
  <c r="R2417" i="2"/>
  <c r="Q2417" i="2"/>
  <c r="P2417" i="2"/>
  <c r="O2417" i="2"/>
  <c r="T2416" i="2"/>
  <c r="S2416" i="2"/>
  <c r="R2416" i="2"/>
  <c r="Q2416" i="2"/>
  <c r="P2416" i="2"/>
  <c r="O2416" i="2"/>
  <c r="T2415" i="2"/>
  <c r="S2415" i="2"/>
  <c r="R2415" i="2"/>
  <c r="Q2415" i="2"/>
  <c r="P2415" i="2"/>
  <c r="O2415" i="2"/>
  <c r="T2414" i="2"/>
  <c r="S2414" i="2"/>
  <c r="R2414" i="2"/>
  <c r="Q2414" i="2"/>
  <c r="P2414" i="2"/>
  <c r="O2414" i="2"/>
  <c r="T2413" i="2"/>
  <c r="S2413" i="2"/>
  <c r="R2413" i="2"/>
  <c r="Q2413" i="2"/>
  <c r="P2413" i="2"/>
  <c r="O2413" i="2"/>
  <c r="T2412" i="2"/>
  <c r="S2412" i="2"/>
  <c r="R2412" i="2"/>
  <c r="Q2412" i="2"/>
  <c r="P2412" i="2"/>
  <c r="O2412" i="2"/>
  <c r="T2411" i="2"/>
  <c r="S2411" i="2"/>
  <c r="R2411" i="2"/>
  <c r="Q2411" i="2"/>
  <c r="P2411" i="2"/>
  <c r="O2411" i="2"/>
  <c r="T2410" i="2"/>
  <c r="S2410" i="2"/>
  <c r="R2410" i="2"/>
  <c r="Q2410" i="2"/>
  <c r="P2410" i="2"/>
  <c r="O2410" i="2"/>
  <c r="T2409" i="2"/>
  <c r="S2409" i="2"/>
  <c r="R2409" i="2"/>
  <c r="Q2409" i="2"/>
  <c r="P2409" i="2"/>
  <c r="O2409" i="2"/>
  <c r="T2408" i="2"/>
  <c r="S2408" i="2"/>
  <c r="R2408" i="2"/>
  <c r="Q2408" i="2"/>
  <c r="P2408" i="2"/>
  <c r="O2408" i="2"/>
  <c r="T2407" i="2"/>
  <c r="S2407" i="2"/>
  <c r="R2407" i="2"/>
  <c r="Q2407" i="2"/>
  <c r="P2407" i="2"/>
  <c r="O2407" i="2"/>
  <c r="T2406" i="2"/>
  <c r="S2406" i="2"/>
  <c r="R2406" i="2"/>
  <c r="Q2406" i="2"/>
  <c r="P2406" i="2"/>
  <c r="O2406" i="2"/>
  <c r="T2405" i="2"/>
  <c r="S2405" i="2"/>
  <c r="R2405" i="2"/>
  <c r="Q2405" i="2"/>
  <c r="P2405" i="2"/>
  <c r="O2405" i="2"/>
  <c r="T2404" i="2"/>
  <c r="S2404" i="2"/>
  <c r="R2404" i="2"/>
  <c r="Q2404" i="2"/>
  <c r="P2404" i="2"/>
  <c r="O2404" i="2"/>
  <c r="T2403" i="2"/>
  <c r="S2403" i="2"/>
  <c r="R2403" i="2"/>
  <c r="Q2403" i="2"/>
  <c r="P2403" i="2"/>
  <c r="O2403" i="2"/>
  <c r="T2402" i="2"/>
  <c r="S2402" i="2"/>
  <c r="R2402" i="2"/>
  <c r="Q2402" i="2"/>
  <c r="P2402" i="2"/>
  <c r="O2402" i="2"/>
  <c r="T2401" i="2"/>
  <c r="S2401" i="2"/>
  <c r="R2401" i="2"/>
  <c r="Q2401" i="2"/>
  <c r="P2401" i="2"/>
  <c r="O2401" i="2"/>
  <c r="T2400" i="2"/>
  <c r="S2400" i="2"/>
  <c r="R2400" i="2"/>
  <c r="Q2400" i="2"/>
  <c r="P2400" i="2"/>
  <c r="O2400" i="2"/>
  <c r="T2399" i="2"/>
  <c r="S2399" i="2"/>
  <c r="R2399" i="2"/>
  <c r="Q2399" i="2"/>
  <c r="P2399" i="2"/>
  <c r="O2399" i="2"/>
  <c r="T2398" i="2"/>
  <c r="S2398" i="2"/>
  <c r="R2398" i="2"/>
  <c r="Q2398" i="2"/>
  <c r="P2398" i="2"/>
  <c r="O2398" i="2"/>
  <c r="T2397" i="2"/>
  <c r="S2397" i="2"/>
  <c r="R2397" i="2"/>
  <c r="Q2397" i="2"/>
  <c r="P2397" i="2"/>
  <c r="O2397" i="2"/>
  <c r="T2396" i="2"/>
  <c r="S2396" i="2"/>
  <c r="R2396" i="2"/>
  <c r="Q2396" i="2"/>
  <c r="P2396" i="2"/>
  <c r="O2396" i="2"/>
  <c r="T2395" i="2"/>
  <c r="S2395" i="2"/>
  <c r="R2395" i="2"/>
  <c r="Q2395" i="2"/>
  <c r="P2395" i="2"/>
  <c r="O2395" i="2"/>
  <c r="T2394" i="2"/>
  <c r="S2394" i="2"/>
  <c r="R2394" i="2"/>
  <c r="Q2394" i="2"/>
  <c r="P2394" i="2"/>
  <c r="O2394" i="2"/>
  <c r="T2393" i="2"/>
  <c r="S2393" i="2"/>
  <c r="R2393" i="2"/>
  <c r="Q2393" i="2"/>
  <c r="P2393" i="2"/>
  <c r="O2393" i="2"/>
  <c r="T2392" i="2"/>
  <c r="S2392" i="2"/>
  <c r="R2392" i="2"/>
  <c r="Q2392" i="2"/>
  <c r="P2392" i="2"/>
  <c r="O2392" i="2"/>
  <c r="T2391" i="2"/>
  <c r="S2391" i="2"/>
  <c r="R2391" i="2"/>
  <c r="Q2391" i="2"/>
  <c r="P2391" i="2"/>
  <c r="O2391" i="2"/>
  <c r="T2390" i="2"/>
  <c r="S2390" i="2"/>
  <c r="R2390" i="2"/>
  <c r="Q2390" i="2"/>
  <c r="P2390" i="2"/>
  <c r="O2390" i="2"/>
  <c r="T2389" i="2"/>
  <c r="S2389" i="2"/>
  <c r="R2389" i="2"/>
  <c r="Q2389" i="2"/>
  <c r="P2389" i="2"/>
  <c r="O2389" i="2"/>
  <c r="T2388" i="2"/>
  <c r="S2388" i="2"/>
  <c r="R2388" i="2"/>
  <c r="Q2388" i="2"/>
  <c r="P2388" i="2"/>
  <c r="O2388" i="2"/>
  <c r="T2387" i="2"/>
  <c r="S2387" i="2"/>
  <c r="R2387" i="2"/>
  <c r="Q2387" i="2"/>
  <c r="P2387" i="2"/>
  <c r="O2387" i="2"/>
  <c r="T2386" i="2"/>
  <c r="S2386" i="2"/>
  <c r="R2386" i="2"/>
  <c r="Q2386" i="2"/>
  <c r="P2386" i="2"/>
  <c r="O2386" i="2"/>
  <c r="T2385" i="2"/>
  <c r="S2385" i="2"/>
  <c r="R2385" i="2"/>
  <c r="Q2385" i="2"/>
  <c r="P2385" i="2"/>
  <c r="O2385" i="2"/>
  <c r="T2384" i="2"/>
  <c r="S2384" i="2"/>
  <c r="R2384" i="2"/>
  <c r="Q2384" i="2"/>
  <c r="P2384" i="2"/>
  <c r="O2384" i="2"/>
  <c r="T2383" i="2"/>
  <c r="S2383" i="2"/>
  <c r="R2383" i="2"/>
  <c r="Q2383" i="2"/>
  <c r="P2383" i="2"/>
  <c r="O2383" i="2"/>
  <c r="T2382" i="2"/>
  <c r="S2382" i="2"/>
  <c r="R2382" i="2"/>
  <c r="Q2382" i="2"/>
  <c r="P2382" i="2"/>
  <c r="O2382" i="2"/>
  <c r="T2381" i="2"/>
  <c r="S2381" i="2"/>
  <c r="R2381" i="2"/>
  <c r="Q2381" i="2"/>
  <c r="P2381" i="2"/>
  <c r="O2381" i="2"/>
  <c r="T2380" i="2"/>
  <c r="S2380" i="2"/>
  <c r="R2380" i="2"/>
  <c r="Q2380" i="2"/>
  <c r="P2380" i="2"/>
  <c r="O2380" i="2"/>
  <c r="T2379" i="2"/>
  <c r="S2379" i="2"/>
  <c r="R2379" i="2"/>
  <c r="Q2379" i="2"/>
  <c r="P2379" i="2"/>
  <c r="O2379" i="2"/>
  <c r="T2378" i="2"/>
  <c r="S2378" i="2"/>
  <c r="R2378" i="2"/>
  <c r="Q2378" i="2"/>
  <c r="P2378" i="2"/>
  <c r="O2378" i="2"/>
  <c r="T2377" i="2"/>
  <c r="S2377" i="2"/>
  <c r="R2377" i="2"/>
  <c r="Q2377" i="2"/>
  <c r="P2377" i="2"/>
  <c r="O2377" i="2"/>
  <c r="T2376" i="2"/>
  <c r="S2376" i="2"/>
  <c r="R2376" i="2"/>
  <c r="Q2376" i="2"/>
  <c r="P2376" i="2"/>
  <c r="O2376" i="2"/>
  <c r="T2375" i="2"/>
  <c r="S2375" i="2"/>
  <c r="R2375" i="2"/>
  <c r="Q2375" i="2"/>
  <c r="P2375" i="2"/>
  <c r="O2375" i="2"/>
  <c r="T2374" i="2"/>
  <c r="S2374" i="2"/>
  <c r="R2374" i="2"/>
  <c r="Q2374" i="2"/>
  <c r="P2374" i="2"/>
  <c r="O2374" i="2"/>
  <c r="T2373" i="2"/>
  <c r="S2373" i="2"/>
  <c r="R2373" i="2"/>
  <c r="Q2373" i="2"/>
  <c r="P2373" i="2"/>
  <c r="O2373" i="2"/>
  <c r="T2372" i="2"/>
  <c r="S2372" i="2"/>
  <c r="R2372" i="2"/>
  <c r="Q2372" i="2"/>
  <c r="P2372" i="2"/>
  <c r="O2372" i="2"/>
  <c r="T2371" i="2"/>
  <c r="S2371" i="2"/>
  <c r="R2371" i="2"/>
  <c r="Q2371" i="2"/>
  <c r="P2371" i="2"/>
  <c r="O2371" i="2"/>
  <c r="T2370" i="2"/>
  <c r="S2370" i="2"/>
  <c r="R2370" i="2"/>
  <c r="Q2370" i="2"/>
  <c r="P2370" i="2"/>
  <c r="O2370" i="2"/>
  <c r="T2369" i="2"/>
  <c r="S2369" i="2"/>
  <c r="R2369" i="2"/>
  <c r="Q2369" i="2"/>
  <c r="P2369" i="2"/>
  <c r="O2369" i="2"/>
  <c r="T2368" i="2"/>
  <c r="S2368" i="2"/>
  <c r="R2368" i="2"/>
  <c r="Q2368" i="2"/>
  <c r="P2368" i="2"/>
  <c r="O2368" i="2"/>
  <c r="T2367" i="2"/>
  <c r="S2367" i="2"/>
  <c r="R2367" i="2"/>
  <c r="Q2367" i="2"/>
  <c r="P2367" i="2"/>
  <c r="O2367" i="2"/>
  <c r="T2366" i="2"/>
  <c r="S2366" i="2"/>
  <c r="R2366" i="2"/>
  <c r="Q2366" i="2"/>
  <c r="P2366" i="2"/>
  <c r="O2366" i="2"/>
  <c r="T2365" i="2"/>
  <c r="S2365" i="2"/>
  <c r="R2365" i="2"/>
  <c r="Q2365" i="2"/>
  <c r="P2365" i="2"/>
  <c r="O2365" i="2"/>
  <c r="T2364" i="2"/>
  <c r="S2364" i="2"/>
  <c r="R2364" i="2"/>
  <c r="Q2364" i="2"/>
  <c r="P2364" i="2"/>
  <c r="O2364" i="2"/>
  <c r="T2363" i="2"/>
  <c r="S2363" i="2"/>
  <c r="R2363" i="2"/>
  <c r="Q2363" i="2"/>
  <c r="P2363" i="2"/>
  <c r="O2363" i="2"/>
  <c r="T2362" i="2"/>
  <c r="S2362" i="2"/>
  <c r="R2362" i="2"/>
  <c r="Q2362" i="2"/>
  <c r="P2362" i="2"/>
  <c r="O2362" i="2"/>
  <c r="T2361" i="2"/>
  <c r="S2361" i="2"/>
  <c r="R2361" i="2"/>
  <c r="Q2361" i="2"/>
  <c r="P2361" i="2"/>
  <c r="O2361" i="2"/>
  <c r="T2360" i="2"/>
  <c r="S2360" i="2"/>
  <c r="R2360" i="2"/>
  <c r="Q2360" i="2"/>
  <c r="P2360" i="2"/>
  <c r="O2360" i="2"/>
  <c r="T2359" i="2"/>
  <c r="S2359" i="2"/>
  <c r="R2359" i="2"/>
  <c r="Q2359" i="2"/>
  <c r="P2359" i="2"/>
  <c r="O2359" i="2"/>
  <c r="T2358" i="2"/>
  <c r="S2358" i="2"/>
  <c r="R2358" i="2"/>
  <c r="Q2358" i="2"/>
  <c r="P2358" i="2"/>
  <c r="O2358" i="2"/>
  <c r="T2357" i="2"/>
  <c r="S2357" i="2"/>
  <c r="R2357" i="2"/>
  <c r="Q2357" i="2"/>
  <c r="P2357" i="2"/>
  <c r="O2357" i="2"/>
  <c r="T2356" i="2"/>
  <c r="S2356" i="2"/>
  <c r="R2356" i="2"/>
  <c r="Q2356" i="2"/>
  <c r="P2356" i="2"/>
  <c r="O2356" i="2"/>
  <c r="T2355" i="2"/>
  <c r="S2355" i="2"/>
  <c r="R2355" i="2"/>
  <c r="Q2355" i="2"/>
  <c r="P2355" i="2"/>
  <c r="O2355" i="2"/>
  <c r="T2354" i="2"/>
  <c r="S2354" i="2"/>
  <c r="R2354" i="2"/>
  <c r="Q2354" i="2"/>
  <c r="P2354" i="2"/>
  <c r="O2354" i="2"/>
  <c r="T2353" i="2"/>
  <c r="S2353" i="2"/>
  <c r="R2353" i="2"/>
  <c r="Q2353" i="2"/>
  <c r="P2353" i="2"/>
  <c r="O2353" i="2"/>
  <c r="T2352" i="2"/>
  <c r="S2352" i="2"/>
  <c r="R2352" i="2"/>
  <c r="Q2352" i="2"/>
  <c r="P2352" i="2"/>
  <c r="O2352" i="2"/>
  <c r="T2351" i="2"/>
  <c r="T2350" i="2"/>
  <c r="T2349" i="2"/>
  <c r="T2348" i="2"/>
  <c r="T2347" i="2"/>
  <c r="T2346" i="2"/>
  <c r="T2345" i="2"/>
  <c r="T2344" i="2"/>
  <c r="T2343" i="2"/>
  <c r="T2342" i="2"/>
  <c r="T2341" i="2"/>
  <c r="T2340" i="2"/>
  <c r="T2339" i="2"/>
  <c r="T2338" i="2"/>
  <c r="T2337" i="2"/>
  <c r="T2336" i="2"/>
  <c r="T2335" i="2"/>
  <c r="T2334" i="2"/>
  <c r="T2333" i="2"/>
  <c r="T2332" i="2"/>
  <c r="T2331" i="2"/>
  <c r="T2330" i="2"/>
  <c r="T2329" i="2"/>
  <c r="T2328" i="2"/>
  <c r="T2327" i="2"/>
  <c r="T2326" i="2"/>
  <c r="T2325" i="2"/>
  <c r="T2324" i="2"/>
  <c r="T2323" i="2"/>
  <c r="T2322" i="2"/>
  <c r="T2321" i="2"/>
  <c r="T2320" i="2"/>
  <c r="T2319" i="2"/>
  <c r="T2318" i="2"/>
  <c r="T2317" i="2"/>
  <c r="T2316" i="2"/>
  <c r="T2315" i="2"/>
  <c r="T2314" i="2"/>
  <c r="T2313" i="2"/>
  <c r="T2312" i="2"/>
  <c r="T2311" i="2"/>
  <c r="T2310" i="2"/>
  <c r="T2309" i="2"/>
  <c r="T2308" i="2"/>
  <c r="T2307" i="2"/>
  <c r="T2306" i="2"/>
  <c r="T2305" i="2"/>
  <c r="T2304" i="2"/>
  <c r="T2303" i="2"/>
  <c r="T2302" i="2"/>
  <c r="T2301" i="2"/>
  <c r="T2300" i="2"/>
  <c r="T2299" i="2"/>
  <c r="T2298" i="2"/>
  <c r="T2297" i="2"/>
  <c r="T2296" i="2"/>
  <c r="T2295" i="2"/>
  <c r="T2294" i="2"/>
  <c r="T2293" i="2"/>
  <c r="T2292" i="2"/>
  <c r="T2291" i="2"/>
  <c r="T2290" i="2"/>
  <c r="T2289" i="2"/>
  <c r="T2288" i="2"/>
  <c r="T2287" i="2"/>
  <c r="T2286" i="2"/>
  <c r="T2285" i="2"/>
  <c r="T2284" i="2"/>
  <c r="T2283" i="2"/>
  <c r="T2282" i="2"/>
  <c r="T2281" i="2"/>
  <c r="T2280" i="2"/>
  <c r="T2279" i="2"/>
  <c r="T2278" i="2"/>
  <c r="T2277" i="2"/>
  <c r="T2276" i="2"/>
  <c r="T2275" i="2"/>
  <c r="T2274" i="2"/>
  <c r="T2273" i="2"/>
  <c r="T2272" i="2"/>
  <c r="T2271" i="2"/>
  <c r="T2270" i="2"/>
  <c r="T2269" i="2"/>
  <c r="T2268" i="2"/>
  <c r="T2267" i="2"/>
  <c r="T2266" i="2"/>
  <c r="T2265" i="2"/>
  <c r="T2264" i="2"/>
  <c r="T2263" i="2"/>
  <c r="T2262" i="2"/>
  <c r="T2261" i="2"/>
  <c r="T2260" i="2"/>
  <c r="T2259" i="2"/>
  <c r="T2258" i="2"/>
  <c r="T2257" i="2"/>
  <c r="T2256" i="2"/>
  <c r="T2255" i="2"/>
  <c r="T2254" i="2"/>
  <c r="T2253" i="2"/>
  <c r="T2252" i="2"/>
  <c r="T2251" i="2"/>
  <c r="T2250" i="2"/>
  <c r="T2249" i="2"/>
  <c r="T2248" i="2"/>
  <c r="T2247" i="2"/>
  <c r="T2246" i="2"/>
  <c r="T2245" i="2"/>
  <c r="T2244" i="2"/>
  <c r="T2243" i="2"/>
  <c r="T2242" i="2"/>
  <c r="T2241" i="2"/>
  <c r="T2240" i="2"/>
  <c r="T2239" i="2"/>
  <c r="T2238" i="2"/>
  <c r="T2237" i="2"/>
  <c r="T2236" i="2"/>
  <c r="T2235" i="2"/>
  <c r="T2234" i="2"/>
  <c r="T2233" i="2"/>
  <c r="T2232" i="2"/>
  <c r="T2231" i="2"/>
  <c r="T2230" i="2"/>
  <c r="T2229" i="2"/>
  <c r="T2228" i="2"/>
  <c r="T2227" i="2"/>
  <c r="T2226" i="2"/>
  <c r="T2225" i="2"/>
  <c r="T2224" i="2"/>
  <c r="T2223" i="2"/>
  <c r="T2222" i="2"/>
  <c r="T2221" i="2"/>
  <c r="T2220" i="2"/>
  <c r="T2219" i="2"/>
  <c r="T2218" i="2"/>
  <c r="T2217" i="2"/>
  <c r="T2216" i="2"/>
  <c r="T2215" i="2"/>
  <c r="T2214" i="2"/>
  <c r="T2213" i="2"/>
  <c r="T2212" i="2"/>
  <c r="T2211" i="2"/>
  <c r="T2210" i="2"/>
  <c r="T2209" i="2"/>
  <c r="T2208" i="2"/>
  <c r="T2207" i="2"/>
  <c r="T2206" i="2"/>
  <c r="T2205" i="2"/>
  <c r="T2204" i="2"/>
  <c r="T2203" i="2"/>
  <c r="T2202" i="2"/>
  <c r="T2201" i="2"/>
  <c r="T2200" i="2"/>
  <c r="T2199" i="2"/>
  <c r="T2198" i="2"/>
  <c r="T2197" i="2"/>
  <c r="T2196" i="2"/>
  <c r="T2195" i="2"/>
  <c r="T2194" i="2"/>
  <c r="T2193" i="2"/>
  <c r="T2192" i="2"/>
  <c r="T2191" i="2"/>
  <c r="T2190" i="2"/>
  <c r="T2189" i="2"/>
  <c r="T2188" i="2"/>
  <c r="T2187" i="2"/>
  <c r="T2186" i="2"/>
  <c r="T2185" i="2"/>
  <c r="T2184" i="2"/>
  <c r="T2183" i="2"/>
  <c r="T2182" i="2"/>
  <c r="T2181" i="2"/>
  <c r="T2180" i="2"/>
  <c r="T2179" i="2"/>
  <c r="T2178" i="2"/>
  <c r="T2177" i="2"/>
  <c r="T2176" i="2"/>
  <c r="T2175" i="2"/>
  <c r="T2174" i="2"/>
  <c r="T2173" i="2"/>
  <c r="T2172" i="2"/>
  <c r="T2171" i="2"/>
  <c r="T2170" i="2"/>
  <c r="T2169" i="2"/>
  <c r="T2168" i="2"/>
  <c r="T2167" i="2"/>
  <c r="T2166" i="2"/>
  <c r="T2165" i="2"/>
  <c r="T2164" i="2"/>
  <c r="T2163" i="2"/>
  <c r="T2162" i="2"/>
  <c r="T2161" i="2"/>
  <c r="T2160" i="2"/>
  <c r="T2159" i="2"/>
  <c r="T2158" i="2"/>
  <c r="T2157" i="2"/>
  <c r="T2156" i="2"/>
  <c r="T2155" i="2"/>
  <c r="T2154" i="2"/>
  <c r="T2153" i="2"/>
  <c r="T2152" i="2"/>
  <c r="T2151" i="2"/>
  <c r="T2150" i="2"/>
  <c r="T2149" i="2"/>
  <c r="T2148" i="2"/>
  <c r="T2147" i="2"/>
  <c r="T2146" i="2"/>
  <c r="T2145" i="2"/>
  <c r="T2144" i="2"/>
  <c r="T2143" i="2"/>
  <c r="T2142" i="2"/>
  <c r="T2141" i="2"/>
  <c r="T2140" i="2"/>
  <c r="T2139" i="2"/>
  <c r="T2138" i="2"/>
  <c r="T2137" i="2"/>
  <c r="T2136" i="2"/>
  <c r="T2135" i="2"/>
  <c r="T2134" i="2"/>
  <c r="T2133" i="2"/>
  <c r="T2132" i="2"/>
  <c r="T2131" i="2"/>
  <c r="T2130" i="2"/>
  <c r="T2129" i="2"/>
  <c r="T2128" i="2"/>
  <c r="T2127" i="2"/>
  <c r="T2126" i="2"/>
  <c r="T2125" i="2"/>
  <c r="T2124" i="2"/>
  <c r="T2123" i="2"/>
  <c r="T2122" i="2"/>
  <c r="T2121" i="2"/>
  <c r="T2120" i="2"/>
  <c r="T2119" i="2"/>
  <c r="T2118" i="2"/>
  <c r="T2117" i="2"/>
  <c r="T2116" i="2"/>
  <c r="T2115" i="2"/>
  <c r="T2114" i="2"/>
  <c r="T2113" i="2"/>
  <c r="T2112" i="2"/>
  <c r="T2111" i="2"/>
  <c r="T2110" i="2"/>
  <c r="T2109" i="2"/>
  <c r="T2108" i="2"/>
  <c r="T2107" i="2"/>
  <c r="T2106" i="2"/>
  <c r="T2105" i="2"/>
  <c r="T2104" i="2"/>
  <c r="T2103" i="2"/>
  <c r="T2102" i="2"/>
  <c r="T2101" i="2"/>
  <c r="T2100" i="2"/>
  <c r="T2099" i="2"/>
  <c r="T2098" i="2"/>
  <c r="T2097" i="2"/>
  <c r="T2096" i="2"/>
  <c r="T2095" i="2"/>
  <c r="T2094" i="2"/>
  <c r="T2093" i="2"/>
  <c r="T2092" i="2"/>
  <c r="T2091" i="2"/>
  <c r="T2090" i="2"/>
  <c r="T2089" i="2"/>
  <c r="T2088" i="2"/>
  <c r="T2087" i="2"/>
  <c r="T2086" i="2"/>
  <c r="T2085" i="2"/>
  <c r="T2084" i="2"/>
  <c r="T2083" i="2"/>
  <c r="T2082" i="2"/>
  <c r="T2081" i="2"/>
  <c r="T2080" i="2"/>
  <c r="T2079" i="2"/>
  <c r="T2078" i="2"/>
  <c r="T2077" i="2"/>
  <c r="T2076" i="2"/>
  <c r="T2075" i="2"/>
  <c r="T2074" i="2"/>
  <c r="T2073" i="2"/>
  <c r="T2072" i="2"/>
  <c r="T2071" i="2"/>
  <c r="T2070" i="2"/>
  <c r="T2069" i="2"/>
  <c r="T2068" i="2"/>
  <c r="T2067" i="2"/>
  <c r="T2066" i="2"/>
  <c r="T2065" i="2"/>
  <c r="T2064" i="2"/>
  <c r="T2063" i="2"/>
  <c r="T2062" i="2"/>
  <c r="T2061" i="2"/>
  <c r="S2061" i="2"/>
  <c r="R2061" i="2"/>
  <c r="Q2061" i="2"/>
  <c r="P2061" i="2"/>
  <c r="O2061" i="2"/>
  <c r="T2060" i="2"/>
  <c r="S2060" i="2"/>
  <c r="R2060" i="2"/>
  <c r="Q2060" i="2"/>
  <c r="P2060" i="2"/>
  <c r="O2060" i="2"/>
  <c r="T2059" i="2"/>
  <c r="S2059" i="2"/>
  <c r="R2059" i="2"/>
  <c r="Q2059" i="2"/>
  <c r="P2059" i="2"/>
  <c r="O2059" i="2"/>
  <c r="T2058" i="2"/>
  <c r="S2058" i="2"/>
  <c r="R2058" i="2"/>
  <c r="Q2058" i="2"/>
  <c r="P2058" i="2"/>
  <c r="O2058" i="2"/>
  <c r="T2057" i="2"/>
  <c r="S2057" i="2"/>
  <c r="R2057" i="2"/>
  <c r="Q2057" i="2"/>
  <c r="P2057" i="2"/>
  <c r="O2057" i="2"/>
  <c r="T2056" i="2"/>
  <c r="S2056" i="2"/>
  <c r="R2056" i="2"/>
  <c r="Q2056" i="2"/>
  <c r="P2056" i="2"/>
  <c r="O2056" i="2"/>
  <c r="T2055" i="2"/>
  <c r="S2055" i="2"/>
  <c r="R2055" i="2"/>
  <c r="Q2055" i="2"/>
  <c r="P2055" i="2"/>
  <c r="O2055" i="2"/>
  <c r="T2054" i="2"/>
  <c r="S2054" i="2"/>
  <c r="R2054" i="2"/>
  <c r="Q2054" i="2"/>
  <c r="P2054" i="2"/>
  <c r="O2054" i="2"/>
  <c r="T2053" i="2"/>
  <c r="S2053" i="2"/>
  <c r="R2053" i="2"/>
  <c r="Q2053" i="2"/>
  <c r="P2053" i="2"/>
  <c r="O2053" i="2"/>
  <c r="T2052" i="2"/>
  <c r="S2052" i="2"/>
  <c r="R2052" i="2"/>
  <c r="Q2052" i="2"/>
  <c r="P2052" i="2"/>
  <c r="O2052" i="2"/>
  <c r="T2051" i="2"/>
  <c r="S2051" i="2"/>
  <c r="R2051" i="2"/>
  <c r="Q2051" i="2"/>
  <c r="P2051" i="2"/>
  <c r="O2051" i="2"/>
  <c r="T2050" i="2"/>
  <c r="S2050" i="2"/>
  <c r="R2050" i="2"/>
  <c r="Q2050" i="2"/>
  <c r="P2050" i="2"/>
  <c r="O2050" i="2"/>
  <c r="T2049" i="2"/>
  <c r="S2049" i="2"/>
  <c r="R2049" i="2"/>
  <c r="Q2049" i="2"/>
  <c r="P2049" i="2"/>
  <c r="O2049" i="2"/>
  <c r="T2048" i="2"/>
  <c r="S2048" i="2"/>
  <c r="R2048" i="2"/>
  <c r="Q2048" i="2"/>
  <c r="P2048" i="2"/>
  <c r="O2048" i="2"/>
  <c r="T2047" i="2"/>
  <c r="S2047" i="2"/>
  <c r="R2047" i="2"/>
  <c r="Q2047" i="2"/>
  <c r="P2047" i="2"/>
  <c r="O2047" i="2"/>
  <c r="T2046" i="2"/>
  <c r="S2046" i="2"/>
  <c r="R2046" i="2"/>
  <c r="Q2046" i="2"/>
  <c r="P2046" i="2"/>
  <c r="O2046" i="2"/>
  <c r="T2045" i="2"/>
  <c r="S2045" i="2"/>
  <c r="R2045" i="2"/>
  <c r="Q2045" i="2"/>
  <c r="P2045" i="2"/>
  <c r="O2045" i="2"/>
  <c r="T2044" i="2"/>
  <c r="S2044" i="2"/>
  <c r="R2044" i="2"/>
  <c r="Q2044" i="2"/>
  <c r="P2044" i="2"/>
  <c r="O2044" i="2"/>
  <c r="T2043" i="2"/>
  <c r="S2043" i="2"/>
  <c r="R2043" i="2"/>
  <c r="Q2043" i="2"/>
  <c r="P2043" i="2"/>
  <c r="O2043" i="2"/>
  <c r="T2042" i="2"/>
  <c r="S2042" i="2"/>
  <c r="R2042" i="2"/>
  <c r="Q2042" i="2"/>
  <c r="P2042" i="2"/>
  <c r="O2042" i="2"/>
  <c r="T2041" i="2"/>
  <c r="S2041" i="2"/>
  <c r="R2041" i="2"/>
  <c r="Q2041" i="2"/>
  <c r="P2041" i="2"/>
  <c r="O2041" i="2"/>
  <c r="T2040" i="2"/>
  <c r="S2040" i="2"/>
  <c r="R2040" i="2"/>
  <c r="Q2040" i="2"/>
  <c r="P2040" i="2"/>
  <c r="O2040" i="2"/>
  <c r="T2039" i="2"/>
  <c r="S2039" i="2"/>
  <c r="R2039" i="2"/>
  <c r="Q2039" i="2"/>
  <c r="P2039" i="2"/>
  <c r="O2039" i="2"/>
  <c r="T2038" i="2"/>
  <c r="T2037" i="2"/>
  <c r="T2036" i="2"/>
  <c r="T2035" i="2"/>
  <c r="T2034" i="2"/>
  <c r="T2033" i="2"/>
  <c r="S2033" i="2"/>
  <c r="R2033" i="2"/>
  <c r="Q2033" i="2"/>
  <c r="P2033" i="2"/>
  <c r="O2033" i="2"/>
  <c r="T2032" i="2"/>
  <c r="S2032" i="2"/>
  <c r="R2032" i="2"/>
  <c r="Q2032" i="2"/>
  <c r="P2032" i="2"/>
  <c r="O2032" i="2"/>
  <c r="T2031" i="2"/>
  <c r="S2031" i="2"/>
  <c r="R2031" i="2"/>
  <c r="Q2031" i="2"/>
  <c r="P2031" i="2"/>
  <c r="O2031" i="2"/>
  <c r="T2030" i="2"/>
  <c r="S2030" i="2"/>
  <c r="R2030" i="2"/>
  <c r="Q2030" i="2"/>
  <c r="P2030" i="2"/>
  <c r="O2030" i="2"/>
  <c r="T2029" i="2"/>
  <c r="S2029" i="2"/>
  <c r="R2029" i="2"/>
  <c r="Q2029" i="2"/>
  <c r="P2029" i="2"/>
  <c r="O2029" i="2"/>
  <c r="T2028" i="2"/>
  <c r="S2028" i="2"/>
  <c r="R2028" i="2"/>
  <c r="Q2028" i="2"/>
  <c r="P2028" i="2"/>
  <c r="O2028" i="2"/>
  <c r="T2027" i="2"/>
  <c r="S2027" i="2"/>
  <c r="R2027" i="2"/>
  <c r="Q2027" i="2"/>
  <c r="P2027" i="2"/>
  <c r="O2027" i="2"/>
  <c r="T2026" i="2"/>
  <c r="S2026" i="2"/>
  <c r="R2026" i="2"/>
  <c r="Q2026" i="2"/>
  <c r="P2026" i="2"/>
  <c r="O2026" i="2"/>
  <c r="T2025" i="2"/>
  <c r="S2025" i="2"/>
  <c r="R2025" i="2"/>
  <c r="Q2025" i="2"/>
  <c r="P2025" i="2"/>
  <c r="O2025" i="2"/>
  <c r="T2024" i="2"/>
  <c r="S2024" i="2"/>
  <c r="R2024" i="2"/>
  <c r="Q2024" i="2"/>
  <c r="P2024" i="2"/>
  <c r="O2024" i="2"/>
  <c r="T2023" i="2"/>
  <c r="S2023" i="2"/>
  <c r="R2023" i="2"/>
  <c r="Q2023" i="2"/>
  <c r="P2023" i="2"/>
  <c r="O2023" i="2"/>
  <c r="T2022" i="2"/>
  <c r="S2022" i="2"/>
  <c r="R2022" i="2"/>
  <c r="Q2022" i="2"/>
  <c r="P2022" i="2"/>
  <c r="O2022" i="2"/>
  <c r="T2021" i="2"/>
  <c r="S2021" i="2"/>
  <c r="R2021" i="2"/>
  <c r="Q2021" i="2"/>
  <c r="P2021" i="2"/>
  <c r="O2021" i="2"/>
  <c r="T2020" i="2"/>
  <c r="S2020" i="2"/>
  <c r="R2020" i="2"/>
  <c r="Q2020" i="2"/>
  <c r="P2020" i="2"/>
  <c r="O2020" i="2"/>
  <c r="T2019" i="2"/>
  <c r="S2019" i="2"/>
  <c r="R2019" i="2"/>
  <c r="Q2019" i="2"/>
  <c r="P2019" i="2"/>
  <c r="O2019" i="2"/>
  <c r="T2018" i="2"/>
  <c r="S2018" i="2"/>
  <c r="R2018" i="2"/>
  <c r="Q2018" i="2"/>
  <c r="P2018" i="2"/>
  <c r="O2018" i="2"/>
  <c r="T2017" i="2"/>
  <c r="S2017" i="2"/>
  <c r="R2017" i="2"/>
  <c r="Q2017" i="2"/>
  <c r="P2017" i="2"/>
  <c r="O2017" i="2"/>
  <c r="T2016" i="2"/>
  <c r="S2016" i="2"/>
  <c r="R2016" i="2"/>
  <c r="Q2016" i="2"/>
  <c r="P2016" i="2"/>
  <c r="O2016" i="2"/>
  <c r="T2015" i="2"/>
  <c r="S2015" i="2"/>
  <c r="R2015" i="2"/>
  <c r="Q2015" i="2"/>
  <c r="P2015" i="2"/>
  <c r="O2015" i="2"/>
  <c r="T2014" i="2"/>
  <c r="S2014" i="2"/>
  <c r="R2014" i="2"/>
  <c r="Q2014" i="2"/>
  <c r="P2014" i="2"/>
  <c r="O2014" i="2"/>
  <c r="T2013" i="2"/>
  <c r="S2013" i="2"/>
  <c r="R2013" i="2"/>
  <c r="Q2013" i="2"/>
  <c r="P2013" i="2"/>
  <c r="O2013" i="2"/>
  <c r="T2012" i="2"/>
  <c r="S2012" i="2"/>
  <c r="R2012" i="2"/>
  <c r="Q2012" i="2"/>
  <c r="P2012" i="2"/>
  <c r="O2012" i="2"/>
  <c r="T2011" i="2"/>
  <c r="S2011" i="2"/>
  <c r="R2011" i="2"/>
  <c r="Q2011" i="2"/>
  <c r="P2011" i="2"/>
  <c r="O2011" i="2"/>
  <c r="T2010" i="2"/>
  <c r="S2010" i="2"/>
  <c r="R2010" i="2"/>
  <c r="Q2010" i="2"/>
  <c r="P2010" i="2"/>
  <c r="O2010" i="2"/>
  <c r="T2009" i="2"/>
  <c r="S2009" i="2"/>
  <c r="R2009" i="2"/>
  <c r="Q2009" i="2"/>
  <c r="P2009" i="2"/>
  <c r="O2009" i="2"/>
  <c r="T2008" i="2"/>
  <c r="S2008" i="2"/>
  <c r="R2008" i="2"/>
  <c r="Q2008" i="2"/>
  <c r="P2008" i="2"/>
  <c r="O2008" i="2"/>
  <c r="T2007" i="2"/>
  <c r="S2007" i="2"/>
  <c r="R2007" i="2"/>
  <c r="Q2007" i="2"/>
  <c r="P2007" i="2"/>
  <c r="O2007" i="2"/>
  <c r="T2006" i="2"/>
  <c r="S2006" i="2"/>
  <c r="R2006" i="2"/>
  <c r="Q2006" i="2"/>
  <c r="P2006" i="2"/>
  <c r="O2006" i="2"/>
  <c r="T2005" i="2"/>
  <c r="S2005" i="2"/>
  <c r="R2005" i="2"/>
  <c r="Q2005" i="2"/>
  <c r="P2005" i="2"/>
  <c r="O2005" i="2"/>
  <c r="T2004" i="2"/>
  <c r="S2004" i="2"/>
  <c r="R2004" i="2"/>
  <c r="Q2004" i="2"/>
  <c r="P2004" i="2"/>
  <c r="O2004" i="2"/>
  <c r="T2003" i="2"/>
  <c r="S2003" i="2"/>
  <c r="R2003" i="2"/>
  <c r="Q2003" i="2"/>
  <c r="P2003" i="2"/>
  <c r="O2003" i="2"/>
  <c r="T2002" i="2"/>
  <c r="S2002" i="2"/>
  <c r="R2002" i="2"/>
  <c r="Q2002" i="2"/>
  <c r="P2002" i="2"/>
  <c r="O2002" i="2"/>
  <c r="T2001" i="2"/>
  <c r="S2001" i="2"/>
  <c r="R2001" i="2"/>
  <c r="Q2001" i="2"/>
  <c r="P2001" i="2"/>
  <c r="O2001" i="2"/>
  <c r="T2000" i="2"/>
  <c r="S2000" i="2"/>
  <c r="R2000" i="2"/>
  <c r="Q2000" i="2"/>
  <c r="P2000" i="2"/>
  <c r="O2000" i="2"/>
  <c r="T1999" i="2"/>
  <c r="S1999" i="2"/>
  <c r="R1999" i="2"/>
  <c r="Q1999" i="2"/>
  <c r="P1999" i="2"/>
  <c r="O1999" i="2"/>
  <c r="T1998" i="2"/>
  <c r="S1998" i="2"/>
  <c r="R1998" i="2"/>
  <c r="Q1998" i="2"/>
  <c r="P1998" i="2"/>
  <c r="O1998" i="2"/>
  <c r="T1997" i="2"/>
  <c r="S1997" i="2"/>
  <c r="R1997" i="2"/>
  <c r="Q1997" i="2"/>
  <c r="P1997" i="2"/>
  <c r="O1997" i="2"/>
  <c r="T1996" i="2"/>
  <c r="S1996" i="2"/>
  <c r="R1996" i="2"/>
  <c r="Q1996" i="2"/>
  <c r="P1996" i="2"/>
  <c r="O1996" i="2"/>
  <c r="T1995" i="2"/>
  <c r="S1995" i="2"/>
  <c r="R1995" i="2"/>
  <c r="Q1995" i="2"/>
  <c r="P1995" i="2"/>
  <c r="O1995" i="2"/>
  <c r="T1994" i="2"/>
  <c r="S1994" i="2"/>
  <c r="R1994" i="2"/>
  <c r="Q1994" i="2"/>
  <c r="P1994" i="2"/>
  <c r="O1994" i="2"/>
  <c r="T1993" i="2"/>
  <c r="S1993" i="2"/>
  <c r="R1993" i="2"/>
  <c r="Q1993" i="2"/>
  <c r="P1993" i="2"/>
  <c r="O1993" i="2"/>
  <c r="T1992" i="2"/>
  <c r="S1992" i="2"/>
  <c r="R1992" i="2"/>
  <c r="Q1992" i="2"/>
  <c r="P1992" i="2"/>
  <c r="O1992" i="2"/>
  <c r="T1991" i="2"/>
  <c r="S1991" i="2"/>
  <c r="R1991" i="2"/>
  <c r="Q1991" i="2"/>
  <c r="P1991" i="2"/>
  <c r="O1991" i="2"/>
  <c r="T1990" i="2"/>
  <c r="S1990" i="2"/>
  <c r="R1990" i="2"/>
  <c r="Q1990" i="2"/>
  <c r="P1990" i="2"/>
  <c r="O1990" i="2"/>
  <c r="T1989" i="2"/>
  <c r="S1989" i="2"/>
  <c r="R1989" i="2"/>
  <c r="Q1989" i="2"/>
  <c r="P1989" i="2"/>
  <c r="O1989" i="2"/>
  <c r="T1988" i="2"/>
  <c r="S1988" i="2"/>
  <c r="R1988" i="2"/>
  <c r="Q1988" i="2"/>
  <c r="P1988" i="2"/>
  <c r="O1988" i="2"/>
  <c r="T1987" i="2"/>
  <c r="S1987" i="2"/>
  <c r="R1987" i="2"/>
  <c r="Q1987" i="2"/>
  <c r="P1987" i="2"/>
  <c r="O1987" i="2"/>
  <c r="T1986" i="2"/>
  <c r="S1986" i="2"/>
  <c r="R1986" i="2"/>
  <c r="Q1986" i="2"/>
  <c r="P1986" i="2"/>
  <c r="O1986" i="2"/>
  <c r="T1985" i="2"/>
  <c r="S1985" i="2"/>
  <c r="R1985" i="2"/>
  <c r="Q1985" i="2"/>
  <c r="P1985" i="2"/>
  <c r="O1985" i="2"/>
  <c r="T1984" i="2"/>
  <c r="S1984" i="2"/>
  <c r="R1984" i="2"/>
  <c r="Q1984" i="2"/>
  <c r="P1984" i="2"/>
  <c r="O1984" i="2"/>
  <c r="T1983" i="2"/>
  <c r="S1983" i="2"/>
  <c r="R1983" i="2"/>
  <c r="Q1983" i="2"/>
  <c r="P1983" i="2"/>
  <c r="O1983" i="2"/>
  <c r="T1982" i="2"/>
  <c r="S1982" i="2"/>
  <c r="R1982" i="2"/>
  <c r="Q1982" i="2"/>
  <c r="P1982" i="2"/>
  <c r="O1982" i="2"/>
  <c r="T1981" i="2"/>
  <c r="S1981" i="2"/>
  <c r="R1981" i="2"/>
  <c r="Q1981" i="2"/>
  <c r="P1981" i="2"/>
  <c r="O1981" i="2"/>
  <c r="T1980" i="2"/>
  <c r="S1980" i="2"/>
  <c r="R1980" i="2"/>
  <c r="Q1980" i="2"/>
  <c r="P1980" i="2"/>
  <c r="O1980" i="2"/>
  <c r="T1979" i="2"/>
  <c r="S1979" i="2"/>
  <c r="R1979" i="2"/>
  <c r="Q1979" i="2"/>
  <c r="P1979" i="2"/>
  <c r="O1979" i="2"/>
  <c r="T1978" i="2"/>
  <c r="S1978" i="2"/>
  <c r="R1978" i="2"/>
  <c r="Q1978" i="2"/>
  <c r="P1978" i="2"/>
  <c r="O1978" i="2"/>
  <c r="T1977" i="2"/>
  <c r="S1977" i="2"/>
  <c r="R1977" i="2"/>
  <c r="Q1977" i="2"/>
  <c r="P1977" i="2"/>
  <c r="O1977" i="2"/>
  <c r="T1976" i="2"/>
  <c r="S1976" i="2"/>
  <c r="R1976" i="2"/>
  <c r="Q1976" i="2"/>
  <c r="P1976" i="2"/>
  <c r="O1976" i="2"/>
  <c r="T1975" i="2"/>
  <c r="S1975" i="2"/>
  <c r="R1975" i="2"/>
  <c r="Q1975" i="2"/>
  <c r="P1975" i="2"/>
  <c r="O1975" i="2"/>
  <c r="T1974" i="2"/>
  <c r="S1974" i="2"/>
  <c r="R1974" i="2"/>
  <c r="Q1974" i="2"/>
  <c r="P1974" i="2"/>
  <c r="O1974" i="2"/>
  <c r="T1973" i="2"/>
  <c r="S1973" i="2"/>
  <c r="R1973" i="2"/>
  <c r="Q1973" i="2"/>
  <c r="P1973" i="2"/>
  <c r="O1973" i="2"/>
  <c r="T1972" i="2"/>
  <c r="S1972" i="2"/>
  <c r="R1972" i="2"/>
  <c r="Q1972" i="2"/>
  <c r="P1972" i="2"/>
  <c r="O1972" i="2"/>
  <c r="T1971" i="2"/>
  <c r="S1971" i="2"/>
  <c r="R1971" i="2"/>
  <c r="Q1971" i="2"/>
  <c r="P1971" i="2"/>
  <c r="O1971" i="2"/>
  <c r="T1970" i="2"/>
  <c r="S1970" i="2"/>
  <c r="R1970" i="2"/>
  <c r="Q1970" i="2"/>
  <c r="P1970" i="2"/>
  <c r="O1970" i="2"/>
  <c r="T1969" i="2"/>
  <c r="S1969" i="2"/>
  <c r="R1969" i="2"/>
  <c r="Q1969" i="2"/>
  <c r="P1969" i="2"/>
  <c r="O1969" i="2"/>
  <c r="T1968" i="2"/>
  <c r="S1968" i="2"/>
  <c r="R1968" i="2"/>
  <c r="Q1968" i="2"/>
  <c r="P1968" i="2"/>
  <c r="O1968" i="2"/>
  <c r="T1967" i="2"/>
  <c r="S1967" i="2"/>
  <c r="R1967" i="2"/>
  <c r="Q1967" i="2"/>
  <c r="P1967" i="2"/>
  <c r="O1967" i="2"/>
  <c r="T1966" i="2"/>
  <c r="S1966" i="2"/>
  <c r="R1966" i="2"/>
  <c r="Q1966" i="2"/>
  <c r="P1966" i="2"/>
  <c r="O1966" i="2"/>
  <c r="T1965" i="2"/>
  <c r="S1965" i="2"/>
  <c r="R1965" i="2"/>
  <c r="Q1965" i="2"/>
  <c r="P1965" i="2"/>
  <c r="O1965" i="2"/>
  <c r="T1964" i="2"/>
  <c r="S1964" i="2"/>
  <c r="R1964" i="2"/>
  <c r="Q1964" i="2"/>
  <c r="P1964" i="2"/>
  <c r="O1964" i="2"/>
  <c r="T1963" i="2"/>
  <c r="S1963" i="2"/>
  <c r="R1963" i="2"/>
  <c r="Q1963" i="2"/>
  <c r="P1963" i="2"/>
  <c r="O1963" i="2"/>
  <c r="T1962" i="2"/>
  <c r="S1962" i="2"/>
  <c r="R1962" i="2"/>
  <c r="Q1962" i="2"/>
  <c r="P1962" i="2"/>
  <c r="O1962" i="2"/>
  <c r="T1961" i="2"/>
  <c r="S1961" i="2"/>
  <c r="R1961" i="2"/>
  <c r="Q1961" i="2"/>
  <c r="P1961" i="2"/>
  <c r="O1961" i="2"/>
  <c r="T1960" i="2"/>
  <c r="S1960" i="2"/>
  <c r="R1960" i="2"/>
  <c r="Q1960" i="2"/>
  <c r="P1960" i="2"/>
  <c r="O1960" i="2"/>
  <c r="T1959" i="2"/>
  <c r="S1959" i="2"/>
  <c r="R1959" i="2"/>
  <c r="Q1959" i="2"/>
  <c r="P1959" i="2"/>
  <c r="O1959" i="2"/>
  <c r="T1958" i="2"/>
  <c r="S1958" i="2"/>
  <c r="R1958" i="2"/>
  <c r="Q1958" i="2"/>
  <c r="P1958" i="2"/>
  <c r="O1958" i="2"/>
  <c r="T1957" i="2"/>
  <c r="S1957" i="2"/>
  <c r="R1957" i="2"/>
  <c r="Q1957" i="2"/>
  <c r="P1957" i="2"/>
  <c r="O1957" i="2"/>
  <c r="T1956" i="2"/>
  <c r="S1956" i="2"/>
  <c r="R1956" i="2"/>
  <c r="Q1956" i="2"/>
  <c r="P1956" i="2"/>
  <c r="O1956" i="2"/>
  <c r="T1955" i="2"/>
  <c r="S1955" i="2"/>
  <c r="R1955" i="2"/>
  <c r="Q1955" i="2"/>
  <c r="P1955" i="2"/>
  <c r="O1955" i="2"/>
  <c r="T1954" i="2"/>
  <c r="S1954" i="2"/>
  <c r="R1954" i="2"/>
  <c r="Q1954" i="2"/>
  <c r="P1954" i="2"/>
  <c r="O1954" i="2"/>
  <c r="T1953" i="2"/>
  <c r="S1953" i="2"/>
  <c r="R1953" i="2"/>
  <c r="Q1953" i="2"/>
  <c r="P1953" i="2"/>
  <c r="O1953" i="2"/>
  <c r="T1952" i="2"/>
  <c r="S1952" i="2"/>
  <c r="R1952" i="2"/>
  <c r="Q1952" i="2"/>
  <c r="P1952" i="2"/>
  <c r="O1952" i="2"/>
  <c r="T1951" i="2"/>
  <c r="S1951" i="2"/>
  <c r="R1951" i="2"/>
  <c r="Q1951" i="2"/>
  <c r="P1951" i="2"/>
  <c r="O1951" i="2"/>
  <c r="T1950" i="2"/>
  <c r="S1950" i="2"/>
  <c r="R1950" i="2"/>
  <c r="Q1950" i="2"/>
  <c r="P1950" i="2"/>
  <c r="O1950" i="2"/>
  <c r="T1949" i="2"/>
  <c r="S1949" i="2"/>
  <c r="R1949" i="2"/>
  <c r="Q1949" i="2"/>
  <c r="P1949" i="2"/>
  <c r="O1949" i="2"/>
  <c r="T1948" i="2"/>
  <c r="S1948" i="2"/>
  <c r="R1948" i="2"/>
  <c r="Q1948" i="2"/>
  <c r="P1948" i="2"/>
  <c r="O1948" i="2"/>
  <c r="T1947" i="2"/>
  <c r="S1947" i="2"/>
  <c r="R1947" i="2"/>
  <c r="Q1947" i="2"/>
  <c r="P1947" i="2"/>
  <c r="O1947" i="2"/>
  <c r="T1946" i="2"/>
  <c r="S1946" i="2"/>
  <c r="R1946" i="2"/>
  <c r="Q1946" i="2"/>
  <c r="P1946" i="2"/>
  <c r="O1946" i="2"/>
  <c r="T1945" i="2"/>
  <c r="S1945" i="2"/>
  <c r="R1945" i="2"/>
  <c r="Q1945" i="2"/>
  <c r="P1945" i="2"/>
  <c r="O1945" i="2"/>
  <c r="T1944" i="2"/>
  <c r="S1944" i="2"/>
  <c r="R1944" i="2"/>
  <c r="Q1944" i="2"/>
  <c r="P1944" i="2"/>
  <c r="O1944" i="2"/>
  <c r="T1943" i="2"/>
  <c r="S1943" i="2"/>
  <c r="R1943" i="2"/>
  <c r="Q1943" i="2"/>
  <c r="P1943" i="2"/>
  <c r="O1943" i="2"/>
  <c r="T1942" i="2"/>
  <c r="S1942" i="2"/>
  <c r="R1942" i="2"/>
  <c r="Q1942" i="2"/>
  <c r="P1942" i="2"/>
  <c r="O1942" i="2"/>
  <c r="T1941" i="2"/>
  <c r="S1941" i="2"/>
  <c r="R1941" i="2"/>
  <c r="Q1941" i="2"/>
  <c r="P1941" i="2"/>
  <c r="O1941" i="2"/>
  <c r="T1940" i="2"/>
  <c r="S1940" i="2"/>
  <c r="R1940" i="2"/>
  <c r="Q1940" i="2"/>
  <c r="P1940" i="2"/>
  <c r="O1940" i="2"/>
  <c r="T1939" i="2"/>
  <c r="S1939" i="2"/>
  <c r="R1939" i="2"/>
  <c r="Q1939" i="2"/>
  <c r="P1939" i="2"/>
  <c r="O1939" i="2"/>
  <c r="T1938" i="2"/>
  <c r="S1938" i="2"/>
  <c r="R1938" i="2"/>
  <c r="Q1938" i="2"/>
  <c r="P1938" i="2"/>
  <c r="O1938" i="2"/>
  <c r="T1937" i="2"/>
  <c r="S1937" i="2"/>
  <c r="R1937" i="2"/>
  <c r="Q1937" i="2"/>
  <c r="P1937" i="2"/>
  <c r="O1937" i="2"/>
  <c r="T1936" i="2"/>
  <c r="S1936" i="2"/>
  <c r="R1936" i="2"/>
  <c r="Q1936" i="2"/>
  <c r="P1936" i="2"/>
  <c r="O1936" i="2"/>
  <c r="T1935" i="2"/>
  <c r="S1935" i="2"/>
  <c r="R1935" i="2"/>
  <c r="Q1935" i="2"/>
  <c r="P1935" i="2"/>
  <c r="O1935" i="2"/>
  <c r="T1934" i="2"/>
  <c r="S1934" i="2"/>
  <c r="R1934" i="2"/>
  <c r="Q1934" i="2"/>
  <c r="P1934" i="2"/>
  <c r="O1934" i="2"/>
  <c r="T1933" i="2"/>
  <c r="S1933" i="2"/>
  <c r="R1933" i="2"/>
  <c r="Q1933" i="2"/>
  <c r="P1933" i="2"/>
  <c r="O1933" i="2"/>
  <c r="T1932" i="2"/>
  <c r="S1932" i="2"/>
  <c r="R1932" i="2"/>
  <c r="Q1932" i="2"/>
  <c r="P1932" i="2"/>
  <c r="O1932" i="2"/>
  <c r="T1931" i="2"/>
  <c r="S1931" i="2"/>
  <c r="R1931" i="2"/>
  <c r="Q1931" i="2"/>
  <c r="P1931" i="2"/>
  <c r="O1931" i="2"/>
  <c r="T1930" i="2"/>
  <c r="S1930" i="2"/>
  <c r="R1930" i="2"/>
  <c r="Q1930" i="2"/>
  <c r="P1930" i="2"/>
  <c r="O1930" i="2"/>
  <c r="T1929" i="2"/>
  <c r="S1929" i="2"/>
  <c r="R1929" i="2"/>
  <c r="Q1929" i="2"/>
  <c r="P1929" i="2"/>
  <c r="O1929" i="2"/>
  <c r="T1928" i="2"/>
  <c r="S1928" i="2"/>
  <c r="R1928" i="2"/>
  <c r="Q1928" i="2"/>
  <c r="P1928" i="2"/>
  <c r="O1928" i="2"/>
  <c r="T1927" i="2"/>
  <c r="S1927" i="2"/>
  <c r="R1927" i="2"/>
  <c r="Q1927" i="2"/>
  <c r="P1927" i="2"/>
  <c r="O1927" i="2"/>
  <c r="T1926" i="2"/>
  <c r="S1926" i="2"/>
  <c r="R1926" i="2"/>
  <c r="Q1926" i="2"/>
  <c r="P1926" i="2"/>
  <c r="O1926" i="2"/>
  <c r="T1925" i="2"/>
  <c r="S1925" i="2"/>
  <c r="R1925" i="2"/>
  <c r="Q1925" i="2"/>
  <c r="P1925" i="2"/>
  <c r="O1925" i="2"/>
  <c r="T1924" i="2"/>
  <c r="S1924" i="2"/>
  <c r="R1924" i="2"/>
  <c r="Q1924" i="2"/>
  <c r="P1924" i="2"/>
  <c r="O1924" i="2"/>
  <c r="T1923" i="2"/>
  <c r="S1923" i="2"/>
  <c r="R1923" i="2"/>
  <c r="Q1923" i="2"/>
  <c r="P1923" i="2"/>
  <c r="O1923" i="2"/>
  <c r="T1922" i="2"/>
  <c r="S1922" i="2"/>
  <c r="R1922" i="2"/>
  <c r="Q1922" i="2"/>
  <c r="P1922" i="2"/>
  <c r="O1922" i="2"/>
  <c r="T1921" i="2"/>
  <c r="S1921" i="2"/>
  <c r="R1921" i="2"/>
  <c r="Q1921" i="2"/>
  <c r="P1921" i="2"/>
  <c r="O1921" i="2"/>
  <c r="T1920" i="2"/>
  <c r="S1920" i="2"/>
  <c r="R1920" i="2"/>
  <c r="Q1920" i="2"/>
  <c r="P1920" i="2"/>
  <c r="O1920" i="2"/>
  <c r="T1919" i="2"/>
  <c r="S1919" i="2"/>
  <c r="R1919" i="2"/>
  <c r="Q1919" i="2"/>
  <c r="P1919" i="2"/>
  <c r="O1919" i="2"/>
  <c r="T1918" i="2"/>
  <c r="S1918" i="2"/>
  <c r="R1918" i="2"/>
  <c r="Q1918" i="2"/>
  <c r="P1918" i="2"/>
  <c r="O1918" i="2"/>
  <c r="T1917" i="2"/>
  <c r="S1917" i="2"/>
  <c r="R1917" i="2"/>
  <c r="Q1917" i="2"/>
  <c r="P1917" i="2"/>
  <c r="O1917" i="2"/>
  <c r="T1916" i="2"/>
  <c r="S1916" i="2"/>
  <c r="R1916" i="2"/>
  <c r="Q1916" i="2"/>
  <c r="P1916" i="2"/>
  <c r="O1916" i="2"/>
  <c r="T1915" i="2"/>
  <c r="S1915" i="2"/>
  <c r="R1915" i="2"/>
  <c r="Q1915" i="2"/>
  <c r="P1915" i="2"/>
  <c r="O1915" i="2"/>
  <c r="T1914" i="2"/>
  <c r="S1914" i="2"/>
  <c r="R1914" i="2"/>
  <c r="Q1914" i="2"/>
  <c r="P1914" i="2"/>
  <c r="O1914" i="2"/>
  <c r="T1913" i="2"/>
  <c r="S1913" i="2"/>
  <c r="R1913" i="2"/>
  <c r="Q1913" i="2"/>
  <c r="P1913" i="2"/>
  <c r="O1913" i="2"/>
  <c r="T1912" i="2"/>
  <c r="S1912" i="2"/>
  <c r="R1912" i="2"/>
  <c r="Q1912" i="2"/>
  <c r="P1912" i="2"/>
  <c r="O1912" i="2"/>
  <c r="T1911" i="2"/>
  <c r="S1911" i="2"/>
  <c r="R1911" i="2"/>
  <c r="Q1911" i="2"/>
  <c r="P1911" i="2"/>
  <c r="O1911" i="2"/>
  <c r="T1910" i="2"/>
  <c r="S1910" i="2"/>
  <c r="R1910" i="2"/>
  <c r="Q1910" i="2"/>
  <c r="P1910" i="2"/>
  <c r="O1910" i="2"/>
  <c r="T1909" i="2"/>
  <c r="S1909" i="2"/>
  <c r="R1909" i="2"/>
  <c r="Q1909" i="2"/>
  <c r="P1909" i="2"/>
  <c r="O1909" i="2"/>
  <c r="T1908" i="2"/>
  <c r="S1908" i="2"/>
  <c r="R1908" i="2"/>
  <c r="Q1908" i="2"/>
  <c r="P1908" i="2"/>
  <c r="O1908" i="2"/>
  <c r="T1907" i="2"/>
  <c r="S1907" i="2"/>
  <c r="R1907" i="2"/>
  <c r="Q1907" i="2"/>
  <c r="P1907" i="2"/>
  <c r="O1907" i="2"/>
  <c r="T1906" i="2"/>
  <c r="S1906" i="2"/>
  <c r="R1906" i="2"/>
  <c r="Q1906" i="2"/>
  <c r="P1906" i="2"/>
  <c r="O1906" i="2"/>
  <c r="T1905" i="2"/>
  <c r="S1905" i="2"/>
  <c r="R1905" i="2"/>
  <c r="Q1905" i="2"/>
  <c r="P1905" i="2"/>
  <c r="O1905" i="2"/>
  <c r="T1904" i="2"/>
  <c r="S1904" i="2"/>
  <c r="R1904" i="2"/>
  <c r="Q1904" i="2"/>
  <c r="P1904" i="2"/>
  <c r="O1904" i="2"/>
  <c r="T1903" i="2"/>
  <c r="S1903" i="2"/>
  <c r="R1903" i="2"/>
  <c r="Q1903" i="2"/>
  <c r="P1903" i="2"/>
  <c r="O1903" i="2"/>
  <c r="T1902" i="2"/>
  <c r="S1902" i="2"/>
  <c r="R1902" i="2"/>
  <c r="Q1902" i="2"/>
  <c r="P1902" i="2"/>
  <c r="O1902" i="2"/>
  <c r="E1902" i="2"/>
  <c r="T1901" i="2"/>
  <c r="S1901" i="2"/>
  <c r="R1901" i="2"/>
  <c r="Q1901" i="2"/>
  <c r="P1901" i="2"/>
  <c r="O1901" i="2"/>
  <c r="E1901" i="2"/>
  <c r="T1900" i="2"/>
  <c r="S1900" i="2"/>
  <c r="R1900" i="2"/>
  <c r="Q1900" i="2"/>
  <c r="P1900" i="2"/>
  <c r="O1900" i="2"/>
  <c r="E1900" i="2"/>
  <c r="T1899" i="2"/>
  <c r="S1899" i="2"/>
  <c r="R1899" i="2"/>
  <c r="Q1899" i="2"/>
  <c r="P1899" i="2"/>
  <c r="O1899" i="2"/>
  <c r="E1899" i="2"/>
  <c r="T1898" i="2"/>
  <c r="S1898" i="2"/>
  <c r="R1898" i="2"/>
  <c r="Q1898" i="2"/>
  <c r="P1898" i="2"/>
  <c r="O1898" i="2"/>
  <c r="E1898" i="2"/>
  <c r="T1897" i="2"/>
  <c r="S1897" i="2"/>
  <c r="R1897" i="2"/>
  <c r="Q1897" i="2"/>
  <c r="P1897" i="2"/>
  <c r="O1897" i="2"/>
  <c r="E1897" i="2"/>
  <c r="T1896" i="2"/>
  <c r="S1896" i="2"/>
  <c r="R1896" i="2"/>
  <c r="Q1896" i="2"/>
  <c r="P1896" i="2"/>
  <c r="O1896" i="2"/>
  <c r="E1896" i="2"/>
  <c r="T1895" i="2"/>
  <c r="S1895" i="2"/>
  <c r="R1895" i="2"/>
  <c r="Q1895" i="2"/>
  <c r="P1895" i="2"/>
  <c r="O1895" i="2"/>
  <c r="E1895" i="2"/>
  <c r="T1894" i="2"/>
  <c r="S1894" i="2"/>
  <c r="R1894" i="2"/>
  <c r="Q1894" i="2"/>
  <c r="P1894" i="2"/>
  <c r="O1894" i="2"/>
  <c r="E1894" i="2"/>
  <c r="T1893" i="2"/>
  <c r="S1893" i="2"/>
  <c r="R1893" i="2"/>
  <c r="Q1893" i="2"/>
  <c r="P1893" i="2"/>
  <c r="O1893" i="2"/>
  <c r="E1893" i="2"/>
  <c r="T1892" i="2"/>
  <c r="S1892" i="2"/>
  <c r="R1892" i="2"/>
  <c r="Q1892" i="2"/>
  <c r="P1892" i="2"/>
  <c r="O1892" i="2"/>
  <c r="E1892" i="2"/>
  <c r="T1891" i="2"/>
  <c r="S1891" i="2"/>
  <c r="R1891" i="2"/>
  <c r="Q1891" i="2"/>
  <c r="P1891" i="2"/>
  <c r="O1891" i="2"/>
  <c r="E1891" i="2"/>
  <c r="T1890" i="2"/>
  <c r="S1890" i="2"/>
  <c r="R1890" i="2"/>
  <c r="Q1890" i="2"/>
  <c r="P1890" i="2"/>
  <c r="O1890" i="2"/>
  <c r="E1890" i="2"/>
  <c r="T1889" i="2"/>
  <c r="S1889" i="2"/>
  <c r="R1889" i="2"/>
  <c r="Q1889" i="2"/>
  <c r="P1889" i="2"/>
  <c r="O1889" i="2"/>
  <c r="E1889" i="2"/>
  <c r="T1888" i="2"/>
  <c r="S1888" i="2"/>
  <c r="R1888" i="2"/>
  <c r="Q1888" i="2"/>
  <c r="P1888" i="2"/>
  <c r="O1888" i="2"/>
  <c r="E1888" i="2"/>
  <c r="T1887" i="2"/>
  <c r="S1887" i="2"/>
  <c r="R1887" i="2"/>
  <c r="Q1887" i="2"/>
  <c r="P1887" i="2"/>
  <c r="O1887" i="2"/>
  <c r="E1887" i="2"/>
  <c r="T1886" i="2"/>
  <c r="S1886" i="2"/>
  <c r="R1886" i="2"/>
  <c r="Q1886" i="2"/>
  <c r="P1886" i="2"/>
  <c r="O1886" i="2"/>
  <c r="E1886" i="2"/>
  <c r="T1885" i="2"/>
  <c r="S1885" i="2"/>
  <c r="R1885" i="2"/>
  <c r="Q1885" i="2"/>
  <c r="P1885" i="2"/>
  <c r="O1885" i="2"/>
  <c r="E1885" i="2"/>
  <c r="T1884" i="2"/>
  <c r="S1884" i="2"/>
  <c r="R1884" i="2"/>
  <c r="Q1884" i="2"/>
  <c r="P1884" i="2"/>
  <c r="O1884" i="2"/>
  <c r="E1884" i="2"/>
  <c r="T1883" i="2"/>
  <c r="S1883" i="2"/>
  <c r="R1883" i="2"/>
  <c r="Q1883" i="2"/>
  <c r="P1883" i="2"/>
  <c r="O1883" i="2"/>
  <c r="E1883" i="2"/>
  <c r="T1882" i="2"/>
  <c r="S1882" i="2"/>
  <c r="R1882" i="2"/>
  <c r="Q1882" i="2"/>
  <c r="P1882" i="2"/>
  <c r="O1882" i="2"/>
  <c r="T1881" i="2"/>
  <c r="S1881" i="2"/>
  <c r="R1881" i="2"/>
  <c r="Q1881" i="2"/>
  <c r="P1881" i="2"/>
  <c r="O1881" i="2"/>
  <c r="T1880" i="2"/>
  <c r="S1880" i="2"/>
  <c r="R1880" i="2"/>
  <c r="Q1880" i="2"/>
  <c r="P1880" i="2"/>
  <c r="O1880" i="2"/>
  <c r="T1879" i="2"/>
  <c r="S1879" i="2"/>
  <c r="R1879" i="2"/>
  <c r="Q1879" i="2"/>
  <c r="P1879" i="2"/>
  <c r="O1879" i="2"/>
  <c r="T1878" i="2"/>
  <c r="S1878" i="2"/>
  <c r="R1878" i="2"/>
  <c r="Q1878" i="2"/>
  <c r="P1878" i="2"/>
  <c r="O1878" i="2"/>
  <c r="T1877" i="2"/>
  <c r="S1877" i="2"/>
  <c r="R1877" i="2"/>
  <c r="Q1877" i="2"/>
  <c r="P1877" i="2"/>
  <c r="O1877" i="2"/>
  <c r="T1876" i="2"/>
  <c r="S1876" i="2"/>
  <c r="R1876" i="2"/>
  <c r="Q1876" i="2"/>
  <c r="P1876" i="2"/>
  <c r="O1876" i="2"/>
  <c r="T1875" i="2"/>
  <c r="S1875" i="2"/>
  <c r="R1875" i="2"/>
  <c r="Q1875" i="2"/>
  <c r="P1875" i="2"/>
  <c r="O1875" i="2"/>
  <c r="T1874" i="2"/>
  <c r="S1874" i="2"/>
  <c r="R1874" i="2"/>
  <c r="Q1874" i="2"/>
  <c r="P1874" i="2"/>
  <c r="O1874" i="2"/>
  <c r="T1873" i="2"/>
  <c r="S1873" i="2"/>
  <c r="R1873" i="2"/>
  <c r="Q1873" i="2"/>
  <c r="P1873" i="2"/>
  <c r="O1873" i="2"/>
  <c r="T1872" i="2"/>
  <c r="S1872" i="2"/>
  <c r="R1872" i="2"/>
  <c r="Q1872" i="2"/>
  <c r="P1872" i="2"/>
  <c r="O1872" i="2"/>
  <c r="T1871" i="2"/>
  <c r="S1871" i="2"/>
  <c r="R1871" i="2"/>
  <c r="Q1871" i="2"/>
  <c r="P1871" i="2"/>
  <c r="O1871" i="2"/>
  <c r="T1870" i="2"/>
  <c r="S1870" i="2"/>
  <c r="R1870" i="2"/>
  <c r="Q1870" i="2"/>
  <c r="P1870" i="2"/>
  <c r="O1870" i="2"/>
  <c r="T1869" i="2"/>
  <c r="S1869" i="2"/>
  <c r="R1869" i="2"/>
  <c r="Q1869" i="2"/>
  <c r="P1869" i="2"/>
  <c r="O1869" i="2"/>
  <c r="T1868" i="2"/>
  <c r="S1868" i="2"/>
  <c r="R1868" i="2"/>
  <c r="Q1868" i="2"/>
  <c r="P1868" i="2"/>
  <c r="O1868" i="2"/>
  <c r="T1867" i="2"/>
  <c r="S1867" i="2"/>
  <c r="R1867" i="2"/>
  <c r="Q1867" i="2"/>
  <c r="P1867" i="2"/>
  <c r="O1867" i="2"/>
  <c r="T1866" i="2"/>
  <c r="S1866" i="2"/>
  <c r="R1866" i="2"/>
  <c r="Q1866" i="2"/>
  <c r="P1866" i="2"/>
  <c r="O1866" i="2"/>
  <c r="T1865" i="2"/>
  <c r="S1865" i="2"/>
  <c r="R1865" i="2"/>
  <c r="Q1865" i="2"/>
  <c r="P1865" i="2"/>
  <c r="O1865" i="2"/>
  <c r="T1864" i="2"/>
  <c r="S1864" i="2"/>
  <c r="R1864" i="2"/>
  <c r="Q1864" i="2"/>
  <c r="P1864" i="2"/>
  <c r="O1864" i="2"/>
  <c r="T1863" i="2"/>
  <c r="S1863" i="2"/>
  <c r="R1863" i="2"/>
  <c r="Q1863" i="2"/>
  <c r="P1863" i="2"/>
  <c r="O1863" i="2"/>
  <c r="T1862" i="2"/>
  <c r="S1862" i="2"/>
  <c r="R1862" i="2"/>
  <c r="Q1862" i="2"/>
  <c r="P1862" i="2"/>
  <c r="O1862" i="2"/>
  <c r="T1861" i="2"/>
  <c r="S1861" i="2"/>
  <c r="R1861" i="2"/>
  <c r="Q1861" i="2"/>
  <c r="P1861" i="2"/>
  <c r="O1861" i="2"/>
  <c r="T1860" i="2"/>
  <c r="S1860" i="2"/>
  <c r="R1860" i="2"/>
  <c r="Q1860" i="2"/>
  <c r="P1860" i="2"/>
  <c r="O1860" i="2"/>
  <c r="T1859" i="2"/>
  <c r="S1859" i="2"/>
  <c r="R1859" i="2"/>
  <c r="Q1859" i="2"/>
  <c r="P1859" i="2"/>
  <c r="O1859" i="2"/>
  <c r="T1858" i="2"/>
  <c r="S1858" i="2"/>
  <c r="R1858" i="2"/>
  <c r="Q1858" i="2"/>
  <c r="P1858" i="2"/>
  <c r="O1858" i="2"/>
  <c r="T1857" i="2"/>
  <c r="S1857" i="2"/>
  <c r="R1857" i="2"/>
  <c r="Q1857" i="2"/>
  <c r="P1857" i="2"/>
  <c r="O1857" i="2"/>
  <c r="T1856" i="2"/>
  <c r="S1856" i="2"/>
  <c r="R1856" i="2"/>
  <c r="Q1856" i="2"/>
  <c r="P1856" i="2"/>
  <c r="O1856" i="2"/>
  <c r="T1855" i="2"/>
  <c r="S1855" i="2"/>
  <c r="R1855" i="2"/>
  <c r="Q1855" i="2"/>
  <c r="P1855" i="2"/>
  <c r="O1855" i="2"/>
  <c r="T1854" i="2"/>
  <c r="S1854" i="2"/>
  <c r="R1854" i="2"/>
  <c r="Q1854" i="2"/>
  <c r="P1854" i="2"/>
  <c r="O1854" i="2"/>
  <c r="T1853" i="2"/>
  <c r="S1853" i="2"/>
  <c r="R1853" i="2"/>
  <c r="Q1853" i="2"/>
  <c r="P1853" i="2"/>
  <c r="O1853" i="2"/>
  <c r="T1852" i="2"/>
  <c r="S1852" i="2"/>
  <c r="R1852" i="2"/>
  <c r="Q1852" i="2"/>
  <c r="P1852" i="2"/>
  <c r="O1852" i="2"/>
  <c r="T1851" i="2"/>
  <c r="S1851" i="2"/>
  <c r="R1851" i="2"/>
  <c r="Q1851" i="2"/>
  <c r="P1851" i="2"/>
  <c r="O1851" i="2"/>
  <c r="T1850" i="2"/>
  <c r="S1850" i="2"/>
  <c r="R1850" i="2"/>
  <c r="Q1850" i="2"/>
  <c r="P1850" i="2"/>
  <c r="O1850" i="2"/>
  <c r="T1849" i="2"/>
  <c r="S1849" i="2"/>
  <c r="R1849" i="2"/>
  <c r="Q1849" i="2"/>
  <c r="P1849" i="2"/>
  <c r="O1849" i="2"/>
  <c r="T1848" i="2"/>
  <c r="S1848" i="2"/>
  <c r="R1848" i="2"/>
  <c r="Q1848" i="2"/>
  <c r="P1848" i="2"/>
  <c r="O1848" i="2"/>
  <c r="T1847" i="2"/>
  <c r="S1847" i="2"/>
  <c r="R1847" i="2"/>
  <c r="Q1847" i="2"/>
  <c r="P1847" i="2"/>
  <c r="O1847" i="2"/>
  <c r="T1846" i="2"/>
  <c r="S1846" i="2"/>
  <c r="R1846" i="2"/>
  <c r="Q1846" i="2"/>
  <c r="P1846" i="2"/>
  <c r="O1846" i="2"/>
  <c r="T1845" i="2"/>
  <c r="S1845" i="2"/>
  <c r="R1845" i="2"/>
  <c r="Q1845" i="2"/>
  <c r="P1845" i="2"/>
  <c r="O1845" i="2"/>
  <c r="T1844" i="2"/>
  <c r="S1844" i="2"/>
  <c r="R1844" i="2"/>
  <c r="Q1844" i="2"/>
  <c r="P1844" i="2"/>
  <c r="O1844" i="2"/>
  <c r="T1843" i="2"/>
  <c r="S1843" i="2"/>
  <c r="R1843" i="2"/>
  <c r="Q1843" i="2"/>
  <c r="P1843" i="2"/>
  <c r="O1843" i="2"/>
  <c r="T1842" i="2"/>
  <c r="S1842" i="2"/>
  <c r="R1842" i="2"/>
  <c r="Q1842" i="2"/>
  <c r="P1842" i="2"/>
  <c r="O1842" i="2"/>
  <c r="T1841" i="2"/>
  <c r="S1841" i="2"/>
  <c r="R1841" i="2"/>
  <c r="Q1841" i="2"/>
  <c r="P1841" i="2"/>
  <c r="O1841" i="2"/>
  <c r="T1840" i="2"/>
  <c r="S1840" i="2"/>
  <c r="R1840" i="2"/>
  <c r="Q1840" i="2"/>
  <c r="P1840" i="2"/>
  <c r="O1840" i="2"/>
  <c r="T1839" i="2"/>
  <c r="S1839" i="2"/>
  <c r="R1839" i="2"/>
  <c r="Q1839" i="2"/>
  <c r="P1839" i="2"/>
  <c r="O1839" i="2"/>
  <c r="T1838" i="2"/>
  <c r="S1838" i="2"/>
  <c r="R1838" i="2"/>
  <c r="Q1838" i="2"/>
  <c r="P1838" i="2"/>
  <c r="O1838" i="2"/>
  <c r="T1837" i="2"/>
  <c r="T1836" i="2"/>
  <c r="T1835" i="2"/>
  <c r="S1835" i="2"/>
  <c r="R1835" i="2"/>
  <c r="Q1835" i="2"/>
  <c r="P1835" i="2"/>
  <c r="O1835" i="2"/>
  <c r="T1834" i="2"/>
  <c r="S1834" i="2"/>
  <c r="R1834" i="2"/>
  <c r="Q1834" i="2"/>
  <c r="P1834" i="2"/>
  <c r="O1834" i="2"/>
  <c r="T1833" i="2"/>
  <c r="S1833" i="2"/>
  <c r="R1833" i="2"/>
  <c r="Q1833" i="2"/>
  <c r="P1833" i="2"/>
  <c r="O1833" i="2"/>
  <c r="T1832" i="2"/>
  <c r="S1832" i="2"/>
  <c r="R1832" i="2"/>
  <c r="Q1832" i="2"/>
  <c r="P1832" i="2"/>
  <c r="O1832" i="2"/>
  <c r="T1831" i="2"/>
  <c r="S1831" i="2"/>
  <c r="R1831" i="2"/>
  <c r="Q1831" i="2"/>
  <c r="P1831" i="2"/>
  <c r="O1831" i="2"/>
  <c r="T1830" i="2"/>
  <c r="S1830" i="2"/>
  <c r="R1830" i="2"/>
  <c r="Q1830" i="2"/>
  <c r="P1830" i="2"/>
  <c r="O1830" i="2"/>
  <c r="T1829" i="2"/>
  <c r="S1829" i="2"/>
  <c r="R1829" i="2"/>
  <c r="Q1829" i="2"/>
  <c r="P1829" i="2"/>
  <c r="O1829" i="2"/>
  <c r="T1828" i="2"/>
  <c r="S1828" i="2"/>
  <c r="R1828" i="2"/>
  <c r="Q1828" i="2"/>
  <c r="P1828" i="2"/>
  <c r="O1828" i="2"/>
  <c r="T1827" i="2"/>
  <c r="S1827" i="2"/>
  <c r="R1827" i="2"/>
  <c r="Q1827" i="2"/>
  <c r="P1827" i="2"/>
  <c r="O1827" i="2"/>
  <c r="T1826" i="2"/>
  <c r="S1826" i="2"/>
  <c r="R1826" i="2"/>
  <c r="Q1826" i="2"/>
  <c r="P1826" i="2"/>
  <c r="O1826" i="2"/>
  <c r="T1825" i="2"/>
  <c r="S1825" i="2"/>
  <c r="R1825" i="2"/>
  <c r="Q1825" i="2"/>
  <c r="P1825" i="2"/>
  <c r="O1825" i="2"/>
  <c r="T1824" i="2"/>
  <c r="S1824" i="2"/>
  <c r="R1824" i="2"/>
  <c r="Q1824" i="2"/>
  <c r="P1824" i="2"/>
  <c r="O1824" i="2"/>
  <c r="T1823" i="2"/>
  <c r="S1823" i="2"/>
  <c r="R1823" i="2"/>
  <c r="Q1823" i="2"/>
  <c r="P1823" i="2"/>
  <c r="O1823" i="2"/>
  <c r="T1822" i="2"/>
  <c r="S1822" i="2"/>
  <c r="R1822" i="2"/>
  <c r="Q1822" i="2"/>
  <c r="P1822" i="2"/>
  <c r="O1822" i="2"/>
  <c r="T1821" i="2"/>
  <c r="S1821" i="2"/>
  <c r="R1821" i="2"/>
  <c r="Q1821" i="2"/>
  <c r="P1821" i="2"/>
  <c r="O1821" i="2"/>
  <c r="T1820" i="2"/>
  <c r="S1820" i="2"/>
  <c r="R1820" i="2"/>
  <c r="Q1820" i="2"/>
  <c r="P1820" i="2"/>
  <c r="O1820" i="2"/>
  <c r="T1819" i="2"/>
  <c r="S1819" i="2"/>
  <c r="R1819" i="2"/>
  <c r="Q1819" i="2"/>
  <c r="P1819" i="2"/>
  <c r="O1819" i="2"/>
  <c r="T1818" i="2"/>
  <c r="S1818" i="2"/>
  <c r="R1818" i="2"/>
  <c r="Q1818" i="2"/>
  <c r="P1818" i="2"/>
  <c r="O1818" i="2"/>
  <c r="T1817" i="2"/>
  <c r="S1817" i="2"/>
  <c r="R1817" i="2"/>
  <c r="Q1817" i="2"/>
  <c r="P1817" i="2"/>
  <c r="O1817" i="2"/>
  <c r="T1816" i="2"/>
  <c r="S1816" i="2"/>
  <c r="R1816" i="2"/>
  <c r="Q1816" i="2"/>
  <c r="P1816" i="2"/>
  <c r="O1816" i="2"/>
  <c r="T1815" i="2"/>
  <c r="S1815" i="2"/>
  <c r="R1815" i="2"/>
  <c r="Q1815" i="2"/>
  <c r="P1815" i="2"/>
  <c r="O1815" i="2"/>
  <c r="T1814" i="2"/>
  <c r="S1814" i="2"/>
  <c r="R1814" i="2"/>
  <c r="Q1814" i="2"/>
  <c r="P1814" i="2"/>
  <c r="O1814" i="2"/>
  <c r="T1813" i="2"/>
  <c r="S1813" i="2"/>
  <c r="R1813" i="2"/>
  <c r="Q1813" i="2"/>
  <c r="P1813" i="2"/>
  <c r="O1813" i="2"/>
  <c r="T1812" i="2"/>
  <c r="S1812" i="2"/>
  <c r="R1812" i="2"/>
  <c r="Q1812" i="2"/>
  <c r="P1812" i="2"/>
  <c r="O1812" i="2"/>
  <c r="T1811" i="2"/>
  <c r="S1811" i="2"/>
  <c r="R1811" i="2"/>
  <c r="Q1811" i="2"/>
  <c r="P1811" i="2"/>
  <c r="O1811" i="2"/>
  <c r="T1810" i="2"/>
  <c r="S1810" i="2"/>
  <c r="R1810" i="2"/>
  <c r="Q1810" i="2"/>
  <c r="P1810" i="2"/>
  <c r="O1810" i="2"/>
  <c r="T1809" i="2"/>
  <c r="S1809" i="2"/>
  <c r="R1809" i="2"/>
  <c r="Q1809" i="2"/>
  <c r="P1809" i="2"/>
  <c r="O1809" i="2"/>
  <c r="T1808" i="2"/>
  <c r="S1808" i="2"/>
  <c r="R1808" i="2"/>
  <c r="Q1808" i="2"/>
  <c r="P1808" i="2"/>
  <c r="O1808" i="2"/>
  <c r="T1807" i="2"/>
  <c r="S1807" i="2"/>
  <c r="R1807" i="2"/>
  <c r="Q1807" i="2"/>
  <c r="P1807" i="2"/>
  <c r="O1807" i="2"/>
  <c r="T1806" i="2"/>
  <c r="S1806" i="2"/>
  <c r="R1806" i="2"/>
  <c r="Q1806" i="2"/>
  <c r="P1806" i="2"/>
  <c r="O1806" i="2"/>
  <c r="T1805" i="2"/>
  <c r="S1805" i="2"/>
  <c r="R1805" i="2"/>
  <c r="Q1805" i="2"/>
  <c r="P1805" i="2"/>
  <c r="O1805" i="2"/>
  <c r="T1804" i="2"/>
  <c r="S1804" i="2"/>
  <c r="R1804" i="2"/>
  <c r="Q1804" i="2"/>
  <c r="P1804" i="2"/>
  <c r="O1804" i="2"/>
  <c r="T1803" i="2"/>
  <c r="S1803" i="2"/>
  <c r="R1803" i="2"/>
  <c r="Q1803" i="2"/>
  <c r="P1803" i="2"/>
  <c r="O1803" i="2"/>
  <c r="T1802" i="2"/>
  <c r="S1802" i="2"/>
  <c r="R1802" i="2"/>
  <c r="Q1802" i="2"/>
  <c r="P1802" i="2"/>
  <c r="O1802" i="2"/>
  <c r="T1801" i="2"/>
  <c r="S1801" i="2"/>
  <c r="R1801" i="2"/>
  <c r="Q1801" i="2"/>
  <c r="P1801" i="2"/>
  <c r="O1801" i="2"/>
  <c r="T1800" i="2"/>
  <c r="S1800" i="2"/>
  <c r="R1800" i="2"/>
  <c r="Q1800" i="2"/>
  <c r="P1800" i="2"/>
  <c r="O1800" i="2"/>
  <c r="T1799" i="2"/>
  <c r="S1799" i="2"/>
  <c r="R1799" i="2"/>
  <c r="Q1799" i="2"/>
  <c r="P1799" i="2"/>
  <c r="O1799" i="2"/>
  <c r="T1798" i="2"/>
  <c r="T1797" i="2"/>
  <c r="T1796" i="2"/>
  <c r="S1796" i="2"/>
  <c r="R1796" i="2"/>
  <c r="Q1796" i="2"/>
  <c r="P1796" i="2"/>
  <c r="O1796" i="2"/>
  <c r="T1795" i="2"/>
  <c r="S1795" i="2"/>
  <c r="R1795" i="2"/>
  <c r="Q1795" i="2"/>
  <c r="P1795" i="2"/>
  <c r="O1795" i="2"/>
  <c r="T1794" i="2"/>
  <c r="S1794" i="2"/>
  <c r="R1794" i="2"/>
  <c r="Q1794" i="2"/>
  <c r="P1794" i="2"/>
  <c r="O1794" i="2"/>
  <c r="T1793" i="2"/>
  <c r="S1793" i="2"/>
  <c r="R1793" i="2"/>
  <c r="Q1793" i="2"/>
  <c r="P1793" i="2"/>
  <c r="O1793" i="2"/>
  <c r="T1792" i="2"/>
  <c r="S1792" i="2"/>
  <c r="R1792" i="2"/>
  <c r="Q1792" i="2"/>
  <c r="P1792" i="2"/>
  <c r="O1792" i="2"/>
  <c r="T1791" i="2"/>
  <c r="S1791" i="2"/>
  <c r="R1791" i="2"/>
  <c r="Q1791" i="2"/>
  <c r="P1791" i="2"/>
  <c r="O1791" i="2"/>
  <c r="T1790" i="2"/>
  <c r="S1790" i="2"/>
  <c r="R1790" i="2"/>
  <c r="Q1790" i="2"/>
  <c r="P1790" i="2"/>
  <c r="O1790" i="2"/>
  <c r="T1789" i="2"/>
  <c r="S1789" i="2"/>
  <c r="R1789" i="2"/>
  <c r="Q1789" i="2"/>
  <c r="P1789" i="2"/>
  <c r="O1789" i="2"/>
  <c r="T1788" i="2"/>
  <c r="S1788" i="2"/>
  <c r="R1788" i="2"/>
  <c r="Q1788" i="2"/>
  <c r="P1788" i="2"/>
  <c r="O1788" i="2"/>
  <c r="T1787" i="2"/>
  <c r="S1787" i="2"/>
  <c r="R1787" i="2"/>
  <c r="Q1787" i="2"/>
  <c r="P1787" i="2"/>
  <c r="O1787" i="2"/>
  <c r="T1786" i="2"/>
  <c r="S1786" i="2"/>
  <c r="R1786" i="2"/>
  <c r="Q1786" i="2"/>
  <c r="P1786" i="2"/>
  <c r="O1786" i="2"/>
  <c r="T1785" i="2"/>
  <c r="S1785" i="2"/>
  <c r="R1785" i="2"/>
  <c r="Q1785" i="2"/>
  <c r="P1785" i="2"/>
  <c r="O1785" i="2"/>
  <c r="T1784" i="2"/>
  <c r="S1784" i="2"/>
  <c r="R1784" i="2"/>
  <c r="Q1784" i="2"/>
  <c r="P1784" i="2"/>
  <c r="O1784" i="2"/>
  <c r="T1783" i="2"/>
  <c r="S1783" i="2"/>
  <c r="R1783" i="2"/>
  <c r="Q1783" i="2"/>
  <c r="P1783" i="2"/>
  <c r="O1783" i="2"/>
  <c r="T1782" i="2"/>
  <c r="S1782" i="2"/>
  <c r="R1782" i="2"/>
  <c r="Q1782" i="2"/>
  <c r="P1782" i="2"/>
  <c r="O1782" i="2"/>
  <c r="T1781" i="2"/>
  <c r="S1781" i="2"/>
  <c r="R1781" i="2"/>
  <c r="Q1781" i="2"/>
  <c r="P1781" i="2"/>
  <c r="O1781" i="2"/>
  <c r="T1780" i="2"/>
  <c r="S1780" i="2"/>
  <c r="R1780" i="2"/>
  <c r="Q1780" i="2"/>
  <c r="P1780" i="2"/>
  <c r="O1780" i="2"/>
  <c r="T1779" i="2"/>
  <c r="S1779" i="2"/>
  <c r="R1779" i="2"/>
  <c r="Q1779" i="2"/>
  <c r="P1779" i="2"/>
  <c r="O1779" i="2"/>
  <c r="T1778" i="2"/>
  <c r="S1778" i="2"/>
  <c r="R1778" i="2"/>
  <c r="Q1778" i="2"/>
  <c r="P1778" i="2"/>
  <c r="O1778" i="2"/>
  <c r="T1777" i="2"/>
  <c r="S1777" i="2"/>
  <c r="R1777" i="2"/>
  <c r="Q1777" i="2"/>
  <c r="P1777" i="2"/>
  <c r="O1777" i="2"/>
  <c r="T1776" i="2"/>
  <c r="S1776" i="2"/>
  <c r="R1776" i="2"/>
  <c r="Q1776" i="2"/>
  <c r="P1776" i="2"/>
  <c r="O1776" i="2"/>
  <c r="T1775" i="2"/>
  <c r="S1775" i="2"/>
  <c r="R1775" i="2"/>
  <c r="Q1775" i="2"/>
  <c r="P1775" i="2"/>
  <c r="O1775" i="2"/>
  <c r="T1774" i="2"/>
  <c r="S1774" i="2"/>
  <c r="R1774" i="2"/>
  <c r="Q1774" i="2"/>
  <c r="P1774" i="2"/>
  <c r="O1774" i="2"/>
  <c r="T1773" i="2"/>
  <c r="S1773" i="2"/>
  <c r="R1773" i="2"/>
  <c r="Q1773" i="2"/>
  <c r="P1773" i="2"/>
  <c r="O1773" i="2"/>
  <c r="T1772" i="2"/>
  <c r="S1772" i="2"/>
  <c r="R1772" i="2"/>
  <c r="Q1772" i="2"/>
  <c r="P1772" i="2"/>
  <c r="O1772" i="2"/>
  <c r="T1771" i="2"/>
  <c r="S1771" i="2"/>
  <c r="R1771" i="2"/>
  <c r="Q1771" i="2"/>
  <c r="P1771" i="2"/>
  <c r="O1771" i="2"/>
  <c r="T1770" i="2"/>
  <c r="S1770" i="2"/>
  <c r="R1770" i="2"/>
  <c r="Q1770" i="2"/>
  <c r="P1770" i="2"/>
  <c r="O1770" i="2"/>
  <c r="T1769" i="2"/>
  <c r="S1769" i="2"/>
  <c r="R1769" i="2"/>
  <c r="Q1769" i="2"/>
  <c r="P1769" i="2"/>
  <c r="O1769" i="2"/>
  <c r="T1768" i="2"/>
  <c r="S1768" i="2"/>
  <c r="R1768" i="2"/>
  <c r="Q1768" i="2"/>
  <c r="P1768" i="2"/>
  <c r="O1768" i="2"/>
  <c r="T1767" i="2"/>
  <c r="S1767" i="2"/>
  <c r="R1767" i="2"/>
  <c r="Q1767" i="2"/>
  <c r="P1767" i="2"/>
  <c r="O1767" i="2"/>
  <c r="T1766" i="2"/>
  <c r="S1766" i="2"/>
  <c r="R1766" i="2"/>
  <c r="Q1766" i="2"/>
  <c r="P1766" i="2"/>
  <c r="O1766" i="2"/>
  <c r="T1765" i="2"/>
  <c r="S1765" i="2"/>
  <c r="R1765" i="2"/>
  <c r="Q1765" i="2"/>
  <c r="P1765" i="2"/>
  <c r="O1765" i="2"/>
  <c r="T1764" i="2"/>
  <c r="S1764" i="2"/>
  <c r="R1764" i="2"/>
  <c r="Q1764" i="2"/>
  <c r="P1764" i="2"/>
  <c r="O1764" i="2"/>
  <c r="T1763" i="2"/>
  <c r="S1763" i="2"/>
  <c r="R1763" i="2"/>
  <c r="Q1763" i="2"/>
  <c r="P1763" i="2"/>
  <c r="O1763" i="2"/>
  <c r="T1762" i="2"/>
  <c r="S1762" i="2"/>
  <c r="R1762" i="2"/>
  <c r="Q1762" i="2"/>
  <c r="P1762" i="2"/>
  <c r="O1762" i="2"/>
  <c r="T1761" i="2"/>
  <c r="S1761" i="2"/>
  <c r="R1761" i="2"/>
  <c r="Q1761" i="2"/>
  <c r="P1761" i="2"/>
  <c r="O1761" i="2"/>
  <c r="T1760" i="2"/>
  <c r="S1760" i="2"/>
  <c r="R1760" i="2"/>
  <c r="Q1760" i="2"/>
  <c r="P1760" i="2"/>
  <c r="O1760" i="2"/>
  <c r="T1759" i="2"/>
  <c r="S1759" i="2"/>
  <c r="R1759" i="2"/>
  <c r="Q1759" i="2"/>
  <c r="P1759" i="2"/>
  <c r="O1759" i="2"/>
  <c r="T1758" i="2"/>
  <c r="S1758" i="2"/>
  <c r="R1758" i="2"/>
  <c r="Q1758" i="2"/>
  <c r="P1758" i="2"/>
  <c r="O1758" i="2"/>
  <c r="T1757" i="2"/>
  <c r="S1757" i="2"/>
  <c r="R1757" i="2"/>
  <c r="Q1757" i="2"/>
  <c r="P1757" i="2"/>
  <c r="O1757" i="2"/>
  <c r="T1756" i="2"/>
  <c r="S1756" i="2"/>
  <c r="R1756" i="2"/>
  <c r="Q1756" i="2"/>
  <c r="P1756" i="2"/>
  <c r="O1756" i="2"/>
  <c r="T1755" i="2"/>
  <c r="S1755" i="2"/>
  <c r="R1755" i="2"/>
  <c r="Q1755" i="2"/>
  <c r="P1755" i="2"/>
  <c r="O1755" i="2"/>
  <c r="T1754" i="2"/>
  <c r="S1754" i="2"/>
  <c r="R1754" i="2"/>
  <c r="Q1754" i="2"/>
  <c r="P1754" i="2"/>
  <c r="O1754" i="2"/>
  <c r="T1753" i="2"/>
  <c r="S1753" i="2"/>
  <c r="R1753" i="2"/>
  <c r="Q1753" i="2"/>
  <c r="P1753" i="2"/>
  <c r="O1753" i="2"/>
  <c r="T1752" i="2"/>
  <c r="S1752" i="2"/>
  <c r="R1752" i="2"/>
  <c r="Q1752" i="2"/>
  <c r="P1752" i="2"/>
  <c r="O1752" i="2"/>
  <c r="T1751" i="2"/>
  <c r="S1751" i="2"/>
  <c r="R1751" i="2"/>
  <c r="Q1751" i="2"/>
  <c r="P1751" i="2"/>
  <c r="O1751" i="2"/>
  <c r="T1750" i="2"/>
  <c r="S1750" i="2"/>
  <c r="R1750" i="2"/>
  <c r="Q1750" i="2"/>
  <c r="P1750" i="2"/>
  <c r="O1750" i="2"/>
  <c r="T1749" i="2"/>
  <c r="S1749" i="2"/>
  <c r="R1749" i="2"/>
  <c r="Q1749" i="2"/>
  <c r="P1749" i="2"/>
  <c r="O1749" i="2"/>
  <c r="T1748" i="2"/>
  <c r="S1748" i="2"/>
  <c r="R1748" i="2"/>
  <c r="Q1748" i="2"/>
  <c r="P1748" i="2"/>
  <c r="O1748" i="2"/>
  <c r="T1747" i="2"/>
  <c r="S1747" i="2"/>
  <c r="R1747" i="2"/>
  <c r="Q1747" i="2"/>
  <c r="P1747" i="2"/>
  <c r="O1747" i="2"/>
  <c r="T1746" i="2"/>
  <c r="S1746" i="2"/>
  <c r="R1746" i="2"/>
  <c r="Q1746" i="2"/>
  <c r="P1746" i="2"/>
  <c r="O1746" i="2"/>
  <c r="T1745" i="2"/>
  <c r="S1745" i="2"/>
  <c r="R1745" i="2"/>
  <c r="Q1745" i="2"/>
  <c r="P1745" i="2"/>
  <c r="O1745" i="2"/>
  <c r="T1744" i="2"/>
  <c r="S1744" i="2"/>
  <c r="R1744" i="2"/>
  <c r="Q1744" i="2"/>
  <c r="P1744" i="2"/>
  <c r="O1744" i="2"/>
  <c r="T1743" i="2"/>
  <c r="S1743" i="2"/>
  <c r="R1743" i="2"/>
  <c r="Q1743" i="2"/>
  <c r="P1743" i="2"/>
  <c r="O1743" i="2"/>
  <c r="T1742" i="2"/>
  <c r="S1742" i="2"/>
  <c r="R1742" i="2"/>
  <c r="Q1742" i="2"/>
  <c r="P1742" i="2"/>
  <c r="O1742" i="2"/>
  <c r="T1741" i="2"/>
  <c r="S1741" i="2"/>
  <c r="R1741" i="2"/>
  <c r="Q1741" i="2"/>
  <c r="P1741" i="2"/>
  <c r="O1741" i="2"/>
  <c r="T1740" i="2"/>
  <c r="S1740" i="2"/>
  <c r="R1740" i="2"/>
  <c r="Q1740" i="2"/>
  <c r="P1740" i="2"/>
  <c r="O1740" i="2"/>
  <c r="T1739" i="2"/>
  <c r="S1739" i="2"/>
  <c r="R1739" i="2"/>
  <c r="Q1739" i="2"/>
  <c r="P1739" i="2"/>
  <c r="O1739" i="2"/>
  <c r="T1738" i="2"/>
  <c r="S1738" i="2"/>
  <c r="R1738" i="2"/>
  <c r="Q1738" i="2"/>
  <c r="P1738" i="2"/>
  <c r="O1738" i="2"/>
  <c r="T1737" i="2"/>
  <c r="S1737" i="2"/>
  <c r="R1737" i="2"/>
  <c r="Q1737" i="2"/>
  <c r="P1737" i="2"/>
  <c r="O1737" i="2"/>
  <c r="T1736" i="2"/>
  <c r="S1736" i="2"/>
  <c r="R1736" i="2"/>
  <c r="Q1736" i="2"/>
  <c r="P1736" i="2"/>
  <c r="O1736" i="2"/>
  <c r="T1735" i="2"/>
  <c r="S1735" i="2"/>
  <c r="R1735" i="2"/>
  <c r="Q1735" i="2"/>
  <c r="P1735" i="2"/>
  <c r="O1735" i="2"/>
  <c r="T1734" i="2"/>
  <c r="S1734" i="2"/>
  <c r="R1734" i="2"/>
  <c r="Q1734" i="2"/>
  <c r="P1734" i="2"/>
  <c r="O1734" i="2"/>
  <c r="T1733" i="2"/>
  <c r="S1733" i="2"/>
  <c r="R1733" i="2"/>
  <c r="Q1733" i="2"/>
  <c r="P1733" i="2"/>
  <c r="O1733" i="2"/>
  <c r="T1732" i="2"/>
  <c r="S1732" i="2"/>
  <c r="R1732" i="2"/>
  <c r="Q1732" i="2"/>
  <c r="P1732" i="2"/>
  <c r="O1732" i="2"/>
  <c r="T1731" i="2"/>
  <c r="S1731" i="2"/>
  <c r="R1731" i="2"/>
  <c r="Q1731" i="2"/>
  <c r="P1731" i="2"/>
  <c r="O1731" i="2"/>
  <c r="T1730" i="2"/>
  <c r="S1730" i="2"/>
  <c r="R1730" i="2"/>
  <c r="Q1730" i="2"/>
  <c r="P1730" i="2"/>
  <c r="O1730" i="2"/>
  <c r="T1729" i="2"/>
  <c r="S1729" i="2"/>
  <c r="R1729" i="2"/>
  <c r="Q1729" i="2"/>
  <c r="P1729" i="2"/>
  <c r="O1729" i="2"/>
  <c r="T1728" i="2"/>
  <c r="S1728" i="2"/>
  <c r="R1728" i="2"/>
  <c r="Q1728" i="2"/>
  <c r="P1728" i="2"/>
  <c r="O1728" i="2"/>
  <c r="T1727" i="2"/>
  <c r="S1727" i="2"/>
  <c r="R1727" i="2"/>
  <c r="Q1727" i="2"/>
  <c r="P1727" i="2"/>
  <c r="O1727" i="2"/>
  <c r="T1726" i="2"/>
  <c r="S1726" i="2"/>
  <c r="R1726" i="2"/>
  <c r="Q1726" i="2"/>
  <c r="P1726" i="2"/>
  <c r="O1726" i="2"/>
  <c r="T1725" i="2"/>
  <c r="S1725" i="2"/>
  <c r="R1725" i="2"/>
  <c r="Q1725" i="2"/>
  <c r="P1725" i="2"/>
  <c r="O1725" i="2"/>
  <c r="T1724" i="2"/>
  <c r="S1724" i="2"/>
  <c r="R1724" i="2"/>
  <c r="Q1724" i="2"/>
  <c r="P1724" i="2"/>
  <c r="O1724" i="2"/>
  <c r="T1723" i="2"/>
  <c r="S1723" i="2"/>
  <c r="R1723" i="2"/>
  <c r="Q1723" i="2"/>
  <c r="P1723" i="2"/>
  <c r="O1723" i="2"/>
  <c r="T1722" i="2"/>
  <c r="S1722" i="2"/>
  <c r="R1722" i="2"/>
  <c r="Q1722" i="2"/>
  <c r="P1722" i="2"/>
  <c r="O1722" i="2"/>
  <c r="T1721" i="2"/>
  <c r="S1721" i="2"/>
  <c r="R1721" i="2"/>
  <c r="Q1721" i="2"/>
  <c r="P1721" i="2"/>
  <c r="O1721" i="2"/>
  <c r="T1720" i="2"/>
  <c r="S1720" i="2"/>
  <c r="R1720" i="2"/>
  <c r="Q1720" i="2"/>
  <c r="P1720" i="2"/>
  <c r="O1720" i="2"/>
  <c r="T1719" i="2"/>
  <c r="S1719" i="2"/>
  <c r="R1719" i="2"/>
  <c r="Q1719" i="2"/>
  <c r="P1719" i="2"/>
  <c r="O1719" i="2"/>
  <c r="T1718" i="2"/>
  <c r="S1718" i="2"/>
  <c r="R1718" i="2"/>
  <c r="Q1718" i="2"/>
  <c r="P1718" i="2"/>
  <c r="O1718" i="2"/>
  <c r="T1717" i="2"/>
  <c r="S1717" i="2"/>
  <c r="R1717" i="2"/>
  <c r="Q1717" i="2"/>
  <c r="P1717" i="2"/>
  <c r="O1717" i="2"/>
  <c r="T1716" i="2"/>
  <c r="S1716" i="2"/>
  <c r="R1716" i="2"/>
  <c r="Q1716" i="2"/>
  <c r="P1716" i="2"/>
  <c r="O1716" i="2"/>
  <c r="T1715" i="2"/>
  <c r="S1715" i="2"/>
  <c r="R1715" i="2"/>
  <c r="Q1715" i="2"/>
  <c r="P1715" i="2"/>
  <c r="O1715" i="2"/>
  <c r="T1714" i="2"/>
  <c r="S1714" i="2"/>
  <c r="R1714" i="2"/>
  <c r="Q1714" i="2"/>
  <c r="P1714" i="2"/>
  <c r="O1714" i="2"/>
  <c r="T1713" i="2"/>
  <c r="S1713" i="2"/>
  <c r="R1713" i="2"/>
  <c r="Q1713" i="2"/>
  <c r="P1713" i="2"/>
  <c r="O1713" i="2"/>
  <c r="T1712" i="2"/>
  <c r="S1712" i="2"/>
  <c r="R1712" i="2"/>
  <c r="Q1712" i="2"/>
  <c r="P1712" i="2"/>
  <c r="O1712" i="2"/>
  <c r="T1711" i="2"/>
  <c r="S1711" i="2"/>
  <c r="R1711" i="2"/>
  <c r="Q1711" i="2"/>
  <c r="P1711" i="2"/>
  <c r="O1711" i="2"/>
  <c r="T1710" i="2"/>
  <c r="S1710" i="2"/>
  <c r="R1710" i="2"/>
  <c r="Q1710" i="2"/>
  <c r="P1710" i="2"/>
  <c r="O1710" i="2"/>
  <c r="T1709" i="2"/>
  <c r="S1709" i="2"/>
  <c r="R1709" i="2"/>
  <c r="Q1709" i="2"/>
  <c r="P1709" i="2"/>
  <c r="O1709" i="2"/>
  <c r="T1708" i="2"/>
  <c r="S1708" i="2"/>
  <c r="R1708" i="2"/>
  <c r="Q1708" i="2"/>
  <c r="P1708" i="2"/>
  <c r="O1708" i="2"/>
  <c r="T1707" i="2"/>
  <c r="S1707" i="2"/>
  <c r="R1707" i="2"/>
  <c r="Q1707" i="2"/>
  <c r="P1707" i="2"/>
  <c r="O1707" i="2"/>
  <c r="T1706" i="2"/>
  <c r="S1706" i="2"/>
  <c r="R1706" i="2"/>
  <c r="Q1706" i="2"/>
  <c r="P1706" i="2"/>
  <c r="O1706" i="2"/>
  <c r="T1705" i="2"/>
  <c r="S1705" i="2"/>
  <c r="R1705" i="2"/>
  <c r="Q1705" i="2"/>
  <c r="P1705" i="2"/>
  <c r="O1705" i="2"/>
  <c r="T1704" i="2"/>
  <c r="S1704" i="2"/>
  <c r="R1704" i="2"/>
  <c r="Q1704" i="2"/>
  <c r="P1704" i="2"/>
  <c r="O1704" i="2"/>
  <c r="T1703" i="2"/>
  <c r="S1703" i="2"/>
  <c r="R1703" i="2"/>
  <c r="Q1703" i="2"/>
  <c r="P1703" i="2"/>
  <c r="O1703" i="2"/>
  <c r="T1702" i="2"/>
  <c r="S1702" i="2"/>
  <c r="R1702" i="2"/>
  <c r="Q1702" i="2"/>
  <c r="P1702" i="2"/>
  <c r="O1702" i="2"/>
  <c r="T1701" i="2"/>
  <c r="S1701" i="2"/>
  <c r="R1701" i="2"/>
  <c r="Q1701" i="2"/>
  <c r="P1701" i="2"/>
  <c r="O1701" i="2"/>
  <c r="T1700" i="2"/>
  <c r="S1700" i="2"/>
  <c r="R1700" i="2"/>
  <c r="Q1700" i="2"/>
  <c r="P1700" i="2"/>
  <c r="O1700" i="2"/>
  <c r="T1699" i="2"/>
  <c r="S1699" i="2"/>
  <c r="R1699" i="2"/>
  <c r="Q1699" i="2"/>
  <c r="P1699" i="2"/>
  <c r="O1699" i="2"/>
  <c r="T1698" i="2"/>
  <c r="S1698" i="2"/>
  <c r="R1698" i="2"/>
  <c r="Q1698" i="2"/>
  <c r="P1698" i="2"/>
  <c r="O1698" i="2"/>
  <c r="T1697" i="2"/>
  <c r="S1697" i="2"/>
  <c r="R1697" i="2"/>
  <c r="Q1697" i="2"/>
  <c r="P1697" i="2"/>
  <c r="O1697" i="2"/>
  <c r="T1696" i="2"/>
  <c r="S1696" i="2"/>
  <c r="R1696" i="2"/>
  <c r="Q1696" i="2"/>
  <c r="P1696" i="2"/>
  <c r="O1696" i="2"/>
  <c r="T1695" i="2"/>
  <c r="S1695" i="2"/>
  <c r="R1695" i="2"/>
  <c r="Q1695" i="2"/>
  <c r="P1695" i="2"/>
  <c r="O1695" i="2"/>
  <c r="T1694" i="2"/>
  <c r="S1694" i="2"/>
  <c r="R1694" i="2"/>
  <c r="Q1694" i="2"/>
  <c r="P1694" i="2"/>
  <c r="O1694" i="2"/>
  <c r="T1693" i="2"/>
  <c r="S1693" i="2"/>
  <c r="R1693" i="2"/>
  <c r="Q1693" i="2"/>
  <c r="P1693" i="2"/>
  <c r="O1693" i="2"/>
  <c r="T1692" i="2"/>
  <c r="S1692" i="2"/>
  <c r="R1692" i="2"/>
  <c r="Q1692" i="2"/>
  <c r="P1692" i="2"/>
  <c r="O1692" i="2"/>
  <c r="T1691" i="2"/>
  <c r="S1691" i="2"/>
  <c r="R1691" i="2"/>
  <c r="Q1691" i="2"/>
  <c r="P1691" i="2"/>
  <c r="O1691" i="2"/>
  <c r="T1690" i="2"/>
  <c r="S1690" i="2"/>
  <c r="R1690" i="2"/>
  <c r="Q1690" i="2"/>
  <c r="P1690" i="2"/>
  <c r="O1690" i="2"/>
  <c r="T1689" i="2"/>
  <c r="S1689" i="2"/>
  <c r="R1689" i="2"/>
  <c r="Q1689" i="2"/>
  <c r="P1689" i="2"/>
  <c r="O1689" i="2"/>
  <c r="T1688" i="2"/>
  <c r="S1688" i="2"/>
  <c r="R1688" i="2"/>
  <c r="Q1688" i="2"/>
  <c r="P1688" i="2"/>
  <c r="O1688" i="2"/>
  <c r="T1687" i="2"/>
  <c r="S1687" i="2"/>
  <c r="R1687" i="2"/>
  <c r="Q1687" i="2"/>
  <c r="P1687" i="2"/>
  <c r="O1687" i="2"/>
  <c r="T1686" i="2"/>
  <c r="S1686" i="2"/>
  <c r="R1686" i="2"/>
  <c r="Q1686" i="2"/>
  <c r="P1686" i="2"/>
  <c r="O1686" i="2"/>
  <c r="T1685" i="2"/>
  <c r="S1685" i="2"/>
  <c r="R1685" i="2"/>
  <c r="Q1685" i="2"/>
  <c r="P1685" i="2"/>
  <c r="O1685" i="2"/>
  <c r="T1684" i="2"/>
  <c r="S1684" i="2"/>
  <c r="R1684" i="2"/>
  <c r="Q1684" i="2"/>
  <c r="P1684" i="2"/>
  <c r="O1684" i="2"/>
  <c r="T1683" i="2"/>
  <c r="S1683" i="2"/>
  <c r="R1683" i="2"/>
  <c r="Q1683" i="2"/>
  <c r="P1683" i="2"/>
  <c r="O1683" i="2"/>
  <c r="T1682" i="2"/>
  <c r="S1682" i="2"/>
  <c r="R1682" i="2"/>
  <c r="Q1682" i="2"/>
  <c r="P1682" i="2"/>
  <c r="O1682" i="2"/>
  <c r="T1681" i="2"/>
  <c r="S1681" i="2"/>
  <c r="R1681" i="2"/>
  <c r="Q1681" i="2"/>
  <c r="P1681" i="2"/>
  <c r="O1681" i="2"/>
  <c r="T1680" i="2"/>
  <c r="S1680" i="2"/>
  <c r="R1680" i="2"/>
  <c r="Q1680" i="2"/>
  <c r="P1680" i="2"/>
  <c r="O1680" i="2"/>
  <c r="T1679" i="2"/>
  <c r="S1679" i="2"/>
  <c r="R1679" i="2"/>
  <c r="Q1679" i="2"/>
  <c r="P1679" i="2"/>
  <c r="O1679" i="2"/>
  <c r="T1678" i="2"/>
  <c r="S1678" i="2"/>
  <c r="R1678" i="2"/>
  <c r="Q1678" i="2"/>
  <c r="P1678" i="2"/>
  <c r="O1678" i="2"/>
  <c r="T1677" i="2"/>
  <c r="S1677" i="2"/>
  <c r="R1677" i="2"/>
  <c r="Q1677" i="2"/>
  <c r="P1677" i="2"/>
  <c r="O1677" i="2"/>
  <c r="T1676" i="2"/>
  <c r="S1676" i="2"/>
  <c r="R1676" i="2"/>
  <c r="Q1676" i="2"/>
  <c r="P1676" i="2"/>
  <c r="O1676" i="2"/>
  <c r="T1675" i="2"/>
  <c r="S1675" i="2"/>
  <c r="R1675" i="2"/>
  <c r="Q1675" i="2"/>
  <c r="P1675" i="2"/>
  <c r="O1675" i="2"/>
  <c r="T1674" i="2"/>
  <c r="S1674" i="2"/>
  <c r="R1674" i="2"/>
  <c r="Q1674" i="2"/>
  <c r="P1674" i="2"/>
  <c r="O1674" i="2"/>
  <c r="T1673" i="2"/>
  <c r="S1673" i="2"/>
  <c r="R1673" i="2"/>
  <c r="Q1673" i="2"/>
  <c r="P1673" i="2"/>
  <c r="O1673" i="2"/>
  <c r="T1672" i="2"/>
  <c r="S1672" i="2"/>
  <c r="R1672" i="2"/>
  <c r="Q1672" i="2"/>
  <c r="P1672" i="2"/>
  <c r="O1672" i="2"/>
  <c r="T1671" i="2"/>
  <c r="S1671" i="2"/>
  <c r="R1671" i="2"/>
  <c r="Q1671" i="2"/>
  <c r="P1671" i="2"/>
  <c r="O1671" i="2"/>
  <c r="T1670" i="2"/>
  <c r="S1670" i="2"/>
  <c r="R1670" i="2"/>
  <c r="Q1670" i="2"/>
  <c r="P1670" i="2"/>
  <c r="O1670" i="2"/>
  <c r="T1669" i="2"/>
  <c r="S1669" i="2"/>
  <c r="R1669" i="2"/>
  <c r="Q1669" i="2"/>
  <c r="P1669" i="2"/>
  <c r="O1669" i="2"/>
  <c r="T1668" i="2"/>
  <c r="S1668" i="2"/>
  <c r="R1668" i="2"/>
  <c r="Q1668" i="2"/>
  <c r="P1668" i="2"/>
  <c r="O1668" i="2"/>
  <c r="T1667" i="2"/>
  <c r="S1667" i="2"/>
  <c r="R1667" i="2"/>
  <c r="Q1667" i="2"/>
  <c r="P1667" i="2"/>
  <c r="O1667" i="2"/>
  <c r="T1666" i="2"/>
  <c r="S1666" i="2"/>
  <c r="R1666" i="2"/>
  <c r="Q1666" i="2"/>
  <c r="P1666" i="2"/>
  <c r="O1666" i="2"/>
  <c r="T1665" i="2"/>
  <c r="S1665" i="2"/>
  <c r="R1665" i="2"/>
  <c r="Q1665" i="2"/>
  <c r="P1665" i="2"/>
  <c r="O1665" i="2"/>
  <c r="T1664" i="2"/>
  <c r="S1664" i="2"/>
  <c r="R1664" i="2"/>
  <c r="Q1664" i="2"/>
  <c r="P1664" i="2"/>
  <c r="O1664" i="2"/>
  <c r="T1663" i="2"/>
  <c r="S1663" i="2"/>
  <c r="R1663" i="2"/>
  <c r="Q1663" i="2"/>
  <c r="P1663" i="2"/>
  <c r="O1663" i="2"/>
  <c r="T1662" i="2"/>
  <c r="S1662" i="2"/>
  <c r="R1662" i="2"/>
  <c r="Q1662" i="2"/>
  <c r="P1662" i="2"/>
  <c r="O1662" i="2"/>
  <c r="T1661" i="2"/>
  <c r="S1661" i="2"/>
  <c r="R1661" i="2"/>
  <c r="Q1661" i="2"/>
  <c r="P1661" i="2"/>
  <c r="O1661" i="2"/>
  <c r="T1660" i="2"/>
  <c r="S1660" i="2"/>
  <c r="R1660" i="2"/>
  <c r="Q1660" i="2"/>
  <c r="P1660" i="2"/>
  <c r="O1660" i="2"/>
  <c r="T1659" i="2"/>
  <c r="S1659" i="2"/>
  <c r="R1659" i="2"/>
  <c r="Q1659" i="2"/>
  <c r="P1659" i="2"/>
  <c r="O1659" i="2"/>
  <c r="T1658" i="2"/>
  <c r="S1658" i="2"/>
  <c r="R1658" i="2"/>
  <c r="Q1658" i="2"/>
  <c r="P1658" i="2"/>
  <c r="O1658" i="2"/>
  <c r="T1657" i="2"/>
  <c r="S1657" i="2"/>
  <c r="R1657" i="2"/>
  <c r="Q1657" i="2"/>
  <c r="P1657" i="2"/>
  <c r="O1657" i="2"/>
  <c r="T1656" i="2"/>
  <c r="S1656" i="2"/>
  <c r="R1656" i="2"/>
  <c r="Q1656" i="2"/>
  <c r="P1656" i="2"/>
  <c r="O1656" i="2"/>
  <c r="T1655" i="2"/>
  <c r="S1655" i="2"/>
  <c r="R1655" i="2"/>
  <c r="Q1655" i="2"/>
  <c r="P1655" i="2"/>
  <c r="O1655" i="2"/>
  <c r="T1654" i="2"/>
  <c r="S1654" i="2"/>
  <c r="R1654" i="2"/>
  <c r="Q1654" i="2"/>
  <c r="P1654" i="2"/>
  <c r="O1654" i="2"/>
  <c r="T1653" i="2"/>
  <c r="S1653" i="2"/>
  <c r="R1653" i="2"/>
  <c r="Q1653" i="2"/>
  <c r="P1653" i="2"/>
  <c r="O1653" i="2"/>
  <c r="T1652" i="2"/>
  <c r="S1652" i="2"/>
  <c r="R1652" i="2"/>
  <c r="Q1652" i="2"/>
  <c r="P1652" i="2"/>
  <c r="O1652" i="2"/>
  <c r="T1651" i="2"/>
  <c r="S1651" i="2"/>
  <c r="R1651" i="2"/>
  <c r="Q1651" i="2"/>
  <c r="P1651" i="2"/>
  <c r="O1651" i="2"/>
  <c r="T1650" i="2"/>
  <c r="S1650" i="2"/>
  <c r="R1650" i="2"/>
  <c r="Q1650" i="2"/>
  <c r="P1650" i="2"/>
  <c r="O1650" i="2"/>
  <c r="T1649" i="2"/>
  <c r="S1649" i="2"/>
  <c r="R1649" i="2"/>
  <c r="Q1649" i="2"/>
  <c r="P1649" i="2"/>
  <c r="O1649" i="2"/>
  <c r="T1648" i="2"/>
  <c r="S1648" i="2"/>
  <c r="R1648" i="2"/>
  <c r="Q1648" i="2"/>
  <c r="P1648" i="2"/>
  <c r="O1648" i="2"/>
  <c r="T1647" i="2"/>
  <c r="S1647" i="2"/>
  <c r="R1647" i="2"/>
  <c r="Q1647" i="2"/>
  <c r="P1647" i="2"/>
  <c r="O1647" i="2"/>
  <c r="T1646" i="2"/>
  <c r="S1646" i="2"/>
  <c r="R1646" i="2"/>
  <c r="Q1646" i="2"/>
  <c r="P1646" i="2"/>
  <c r="O1646" i="2"/>
  <c r="T1645" i="2"/>
  <c r="S1645" i="2"/>
  <c r="R1645" i="2"/>
  <c r="Q1645" i="2"/>
  <c r="P1645" i="2"/>
  <c r="O1645" i="2"/>
  <c r="T1644" i="2"/>
  <c r="S1644" i="2"/>
  <c r="R1644" i="2"/>
  <c r="Q1644" i="2"/>
  <c r="P1644" i="2"/>
  <c r="O1644" i="2"/>
  <c r="T1643" i="2"/>
  <c r="S1643" i="2"/>
  <c r="R1643" i="2"/>
  <c r="Q1643" i="2"/>
  <c r="P1643" i="2"/>
  <c r="O1643" i="2"/>
  <c r="T1642" i="2"/>
  <c r="S1642" i="2"/>
  <c r="R1642" i="2"/>
  <c r="Q1642" i="2"/>
  <c r="P1642" i="2"/>
  <c r="O1642" i="2"/>
  <c r="T1641" i="2"/>
  <c r="S1641" i="2"/>
  <c r="R1641" i="2"/>
  <c r="Q1641" i="2"/>
  <c r="P1641" i="2"/>
  <c r="O1641" i="2"/>
  <c r="T1640" i="2"/>
  <c r="S1640" i="2"/>
  <c r="R1640" i="2"/>
  <c r="Q1640" i="2"/>
  <c r="P1640" i="2"/>
  <c r="O1640" i="2"/>
  <c r="T1639" i="2"/>
  <c r="S1639" i="2"/>
  <c r="R1639" i="2"/>
  <c r="Q1639" i="2"/>
  <c r="P1639" i="2"/>
  <c r="O1639" i="2"/>
  <c r="T1638" i="2"/>
  <c r="S1638" i="2"/>
  <c r="R1638" i="2"/>
  <c r="Q1638" i="2"/>
  <c r="P1638" i="2"/>
  <c r="O1638" i="2"/>
  <c r="T1637" i="2"/>
  <c r="S1637" i="2"/>
  <c r="R1637" i="2"/>
  <c r="Q1637" i="2"/>
  <c r="P1637" i="2"/>
  <c r="O1637" i="2"/>
  <c r="T1636" i="2"/>
  <c r="S1636" i="2"/>
  <c r="R1636" i="2"/>
  <c r="Q1636" i="2"/>
  <c r="P1636" i="2"/>
  <c r="O1636" i="2"/>
  <c r="T1635" i="2"/>
  <c r="S1635" i="2"/>
  <c r="R1635" i="2"/>
  <c r="Q1635" i="2"/>
  <c r="P1635" i="2"/>
  <c r="O1635" i="2"/>
  <c r="T1634" i="2"/>
  <c r="S1634" i="2"/>
  <c r="R1634" i="2"/>
  <c r="Q1634" i="2"/>
  <c r="P1634" i="2"/>
  <c r="O1634" i="2"/>
  <c r="T1633" i="2"/>
  <c r="S1633" i="2"/>
  <c r="R1633" i="2"/>
  <c r="Q1633" i="2"/>
  <c r="P1633" i="2"/>
  <c r="O1633" i="2"/>
  <c r="T1632" i="2"/>
  <c r="S1632" i="2"/>
  <c r="R1632" i="2"/>
  <c r="Q1632" i="2"/>
  <c r="P1632" i="2"/>
  <c r="O1632" i="2"/>
  <c r="T1631" i="2"/>
  <c r="S1631" i="2"/>
  <c r="R1631" i="2"/>
  <c r="Q1631" i="2"/>
  <c r="P1631" i="2"/>
  <c r="O1631" i="2"/>
  <c r="T1630" i="2"/>
  <c r="S1630" i="2"/>
  <c r="R1630" i="2"/>
  <c r="Q1630" i="2"/>
  <c r="P1630" i="2"/>
  <c r="O1630" i="2"/>
  <c r="T1629" i="2"/>
  <c r="S1629" i="2"/>
  <c r="R1629" i="2"/>
  <c r="Q1629" i="2"/>
  <c r="P1629" i="2"/>
  <c r="O1629" i="2"/>
  <c r="T1628" i="2"/>
  <c r="S1628" i="2"/>
  <c r="R1628" i="2"/>
  <c r="Q1628" i="2"/>
  <c r="P1628" i="2"/>
  <c r="O1628" i="2"/>
  <c r="T1627" i="2"/>
  <c r="S1627" i="2"/>
  <c r="R1627" i="2"/>
  <c r="Q1627" i="2"/>
  <c r="P1627" i="2"/>
  <c r="O1627" i="2"/>
  <c r="T1626" i="2"/>
  <c r="S1626" i="2"/>
  <c r="R1626" i="2"/>
  <c r="Q1626" i="2"/>
  <c r="P1626" i="2"/>
  <c r="O1626" i="2"/>
  <c r="T1625" i="2"/>
  <c r="S1625" i="2"/>
  <c r="R1625" i="2"/>
  <c r="Q1625" i="2"/>
  <c r="P1625" i="2"/>
  <c r="O1625" i="2"/>
  <c r="T1624" i="2"/>
  <c r="S1624" i="2"/>
  <c r="R1624" i="2"/>
  <c r="Q1624" i="2"/>
  <c r="P1624" i="2"/>
  <c r="O1624" i="2"/>
  <c r="T1623" i="2"/>
  <c r="S1623" i="2"/>
  <c r="R1623" i="2"/>
  <c r="Q1623" i="2"/>
  <c r="P1623" i="2"/>
  <c r="O1623" i="2"/>
  <c r="T1622" i="2"/>
  <c r="S1622" i="2"/>
  <c r="R1622" i="2"/>
  <c r="Q1622" i="2"/>
  <c r="P1622" i="2"/>
  <c r="O1622" i="2"/>
  <c r="T1621" i="2"/>
  <c r="S1621" i="2"/>
  <c r="R1621" i="2"/>
  <c r="Q1621" i="2"/>
  <c r="P1621" i="2"/>
  <c r="O1621" i="2"/>
  <c r="T1620" i="2"/>
  <c r="S1620" i="2"/>
  <c r="R1620" i="2"/>
  <c r="Q1620" i="2"/>
  <c r="P1620" i="2"/>
  <c r="O1620" i="2"/>
  <c r="T1619" i="2"/>
  <c r="S1619" i="2"/>
  <c r="R1619" i="2"/>
  <c r="Q1619" i="2"/>
  <c r="P1619" i="2"/>
  <c r="O1619" i="2"/>
  <c r="T1618" i="2"/>
  <c r="S1618" i="2"/>
  <c r="R1618" i="2"/>
  <c r="Q1618" i="2"/>
  <c r="P1618" i="2"/>
  <c r="O1618" i="2"/>
  <c r="T1617" i="2"/>
  <c r="S1617" i="2"/>
  <c r="R1617" i="2"/>
  <c r="Q1617" i="2"/>
  <c r="P1617" i="2"/>
  <c r="O1617" i="2"/>
  <c r="T1616" i="2"/>
  <c r="S1616" i="2"/>
  <c r="R1616" i="2"/>
  <c r="Q1616" i="2"/>
  <c r="P1616" i="2"/>
  <c r="O1616" i="2"/>
  <c r="T1615" i="2"/>
  <c r="S1615" i="2"/>
  <c r="R1615" i="2"/>
  <c r="Q1615" i="2"/>
  <c r="P1615" i="2"/>
  <c r="O1615" i="2"/>
  <c r="T1614" i="2"/>
  <c r="S1614" i="2"/>
  <c r="R1614" i="2"/>
  <c r="Q1614" i="2"/>
  <c r="P1614" i="2"/>
  <c r="O1614" i="2"/>
  <c r="T1613" i="2"/>
  <c r="S1613" i="2"/>
  <c r="R1613" i="2"/>
  <c r="Q1613" i="2"/>
  <c r="P1613" i="2"/>
  <c r="O1613" i="2"/>
  <c r="T1612" i="2"/>
  <c r="S1612" i="2"/>
  <c r="R1612" i="2"/>
  <c r="Q1612" i="2"/>
  <c r="P1612" i="2"/>
  <c r="O1612" i="2"/>
  <c r="T1611" i="2"/>
  <c r="S1611" i="2"/>
  <c r="R1611" i="2"/>
  <c r="Q1611" i="2"/>
  <c r="P1611" i="2"/>
  <c r="O1611" i="2"/>
  <c r="T1610" i="2"/>
  <c r="S1610" i="2"/>
  <c r="R1610" i="2"/>
  <c r="Q1610" i="2"/>
  <c r="P1610" i="2"/>
  <c r="O1610" i="2"/>
  <c r="T1609" i="2"/>
  <c r="S1609" i="2"/>
  <c r="R1609" i="2"/>
  <c r="Q1609" i="2"/>
  <c r="P1609" i="2"/>
  <c r="O1609" i="2"/>
  <c r="T1608" i="2"/>
  <c r="S1608" i="2"/>
  <c r="R1608" i="2"/>
  <c r="Q1608" i="2"/>
  <c r="P1608" i="2"/>
  <c r="O1608" i="2"/>
  <c r="T1607" i="2"/>
  <c r="S1607" i="2"/>
  <c r="R1607" i="2"/>
  <c r="Q1607" i="2"/>
  <c r="P1607" i="2"/>
  <c r="O1607" i="2"/>
  <c r="T1606" i="2"/>
  <c r="S1606" i="2"/>
  <c r="R1606" i="2"/>
  <c r="Q1606" i="2"/>
  <c r="P1606" i="2"/>
  <c r="O1606" i="2"/>
  <c r="T1605" i="2"/>
  <c r="S1605" i="2"/>
  <c r="R1605" i="2"/>
  <c r="Q1605" i="2"/>
  <c r="P1605" i="2"/>
  <c r="O1605" i="2"/>
  <c r="T1604" i="2"/>
  <c r="S1604" i="2"/>
  <c r="R1604" i="2"/>
  <c r="Q1604" i="2"/>
  <c r="P1604" i="2"/>
  <c r="O1604" i="2"/>
  <c r="T1603" i="2"/>
  <c r="S1603" i="2"/>
  <c r="R1603" i="2"/>
  <c r="Q1603" i="2"/>
  <c r="P1603" i="2"/>
  <c r="O1603" i="2"/>
  <c r="T1602" i="2"/>
  <c r="S1602" i="2"/>
  <c r="R1602" i="2"/>
  <c r="Q1602" i="2"/>
  <c r="P1602" i="2"/>
  <c r="O1602" i="2"/>
  <c r="T1601" i="2"/>
  <c r="S1601" i="2"/>
  <c r="R1601" i="2"/>
  <c r="Q1601" i="2"/>
  <c r="P1601" i="2"/>
  <c r="O1601" i="2"/>
  <c r="T1600" i="2"/>
  <c r="S1600" i="2"/>
  <c r="R1600" i="2"/>
  <c r="Q1600" i="2"/>
  <c r="P1600" i="2"/>
  <c r="O1600" i="2"/>
  <c r="T1599" i="2"/>
  <c r="S1599" i="2"/>
  <c r="R1599" i="2"/>
  <c r="Q1599" i="2"/>
  <c r="P1599" i="2"/>
  <c r="O1599" i="2"/>
  <c r="T1598" i="2"/>
  <c r="S1598" i="2"/>
  <c r="R1598" i="2"/>
  <c r="Q1598" i="2"/>
  <c r="P1598" i="2"/>
  <c r="O1598" i="2"/>
  <c r="T1597" i="2"/>
  <c r="S1597" i="2"/>
  <c r="R1597" i="2"/>
  <c r="Q1597" i="2"/>
  <c r="P1597" i="2"/>
  <c r="O1597" i="2"/>
  <c r="T1596" i="2"/>
  <c r="S1596" i="2"/>
  <c r="R1596" i="2"/>
  <c r="Q1596" i="2"/>
  <c r="P1596" i="2"/>
  <c r="O1596" i="2"/>
  <c r="T1595" i="2"/>
  <c r="S1595" i="2"/>
  <c r="R1595" i="2"/>
  <c r="Q1595" i="2"/>
  <c r="P1595" i="2"/>
  <c r="O1595" i="2"/>
  <c r="T1594" i="2"/>
  <c r="S1594" i="2"/>
  <c r="R1594" i="2"/>
  <c r="Q1594" i="2"/>
  <c r="P1594" i="2"/>
  <c r="O1594" i="2"/>
  <c r="T1593" i="2"/>
  <c r="S1593" i="2"/>
  <c r="R1593" i="2"/>
  <c r="Q1593" i="2"/>
  <c r="P1593" i="2"/>
  <c r="O1593" i="2"/>
  <c r="T1592" i="2"/>
  <c r="S1592" i="2"/>
  <c r="R1592" i="2"/>
  <c r="Q1592" i="2"/>
  <c r="P1592" i="2"/>
  <c r="O1592" i="2"/>
  <c r="T1591" i="2"/>
  <c r="S1591" i="2"/>
  <c r="R1591" i="2"/>
  <c r="Q1591" i="2"/>
  <c r="P1591" i="2"/>
  <c r="O1591" i="2"/>
  <c r="T1590" i="2"/>
  <c r="S1590" i="2"/>
  <c r="R1590" i="2"/>
  <c r="Q1590" i="2"/>
  <c r="P1590" i="2"/>
  <c r="O1590" i="2"/>
  <c r="T1589" i="2"/>
  <c r="S1589" i="2"/>
  <c r="R1589" i="2"/>
  <c r="Q1589" i="2"/>
  <c r="P1589" i="2"/>
  <c r="O1589" i="2"/>
  <c r="T1588" i="2"/>
  <c r="S1588" i="2"/>
  <c r="R1588" i="2"/>
  <c r="Q1588" i="2"/>
  <c r="P1588" i="2"/>
  <c r="O1588" i="2"/>
  <c r="T1587" i="2"/>
  <c r="S1587" i="2"/>
  <c r="R1587" i="2"/>
  <c r="Q1587" i="2"/>
  <c r="P1587" i="2"/>
  <c r="O1587" i="2"/>
  <c r="T1586" i="2"/>
  <c r="S1586" i="2"/>
  <c r="R1586" i="2"/>
  <c r="Q1586" i="2"/>
  <c r="P1586" i="2"/>
  <c r="O1586" i="2"/>
  <c r="T1585" i="2"/>
  <c r="S1585" i="2"/>
  <c r="R1585" i="2"/>
  <c r="Q1585" i="2"/>
  <c r="P1585" i="2"/>
  <c r="O1585" i="2"/>
  <c r="T1584" i="2"/>
  <c r="S1584" i="2"/>
  <c r="R1584" i="2"/>
  <c r="Q1584" i="2"/>
  <c r="P1584" i="2"/>
  <c r="O1584" i="2"/>
  <c r="T1583" i="2"/>
  <c r="S1583" i="2"/>
  <c r="R1583" i="2"/>
  <c r="Q1583" i="2"/>
  <c r="P1583" i="2"/>
  <c r="O1583" i="2"/>
  <c r="T1582" i="2"/>
  <c r="S1582" i="2"/>
  <c r="R1582" i="2"/>
  <c r="Q1582" i="2"/>
  <c r="P1582" i="2"/>
  <c r="O1582" i="2"/>
  <c r="T1581" i="2"/>
  <c r="S1581" i="2"/>
  <c r="R1581" i="2"/>
  <c r="Q1581" i="2"/>
  <c r="P1581" i="2"/>
  <c r="O1581" i="2"/>
  <c r="T1580" i="2"/>
  <c r="S1580" i="2"/>
  <c r="R1580" i="2"/>
  <c r="Q1580" i="2"/>
  <c r="P1580" i="2"/>
  <c r="O1580" i="2"/>
  <c r="T1579" i="2"/>
  <c r="S1579" i="2"/>
  <c r="R1579" i="2"/>
  <c r="Q1579" i="2"/>
  <c r="P1579" i="2"/>
  <c r="O1579" i="2"/>
  <c r="T1578" i="2"/>
  <c r="S1578" i="2"/>
  <c r="R1578" i="2"/>
  <c r="Q1578" i="2"/>
  <c r="P1578" i="2"/>
  <c r="O1578" i="2"/>
  <c r="T1577" i="2"/>
  <c r="S1577" i="2"/>
  <c r="R1577" i="2"/>
  <c r="Q1577" i="2"/>
  <c r="P1577" i="2"/>
  <c r="O1577" i="2"/>
  <c r="T1576" i="2"/>
  <c r="S1576" i="2"/>
  <c r="R1576" i="2"/>
  <c r="Q1576" i="2"/>
  <c r="P1576" i="2"/>
  <c r="O1576" i="2"/>
  <c r="T1575" i="2"/>
  <c r="S1575" i="2"/>
  <c r="R1575" i="2"/>
  <c r="Q1575" i="2"/>
  <c r="P1575" i="2"/>
  <c r="O1575" i="2"/>
  <c r="T1574" i="2"/>
  <c r="S1574" i="2"/>
  <c r="R1574" i="2"/>
  <c r="Q1574" i="2"/>
  <c r="P1574" i="2"/>
  <c r="O1574" i="2"/>
  <c r="T1573" i="2"/>
  <c r="S1573" i="2"/>
  <c r="R1573" i="2"/>
  <c r="Q1573" i="2"/>
  <c r="P1573" i="2"/>
  <c r="O1573" i="2"/>
  <c r="T1572" i="2"/>
  <c r="S1572" i="2"/>
  <c r="R1572" i="2"/>
  <c r="Q1572" i="2"/>
  <c r="P1572" i="2"/>
  <c r="O1572" i="2"/>
  <c r="T1571" i="2"/>
  <c r="S1571" i="2"/>
  <c r="R1571" i="2"/>
  <c r="Q1571" i="2"/>
  <c r="P1571" i="2"/>
  <c r="O1571" i="2"/>
  <c r="T1570" i="2"/>
  <c r="S1570" i="2"/>
  <c r="R1570" i="2"/>
  <c r="Q1570" i="2"/>
  <c r="P1570" i="2"/>
  <c r="O1570" i="2"/>
  <c r="T1569" i="2"/>
  <c r="S1569" i="2"/>
  <c r="R1569" i="2"/>
  <c r="Q1569" i="2"/>
  <c r="P1569" i="2"/>
  <c r="O1569" i="2"/>
  <c r="T1568" i="2"/>
  <c r="S1568" i="2"/>
  <c r="R1568" i="2"/>
  <c r="Q1568" i="2"/>
  <c r="P1568" i="2"/>
  <c r="O1568" i="2"/>
  <c r="T1567" i="2"/>
  <c r="S1567" i="2"/>
  <c r="R1567" i="2"/>
  <c r="Q1567" i="2"/>
  <c r="P1567" i="2"/>
  <c r="O1567" i="2"/>
  <c r="T1566" i="2"/>
  <c r="S1566" i="2"/>
  <c r="R1566" i="2"/>
  <c r="Q1566" i="2"/>
  <c r="P1566" i="2"/>
  <c r="O1566" i="2"/>
  <c r="T1565" i="2"/>
  <c r="S1565" i="2"/>
  <c r="R1565" i="2"/>
  <c r="Q1565" i="2"/>
  <c r="P1565" i="2"/>
  <c r="O1565" i="2"/>
  <c r="T1564" i="2"/>
  <c r="S1564" i="2"/>
  <c r="R1564" i="2"/>
  <c r="Q1564" i="2"/>
  <c r="P1564" i="2"/>
  <c r="O1564" i="2"/>
  <c r="T1563" i="2"/>
  <c r="S1563" i="2"/>
  <c r="R1563" i="2"/>
  <c r="Q1563" i="2"/>
  <c r="P1563" i="2"/>
  <c r="O1563" i="2"/>
  <c r="T1562" i="2"/>
  <c r="S1562" i="2"/>
  <c r="R1562" i="2"/>
  <c r="Q1562" i="2"/>
  <c r="P1562" i="2"/>
  <c r="O1562" i="2"/>
  <c r="T1561" i="2"/>
  <c r="S1561" i="2"/>
  <c r="R1561" i="2"/>
  <c r="Q1561" i="2"/>
  <c r="P1561" i="2"/>
  <c r="O1561" i="2"/>
  <c r="T1560" i="2"/>
  <c r="S1560" i="2"/>
  <c r="R1560" i="2"/>
  <c r="Q1560" i="2"/>
  <c r="P1560" i="2"/>
  <c r="O1560" i="2"/>
  <c r="T1559" i="2"/>
  <c r="S1559" i="2"/>
  <c r="R1559" i="2"/>
  <c r="Q1559" i="2"/>
  <c r="P1559" i="2"/>
  <c r="O1559" i="2"/>
  <c r="T1558" i="2"/>
  <c r="S1558" i="2"/>
  <c r="R1558" i="2"/>
  <c r="Q1558" i="2"/>
  <c r="P1558" i="2"/>
  <c r="O1558" i="2"/>
  <c r="T1557" i="2"/>
  <c r="S1557" i="2"/>
  <c r="R1557" i="2"/>
  <c r="Q1557" i="2"/>
  <c r="P1557" i="2"/>
  <c r="O1557" i="2"/>
  <c r="T1556" i="2"/>
  <c r="S1556" i="2"/>
  <c r="R1556" i="2"/>
  <c r="Q1556" i="2"/>
  <c r="P1556" i="2"/>
  <c r="O1556" i="2"/>
  <c r="T1555" i="2"/>
  <c r="S1555" i="2"/>
  <c r="R1555" i="2"/>
  <c r="Q1555" i="2"/>
  <c r="P1555" i="2"/>
  <c r="O1555" i="2"/>
  <c r="T1554" i="2"/>
  <c r="S1554" i="2"/>
  <c r="R1554" i="2"/>
  <c r="Q1554" i="2"/>
  <c r="P1554" i="2"/>
  <c r="O1554" i="2"/>
  <c r="T1553" i="2"/>
  <c r="S1553" i="2"/>
  <c r="R1553" i="2"/>
  <c r="Q1553" i="2"/>
  <c r="P1553" i="2"/>
  <c r="O1553" i="2"/>
  <c r="T1552" i="2"/>
  <c r="S1552" i="2"/>
  <c r="R1552" i="2"/>
  <c r="Q1552" i="2"/>
  <c r="P1552" i="2"/>
  <c r="O1552" i="2"/>
  <c r="T1551" i="2"/>
  <c r="S1551" i="2"/>
  <c r="R1551" i="2"/>
  <c r="Q1551" i="2"/>
  <c r="P1551" i="2"/>
  <c r="O1551" i="2"/>
  <c r="T1550" i="2"/>
  <c r="S1550" i="2"/>
  <c r="R1550" i="2"/>
  <c r="Q1550" i="2"/>
  <c r="P1550" i="2"/>
  <c r="O1550" i="2"/>
  <c r="T1549" i="2"/>
  <c r="S1549" i="2"/>
  <c r="R1549" i="2"/>
  <c r="Q1549" i="2"/>
  <c r="P1549" i="2"/>
  <c r="O1549" i="2"/>
  <c r="T1548" i="2"/>
  <c r="S1548" i="2"/>
  <c r="R1548" i="2"/>
  <c r="Q1548" i="2"/>
  <c r="P1548" i="2"/>
  <c r="O1548" i="2"/>
  <c r="T1547" i="2"/>
  <c r="S1547" i="2"/>
  <c r="R1547" i="2"/>
  <c r="Q1547" i="2"/>
  <c r="P1547" i="2"/>
  <c r="O1547" i="2"/>
  <c r="T1546" i="2"/>
  <c r="S1546" i="2"/>
  <c r="R1546" i="2"/>
  <c r="Q1546" i="2"/>
  <c r="P1546" i="2"/>
  <c r="O1546" i="2"/>
  <c r="T1545" i="2"/>
  <c r="S1545" i="2"/>
  <c r="R1545" i="2"/>
  <c r="Q1545" i="2"/>
  <c r="P1545" i="2"/>
  <c r="O1545" i="2"/>
  <c r="T1544" i="2"/>
  <c r="S1544" i="2"/>
  <c r="R1544" i="2"/>
  <c r="Q1544" i="2"/>
  <c r="P1544" i="2"/>
  <c r="O1544" i="2"/>
  <c r="T1543" i="2"/>
  <c r="S1543" i="2"/>
  <c r="R1543" i="2"/>
  <c r="Q1543" i="2"/>
  <c r="P1543" i="2"/>
  <c r="O1543" i="2"/>
  <c r="T1542" i="2"/>
  <c r="S1542" i="2"/>
  <c r="R1542" i="2"/>
  <c r="Q1542" i="2"/>
  <c r="P1542" i="2"/>
  <c r="O1542" i="2"/>
  <c r="T1541" i="2"/>
  <c r="S1541" i="2"/>
  <c r="R1541" i="2"/>
  <c r="Q1541" i="2"/>
  <c r="P1541" i="2"/>
  <c r="O1541" i="2"/>
  <c r="T1540" i="2"/>
  <c r="S1540" i="2"/>
  <c r="R1540" i="2"/>
  <c r="Q1540" i="2"/>
  <c r="P1540" i="2"/>
  <c r="O1540" i="2"/>
  <c r="T1539" i="2"/>
  <c r="S1539" i="2"/>
  <c r="R1539" i="2"/>
  <c r="Q1539" i="2"/>
  <c r="P1539" i="2"/>
  <c r="O1539" i="2"/>
  <c r="T1538" i="2"/>
  <c r="S1538" i="2"/>
  <c r="R1538" i="2"/>
  <c r="Q1538" i="2"/>
  <c r="P1538" i="2"/>
  <c r="O1538" i="2"/>
  <c r="T1537" i="2"/>
  <c r="S1537" i="2"/>
  <c r="R1537" i="2"/>
  <c r="Q1537" i="2"/>
  <c r="P1537" i="2"/>
  <c r="O1537" i="2"/>
  <c r="T1536" i="2"/>
  <c r="S1536" i="2"/>
  <c r="R1536" i="2"/>
  <c r="Q1536" i="2"/>
  <c r="P1536" i="2"/>
  <c r="O1536" i="2"/>
  <c r="T1535" i="2"/>
  <c r="S1535" i="2"/>
  <c r="R1535" i="2"/>
  <c r="Q1535" i="2"/>
  <c r="P1535" i="2"/>
  <c r="O1535" i="2"/>
  <c r="T1534" i="2"/>
  <c r="S1534" i="2"/>
  <c r="R1534" i="2"/>
  <c r="Q1534" i="2"/>
  <c r="P1534" i="2"/>
  <c r="O1534" i="2"/>
  <c r="T1533" i="2"/>
  <c r="S1533" i="2"/>
  <c r="R1533" i="2"/>
  <c r="Q1533" i="2"/>
  <c r="P1533" i="2"/>
  <c r="O1533" i="2"/>
  <c r="T1532" i="2"/>
  <c r="S1532" i="2"/>
  <c r="R1532" i="2"/>
  <c r="Q1532" i="2"/>
  <c r="P1532" i="2"/>
  <c r="O1532" i="2"/>
  <c r="T1531" i="2"/>
  <c r="S1531" i="2"/>
  <c r="R1531" i="2"/>
  <c r="Q1531" i="2"/>
  <c r="P1531" i="2"/>
  <c r="O1531" i="2"/>
  <c r="T1530" i="2"/>
  <c r="S1530" i="2"/>
  <c r="R1530" i="2"/>
  <c r="Q1530" i="2"/>
  <c r="P1530" i="2"/>
  <c r="O1530" i="2"/>
  <c r="T1529" i="2"/>
  <c r="S1529" i="2"/>
  <c r="R1529" i="2"/>
  <c r="Q1529" i="2"/>
  <c r="P1529" i="2"/>
  <c r="O1529" i="2"/>
  <c r="T1528" i="2"/>
  <c r="S1528" i="2"/>
  <c r="R1528" i="2"/>
  <c r="Q1528" i="2"/>
  <c r="P1528" i="2"/>
  <c r="O1528" i="2"/>
  <c r="T1527" i="2"/>
  <c r="S1527" i="2"/>
  <c r="R1527" i="2"/>
  <c r="Q1527" i="2"/>
  <c r="P1527" i="2"/>
  <c r="O1527" i="2"/>
  <c r="T1526" i="2"/>
  <c r="S1526" i="2"/>
  <c r="R1526" i="2"/>
  <c r="Q1526" i="2"/>
  <c r="P1526" i="2"/>
  <c r="O1526" i="2"/>
  <c r="T1525" i="2"/>
  <c r="S1525" i="2"/>
  <c r="R1525" i="2"/>
  <c r="Q1525" i="2"/>
  <c r="P1525" i="2"/>
  <c r="O1525" i="2"/>
  <c r="T1524" i="2"/>
  <c r="S1524" i="2"/>
  <c r="R1524" i="2"/>
  <c r="Q1524" i="2"/>
  <c r="P1524" i="2"/>
  <c r="O1524" i="2"/>
  <c r="T1523" i="2"/>
  <c r="S1523" i="2"/>
  <c r="R1523" i="2"/>
  <c r="Q1523" i="2"/>
  <c r="P1523" i="2"/>
  <c r="O1523" i="2"/>
  <c r="T1522" i="2"/>
  <c r="S1522" i="2"/>
  <c r="R1522" i="2"/>
  <c r="Q1522" i="2"/>
  <c r="P1522" i="2"/>
  <c r="O1522" i="2"/>
  <c r="T1521" i="2"/>
  <c r="S1521" i="2"/>
  <c r="R1521" i="2"/>
  <c r="Q1521" i="2"/>
  <c r="P1521" i="2"/>
  <c r="O1521" i="2"/>
  <c r="T1520" i="2"/>
  <c r="S1520" i="2"/>
  <c r="R1520" i="2"/>
  <c r="Q1520" i="2"/>
  <c r="P1520" i="2"/>
  <c r="O1520" i="2"/>
  <c r="T1519" i="2"/>
  <c r="S1519" i="2"/>
  <c r="R1519" i="2"/>
  <c r="Q1519" i="2"/>
  <c r="P1519" i="2"/>
  <c r="O1519" i="2"/>
  <c r="T1518" i="2"/>
  <c r="S1518" i="2"/>
  <c r="R1518" i="2"/>
  <c r="Q1518" i="2"/>
  <c r="P1518" i="2"/>
  <c r="O1518" i="2"/>
  <c r="T1517" i="2"/>
  <c r="S1517" i="2"/>
  <c r="R1517" i="2"/>
  <c r="Q1517" i="2"/>
  <c r="P1517" i="2"/>
  <c r="O1517" i="2"/>
  <c r="T1516" i="2"/>
  <c r="S1516" i="2"/>
  <c r="R1516" i="2"/>
  <c r="Q1516" i="2"/>
  <c r="P1516" i="2"/>
  <c r="O1516" i="2"/>
  <c r="T1515" i="2"/>
  <c r="S1515" i="2"/>
  <c r="R1515" i="2"/>
  <c r="Q1515" i="2"/>
  <c r="P1515" i="2"/>
  <c r="O1515" i="2"/>
  <c r="T1514" i="2"/>
  <c r="S1514" i="2"/>
  <c r="R1514" i="2"/>
  <c r="Q1514" i="2"/>
  <c r="P1514" i="2"/>
  <c r="O1514" i="2"/>
  <c r="T1513" i="2"/>
  <c r="S1513" i="2"/>
  <c r="R1513" i="2"/>
  <c r="Q1513" i="2"/>
  <c r="P1513" i="2"/>
  <c r="O1513" i="2"/>
  <c r="T1512" i="2"/>
  <c r="S1512" i="2"/>
  <c r="R1512" i="2"/>
  <c r="Q1512" i="2"/>
  <c r="P1512" i="2"/>
  <c r="O1512" i="2"/>
  <c r="T1511" i="2"/>
  <c r="S1511" i="2"/>
  <c r="R1511" i="2"/>
  <c r="Q1511" i="2"/>
  <c r="P1511" i="2"/>
  <c r="O1511" i="2"/>
  <c r="T1510" i="2"/>
  <c r="S1510" i="2"/>
  <c r="R1510" i="2"/>
  <c r="Q1510" i="2"/>
  <c r="P1510" i="2"/>
  <c r="O1510" i="2"/>
  <c r="T1509" i="2"/>
  <c r="S1509" i="2"/>
  <c r="R1509" i="2"/>
  <c r="Q1509" i="2"/>
  <c r="P1509" i="2"/>
  <c r="O1509" i="2"/>
  <c r="T1508" i="2"/>
  <c r="S1508" i="2"/>
  <c r="R1508" i="2"/>
  <c r="Q1508" i="2"/>
  <c r="P1508" i="2"/>
  <c r="O1508" i="2"/>
  <c r="T1507" i="2"/>
  <c r="S1507" i="2"/>
  <c r="R1507" i="2"/>
  <c r="Q1507" i="2"/>
  <c r="P1507" i="2"/>
  <c r="O1507" i="2"/>
  <c r="T1506" i="2"/>
  <c r="S1506" i="2"/>
  <c r="R1506" i="2"/>
  <c r="Q1506" i="2"/>
  <c r="P1506" i="2"/>
  <c r="O1506" i="2"/>
  <c r="T1505" i="2"/>
  <c r="S1505" i="2"/>
  <c r="R1505" i="2"/>
  <c r="Q1505" i="2"/>
  <c r="P1505" i="2"/>
  <c r="O1505" i="2"/>
  <c r="T1504" i="2"/>
  <c r="S1504" i="2"/>
  <c r="R1504" i="2"/>
  <c r="Q1504" i="2"/>
  <c r="P1504" i="2"/>
  <c r="O1504" i="2"/>
  <c r="T1503" i="2"/>
  <c r="S1503" i="2"/>
  <c r="R1503" i="2"/>
  <c r="Q1503" i="2"/>
  <c r="P1503" i="2"/>
  <c r="O1503" i="2"/>
  <c r="T1502" i="2"/>
  <c r="S1502" i="2"/>
  <c r="R1502" i="2"/>
  <c r="Q1502" i="2"/>
  <c r="P1502" i="2"/>
  <c r="O1502" i="2"/>
  <c r="T1501" i="2"/>
  <c r="S1501" i="2"/>
  <c r="R1501" i="2"/>
  <c r="Q1501" i="2"/>
  <c r="P1501" i="2"/>
  <c r="O1501" i="2"/>
  <c r="T1500" i="2"/>
  <c r="S1500" i="2"/>
  <c r="R1500" i="2"/>
  <c r="Q1500" i="2"/>
  <c r="P1500" i="2"/>
  <c r="O1500" i="2"/>
  <c r="T1499" i="2"/>
  <c r="S1499" i="2"/>
  <c r="R1499" i="2"/>
  <c r="Q1499" i="2"/>
  <c r="P1499" i="2"/>
  <c r="O1499" i="2"/>
  <c r="T1498" i="2"/>
  <c r="S1498" i="2"/>
  <c r="R1498" i="2"/>
  <c r="Q1498" i="2"/>
  <c r="P1498" i="2"/>
  <c r="O1498" i="2"/>
  <c r="T1497" i="2"/>
  <c r="S1497" i="2"/>
  <c r="R1497" i="2"/>
  <c r="Q1497" i="2"/>
  <c r="P1497" i="2"/>
  <c r="O1497" i="2"/>
  <c r="T1496" i="2"/>
  <c r="S1496" i="2"/>
  <c r="R1496" i="2"/>
  <c r="Q1496" i="2"/>
  <c r="P1496" i="2"/>
  <c r="O1496" i="2"/>
  <c r="T1495" i="2"/>
  <c r="S1495" i="2"/>
  <c r="R1495" i="2"/>
  <c r="Q1495" i="2"/>
  <c r="P1495" i="2"/>
  <c r="O1495" i="2"/>
  <c r="T1494" i="2"/>
  <c r="S1494" i="2"/>
  <c r="R1494" i="2"/>
  <c r="Q1494" i="2"/>
  <c r="P1494" i="2"/>
  <c r="O1494" i="2"/>
  <c r="T1493" i="2"/>
  <c r="S1493" i="2"/>
  <c r="R1493" i="2"/>
  <c r="Q1493" i="2"/>
  <c r="P1493" i="2"/>
  <c r="O1493" i="2"/>
  <c r="T1492" i="2"/>
  <c r="S1492" i="2"/>
  <c r="R1492" i="2"/>
  <c r="Q1492" i="2"/>
  <c r="P1492" i="2"/>
  <c r="O1492" i="2"/>
  <c r="T1491" i="2"/>
  <c r="S1491" i="2"/>
  <c r="R1491" i="2"/>
  <c r="Q1491" i="2"/>
  <c r="P1491" i="2"/>
  <c r="O1491" i="2"/>
  <c r="T1490" i="2"/>
  <c r="S1490" i="2"/>
  <c r="R1490" i="2"/>
  <c r="Q1490" i="2"/>
  <c r="P1490" i="2"/>
  <c r="O1490" i="2"/>
  <c r="T1489" i="2"/>
  <c r="S1489" i="2"/>
  <c r="R1489" i="2"/>
  <c r="Q1489" i="2"/>
  <c r="P1489" i="2"/>
  <c r="O1489" i="2"/>
  <c r="T1488" i="2"/>
  <c r="S1488" i="2"/>
  <c r="R1488" i="2"/>
  <c r="Q1488" i="2"/>
  <c r="P1488" i="2"/>
  <c r="O1488" i="2"/>
  <c r="T1487" i="2"/>
  <c r="S1487" i="2"/>
  <c r="R1487" i="2"/>
  <c r="Q1487" i="2"/>
  <c r="P1487" i="2"/>
  <c r="O1487" i="2"/>
  <c r="T1486" i="2"/>
  <c r="S1486" i="2"/>
  <c r="R1486" i="2"/>
  <c r="Q1486" i="2"/>
  <c r="P1486" i="2"/>
  <c r="O1486" i="2"/>
  <c r="T1485" i="2"/>
  <c r="S1485" i="2"/>
  <c r="R1485" i="2"/>
  <c r="Q1485" i="2"/>
  <c r="P1485" i="2"/>
  <c r="O1485" i="2"/>
  <c r="T1484" i="2"/>
  <c r="S1484" i="2"/>
  <c r="R1484" i="2"/>
  <c r="Q1484" i="2"/>
  <c r="P1484" i="2"/>
  <c r="O1484" i="2"/>
  <c r="T1483" i="2"/>
  <c r="S1483" i="2"/>
  <c r="R1483" i="2"/>
  <c r="Q1483" i="2"/>
  <c r="P1483" i="2"/>
  <c r="O1483" i="2"/>
  <c r="T1482" i="2"/>
  <c r="S1482" i="2"/>
  <c r="R1482" i="2"/>
  <c r="Q1482" i="2"/>
  <c r="P1482" i="2"/>
  <c r="O1482" i="2"/>
  <c r="T1481" i="2"/>
  <c r="S1481" i="2"/>
  <c r="R1481" i="2"/>
  <c r="Q1481" i="2"/>
  <c r="P1481" i="2"/>
  <c r="O1481" i="2"/>
  <c r="T1480" i="2"/>
  <c r="S1480" i="2"/>
  <c r="R1480" i="2"/>
  <c r="Q1480" i="2"/>
  <c r="P1480" i="2"/>
  <c r="O1480" i="2"/>
  <c r="T1479" i="2"/>
  <c r="S1479" i="2"/>
  <c r="R1479" i="2"/>
  <c r="Q1479" i="2"/>
  <c r="P1479" i="2"/>
  <c r="O1479" i="2"/>
  <c r="T1478" i="2"/>
  <c r="S1478" i="2"/>
  <c r="R1478" i="2"/>
  <c r="Q1478" i="2"/>
  <c r="P1478" i="2"/>
  <c r="O1478" i="2"/>
  <c r="T1477" i="2"/>
  <c r="S1477" i="2"/>
  <c r="R1477" i="2"/>
  <c r="Q1477" i="2"/>
  <c r="P1477" i="2"/>
  <c r="O1477" i="2"/>
  <c r="T1476" i="2"/>
  <c r="S1476" i="2"/>
  <c r="R1476" i="2"/>
  <c r="Q1476" i="2"/>
  <c r="P1476" i="2"/>
  <c r="O1476" i="2"/>
  <c r="T1475" i="2"/>
  <c r="S1475" i="2"/>
  <c r="R1475" i="2"/>
  <c r="Q1475" i="2"/>
  <c r="P1475" i="2"/>
  <c r="O1475" i="2"/>
  <c r="T1474" i="2"/>
  <c r="S1474" i="2"/>
  <c r="R1474" i="2"/>
  <c r="Q1474" i="2"/>
  <c r="P1474" i="2"/>
  <c r="O1474" i="2"/>
  <c r="T1473" i="2"/>
  <c r="S1473" i="2"/>
  <c r="R1473" i="2"/>
  <c r="Q1473" i="2"/>
  <c r="P1473" i="2"/>
  <c r="O1473" i="2"/>
  <c r="T1472" i="2"/>
  <c r="S1472" i="2"/>
  <c r="R1472" i="2"/>
  <c r="Q1472" i="2"/>
  <c r="P1472" i="2"/>
  <c r="O1472" i="2"/>
  <c r="T1471" i="2"/>
  <c r="S1471" i="2"/>
  <c r="R1471" i="2"/>
  <c r="Q1471" i="2"/>
  <c r="P1471" i="2"/>
  <c r="O1471" i="2"/>
  <c r="T1470" i="2"/>
  <c r="S1470" i="2"/>
  <c r="R1470" i="2"/>
  <c r="Q1470" i="2"/>
  <c r="P1470" i="2"/>
  <c r="O1470" i="2"/>
  <c r="T1469" i="2"/>
  <c r="S1469" i="2"/>
  <c r="R1469" i="2"/>
  <c r="Q1469" i="2"/>
  <c r="P1469" i="2"/>
  <c r="O1469" i="2"/>
  <c r="T1468" i="2"/>
  <c r="S1468" i="2"/>
  <c r="R1468" i="2"/>
  <c r="Q1468" i="2"/>
  <c r="P1468" i="2"/>
  <c r="O1468" i="2"/>
  <c r="T1467" i="2"/>
  <c r="S1467" i="2"/>
  <c r="R1467" i="2"/>
  <c r="Q1467" i="2"/>
  <c r="P1467" i="2"/>
  <c r="O1467" i="2"/>
  <c r="T1466" i="2"/>
  <c r="S1466" i="2"/>
  <c r="R1466" i="2"/>
  <c r="Q1466" i="2"/>
  <c r="P1466" i="2"/>
  <c r="O1466" i="2"/>
  <c r="T1465" i="2"/>
  <c r="S1465" i="2"/>
  <c r="R1465" i="2"/>
  <c r="Q1465" i="2"/>
  <c r="P1465" i="2"/>
  <c r="O1465" i="2"/>
  <c r="T1464" i="2"/>
  <c r="S1464" i="2"/>
  <c r="R1464" i="2"/>
  <c r="Q1464" i="2"/>
  <c r="P1464" i="2"/>
  <c r="O1464" i="2"/>
  <c r="T1463" i="2"/>
  <c r="S1463" i="2"/>
  <c r="R1463" i="2"/>
  <c r="Q1463" i="2"/>
  <c r="P1463" i="2"/>
  <c r="O1463" i="2"/>
  <c r="T1462" i="2"/>
  <c r="S1462" i="2"/>
  <c r="R1462" i="2"/>
  <c r="Q1462" i="2"/>
  <c r="P1462" i="2"/>
  <c r="O1462" i="2"/>
  <c r="T1461" i="2"/>
  <c r="S1461" i="2"/>
  <c r="R1461" i="2"/>
  <c r="Q1461" i="2"/>
  <c r="P1461" i="2"/>
  <c r="O1461" i="2"/>
  <c r="T1460" i="2"/>
  <c r="S1460" i="2"/>
  <c r="R1460" i="2"/>
  <c r="Q1460" i="2"/>
  <c r="P1460" i="2"/>
  <c r="O1460" i="2"/>
  <c r="T1459" i="2"/>
  <c r="S1459" i="2"/>
  <c r="R1459" i="2"/>
  <c r="Q1459" i="2"/>
  <c r="P1459" i="2"/>
  <c r="O1459" i="2"/>
  <c r="T1458" i="2"/>
  <c r="S1458" i="2"/>
  <c r="R1458" i="2"/>
  <c r="Q1458" i="2"/>
  <c r="P1458" i="2"/>
  <c r="O1458" i="2"/>
  <c r="T1457" i="2"/>
  <c r="S1457" i="2"/>
  <c r="R1457" i="2"/>
  <c r="Q1457" i="2"/>
  <c r="P1457" i="2"/>
  <c r="O1457" i="2"/>
  <c r="T1456" i="2"/>
  <c r="S1456" i="2"/>
  <c r="R1456" i="2"/>
  <c r="Q1456" i="2"/>
  <c r="P1456" i="2"/>
  <c r="O1456" i="2"/>
  <c r="T1455" i="2"/>
  <c r="S1455" i="2"/>
  <c r="R1455" i="2"/>
  <c r="Q1455" i="2"/>
  <c r="P1455" i="2"/>
  <c r="O1455" i="2"/>
  <c r="T1454" i="2"/>
  <c r="S1454" i="2"/>
  <c r="R1454" i="2"/>
  <c r="Q1454" i="2"/>
  <c r="P1454" i="2"/>
  <c r="O1454" i="2"/>
  <c r="T1453" i="2"/>
  <c r="S1453" i="2"/>
  <c r="R1453" i="2"/>
  <c r="Q1453" i="2"/>
  <c r="P1453" i="2"/>
  <c r="O1453" i="2"/>
  <c r="T1452" i="2"/>
  <c r="S1452" i="2"/>
  <c r="R1452" i="2"/>
  <c r="Q1452" i="2"/>
  <c r="P1452" i="2"/>
  <c r="O1452" i="2"/>
  <c r="T1451" i="2"/>
  <c r="S1451" i="2"/>
  <c r="R1451" i="2"/>
  <c r="Q1451" i="2"/>
  <c r="P1451" i="2"/>
  <c r="O1451" i="2"/>
  <c r="T1450" i="2"/>
  <c r="S1450" i="2"/>
  <c r="R1450" i="2"/>
  <c r="Q1450" i="2"/>
  <c r="P1450" i="2"/>
  <c r="O1450" i="2"/>
  <c r="T1449" i="2"/>
  <c r="S1449" i="2"/>
  <c r="R1449" i="2"/>
  <c r="Q1449" i="2"/>
  <c r="P1449" i="2"/>
  <c r="O1449" i="2"/>
  <c r="T1448" i="2"/>
  <c r="S1448" i="2"/>
  <c r="R1448" i="2"/>
  <c r="Q1448" i="2"/>
  <c r="P1448" i="2"/>
  <c r="O1448" i="2"/>
  <c r="T1447" i="2"/>
  <c r="S1447" i="2"/>
  <c r="R1447" i="2"/>
  <c r="Q1447" i="2"/>
  <c r="P1447" i="2"/>
  <c r="O1447" i="2"/>
  <c r="T1446" i="2"/>
  <c r="S1446" i="2"/>
  <c r="R1446" i="2"/>
  <c r="Q1446" i="2"/>
  <c r="P1446" i="2"/>
  <c r="O1446" i="2"/>
  <c r="T1445" i="2"/>
  <c r="S1445" i="2"/>
  <c r="R1445" i="2"/>
  <c r="Q1445" i="2"/>
  <c r="P1445" i="2"/>
  <c r="O1445" i="2"/>
  <c r="T1444" i="2"/>
  <c r="S1444" i="2"/>
  <c r="R1444" i="2"/>
  <c r="Q1444" i="2"/>
  <c r="P1444" i="2"/>
  <c r="O1444" i="2"/>
  <c r="T1443" i="2"/>
  <c r="S1443" i="2"/>
  <c r="R1443" i="2"/>
  <c r="Q1443" i="2"/>
  <c r="P1443" i="2"/>
  <c r="O1443" i="2"/>
  <c r="T1442" i="2"/>
  <c r="S1442" i="2"/>
  <c r="R1442" i="2"/>
  <c r="Q1442" i="2"/>
  <c r="P1442" i="2"/>
  <c r="O1442" i="2"/>
  <c r="T1441" i="2"/>
  <c r="S1441" i="2"/>
  <c r="R1441" i="2"/>
  <c r="Q1441" i="2"/>
  <c r="P1441" i="2"/>
  <c r="O1441" i="2"/>
  <c r="T1440" i="2"/>
  <c r="S1440" i="2"/>
  <c r="R1440" i="2"/>
  <c r="Q1440" i="2"/>
  <c r="P1440" i="2"/>
  <c r="O1440" i="2"/>
  <c r="T1439" i="2"/>
  <c r="S1439" i="2"/>
  <c r="R1439" i="2"/>
  <c r="Q1439" i="2"/>
  <c r="P1439" i="2"/>
  <c r="O1439" i="2"/>
  <c r="T1438" i="2"/>
  <c r="S1438" i="2"/>
  <c r="R1438" i="2"/>
  <c r="Q1438" i="2"/>
  <c r="P1438" i="2"/>
  <c r="O1438" i="2"/>
  <c r="T1437" i="2"/>
  <c r="S1437" i="2"/>
  <c r="R1437" i="2"/>
  <c r="Q1437" i="2"/>
  <c r="P1437" i="2"/>
  <c r="O1437" i="2"/>
  <c r="T1436" i="2"/>
  <c r="S1436" i="2"/>
  <c r="R1436" i="2"/>
  <c r="Q1436" i="2"/>
  <c r="P1436" i="2"/>
  <c r="O1436" i="2"/>
  <c r="T1435" i="2"/>
  <c r="S1435" i="2"/>
  <c r="R1435" i="2"/>
  <c r="Q1435" i="2"/>
  <c r="P1435" i="2"/>
  <c r="O1435" i="2"/>
  <c r="T1434" i="2"/>
  <c r="S1434" i="2"/>
  <c r="R1434" i="2"/>
  <c r="Q1434" i="2"/>
  <c r="P1434" i="2"/>
  <c r="O1434" i="2"/>
  <c r="T1433" i="2"/>
  <c r="S1433" i="2"/>
  <c r="R1433" i="2"/>
  <c r="Q1433" i="2"/>
  <c r="P1433" i="2"/>
  <c r="O1433" i="2"/>
  <c r="T1432" i="2"/>
  <c r="S1432" i="2"/>
  <c r="R1432" i="2"/>
  <c r="Q1432" i="2"/>
  <c r="P1432" i="2"/>
  <c r="O1432" i="2"/>
  <c r="T1431" i="2"/>
  <c r="S1431" i="2"/>
  <c r="R1431" i="2"/>
  <c r="Q1431" i="2"/>
  <c r="P1431" i="2"/>
  <c r="O1431" i="2"/>
  <c r="T1430" i="2"/>
  <c r="S1430" i="2"/>
  <c r="R1430" i="2"/>
  <c r="Q1430" i="2"/>
  <c r="P1430" i="2"/>
  <c r="O1430" i="2"/>
  <c r="T1429" i="2"/>
  <c r="S1429" i="2"/>
  <c r="R1429" i="2"/>
  <c r="Q1429" i="2"/>
  <c r="P1429" i="2"/>
  <c r="O1429" i="2"/>
  <c r="T1428" i="2"/>
  <c r="S1428" i="2"/>
  <c r="R1428" i="2"/>
  <c r="Q1428" i="2"/>
  <c r="P1428" i="2"/>
  <c r="O1428" i="2"/>
  <c r="T1427" i="2"/>
  <c r="S1427" i="2"/>
  <c r="R1427" i="2"/>
  <c r="Q1427" i="2"/>
  <c r="P1427" i="2"/>
  <c r="O1427" i="2"/>
  <c r="T1426" i="2"/>
  <c r="S1426" i="2"/>
  <c r="R1426" i="2"/>
  <c r="Q1426" i="2"/>
  <c r="P1426" i="2"/>
  <c r="O1426" i="2"/>
  <c r="T1425" i="2"/>
  <c r="S1425" i="2"/>
  <c r="R1425" i="2"/>
  <c r="Q1425" i="2"/>
  <c r="P1425" i="2"/>
  <c r="O1425" i="2"/>
  <c r="T1424" i="2"/>
  <c r="S1424" i="2"/>
  <c r="R1424" i="2"/>
  <c r="Q1424" i="2"/>
  <c r="P1424" i="2"/>
  <c r="O1424" i="2"/>
  <c r="T1423" i="2"/>
  <c r="S1423" i="2"/>
  <c r="R1423" i="2"/>
  <c r="Q1423" i="2"/>
  <c r="P1423" i="2"/>
  <c r="O1423" i="2"/>
  <c r="T1422" i="2"/>
  <c r="S1422" i="2"/>
  <c r="R1422" i="2"/>
  <c r="Q1422" i="2"/>
  <c r="P1422" i="2"/>
  <c r="O1422" i="2"/>
  <c r="T1421" i="2"/>
  <c r="S1421" i="2"/>
  <c r="R1421" i="2"/>
  <c r="Q1421" i="2"/>
  <c r="P1421" i="2"/>
  <c r="O1421" i="2"/>
  <c r="T1420" i="2"/>
  <c r="S1420" i="2"/>
  <c r="R1420" i="2"/>
  <c r="Q1420" i="2"/>
  <c r="P1420" i="2"/>
  <c r="O1420" i="2"/>
  <c r="T1419" i="2"/>
  <c r="S1419" i="2"/>
  <c r="R1419" i="2"/>
  <c r="Q1419" i="2"/>
  <c r="P1419" i="2"/>
  <c r="O1419" i="2"/>
  <c r="T1418" i="2"/>
  <c r="S1418" i="2"/>
  <c r="R1418" i="2"/>
  <c r="Q1418" i="2"/>
  <c r="P1418" i="2"/>
  <c r="O1418" i="2"/>
  <c r="T1417" i="2"/>
  <c r="S1417" i="2"/>
  <c r="R1417" i="2"/>
  <c r="Q1417" i="2"/>
  <c r="P1417" i="2"/>
  <c r="O1417" i="2"/>
  <c r="T1416" i="2"/>
  <c r="S1416" i="2"/>
  <c r="R1416" i="2"/>
  <c r="Q1416" i="2"/>
  <c r="P1416" i="2"/>
  <c r="O1416" i="2"/>
  <c r="T1415" i="2"/>
  <c r="S1415" i="2"/>
  <c r="R1415" i="2"/>
  <c r="Q1415" i="2"/>
  <c r="P1415" i="2"/>
  <c r="O1415" i="2"/>
  <c r="T1414" i="2"/>
  <c r="S1414" i="2"/>
  <c r="R1414" i="2"/>
  <c r="Q1414" i="2"/>
  <c r="P1414" i="2"/>
  <c r="O1414" i="2"/>
  <c r="T1413" i="2"/>
  <c r="S1413" i="2"/>
  <c r="R1413" i="2"/>
  <c r="Q1413" i="2"/>
  <c r="P1413" i="2"/>
  <c r="O1413" i="2"/>
  <c r="T1412" i="2"/>
  <c r="S1412" i="2"/>
  <c r="R1412" i="2"/>
  <c r="Q1412" i="2"/>
  <c r="P1412" i="2"/>
  <c r="O1412" i="2"/>
  <c r="T1411" i="2"/>
  <c r="S1411" i="2"/>
  <c r="R1411" i="2"/>
  <c r="Q1411" i="2"/>
  <c r="P1411" i="2"/>
  <c r="O1411" i="2"/>
  <c r="T1410" i="2"/>
  <c r="S1410" i="2"/>
  <c r="R1410" i="2"/>
  <c r="Q1410" i="2"/>
  <c r="P1410" i="2"/>
  <c r="O1410" i="2"/>
  <c r="T1409" i="2"/>
  <c r="S1409" i="2"/>
  <c r="R1409" i="2"/>
  <c r="Q1409" i="2"/>
  <c r="P1409" i="2"/>
  <c r="O1409" i="2"/>
  <c r="T1408" i="2"/>
  <c r="S1408" i="2"/>
  <c r="R1408" i="2"/>
  <c r="Q1408" i="2"/>
  <c r="P1408" i="2"/>
  <c r="O1408" i="2"/>
  <c r="T1407" i="2"/>
  <c r="S1407" i="2"/>
  <c r="R1407" i="2"/>
  <c r="Q1407" i="2"/>
  <c r="P1407" i="2"/>
  <c r="O1407" i="2"/>
  <c r="T1406" i="2"/>
  <c r="S1406" i="2"/>
  <c r="R1406" i="2"/>
  <c r="Q1406" i="2"/>
  <c r="P1406" i="2"/>
  <c r="O1406" i="2"/>
  <c r="T1405" i="2"/>
  <c r="S1405" i="2"/>
  <c r="R1405" i="2"/>
  <c r="Q1405" i="2"/>
  <c r="P1405" i="2"/>
  <c r="O1405" i="2"/>
  <c r="T1404" i="2"/>
  <c r="S1404" i="2"/>
  <c r="R1404" i="2"/>
  <c r="Q1404" i="2"/>
  <c r="P1404" i="2"/>
  <c r="O1404" i="2"/>
  <c r="T1403" i="2"/>
  <c r="S1403" i="2"/>
  <c r="R1403" i="2"/>
  <c r="Q1403" i="2"/>
  <c r="P1403" i="2"/>
  <c r="O1403" i="2"/>
  <c r="T1402" i="2"/>
  <c r="S1402" i="2"/>
  <c r="R1402" i="2"/>
  <c r="Q1402" i="2"/>
  <c r="P1402" i="2"/>
  <c r="O1402" i="2"/>
  <c r="T1401" i="2"/>
  <c r="S1401" i="2"/>
  <c r="R1401" i="2"/>
  <c r="Q1401" i="2"/>
  <c r="P1401" i="2"/>
  <c r="O1401" i="2"/>
  <c r="T1400" i="2"/>
  <c r="S1400" i="2"/>
  <c r="R1400" i="2"/>
  <c r="Q1400" i="2"/>
  <c r="P1400" i="2"/>
  <c r="O1400" i="2"/>
  <c r="T1399" i="2"/>
  <c r="S1399" i="2"/>
  <c r="R1399" i="2"/>
  <c r="Q1399" i="2"/>
  <c r="P1399" i="2"/>
  <c r="O1399" i="2"/>
  <c r="T1398" i="2"/>
  <c r="S1398" i="2"/>
  <c r="R1398" i="2"/>
  <c r="Q1398" i="2"/>
  <c r="P1398" i="2"/>
  <c r="O1398" i="2"/>
  <c r="T1397" i="2"/>
  <c r="S1397" i="2"/>
  <c r="R1397" i="2"/>
  <c r="Q1397" i="2"/>
  <c r="P1397" i="2"/>
  <c r="O1397" i="2"/>
  <c r="T1396" i="2"/>
  <c r="S1396" i="2"/>
  <c r="R1396" i="2"/>
  <c r="Q1396" i="2"/>
  <c r="P1396" i="2"/>
  <c r="O1396" i="2"/>
  <c r="T1395" i="2"/>
  <c r="S1395" i="2"/>
  <c r="R1395" i="2"/>
  <c r="Q1395" i="2"/>
  <c r="P1395" i="2"/>
  <c r="O1395" i="2"/>
  <c r="T1394" i="2"/>
  <c r="S1394" i="2"/>
  <c r="R1394" i="2"/>
  <c r="Q1394" i="2"/>
  <c r="P1394" i="2"/>
  <c r="O1394" i="2"/>
  <c r="T1393" i="2"/>
  <c r="S1393" i="2"/>
  <c r="R1393" i="2"/>
  <c r="Q1393" i="2"/>
  <c r="P1393" i="2"/>
  <c r="O1393" i="2"/>
  <c r="T1392" i="2"/>
  <c r="S1392" i="2"/>
  <c r="R1392" i="2"/>
  <c r="Q1392" i="2"/>
  <c r="P1392" i="2"/>
  <c r="O1392" i="2"/>
  <c r="T1391" i="2"/>
  <c r="S1391" i="2"/>
  <c r="R1391" i="2"/>
  <c r="Q1391" i="2"/>
  <c r="P1391" i="2"/>
  <c r="O1391" i="2"/>
  <c r="T1390" i="2"/>
  <c r="S1390" i="2"/>
  <c r="R1390" i="2"/>
  <c r="Q1390" i="2"/>
  <c r="P1390" i="2"/>
  <c r="O1390" i="2"/>
  <c r="T1389" i="2"/>
  <c r="S1389" i="2"/>
  <c r="R1389" i="2"/>
  <c r="Q1389" i="2"/>
  <c r="P1389" i="2"/>
  <c r="O1389" i="2"/>
  <c r="T1388" i="2"/>
  <c r="S1388" i="2"/>
  <c r="R1388" i="2"/>
  <c r="Q1388" i="2"/>
  <c r="P1388" i="2"/>
  <c r="O1388" i="2"/>
  <c r="T1387" i="2"/>
  <c r="S1387" i="2"/>
  <c r="R1387" i="2"/>
  <c r="Q1387" i="2"/>
  <c r="P1387" i="2"/>
  <c r="O1387" i="2"/>
  <c r="T1386" i="2"/>
  <c r="S1386" i="2"/>
  <c r="R1386" i="2"/>
  <c r="Q1386" i="2"/>
  <c r="P1386" i="2"/>
  <c r="O1386" i="2"/>
  <c r="T1385" i="2"/>
  <c r="S1385" i="2"/>
  <c r="R1385" i="2"/>
  <c r="Q1385" i="2"/>
  <c r="P1385" i="2"/>
  <c r="O1385" i="2"/>
  <c r="T1384" i="2"/>
  <c r="S1384" i="2"/>
  <c r="R1384" i="2"/>
  <c r="Q1384" i="2"/>
  <c r="P1384" i="2"/>
  <c r="O1384" i="2"/>
  <c r="T1383" i="2"/>
  <c r="S1383" i="2"/>
  <c r="R1383" i="2"/>
  <c r="Q1383" i="2"/>
  <c r="P1383" i="2"/>
  <c r="O1383" i="2"/>
  <c r="T1382" i="2"/>
  <c r="S1382" i="2"/>
  <c r="R1382" i="2"/>
  <c r="Q1382" i="2"/>
  <c r="P1382" i="2"/>
  <c r="O1382" i="2"/>
  <c r="T1381" i="2"/>
  <c r="S1381" i="2"/>
  <c r="R1381" i="2"/>
  <c r="Q1381" i="2"/>
  <c r="P1381" i="2"/>
  <c r="O1381" i="2"/>
  <c r="T1380" i="2"/>
  <c r="S1380" i="2"/>
  <c r="R1380" i="2"/>
  <c r="Q1380" i="2"/>
  <c r="P1380" i="2"/>
  <c r="O1380" i="2"/>
  <c r="T1379" i="2"/>
  <c r="S1379" i="2"/>
  <c r="R1379" i="2"/>
  <c r="Q1379" i="2"/>
  <c r="P1379" i="2"/>
  <c r="O1379" i="2"/>
  <c r="T1378" i="2"/>
  <c r="S1378" i="2"/>
  <c r="R1378" i="2"/>
  <c r="Q1378" i="2"/>
  <c r="P1378" i="2"/>
  <c r="O1378" i="2"/>
  <c r="T1377" i="2"/>
  <c r="S1377" i="2"/>
  <c r="R1377" i="2"/>
  <c r="Q1377" i="2"/>
  <c r="P1377" i="2"/>
  <c r="O1377" i="2"/>
  <c r="T1376" i="2"/>
  <c r="S1376" i="2"/>
  <c r="R1376" i="2"/>
  <c r="Q1376" i="2"/>
  <c r="P1376" i="2"/>
  <c r="O1376" i="2"/>
  <c r="T1375" i="2"/>
  <c r="S1375" i="2"/>
  <c r="R1375" i="2"/>
  <c r="Q1375" i="2"/>
  <c r="P1375" i="2"/>
  <c r="O1375" i="2"/>
  <c r="T1374" i="2"/>
  <c r="S1374" i="2"/>
  <c r="R1374" i="2"/>
  <c r="Q1374" i="2"/>
  <c r="P1374" i="2"/>
  <c r="O1374" i="2"/>
  <c r="T1373" i="2"/>
  <c r="S1373" i="2"/>
  <c r="R1373" i="2"/>
  <c r="Q1373" i="2"/>
  <c r="P1373" i="2"/>
  <c r="O1373" i="2"/>
  <c r="T1372" i="2"/>
  <c r="S1372" i="2"/>
  <c r="R1372" i="2"/>
  <c r="Q1372" i="2"/>
  <c r="P1372" i="2"/>
  <c r="O1372" i="2"/>
  <c r="T1371" i="2"/>
  <c r="S1371" i="2"/>
  <c r="R1371" i="2"/>
  <c r="Q1371" i="2"/>
  <c r="P1371" i="2"/>
  <c r="O1371" i="2"/>
  <c r="T1370" i="2"/>
  <c r="S1370" i="2"/>
  <c r="R1370" i="2"/>
  <c r="Q1370" i="2"/>
  <c r="P1370" i="2"/>
  <c r="O1370" i="2"/>
  <c r="T1369" i="2"/>
  <c r="S1369" i="2"/>
  <c r="R1369" i="2"/>
  <c r="Q1369" i="2"/>
  <c r="P1369" i="2"/>
  <c r="O1369" i="2"/>
  <c r="T1368" i="2"/>
  <c r="S1368" i="2"/>
  <c r="R1368" i="2"/>
  <c r="Q1368" i="2"/>
  <c r="P1368" i="2"/>
  <c r="O1368" i="2"/>
  <c r="T1367" i="2"/>
  <c r="S1367" i="2"/>
  <c r="R1367" i="2"/>
  <c r="Q1367" i="2"/>
  <c r="P1367" i="2"/>
  <c r="O1367" i="2"/>
  <c r="T1366" i="2"/>
  <c r="S1366" i="2"/>
  <c r="R1366" i="2"/>
  <c r="Q1366" i="2"/>
  <c r="P1366" i="2"/>
  <c r="O1366" i="2"/>
  <c r="T1365" i="2"/>
  <c r="S1365" i="2"/>
  <c r="R1365" i="2"/>
  <c r="Q1365" i="2"/>
  <c r="P1365" i="2"/>
  <c r="O1365" i="2"/>
  <c r="T1364" i="2"/>
  <c r="S1364" i="2"/>
  <c r="R1364" i="2"/>
  <c r="Q1364" i="2"/>
  <c r="P1364" i="2"/>
  <c r="O1364" i="2"/>
  <c r="T1363" i="2"/>
  <c r="S1363" i="2"/>
  <c r="R1363" i="2"/>
  <c r="Q1363" i="2"/>
  <c r="P1363" i="2"/>
  <c r="O1363" i="2"/>
  <c r="T1362" i="2"/>
  <c r="S1362" i="2"/>
  <c r="R1362" i="2"/>
  <c r="Q1362" i="2"/>
  <c r="P1362" i="2"/>
  <c r="O1362" i="2"/>
  <c r="T1361" i="2"/>
  <c r="S1361" i="2"/>
  <c r="R1361" i="2"/>
  <c r="Q1361" i="2"/>
  <c r="P1361" i="2"/>
  <c r="O1361" i="2"/>
  <c r="T1360" i="2"/>
  <c r="S1360" i="2"/>
  <c r="R1360" i="2"/>
  <c r="Q1360" i="2"/>
  <c r="P1360" i="2"/>
  <c r="O1360" i="2"/>
  <c r="T1359" i="2"/>
  <c r="S1359" i="2"/>
  <c r="R1359" i="2"/>
  <c r="Q1359" i="2"/>
  <c r="P1359" i="2"/>
  <c r="O1359" i="2"/>
  <c r="T1358" i="2"/>
  <c r="S1358" i="2"/>
  <c r="R1358" i="2"/>
  <c r="Q1358" i="2"/>
  <c r="P1358" i="2"/>
  <c r="O1358" i="2"/>
  <c r="T1357" i="2"/>
  <c r="S1357" i="2"/>
  <c r="R1357" i="2"/>
  <c r="Q1357" i="2"/>
  <c r="P1357" i="2"/>
  <c r="O1357" i="2"/>
  <c r="T1356" i="2"/>
  <c r="S1356" i="2"/>
  <c r="R1356" i="2"/>
  <c r="Q1356" i="2"/>
  <c r="P1356" i="2"/>
  <c r="O1356" i="2"/>
  <c r="T1355" i="2"/>
  <c r="S1355" i="2"/>
  <c r="R1355" i="2"/>
  <c r="Q1355" i="2"/>
  <c r="P1355" i="2"/>
  <c r="O1355" i="2"/>
  <c r="T1354" i="2"/>
  <c r="S1354" i="2"/>
  <c r="R1354" i="2"/>
  <c r="Q1354" i="2"/>
  <c r="P1354" i="2"/>
  <c r="O1354" i="2"/>
  <c r="T1353" i="2"/>
  <c r="S1353" i="2"/>
  <c r="R1353" i="2"/>
  <c r="Q1353" i="2"/>
  <c r="P1353" i="2"/>
  <c r="O1353" i="2"/>
  <c r="T1352" i="2"/>
  <c r="S1352" i="2"/>
  <c r="R1352" i="2"/>
  <c r="Q1352" i="2"/>
  <c r="P1352" i="2"/>
  <c r="O1352" i="2"/>
  <c r="T1351" i="2"/>
  <c r="S1351" i="2"/>
  <c r="R1351" i="2"/>
  <c r="Q1351" i="2"/>
  <c r="P1351" i="2"/>
  <c r="O1351" i="2"/>
  <c r="T1350" i="2"/>
  <c r="S1350" i="2"/>
  <c r="R1350" i="2"/>
  <c r="Q1350" i="2"/>
  <c r="P1350" i="2"/>
  <c r="O1350" i="2"/>
  <c r="T1349" i="2"/>
  <c r="S1349" i="2"/>
  <c r="R1349" i="2"/>
  <c r="Q1349" i="2"/>
  <c r="P1349" i="2"/>
  <c r="O1349" i="2"/>
  <c r="T1348" i="2"/>
  <c r="S1348" i="2"/>
  <c r="R1348" i="2"/>
  <c r="Q1348" i="2"/>
  <c r="P1348" i="2"/>
  <c r="O1348" i="2"/>
  <c r="T1347" i="2"/>
  <c r="S1347" i="2"/>
  <c r="R1347" i="2"/>
  <c r="Q1347" i="2"/>
  <c r="P1347" i="2"/>
  <c r="O1347" i="2"/>
  <c r="T1346" i="2"/>
  <c r="S1346" i="2"/>
  <c r="R1346" i="2"/>
  <c r="Q1346" i="2"/>
  <c r="P1346" i="2"/>
  <c r="O1346" i="2"/>
  <c r="T1345" i="2"/>
  <c r="S1345" i="2"/>
  <c r="R1345" i="2"/>
  <c r="Q1345" i="2"/>
  <c r="P1345" i="2"/>
  <c r="O1345" i="2"/>
  <c r="T1344" i="2"/>
  <c r="S1344" i="2"/>
  <c r="R1344" i="2"/>
  <c r="Q1344" i="2"/>
  <c r="P1344" i="2"/>
  <c r="O1344" i="2"/>
  <c r="T1343" i="2"/>
  <c r="S1343" i="2"/>
  <c r="R1343" i="2"/>
  <c r="Q1343" i="2"/>
  <c r="P1343" i="2"/>
  <c r="O1343" i="2"/>
  <c r="T1342" i="2"/>
  <c r="S1342" i="2"/>
  <c r="R1342" i="2"/>
  <c r="Q1342" i="2"/>
  <c r="P1342" i="2"/>
  <c r="O1342" i="2"/>
  <c r="T1341" i="2"/>
  <c r="S1341" i="2"/>
  <c r="R1341" i="2"/>
  <c r="Q1341" i="2"/>
  <c r="P1341" i="2"/>
  <c r="O1341" i="2"/>
  <c r="T1340" i="2"/>
  <c r="S1340" i="2"/>
  <c r="R1340" i="2"/>
  <c r="Q1340" i="2"/>
  <c r="P1340" i="2"/>
  <c r="O1340" i="2"/>
  <c r="T1339" i="2"/>
  <c r="S1339" i="2"/>
  <c r="R1339" i="2"/>
  <c r="Q1339" i="2"/>
  <c r="P1339" i="2"/>
  <c r="O1339" i="2"/>
  <c r="T1338" i="2"/>
  <c r="S1338" i="2"/>
  <c r="R1338" i="2"/>
  <c r="Q1338" i="2"/>
  <c r="P1338" i="2"/>
  <c r="O1338" i="2"/>
  <c r="T1337" i="2"/>
  <c r="S1337" i="2"/>
  <c r="R1337" i="2"/>
  <c r="Q1337" i="2"/>
  <c r="P1337" i="2"/>
  <c r="O1337" i="2"/>
  <c r="T1336" i="2"/>
  <c r="S1336" i="2"/>
  <c r="R1336" i="2"/>
  <c r="Q1336" i="2"/>
  <c r="P1336" i="2"/>
  <c r="O1336" i="2"/>
  <c r="T1335" i="2"/>
  <c r="S1335" i="2"/>
  <c r="R1335" i="2"/>
  <c r="Q1335" i="2"/>
  <c r="P1335" i="2"/>
  <c r="O1335" i="2"/>
  <c r="T1334" i="2"/>
  <c r="S1334" i="2"/>
  <c r="R1334" i="2"/>
  <c r="Q1334" i="2"/>
  <c r="P1334" i="2"/>
  <c r="O1334" i="2"/>
  <c r="T1333" i="2"/>
  <c r="S1333" i="2"/>
  <c r="R1333" i="2"/>
  <c r="Q1333" i="2"/>
  <c r="P1333" i="2"/>
  <c r="O1333" i="2"/>
  <c r="T1332" i="2"/>
  <c r="S1332" i="2"/>
  <c r="R1332" i="2"/>
  <c r="Q1332" i="2"/>
  <c r="P1332" i="2"/>
  <c r="O1332" i="2"/>
  <c r="T1331" i="2"/>
  <c r="S1331" i="2"/>
  <c r="R1331" i="2"/>
  <c r="Q1331" i="2"/>
  <c r="P1331" i="2"/>
  <c r="O1331" i="2"/>
  <c r="T1330" i="2"/>
  <c r="S1330" i="2"/>
  <c r="R1330" i="2"/>
  <c r="Q1330" i="2"/>
  <c r="P1330" i="2"/>
  <c r="O1330" i="2"/>
  <c r="T1329" i="2"/>
  <c r="S1329" i="2"/>
  <c r="R1329" i="2"/>
  <c r="Q1329" i="2"/>
  <c r="P1329" i="2"/>
  <c r="O1329" i="2"/>
  <c r="T1328" i="2"/>
  <c r="S1328" i="2"/>
  <c r="R1328" i="2"/>
  <c r="Q1328" i="2"/>
  <c r="P1328" i="2"/>
  <c r="O1328" i="2"/>
  <c r="T1327" i="2"/>
  <c r="S1327" i="2"/>
  <c r="R1327" i="2"/>
  <c r="Q1327" i="2"/>
  <c r="P1327" i="2"/>
  <c r="O1327" i="2"/>
  <c r="T1326" i="2"/>
  <c r="S1326" i="2"/>
  <c r="R1326" i="2"/>
  <c r="Q1326" i="2"/>
  <c r="P1326" i="2"/>
  <c r="O1326" i="2"/>
  <c r="T1325" i="2"/>
  <c r="S1325" i="2"/>
  <c r="R1325" i="2"/>
  <c r="Q1325" i="2"/>
  <c r="P1325" i="2"/>
  <c r="O1325" i="2"/>
  <c r="T1324" i="2"/>
  <c r="S1324" i="2"/>
  <c r="R1324" i="2"/>
  <c r="Q1324" i="2"/>
  <c r="P1324" i="2"/>
  <c r="O1324" i="2"/>
  <c r="T1323" i="2"/>
  <c r="S1323" i="2"/>
  <c r="R1323" i="2"/>
  <c r="Q1323" i="2"/>
  <c r="P1323" i="2"/>
  <c r="O1323" i="2"/>
  <c r="T1322" i="2"/>
  <c r="S1322" i="2"/>
  <c r="R1322" i="2"/>
  <c r="Q1322" i="2"/>
  <c r="P1322" i="2"/>
  <c r="O1322" i="2"/>
  <c r="T1321" i="2"/>
  <c r="S1321" i="2"/>
  <c r="R1321" i="2"/>
  <c r="Q1321" i="2"/>
  <c r="P1321" i="2"/>
  <c r="O1321" i="2"/>
  <c r="T1320" i="2"/>
  <c r="S1320" i="2"/>
  <c r="R1320" i="2"/>
  <c r="Q1320" i="2"/>
  <c r="P1320" i="2"/>
  <c r="O1320" i="2"/>
  <c r="T1319" i="2"/>
  <c r="S1319" i="2"/>
  <c r="R1319" i="2"/>
  <c r="Q1319" i="2"/>
  <c r="P1319" i="2"/>
  <c r="O1319" i="2"/>
  <c r="T1318" i="2"/>
  <c r="S1318" i="2"/>
  <c r="R1318" i="2"/>
  <c r="Q1318" i="2"/>
  <c r="P1318" i="2"/>
  <c r="O1318" i="2"/>
  <c r="T1317" i="2"/>
  <c r="S1317" i="2"/>
  <c r="R1317" i="2"/>
  <c r="Q1317" i="2"/>
  <c r="P1317" i="2"/>
  <c r="O1317" i="2"/>
  <c r="T1316" i="2"/>
  <c r="S1316" i="2"/>
  <c r="R1316" i="2"/>
  <c r="Q1316" i="2"/>
  <c r="P1316" i="2"/>
  <c r="O1316" i="2"/>
  <c r="T1315" i="2"/>
  <c r="S1315" i="2"/>
  <c r="R1315" i="2"/>
  <c r="Q1315" i="2"/>
  <c r="P1315" i="2"/>
  <c r="O1315" i="2"/>
  <c r="T1314" i="2"/>
  <c r="S1314" i="2"/>
  <c r="R1314" i="2"/>
  <c r="Q1314" i="2"/>
  <c r="P1314" i="2"/>
  <c r="O1314" i="2"/>
  <c r="T1313" i="2"/>
  <c r="S1313" i="2"/>
  <c r="R1313" i="2"/>
  <c r="Q1313" i="2"/>
  <c r="P1313" i="2"/>
  <c r="O1313" i="2"/>
  <c r="T1312" i="2"/>
  <c r="S1312" i="2"/>
  <c r="R1312" i="2"/>
  <c r="Q1312" i="2"/>
  <c r="P1312" i="2"/>
  <c r="O1312" i="2"/>
  <c r="T1311" i="2"/>
  <c r="S1311" i="2"/>
  <c r="R1311" i="2"/>
  <c r="Q1311" i="2"/>
  <c r="P1311" i="2"/>
  <c r="O1311" i="2"/>
  <c r="T1310" i="2"/>
  <c r="S1310" i="2"/>
  <c r="R1310" i="2"/>
  <c r="Q1310" i="2"/>
  <c r="P1310" i="2"/>
  <c r="O1310" i="2"/>
  <c r="T1309" i="2"/>
  <c r="S1309" i="2"/>
  <c r="R1309" i="2"/>
  <c r="Q1309" i="2"/>
  <c r="P1309" i="2"/>
  <c r="O1309" i="2"/>
  <c r="T1308" i="2"/>
  <c r="S1308" i="2"/>
  <c r="R1308" i="2"/>
  <c r="Q1308" i="2"/>
  <c r="P1308" i="2"/>
  <c r="O1308" i="2"/>
  <c r="T1307" i="2"/>
  <c r="S1307" i="2"/>
  <c r="R1307" i="2"/>
  <c r="Q1307" i="2"/>
  <c r="P1307" i="2"/>
  <c r="O1307" i="2"/>
  <c r="T1306" i="2"/>
  <c r="S1306" i="2"/>
  <c r="R1306" i="2"/>
  <c r="Q1306" i="2"/>
  <c r="P1306" i="2"/>
  <c r="O1306" i="2"/>
  <c r="T1305" i="2"/>
  <c r="S1305" i="2"/>
  <c r="R1305" i="2"/>
  <c r="Q1305" i="2"/>
  <c r="P1305" i="2"/>
  <c r="O1305" i="2"/>
  <c r="T1304" i="2"/>
  <c r="S1304" i="2"/>
  <c r="R1304" i="2"/>
  <c r="Q1304" i="2"/>
  <c r="P1304" i="2"/>
  <c r="O1304" i="2"/>
  <c r="T1303" i="2"/>
  <c r="S1303" i="2"/>
  <c r="R1303" i="2"/>
  <c r="Q1303" i="2"/>
  <c r="P1303" i="2"/>
  <c r="O1303" i="2"/>
  <c r="T1302" i="2"/>
  <c r="S1302" i="2"/>
  <c r="R1302" i="2"/>
  <c r="Q1302" i="2"/>
  <c r="P1302" i="2"/>
  <c r="O1302" i="2"/>
  <c r="T1301" i="2"/>
  <c r="S1301" i="2"/>
  <c r="R1301" i="2"/>
  <c r="Q1301" i="2"/>
  <c r="P1301" i="2"/>
  <c r="O1301" i="2"/>
  <c r="T1300" i="2"/>
  <c r="S1300" i="2"/>
  <c r="R1300" i="2"/>
  <c r="Q1300" i="2"/>
  <c r="P1300" i="2"/>
  <c r="O1300" i="2"/>
  <c r="T1299" i="2"/>
  <c r="S1299" i="2"/>
  <c r="R1299" i="2"/>
  <c r="Q1299" i="2"/>
  <c r="P1299" i="2"/>
  <c r="O1299" i="2"/>
  <c r="T1298" i="2"/>
  <c r="S1298" i="2"/>
  <c r="R1298" i="2"/>
  <c r="Q1298" i="2"/>
  <c r="P1298" i="2"/>
  <c r="O1298" i="2"/>
  <c r="T1297" i="2"/>
  <c r="S1297" i="2"/>
  <c r="R1297" i="2"/>
  <c r="Q1297" i="2"/>
  <c r="P1297" i="2"/>
  <c r="O1297" i="2"/>
  <c r="T1296" i="2"/>
  <c r="S1296" i="2"/>
  <c r="R1296" i="2"/>
  <c r="Q1296" i="2"/>
  <c r="P1296" i="2"/>
  <c r="O1296" i="2"/>
  <c r="T1295" i="2"/>
  <c r="S1295" i="2"/>
  <c r="R1295" i="2"/>
  <c r="Q1295" i="2"/>
  <c r="P1295" i="2"/>
  <c r="O1295" i="2"/>
  <c r="T1294" i="2"/>
  <c r="S1294" i="2"/>
  <c r="R1294" i="2"/>
  <c r="Q1294" i="2"/>
  <c r="P1294" i="2"/>
  <c r="O1294" i="2"/>
  <c r="T1293" i="2"/>
  <c r="S1293" i="2"/>
  <c r="R1293" i="2"/>
  <c r="Q1293" i="2"/>
  <c r="P1293" i="2"/>
  <c r="O1293" i="2"/>
  <c r="T1292" i="2"/>
  <c r="S1292" i="2"/>
  <c r="R1292" i="2"/>
  <c r="Q1292" i="2"/>
  <c r="P1292" i="2"/>
  <c r="O1292" i="2"/>
  <c r="T1291" i="2"/>
  <c r="S1291" i="2"/>
  <c r="R1291" i="2"/>
  <c r="Q1291" i="2"/>
  <c r="P1291" i="2"/>
  <c r="O1291" i="2"/>
  <c r="T1290" i="2"/>
  <c r="S1290" i="2"/>
  <c r="R1290" i="2"/>
  <c r="Q1290" i="2"/>
  <c r="P1290" i="2"/>
  <c r="O1290" i="2"/>
  <c r="T1289" i="2"/>
  <c r="S1289" i="2"/>
  <c r="R1289" i="2"/>
  <c r="Q1289" i="2"/>
  <c r="P1289" i="2"/>
  <c r="O1289" i="2"/>
  <c r="T1288" i="2"/>
  <c r="S1288" i="2"/>
  <c r="R1288" i="2"/>
  <c r="Q1288" i="2"/>
  <c r="P1288" i="2"/>
  <c r="O1288" i="2"/>
  <c r="T1287" i="2"/>
  <c r="S1287" i="2"/>
  <c r="R1287" i="2"/>
  <c r="Q1287" i="2"/>
  <c r="P1287" i="2"/>
  <c r="O1287" i="2"/>
  <c r="T1286" i="2"/>
  <c r="S1286" i="2"/>
  <c r="R1286" i="2"/>
  <c r="Q1286" i="2"/>
  <c r="P1286" i="2"/>
  <c r="O1286" i="2"/>
  <c r="T1285" i="2"/>
  <c r="S1285" i="2"/>
  <c r="R1285" i="2"/>
  <c r="Q1285" i="2"/>
  <c r="P1285" i="2"/>
  <c r="O1285" i="2"/>
  <c r="T1284" i="2"/>
  <c r="S1284" i="2"/>
  <c r="R1284" i="2"/>
  <c r="Q1284" i="2"/>
  <c r="P1284" i="2"/>
  <c r="O1284" i="2"/>
  <c r="T1283" i="2"/>
  <c r="S1283" i="2"/>
  <c r="R1283" i="2"/>
  <c r="Q1283" i="2"/>
  <c r="P1283" i="2"/>
  <c r="O1283" i="2"/>
  <c r="T1282" i="2"/>
  <c r="S1282" i="2"/>
  <c r="R1282" i="2"/>
  <c r="Q1282" i="2"/>
  <c r="P1282" i="2"/>
  <c r="O1282" i="2"/>
  <c r="T1281" i="2"/>
  <c r="S1281" i="2"/>
  <c r="R1281" i="2"/>
  <c r="Q1281" i="2"/>
  <c r="P1281" i="2"/>
  <c r="O1281" i="2"/>
  <c r="T1280" i="2"/>
  <c r="S1280" i="2"/>
  <c r="R1280" i="2"/>
  <c r="Q1280" i="2"/>
  <c r="P1280" i="2"/>
  <c r="O1280" i="2"/>
  <c r="T1279" i="2"/>
  <c r="S1279" i="2"/>
  <c r="R1279" i="2"/>
  <c r="Q1279" i="2"/>
  <c r="P1279" i="2"/>
  <c r="O1279" i="2"/>
  <c r="T1278" i="2"/>
  <c r="S1278" i="2"/>
  <c r="R1278" i="2"/>
  <c r="Q1278" i="2"/>
  <c r="P1278" i="2"/>
  <c r="O1278" i="2"/>
  <c r="T1277" i="2"/>
  <c r="S1277" i="2"/>
  <c r="R1277" i="2"/>
  <c r="Q1277" i="2"/>
  <c r="P1277" i="2"/>
  <c r="O1277" i="2"/>
  <c r="T1276" i="2"/>
  <c r="S1276" i="2"/>
  <c r="R1276" i="2"/>
  <c r="Q1276" i="2"/>
  <c r="P1276" i="2"/>
  <c r="O1276" i="2"/>
  <c r="T1275" i="2"/>
  <c r="S1275" i="2"/>
  <c r="R1275" i="2"/>
  <c r="Q1275" i="2"/>
  <c r="P1275" i="2"/>
  <c r="O1275" i="2"/>
  <c r="T1274" i="2"/>
  <c r="S1274" i="2"/>
  <c r="R1274" i="2"/>
  <c r="Q1274" i="2"/>
  <c r="P1274" i="2"/>
  <c r="O1274" i="2"/>
  <c r="T1273" i="2"/>
  <c r="S1273" i="2"/>
  <c r="R1273" i="2"/>
  <c r="Q1273" i="2"/>
  <c r="P1273" i="2"/>
  <c r="O1273" i="2"/>
  <c r="T1272" i="2"/>
  <c r="S1272" i="2"/>
  <c r="R1272" i="2"/>
  <c r="Q1272" i="2"/>
  <c r="P1272" i="2"/>
  <c r="O1272" i="2"/>
  <c r="T1271" i="2"/>
  <c r="S1271" i="2"/>
  <c r="R1271" i="2"/>
  <c r="Q1271" i="2"/>
  <c r="P1271" i="2"/>
  <c r="O1271" i="2"/>
  <c r="T1270" i="2"/>
  <c r="S1270" i="2"/>
  <c r="R1270" i="2"/>
  <c r="Q1270" i="2"/>
  <c r="P1270" i="2"/>
  <c r="O1270" i="2"/>
  <c r="T1269" i="2"/>
  <c r="S1269" i="2"/>
  <c r="R1269" i="2"/>
  <c r="Q1269" i="2"/>
  <c r="P1269" i="2"/>
  <c r="O1269" i="2"/>
  <c r="T1268" i="2"/>
  <c r="S1268" i="2"/>
  <c r="R1268" i="2"/>
  <c r="Q1268" i="2"/>
  <c r="P1268" i="2"/>
  <c r="O1268" i="2"/>
  <c r="T1267" i="2"/>
  <c r="S1267" i="2"/>
  <c r="R1267" i="2"/>
  <c r="Q1267" i="2"/>
  <c r="P1267" i="2"/>
  <c r="O1267" i="2"/>
  <c r="T1266" i="2"/>
  <c r="S1266" i="2"/>
  <c r="R1266" i="2"/>
  <c r="Q1266" i="2"/>
  <c r="P1266" i="2"/>
  <c r="O1266" i="2"/>
  <c r="T1265" i="2"/>
  <c r="S1265" i="2"/>
  <c r="R1265" i="2"/>
  <c r="Q1265" i="2"/>
  <c r="P1265" i="2"/>
  <c r="O1265" i="2"/>
  <c r="T1264" i="2"/>
  <c r="S1264" i="2"/>
  <c r="R1264" i="2"/>
  <c r="Q1264" i="2"/>
  <c r="P1264" i="2"/>
  <c r="O1264" i="2"/>
  <c r="T1263" i="2"/>
  <c r="S1263" i="2"/>
  <c r="R1263" i="2"/>
  <c r="Q1263" i="2"/>
  <c r="P1263" i="2"/>
  <c r="O1263" i="2"/>
  <c r="T1262" i="2"/>
  <c r="S1262" i="2"/>
  <c r="R1262" i="2"/>
  <c r="Q1262" i="2"/>
  <c r="P1262" i="2"/>
  <c r="O1262" i="2"/>
  <c r="T1261" i="2"/>
  <c r="S1261" i="2"/>
  <c r="R1261" i="2"/>
  <c r="Q1261" i="2"/>
  <c r="P1261" i="2"/>
  <c r="O1261" i="2"/>
  <c r="T1260" i="2"/>
  <c r="S1260" i="2"/>
  <c r="R1260" i="2"/>
  <c r="Q1260" i="2"/>
  <c r="P1260" i="2"/>
  <c r="O1260" i="2"/>
  <c r="T1259" i="2"/>
  <c r="S1259" i="2"/>
  <c r="R1259" i="2"/>
  <c r="Q1259" i="2"/>
  <c r="P1259" i="2"/>
  <c r="O1259" i="2"/>
  <c r="T1258" i="2"/>
  <c r="S1258" i="2"/>
  <c r="R1258" i="2"/>
  <c r="Q1258" i="2"/>
  <c r="P1258" i="2"/>
  <c r="O1258" i="2"/>
  <c r="T1257" i="2"/>
  <c r="S1257" i="2"/>
  <c r="R1257" i="2"/>
  <c r="Q1257" i="2"/>
  <c r="P1257" i="2"/>
  <c r="O1257" i="2"/>
  <c r="T1256" i="2"/>
  <c r="S1256" i="2"/>
  <c r="R1256" i="2"/>
  <c r="Q1256" i="2"/>
  <c r="P1256" i="2"/>
  <c r="O1256" i="2"/>
  <c r="T1255" i="2"/>
  <c r="S1255" i="2"/>
  <c r="R1255" i="2"/>
  <c r="Q1255" i="2"/>
  <c r="P1255" i="2"/>
  <c r="O1255" i="2"/>
  <c r="T1254" i="2"/>
  <c r="S1254" i="2"/>
  <c r="R1254" i="2"/>
  <c r="Q1254" i="2"/>
  <c r="P1254" i="2"/>
  <c r="O1254" i="2"/>
  <c r="T1253" i="2"/>
  <c r="S1253" i="2"/>
  <c r="R1253" i="2"/>
  <c r="Q1253" i="2"/>
  <c r="P1253" i="2"/>
  <c r="O1253" i="2"/>
  <c r="T1252" i="2"/>
  <c r="S1252" i="2"/>
  <c r="R1252" i="2"/>
  <c r="Q1252" i="2"/>
  <c r="P1252" i="2"/>
  <c r="O1252" i="2"/>
  <c r="T1251" i="2"/>
  <c r="S1251" i="2"/>
  <c r="R1251" i="2"/>
  <c r="Q1251" i="2"/>
  <c r="P1251" i="2"/>
  <c r="O1251" i="2"/>
  <c r="T1250" i="2"/>
  <c r="S1250" i="2"/>
  <c r="R1250" i="2"/>
  <c r="Q1250" i="2"/>
  <c r="P1250" i="2"/>
  <c r="O1250" i="2"/>
  <c r="T1249" i="2"/>
  <c r="S1249" i="2"/>
  <c r="R1249" i="2"/>
  <c r="Q1249" i="2"/>
  <c r="P1249" i="2"/>
  <c r="O1249" i="2"/>
  <c r="T1248" i="2"/>
  <c r="S1248" i="2"/>
  <c r="R1248" i="2"/>
  <c r="Q1248" i="2"/>
  <c r="P1248" i="2"/>
  <c r="O1248" i="2"/>
  <c r="T1247" i="2"/>
  <c r="S1247" i="2"/>
  <c r="R1247" i="2"/>
  <c r="Q1247" i="2"/>
  <c r="P1247" i="2"/>
  <c r="O1247" i="2"/>
  <c r="T1246" i="2"/>
  <c r="S1246" i="2"/>
  <c r="R1246" i="2"/>
  <c r="Q1246" i="2"/>
  <c r="P1246" i="2"/>
  <c r="O1246" i="2"/>
  <c r="T1245" i="2"/>
  <c r="S1245" i="2"/>
  <c r="R1245" i="2"/>
  <c r="Q1245" i="2"/>
  <c r="P1245" i="2"/>
  <c r="O1245" i="2"/>
  <c r="T1244" i="2"/>
  <c r="S1244" i="2"/>
  <c r="R1244" i="2"/>
  <c r="Q1244" i="2"/>
  <c r="P1244" i="2"/>
  <c r="O1244" i="2"/>
  <c r="T1243" i="2"/>
  <c r="S1243" i="2"/>
  <c r="R1243" i="2"/>
  <c r="Q1243" i="2"/>
  <c r="P1243" i="2"/>
  <c r="O1243" i="2"/>
  <c r="T1242" i="2"/>
  <c r="S1242" i="2"/>
  <c r="R1242" i="2"/>
  <c r="Q1242" i="2"/>
  <c r="P1242" i="2"/>
  <c r="O1242" i="2"/>
  <c r="T1241" i="2"/>
  <c r="S1241" i="2"/>
  <c r="R1241" i="2"/>
  <c r="Q1241" i="2"/>
  <c r="P1241" i="2"/>
  <c r="O1241" i="2"/>
  <c r="T1240" i="2"/>
  <c r="S1240" i="2"/>
  <c r="R1240" i="2"/>
  <c r="Q1240" i="2"/>
  <c r="P1240" i="2"/>
  <c r="O1240" i="2"/>
  <c r="T1239" i="2"/>
  <c r="S1239" i="2"/>
  <c r="R1239" i="2"/>
  <c r="Q1239" i="2"/>
  <c r="P1239" i="2"/>
  <c r="O1239" i="2"/>
  <c r="T1238" i="2"/>
  <c r="S1238" i="2"/>
  <c r="R1238" i="2"/>
  <c r="Q1238" i="2"/>
  <c r="P1238" i="2"/>
  <c r="O1238" i="2"/>
  <c r="T1237" i="2"/>
  <c r="S1237" i="2"/>
  <c r="R1237" i="2"/>
  <c r="Q1237" i="2"/>
  <c r="P1237" i="2"/>
  <c r="O1237" i="2"/>
  <c r="T1236" i="2"/>
  <c r="S1236" i="2"/>
  <c r="R1236" i="2"/>
  <c r="Q1236" i="2"/>
  <c r="P1236" i="2"/>
  <c r="O1236" i="2"/>
  <c r="T1235" i="2"/>
  <c r="S1235" i="2"/>
  <c r="R1235" i="2"/>
  <c r="Q1235" i="2"/>
  <c r="P1235" i="2"/>
  <c r="O1235" i="2"/>
  <c r="T1234" i="2"/>
  <c r="S1234" i="2"/>
  <c r="R1234" i="2"/>
  <c r="Q1234" i="2"/>
  <c r="P1234" i="2"/>
  <c r="O1234" i="2"/>
  <c r="T1233" i="2"/>
  <c r="S1233" i="2"/>
  <c r="R1233" i="2"/>
  <c r="Q1233" i="2"/>
  <c r="P1233" i="2"/>
  <c r="O1233" i="2"/>
  <c r="T1232" i="2"/>
  <c r="S1232" i="2"/>
  <c r="R1232" i="2"/>
  <c r="Q1232" i="2"/>
  <c r="P1232" i="2"/>
  <c r="O1232" i="2"/>
  <c r="T1231" i="2"/>
  <c r="S1231" i="2"/>
  <c r="R1231" i="2"/>
  <c r="Q1231" i="2"/>
  <c r="P1231" i="2"/>
  <c r="O1231" i="2"/>
  <c r="T1230" i="2"/>
  <c r="S1230" i="2"/>
  <c r="R1230" i="2"/>
  <c r="Q1230" i="2"/>
  <c r="P1230" i="2"/>
  <c r="O1230" i="2"/>
  <c r="T1229" i="2"/>
  <c r="S1229" i="2"/>
  <c r="R1229" i="2"/>
  <c r="Q1229" i="2"/>
  <c r="P1229" i="2"/>
  <c r="O1229" i="2"/>
  <c r="T1228" i="2"/>
  <c r="S1228" i="2"/>
  <c r="R1228" i="2"/>
  <c r="Q1228" i="2"/>
  <c r="P1228" i="2"/>
  <c r="O1228" i="2"/>
  <c r="T1227" i="2"/>
  <c r="S1227" i="2"/>
  <c r="R1227" i="2"/>
  <c r="Q1227" i="2"/>
  <c r="P1227" i="2"/>
  <c r="O1227" i="2"/>
  <c r="T1226" i="2"/>
  <c r="S1226" i="2"/>
  <c r="R1226" i="2"/>
  <c r="Q1226" i="2"/>
  <c r="P1226" i="2"/>
  <c r="O1226" i="2"/>
  <c r="T1225" i="2"/>
  <c r="S1225" i="2"/>
  <c r="R1225" i="2"/>
  <c r="Q1225" i="2"/>
  <c r="P1225" i="2"/>
  <c r="O1225" i="2"/>
  <c r="T1224" i="2"/>
  <c r="S1224" i="2"/>
  <c r="R1224" i="2"/>
  <c r="Q1224" i="2"/>
  <c r="P1224" i="2"/>
  <c r="O1224" i="2"/>
  <c r="T1223" i="2"/>
  <c r="S1223" i="2"/>
  <c r="R1223" i="2"/>
  <c r="Q1223" i="2"/>
  <c r="P1223" i="2"/>
  <c r="O1223" i="2"/>
  <c r="T1222" i="2"/>
  <c r="S1222" i="2"/>
  <c r="R1222" i="2"/>
  <c r="Q1222" i="2"/>
  <c r="P1222" i="2"/>
  <c r="O1222" i="2"/>
  <c r="T1221" i="2"/>
  <c r="S1221" i="2"/>
  <c r="R1221" i="2"/>
  <c r="Q1221" i="2"/>
  <c r="P1221" i="2"/>
  <c r="O1221" i="2"/>
  <c r="T1220" i="2"/>
  <c r="S1220" i="2"/>
  <c r="R1220" i="2"/>
  <c r="Q1220" i="2"/>
  <c r="P1220" i="2"/>
  <c r="O1220" i="2"/>
  <c r="T1219" i="2"/>
  <c r="S1219" i="2"/>
  <c r="R1219" i="2"/>
  <c r="Q1219" i="2"/>
  <c r="P1219" i="2"/>
  <c r="O1219" i="2"/>
  <c r="T1218" i="2"/>
  <c r="S1218" i="2"/>
  <c r="R1218" i="2"/>
  <c r="Q1218" i="2"/>
  <c r="P1218" i="2"/>
  <c r="O1218" i="2"/>
  <c r="T1217" i="2"/>
  <c r="S1217" i="2"/>
  <c r="R1217" i="2"/>
  <c r="Q1217" i="2"/>
  <c r="P1217" i="2"/>
  <c r="O1217" i="2"/>
  <c r="T1216" i="2"/>
  <c r="S1216" i="2"/>
  <c r="R1216" i="2"/>
  <c r="Q1216" i="2"/>
  <c r="P1216" i="2"/>
  <c r="O1216" i="2"/>
  <c r="T1215" i="2"/>
  <c r="S1215" i="2"/>
  <c r="R1215" i="2"/>
  <c r="Q1215" i="2"/>
  <c r="P1215" i="2"/>
  <c r="O1215" i="2"/>
  <c r="T1214" i="2"/>
  <c r="S1214" i="2"/>
  <c r="R1214" i="2"/>
  <c r="Q1214" i="2"/>
  <c r="P1214" i="2"/>
  <c r="O1214" i="2"/>
  <c r="T1213" i="2"/>
  <c r="S1213" i="2"/>
  <c r="R1213" i="2"/>
  <c r="Q1213" i="2"/>
  <c r="P1213" i="2"/>
  <c r="O1213" i="2"/>
  <c r="T1212" i="2"/>
  <c r="S1212" i="2"/>
  <c r="R1212" i="2"/>
  <c r="Q1212" i="2"/>
  <c r="P1212" i="2"/>
  <c r="O1212" i="2"/>
  <c r="T1211" i="2"/>
  <c r="S1211" i="2"/>
  <c r="R1211" i="2"/>
  <c r="Q1211" i="2"/>
  <c r="P1211" i="2"/>
  <c r="O1211" i="2"/>
  <c r="T1210" i="2"/>
  <c r="S1210" i="2"/>
  <c r="R1210" i="2"/>
  <c r="Q1210" i="2"/>
  <c r="P1210" i="2"/>
  <c r="O1210" i="2"/>
  <c r="T1209" i="2"/>
  <c r="S1209" i="2"/>
  <c r="R1209" i="2"/>
  <c r="Q1209" i="2"/>
  <c r="P1209" i="2"/>
  <c r="O1209" i="2"/>
  <c r="T1208" i="2"/>
  <c r="S1208" i="2"/>
  <c r="R1208" i="2"/>
  <c r="Q1208" i="2"/>
  <c r="P1208" i="2"/>
  <c r="O1208" i="2"/>
  <c r="T1207" i="2"/>
  <c r="S1207" i="2"/>
  <c r="R1207" i="2"/>
  <c r="Q1207" i="2"/>
  <c r="P1207" i="2"/>
  <c r="O1207" i="2"/>
  <c r="T1206" i="2"/>
  <c r="S1206" i="2"/>
  <c r="R1206" i="2"/>
  <c r="Q1206" i="2"/>
  <c r="P1206" i="2"/>
  <c r="O1206" i="2"/>
  <c r="T1205" i="2"/>
  <c r="S1205" i="2"/>
  <c r="R1205" i="2"/>
  <c r="Q1205" i="2"/>
  <c r="P1205" i="2"/>
  <c r="O1205" i="2"/>
  <c r="T1204" i="2"/>
  <c r="S1204" i="2"/>
  <c r="R1204" i="2"/>
  <c r="Q1204" i="2"/>
  <c r="P1204" i="2"/>
  <c r="O1204" i="2"/>
  <c r="T1203" i="2"/>
  <c r="S1203" i="2"/>
  <c r="R1203" i="2"/>
  <c r="Q1203" i="2"/>
  <c r="P1203" i="2"/>
  <c r="O1203" i="2"/>
  <c r="T1202" i="2"/>
  <c r="S1202" i="2"/>
  <c r="R1202" i="2"/>
  <c r="Q1202" i="2"/>
  <c r="P1202" i="2"/>
  <c r="O1202" i="2"/>
  <c r="T1201" i="2"/>
  <c r="S1201" i="2"/>
  <c r="R1201" i="2"/>
  <c r="Q1201" i="2"/>
  <c r="P1201" i="2"/>
  <c r="O1201" i="2"/>
  <c r="T1200" i="2"/>
  <c r="S1200" i="2"/>
  <c r="R1200" i="2"/>
  <c r="Q1200" i="2"/>
  <c r="P1200" i="2"/>
  <c r="O1200" i="2"/>
  <c r="T1199" i="2"/>
  <c r="S1199" i="2"/>
  <c r="R1199" i="2"/>
  <c r="Q1199" i="2"/>
  <c r="P1199" i="2"/>
  <c r="O1199" i="2"/>
  <c r="T1198" i="2"/>
  <c r="S1198" i="2"/>
  <c r="R1198" i="2"/>
  <c r="Q1198" i="2"/>
  <c r="P1198" i="2"/>
  <c r="O1198" i="2"/>
  <c r="T1197" i="2"/>
  <c r="S1197" i="2"/>
  <c r="R1197" i="2"/>
  <c r="Q1197" i="2"/>
  <c r="P1197" i="2"/>
  <c r="O1197" i="2"/>
  <c r="T1196" i="2"/>
  <c r="S1196" i="2"/>
  <c r="R1196" i="2"/>
  <c r="Q1196" i="2"/>
  <c r="P1196" i="2"/>
  <c r="O1196" i="2"/>
  <c r="T1195" i="2"/>
  <c r="S1195" i="2"/>
  <c r="R1195" i="2"/>
  <c r="Q1195" i="2"/>
  <c r="P1195" i="2"/>
  <c r="O1195" i="2"/>
  <c r="T1194" i="2"/>
  <c r="S1194" i="2"/>
  <c r="R1194" i="2"/>
  <c r="Q1194" i="2"/>
  <c r="P1194" i="2"/>
  <c r="O1194" i="2"/>
  <c r="T1193" i="2"/>
  <c r="S1193" i="2"/>
  <c r="R1193" i="2"/>
  <c r="Q1193" i="2"/>
  <c r="P1193" i="2"/>
  <c r="O1193" i="2"/>
  <c r="T1192" i="2"/>
  <c r="S1192" i="2"/>
  <c r="R1192" i="2"/>
  <c r="Q1192" i="2"/>
  <c r="P1192" i="2"/>
  <c r="O1192" i="2"/>
  <c r="T1191" i="2"/>
  <c r="S1191" i="2"/>
  <c r="R1191" i="2"/>
  <c r="Q1191" i="2"/>
  <c r="P1191" i="2"/>
  <c r="O1191" i="2"/>
  <c r="T1190" i="2"/>
  <c r="S1190" i="2"/>
  <c r="R1190" i="2"/>
  <c r="Q1190" i="2"/>
  <c r="P1190" i="2"/>
  <c r="O1190" i="2"/>
  <c r="T1189" i="2"/>
  <c r="S1189" i="2"/>
  <c r="R1189" i="2"/>
  <c r="Q1189" i="2"/>
  <c r="P1189" i="2"/>
  <c r="O1189" i="2"/>
  <c r="T1188" i="2"/>
  <c r="S1188" i="2"/>
  <c r="R1188" i="2"/>
  <c r="Q1188" i="2"/>
  <c r="P1188" i="2"/>
  <c r="O1188" i="2"/>
  <c r="T1187" i="2"/>
  <c r="S1187" i="2"/>
  <c r="R1187" i="2"/>
  <c r="Q1187" i="2"/>
  <c r="P1187" i="2"/>
  <c r="O1187" i="2"/>
  <c r="T1186" i="2"/>
  <c r="S1186" i="2"/>
  <c r="R1186" i="2"/>
  <c r="Q1186" i="2"/>
  <c r="P1186" i="2"/>
  <c r="O1186" i="2"/>
  <c r="T1185" i="2"/>
  <c r="S1185" i="2"/>
  <c r="R1185" i="2"/>
  <c r="Q1185" i="2"/>
  <c r="P1185" i="2"/>
  <c r="O1185" i="2"/>
  <c r="T1184" i="2"/>
  <c r="S1184" i="2"/>
  <c r="R1184" i="2"/>
  <c r="Q1184" i="2"/>
  <c r="P1184" i="2"/>
  <c r="O1184" i="2"/>
  <c r="T1183" i="2"/>
  <c r="S1183" i="2"/>
  <c r="R1183" i="2"/>
  <c r="Q1183" i="2"/>
  <c r="P1183" i="2"/>
  <c r="O1183" i="2"/>
  <c r="T1182" i="2"/>
  <c r="S1182" i="2"/>
  <c r="R1182" i="2"/>
  <c r="Q1182" i="2"/>
  <c r="P1182" i="2"/>
  <c r="O1182" i="2"/>
  <c r="T1181" i="2"/>
  <c r="S1181" i="2"/>
  <c r="R1181" i="2"/>
  <c r="Q1181" i="2"/>
  <c r="P1181" i="2"/>
  <c r="O1181" i="2"/>
  <c r="T1180" i="2"/>
  <c r="S1180" i="2"/>
  <c r="R1180" i="2"/>
  <c r="Q1180" i="2"/>
  <c r="P1180" i="2"/>
  <c r="O1180" i="2"/>
  <c r="T1179" i="2"/>
  <c r="S1179" i="2"/>
  <c r="R1179" i="2"/>
  <c r="Q1179" i="2"/>
  <c r="P1179" i="2"/>
  <c r="O1179" i="2"/>
  <c r="T1178" i="2"/>
  <c r="S1178" i="2"/>
  <c r="R1178" i="2"/>
  <c r="Q1178" i="2"/>
  <c r="P1178" i="2"/>
  <c r="O1178" i="2"/>
  <c r="T1177" i="2"/>
  <c r="S1177" i="2"/>
  <c r="R1177" i="2"/>
  <c r="Q1177" i="2"/>
  <c r="P1177" i="2"/>
  <c r="O1177" i="2"/>
  <c r="T1176" i="2"/>
  <c r="S1176" i="2"/>
  <c r="R1176" i="2"/>
  <c r="Q1176" i="2"/>
  <c r="P1176" i="2"/>
  <c r="O1176" i="2"/>
  <c r="T1175" i="2"/>
  <c r="S1175" i="2"/>
  <c r="R1175" i="2"/>
  <c r="Q1175" i="2"/>
  <c r="P1175" i="2"/>
  <c r="O1175" i="2"/>
  <c r="T1174" i="2"/>
  <c r="S1174" i="2"/>
  <c r="R1174" i="2"/>
  <c r="Q1174" i="2"/>
  <c r="P1174" i="2"/>
  <c r="O1174" i="2"/>
  <c r="T1173" i="2"/>
  <c r="S1173" i="2"/>
  <c r="R1173" i="2"/>
  <c r="Q1173" i="2"/>
  <c r="P1173" i="2"/>
  <c r="O1173" i="2"/>
  <c r="T1172" i="2"/>
  <c r="S1172" i="2"/>
  <c r="R1172" i="2"/>
  <c r="Q1172" i="2"/>
  <c r="P1172" i="2"/>
  <c r="O1172" i="2"/>
  <c r="T1171" i="2"/>
  <c r="S1171" i="2"/>
  <c r="R1171" i="2"/>
  <c r="Q1171" i="2"/>
  <c r="P1171" i="2"/>
  <c r="O1171" i="2"/>
  <c r="T1170" i="2"/>
  <c r="S1170" i="2"/>
  <c r="R1170" i="2"/>
  <c r="Q1170" i="2"/>
  <c r="P1170" i="2"/>
  <c r="O1170" i="2"/>
  <c r="T1169" i="2"/>
  <c r="S1169" i="2"/>
  <c r="R1169" i="2"/>
  <c r="Q1169" i="2"/>
  <c r="P1169" i="2"/>
  <c r="O1169" i="2"/>
  <c r="T1168" i="2"/>
  <c r="S1168" i="2"/>
  <c r="R1168" i="2"/>
  <c r="Q1168" i="2"/>
  <c r="P1168" i="2"/>
  <c r="O1168" i="2"/>
  <c r="T1167" i="2"/>
  <c r="S1167" i="2"/>
  <c r="R1167" i="2"/>
  <c r="Q1167" i="2"/>
  <c r="P1167" i="2"/>
  <c r="O1167" i="2"/>
  <c r="T1166" i="2"/>
  <c r="S1166" i="2"/>
  <c r="R1166" i="2"/>
  <c r="Q1166" i="2"/>
  <c r="P1166" i="2"/>
  <c r="O1166" i="2"/>
  <c r="T1165" i="2"/>
  <c r="S1165" i="2"/>
  <c r="R1165" i="2"/>
  <c r="Q1165" i="2"/>
  <c r="P1165" i="2"/>
  <c r="O1165" i="2"/>
  <c r="T1164" i="2"/>
  <c r="S1164" i="2"/>
  <c r="R1164" i="2"/>
  <c r="Q1164" i="2"/>
  <c r="P1164" i="2"/>
  <c r="O1164" i="2"/>
  <c r="T1163" i="2"/>
  <c r="S1163" i="2"/>
  <c r="R1163" i="2"/>
  <c r="Q1163" i="2"/>
  <c r="P1163" i="2"/>
  <c r="O1163" i="2"/>
  <c r="T1162" i="2"/>
  <c r="S1162" i="2"/>
  <c r="R1162" i="2"/>
  <c r="Q1162" i="2"/>
  <c r="P1162" i="2"/>
  <c r="O1162" i="2"/>
  <c r="T1161" i="2"/>
  <c r="S1161" i="2"/>
  <c r="R1161" i="2"/>
  <c r="Q1161" i="2"/>
  <c r="P1161" i="2"/>
  <c r="O1161" i="2"/>
  <c r="T1160" i="2"/>
  <c r="S1160" i="2"/>
  <c r="R1160" i="2"/>
  <c r="Q1160" i="2"/>
  <c r="P1160" i="2"/>
  <c r="O1160" i="2"/>
  <c r="T1159" i="2"/>
  <c r="S1159" i="2"/>
  <c r="R1159" i="2"/>
  <c r="Q1159" i="2"/>
  <c r="P1159" i="2"/>
  <c r="O1159" i="2"/>
  <c r="T1158" i="2"/>
  <c r="S1158" i="2"/>
  <c r="R1158" i="2"/>
  <c r="Q1158" i="2"/>
  <c r="P1158" i="2"/>
  <c r="O1158" i="2"/>
  <c r="T1157" i="2"/>
  <c r="S1157" i="2"/>
  <c r="R1157" i="2"/>
  <c r="Q1157" i="2"/>
  <c r="P1157" i="2"/>
  <c r="O1157" i="2"/>
  <c r="T1156" i="2"/>
  <c r="S1156" i="2"/>
  <c r="R1156" i="2"/>
  <c r="Q1156" i="2"/>
  <c r="P1156" i="2"/>
  <c r="O1156" i="2"/>
  <c r="T1155" i="2"/>
  <c r="S1155" i="2"/>
  <c r="R1155" i="2"/>
  <c r="Q1155" i="2"/>
  <c r="P1155" i="2"/>
  <c r="O1155" i="2"/>
  <c r="T1154" i="2"/>
  <c r="S1154" i="2"/>
  <c r="R1154" i="2"/>
  <c r="Q1154" i="2"/>
  <c r="P1154" i="2"/>
  <c r="O1154" i="2"/>
  <c r="T1153" i="2"/>
  <c r="S1153" i="2"/>
  <c r="R1153" i="2"/>
  <c r="Q1153" i="2"/>
  <c r="P1153" i="2"/>
  <c r="O1153" i="2"/>
  <c r="T1152" i="2"/>
  <c r="S1152" i="2"/>
  <c r="R1152" i="2"/>
  <c r="Q1152" i="2"/>
  <c r="P1152" i="2"/>
  <c r="O1152" i="2"/>
  <c r="T1151" i="2"/>
  <c r="S1151" i="2"/>
  <c r="R1151" i="2"/>
  <c r="Q1151" i="2"/>
  <c r="P1151" i="2"/>
  <c r="O1151" i="2"/>
  <c r="T1150" i="2"/>
  <c r="S1150" i="2"/>
  <c r="R1150" i="2"/>
  <c r="Q1150" i="2"/>
  <c r="P1150" i="2"/>
  <c r="O1150" i="2"/>
  <c r="T1149" i="2"/>
  <c r="S1149" i="2"/>
  <c r="R1149" i="2"/>
  <c r="Q1149" i="2"/>
  <c r="P1149" i="2"/>
  <c r="O1149" i="2"/>
  <c r="T1148" i="2"/>
  <c r="S1148" i="2"/>
  <c r="R1148" i="2"/>
  <c r="Q1148" i="2"/>
  <c r="P1148" i="2"/>
  <c r="O1148" i="2"/>
  <c r="T1147" i="2"/>
  <c r="S1147" i="2"/>
  <c r="R1147" i="2"/>
  <c r="Q1147" i="2"/>
  <c r="P1147" i="2"/>
  <c r="O1147" i="2"/>
  <c r="T1146" i="2"/>
  <c r="S1146" i="2"/>
  <c r="R1146" i="2"/>
  <c r="Q1146" i="2"/>
  <c r="P1146" i="2"/>
  <c r="O1146" i="2"/>
  <c r="T1145" i="2"/>
  <c r="S1145" i="2"/>
  <c r="R1145" i="2"/>
  <c r="Q1145" i="2"/>
  <c r="P1145" i="2"/>
  <c r="O1145" i="2"/>
  <c r="T1144" i="2"/>
  <c r="S1144" i="2"/>
  <c r="R1144" i="2"/>
  <c r="Q1144" i="2"/>
  <c r="P1144" i="2"/>
  <c r="O1144" i="2"/>
  <c r="T1143" i="2"/>
  <c r="S1143" i="2"/>
  <c r="R1143" i="2"/>
  <c r="Q1143" i="2"/>
  <c r="P1143" i="2"/>
  <c r="O1143" i="2"/>
  <c r="T1142" i="2"/>
  <c r="S1142" i="2"/>
  <c r="R1142" i="2"/>
  <c r="Q1142" i="2"/>
  <c r="P1142" i="2"/>
  <c r="O1142" i="2"/>
  <c r="T1141" i="2"/>
  <c r="S1141" i="2"/>
  <c r="R1141" i="2"/>
  <c r="Q1141" i="2"/>
  <c r="P1141" i="2"/>
  <c r="O1141" i="2"/>
  <c r="T1140" i="2"/>
  <c r="S1140" i="2"/>
  <c r="R1140" i="2"/>
  <c r="Q1140" i="2"/>
  <c r="P1140" i="2"/>
  <c r="O1140" i="2"/>
  <c r="T1139" i="2"/>
  <c r="S1139" i="2"/>
  <c r="R1139" i="2"/>
  <c r="Q1139" i="2"/>
  <c r="P1139" i="2"/>
  <c r="O1139" i="2"/>
  <c r="T1138" i="2"/>
  <c r="S1138" i="2"/>
  <c r="R1138" i="2"/>
  <c r="Q1138" i="2"/>
  <c r="P1138" i="2"/>
  <c r="O1138" i="2"/>
  <c r="T1137" i="2"/>
  <c r="S1137" i="2"/>
  <c r="R1137" i="2"/>
  <c r="Q1137" i="2"/>
  <c r="P1137" i="2"/>
  <c r="O1137" i="2"/>
  <c r="T1136" i="2"/>
  <c r="S1136" i="2"/>
  <c r="R1136" i="2"/>
  <c r="Q1136" i="2"/>
  <c r="P1136" i="2"/>
  <c r="O1136" i="2"/>
  <c r="T1135" i="2"/>
  <c r="S1135" i="2"/>
  <c r="R1135" i="2"/>
  <c r="Q1135" i="2"/>
  <c r="P1135" i="2"/>
  <c r="O1135" i="2"/>
  <c r="T1134" i="2"/>
  <c r="S1134" i="2"/>
  <c r="R1134" i="2"/>
  <c r="Q1134" i="2"/>
  <c r="P1134" i="2"/>
  <c r="O1134" i="2"/>
  <c r="T1133" i="2"/>
  <c r="S1133" i="2"/>
  <c r="R1133" i="2"/>
  <c r="Q1133" i="2"/>
  <c r="P1133" i="2"/>
  <c r="O1133" i="2"/>
  <c r="T1132" i="2"/>
  <c r="S1132" i="2"/>
  <c r="R1132" i="2"/>
  <c r="Q1132" i="2"/>
  <c r="P1132" i="2"/>
  <c r="O1132" i="2"/>
  <c r="T1131" i="2"/>
  <c r="S1131" i="2"/>
  <c r="R1131" i="2"/>
  <c r="Q1131" i="2"/>
  <c r="P1131" i="2"/>
  <c r="O1131" i="2"/>
  <c r="T1130" i="2"/>
  <c r="S1130" i="2"/>
  <c r="R1130" i="2"/>
  <c r="Q1130" i="2"/>
  <c r="P1130" i="2"/>
  <c r="O1130" i="2"/>
  <c r="T1129" i="2"/>
  <c r="S1129" i="2"/>
  <c r="R1129" i="2"/>
  <c r="Q1129" i="2"/>
  <c r="P1129" i="2"/>
  <c r="O1129" i="2"/>
  <c r="T1128" i="2"/>
  <c r="S1128" i="2"/>
  <c r="R1128" i="2"/>
  <c r="Q1128" i="2"/>
  <c r="P1128" i="2"/>
  <c r="O1128" i="2"/>
  <c r="T1127" i="2"/>
  <c r="S1127" i="2"/>
  <c r="R1127" i="2"/>
  <c r="Q1127" i="2"/>
  <c r="P1127" i="2"/>
  <c r="O1127" i="2"/>
  <c r="T1126" i="2"/>
  <c r="S1126" i="2"/>
  <c r="R1126" i="2"/>
  <c r="Q1126" i="2"/>
  <c r="P1126" i="2"/>
  <c r="O1126" i="2"/>
  <c r="T1125" i="2"/>
  <c r="S1125" i="2"/>
  <c r="R1125" i="2"/>
  <c r="Q1125" i="2"/>
  <c r="P1125" i="2"/>
  <c r="O1125" i="2"/>
  <c r="T1124" i="2"/>
  <c r="S1124" i="2"/>
  <c r="R1124" i="2"/>
  <c r="Q1124" i="2"/>
  <c r="P1124" i="2"/>
  <c r="O1124" i="2"/>
  <c r="T1123" i="2"/>
  <c r="S1123" i="2"/>
  <c r="R1123" i="2"/>
  <c r="Q1123" i="2"/>
  <c r="P1123" i="2"/>
  <c r="O1123" i="2"/>
  <c r="T1122" i="2"/>
  <c r="S1122" i="2"/>
  <c r="R1122" i="2"/>
  <c r="Q1122" i="2"/>
  <c r="P1122" i="2"/>
  <c r="O1122" i="2"/>
  <c r="T1121" i="2"/>
  <c r="S1121" i="2"/>
  <c r="R1121" i="2"/>
  <c r="Q1121" i="2"/>
  <c r="P1121" i="2"/>
  <c r="O1121" i="2"/>
  <c r="T1120" i="2"/>
  <c r="S1120" i="2"/>
  <c r="R1120" i="2"/>
  <c r="Q1120" i="2"/>
  <c r="P1120" i="2"/>
  <c r="O1120" i="2"/>
  <c r="T1119" i="2"/>
  <c r="S1119" i="2"/>
  <c r="R1119" i="2"/>
  <c r="Q1119" i="2"/>
  <c r="P1119" i="2"/>
  <c r="O1119" i="2"/>
  <c r="T1118" i="2"/>
  <c r="S1118" i="2"/>
  <c r="R1118" i="2"/>
  <c r="Q1118" i="2"/>
  <c r="P1118" i="2"/>
  <c r="O1118" i="2"/>
  <c r="T1117" i="2"/>
  <c r="S1117" i="2"/>
  <c r="R1117" i="2"/>
  <c r="Q1117" i="2"/>
  <c r="P1117" i="2"/>
  <c r="O1117" i="2"/>
  <c r="T1116" i="2"/>
  <c r="S1116" i="2"/>
  <c r="R1116" i="2"/>
  <c r="Q1116" i="2"/>
  <c r="P1116" i="2"/>
  <c r="O1116" i="2"/>
  <c r="T1115" i="2"/>
  <c r="S1115" i="2"/>
  <c r="R1115" i="2"/>
  <c r="Q1115" i="2"/>
  <c r="P1115" i="2"/>
  <c r="O1115" i="2"/>
  <c r="T1114" i="2"/>
  <c r="S1114" i="2"/>
  <c r="R1114" i="2"/>
  <c r="Q1114" i="2"/>
  <c r="P1114" i="2"/>
  <c r="O1114" i="2"/>
  <c r="T1113" i="2"/>
  <c r="S1113" i="2"/>
  <c r="R1113" i="2"/>
  <c r="Q1113" i="2"/>
  <c r="P1113" i="2"/>
  <c r="O1113" i="2"/>
  <c r="T1112" i="2"/>
  <c r="S1112" i="2"/>
  <c r="R1112" i="2"/>
  <c r="Q1112" i="2"/>
  <c r="P1112" i="2"/>
  <c r="O1112" i="2"/>
  <c r="T1111" i="2"/>
  <c r="S1111" i="2"/>
  <c r="R1111" i="2"/>
  <c r="Q1111" i="2"/>
  <c r="P1111" i="2"/>
  <c r="O1111" i="2"/>
  <c r="T1110" i="2"/>
  <c r="S1110" i="2"/>
  <c r="R1110" i="2"/>
  <c r="Q1110" i="2"/>
  <c r="P1110" i="2"/>
  <c r="O1110" i="2"/>
  <c r="T1109" i="2"/>
  <c r="S1109" i="2"/>
  <c r="R1109" i="2"/>
  <c r="Q1109" i="2"/>
  <c r="P1109" i="2"/>
  <c r="O1109" i="2"/>
  <c r="T1108" i="2"/>
  <c r="S1108" i="2"/>
  <c r="R1108" i="2"/>
  <c r="Q1108" i="2"/>
  <c r="P1108" i="2"/>
  <c r="O1108" i="2"/>
  <c r="T1107" i="2"/>
  <c r="S1107" i="2"/>
  <c r="R1107" i="2"/>
  <c r="Q1107" i="2"/>
  <c r="P1107" i="2"/>
  <c r="O1107" i="2"/>
  <c r="T1106" i="2"/>
  <c r="S1106" i="2"/>
  <c r="R1106" i="2"/>
  <c r="Q1106" i="2"/>
  <c r="P1106" i="2"/>
  <c r="O1106" i="2"/>
  <c r="T1105" i="2"/>
  <c r="S1105" i="2"/>
  <c r="R1105" i="2"/>
  <c r="Q1105" i="2"/>
  <c r="P1105" i="2"/>
  <c r="O1105" i="2"/>
  <c r="T1104" i="2"/>
  <c r="S1104" i="2"/>
  <c r="R1104" i="2"/>
  <c r="Q1104" i="2"/>
  <c r="P1104" i="2"/>
  <c r="O1104" i="2"/>
  <c r="T1103" i="2"/>
  <c r="S1103" i="2"/>
  <c r="R1103" i="2"/>
  <c r="Q1103" i="2"/>
  <c r="P1103" i="2"/>
  <c r="O1103" i="2"/>
  <c r="T1102" i="2"/>
  <c r="S1102" i="2"/>
  <c r="R1102" i="2"/>
  <c r="Q1102" i="2"/>
  <c r="P1102" i="2"/>
  <c r="O1102" i="2"/>
  <c r="T1101" i="2"/>
  <c r="S1101" i="2"/>
  <c r="R1101" i="2"/>
  <c r="Q1101" i="2"/>
  <c r="P1101" i="2"/>
  <c r="O1101" i="2"/>
  <c r="T1100" i="2"/>
  <c r="S1100" i="2"/>
  <c r="R1100" i="2"/>
  <c r="Q1100" i="2"/>
  <c r="P1100" i="2"/>
  <c r="O1100" i="2"/>
  <c r="T1099" i="2"/>
  <c r="S1099" i="2"/>
  <c r="R1099" i="2"/>
  <c r="Q1099" i="2"/>
  <c r="P1099" i="2"/>
  <c r="O1099" i="2"/>
  <c r="T1098" i="2"/>
  <c r="S1098" i="2"/>
  <c r="R1098" i="2"/>
  <c r="Q1098" i="2"/>
  <c r="P1098" i="2"/>
  <c r="O1098" i="2"/>
  <c r="T1097" i="2"/>
  <c r="S1097" i="2"/>
  <c r="R1097" i="2"/>
  <c r="Q1097" i="2"/>
  <c r="P1097" i="2"/>
  <c r="O1097" i="2"/>
  <c r="T1096" i="2"/>
  <c r="S1096" i="2"/>
  <c r="R1096" i="2"/>
  <c r="Q1096" i="2"/>
  <c r="P1096" i="2"/>
  <c r="O1096" i="2"/>
  <c r="T1095" i="2"/>
  <c r="S1095" i="2"/>
  <c r="R1095" i="2"/>
  <c r="Q1095" i="2"/>
  <c r="P1095" i="2"/>
  <c r="O1095" i="2"/>
  <c r="T1094" i="2"/>
  <c r="S1094" i="2"/>
  <c r="R1094" i="2"/>
  <c r="Q1094" i="2"/>
  <c r="P1094" i="2"/>
  <c r="O1094" i="2"/>
  <c r="T1093" i="2"/>
  <c r="S1093" i="2"/>
  <c r="R1093" i="2"/>
  <c r="Q1093" i="2"/>
  <c r="P1093" i="2"/>
  <c r="O1093" i="2"/>
  <c r="T1092" i="2"/>
  <c r="S1092" i="2"/>
  <c r="R1092" i="2"/>
  <c r="Q1092" i="2"/>
  <c r="P1092" i="2"/>
  <c r="O1092" i="2"/>
  <c r="T1091" i="2"/>
  <c r="S1091" i="2"/>
  <c r="R1091" i="2"/>
  <c r="Q1091" i="2"/>
  <c r="P1091" i="2"/>
  <c r="O1091" i="2"/>
  <c r="T1090" i="2"/>
  <c r="S1090" i="2"/>
  <c r="R1090" i="2"/>
  <c r="Q1090" i="2"/>
  <c r="P1090" i="2"/>
  <c r="O1090" i="2"/>
  <c r="T1089" i="2"/>
  <c r="S1089" i="2"/>
  <c r="R1089" i="2"/>
  <c r="Q1089" i="2"/>
  <c r="P1089" i="2"/>
  <c r="O1089" i="2"/>
  <c r="T1088" i="2"/>
  <c r="S1088" i="2"/>
  <c r="R1088" i="2"/>
  <c r="Q1088" i="2"/>
  <c r="P1088" i="2"/>
  <c r="O1088" i="2"/>
  <c r="T1087" i="2"/>
  <c r="S1087" i="2"/>
  <c r="R1087" i="2"/>
  <c r="Q1087" i="2"/>
  <c r="P1087" i="2"/>
  <c r="O1087" i="2"/>
  <c r="T1086" i="2"/>
  <c r="S1086" i="2"/>
  <c r="R1086" i="2"/>
  <c r="Q1086" i="2"/>
  <c r="P1086" i="2"/>
  <c r="O1086" i="2"/>
  <c r="T1085" i="2"/>
  <c r="S1085" i="2"/>
  <c r="R1085" i="2"/>
  <c r="Q1085" i="2"/>
  <c r="P1085" i="2"/>
  <c r="O1085" i="2"/>
  <c r="T1084" i="2"/>
  <c r="S1084" i="2"/>
  <c r="R1084" i="2"/>
  <c r="Q1084" i="2"/>
  <c r="P1084" i="2"/>
  <c r="O1084" i="2"/>
  <c r="T1083" i="2"/>
  <c r="S1083" i="2"/>
  <c r="R1083" i="2"/>
  <c r="Q1083" i="2"/>
  <c r="P1083" i="2"/>
  <c r="O1083" i="2"/>
  <c r="T1082" i="2"/>
  <c r="S1082" i="2"/>
  <c r="R1082" i="2"/>
  <c r="Q1082" i="2"/>
  <c r="P1082" i="2"/>
  <c r="O1082" i="2"/>
  <c r="T1081" i="2"/>
  <c r="S1081" i="2"/>
  <c r="R1081" i="2"/>
  <c r="Q1081" i="2"/>
  <c r="P1081" i="2"/>
  <c r="O1081" i="2"/>
  <c r="T1080" i="2"/>
  <c r="S1080" i="2"/>
  <c r="R1080" i="2"/>
  <c r="Q1080" i="2"/>
  <c r="P1080" i="2"/>
  <c r="O1080" i="2"/>
  <c r="T1079" i="2"/>
  <c r="S1079" i="2"/>
  <c r="R1079" i="2"/>
  <c r="Q1079" i="2"/>
  <c r="P1079" i="2"/>
  <c r="O1079" i="2"/>
  <c r="T1078" i="2"/>
  <c r="S1078" i="2"/>
  <c r="R1078" i="2"/>
  <c r="Q1078" i="2"/>
  <c r="P1078" i="2"/>
  <c r="O1078" i="2"/>
  <c r="T1077" i="2"/>
  <c r="S1077" i="2"/>
  <c r="R1077" i="2"/>
  <c r="Q1077" i="2"/>
  <c r="P1077" i="2"/>
  <c r="O1077" i="2"/>
  <c r="T1076" i="2"/>
  <c r="S1076" i="2"/>
  <c r="R1076" i="2"/>
  <c r="Q1076" i="2"/>
  <c r="P1076" i="2"/>
  <c r="O1076" i="2"/>
  <c r="T1075" i="2"/>
  <c r="S1075" i="2"/>
  <c r="R1075" i="2"/>
  <c r="Q1075" i="2"/>
  <c r="P1075" i="2"/>
  <c r="O1075" i="2"/>
  <c r="T1074" i="2"/>
  <c r="S1074" i="2"/>
  <c r="R1074" i="2"/>
  <c r="Q1074" i="2"/>
  <c r="P1074" i="2"/>
  <c r="O1074" i="2"/>
  <c r="T1073" i="2"/>
  <c r="S1073" i="2"/>
  <c r="R1073" i="2"/>
  <c r="Q1073" i="2"/>
  <c r="P1073" i="2"/>
  <c r="O1073" i="2"/>
  <c r="T1072" i="2"/>
  <c r="S1072" i="2"/>
  <c r="R1072" i="2"/>
  <c r="Q1072" i="2"/>
  <c r="P1072" i="2"/>
  <c r="O1072" i="2"/>
  <c r="T1071" i="2"/>
  <c r="S1071" i="2"/>
  <c r="R1071" i="2"/>
  <c r="Q1071" i="2"/>
  <c r="P1071" i="2"/>
  <c r="O1071" i="2"/>
  <c r="T1070" i="2"/>
  <c r="S1070" i="2"/>
  <c r="R1070" i="2"/>
  <c r="Q1070" i="2"/>
  <c r="P1070" i="2"/>
  <c r="O1070" i="2"/>
  <c r="T1069" i="2"/>
  <c r="S1069" i="2"/>
  <c r="R1069" i="2"/>
  <c r="Q1069" i="2"/>
  <c r="P1069" i="2"/>
  <c r="O1069" i="2"/>
  <c r="T1068" i="2"/>
  <c r="S1068" i="2"/>
  <c r="R1068" i="2"/>
  <c r="Q1068" i="2"/>
  <c r="P1068" i="2"/>
  <c r="O1068" i="2"/>
  <c r="T1067" i="2"/>
  <c r="S1067" i="2"/>
  <c r="R1067" i="2"/>
  <c r="Q1067" i="2"/>
  <c r="P1067" i="2"/>
  <c r="O1067" i="2"/>
  <c r="T1066" i="2"/>
  <c r="S1066" i="2"/>
  <c r="R1066" i="2"/>
  <c r="Q1066" i="2"/>
  <c r="P1066" i="2"/>
  <c r="O1066" i="2"/>
  <c r="T1065" i="2"/>
  <c r="S1065" i="2"/>
  <c r="R1065" i="2"/>
  <c r="Q1065" i="2"/>
  <c r="P1065" i="2"/>
  <c r="O1065" i="2"/>
  <c r="T1064" i="2"/>
  <c r="S1064" i="2"/>
  <c r="R1064" i="2"/>
  <c r="Q1064" i="2"/>
  <c r="P1064" i="2"/>
  <c r="O1064" i="2"/>
  <c r="T1063" i="2"/>
  <c r="S1063" i="2"/>
  <c r="R1063" i="2"/>
  <c r="Q1063" i="2"/>
  <c r="P1063" i="2"/>
  <c r="O1063" i="2"/>
  <c r="T1062" i="2"/>
  <c r="S1062" i="2"/>
  <c r="R1062" i="2"/>
  <c r="Q1062" i="2"/>
  <c r="P1062" i="2"/>
  <c r="O1062" i="2"/>
  <c r="T1061" i="2"/>
  <c r="S1061" i="2"/>
  <c r="R1061" i="2"/>
  <c r="Q1061" i="2"/>
  <c r="P1061" i="2"/>
  <c r="O1061" i="2"/>
  <c r="T1060" i="2"/>
  <c r="S1060" i="2"/>
  <c r="R1060" i="2"/>
  <c r="Q1060" i="2"/>
  <c r="P1060" i="2"/>
  <c r="O1060" i="2"/>
  <c r="T1059" i="2"/>
  <c r="S1059" i="2"/>
  <c r="R1059" i="2"/>
  <c r="Q1059" i="2"/>
  <c r="P1059" i="2"/>
  <c r="O1059" i="2"/>
  <c r="T1058" i="2"/>
  <c r="S1058" i="2"/>
  <c r="R1058" i="2"/>
  <c r="Q1058" i="2"/>
  <c r="P1058" i="2"/>
  <c r="O1058" i="2"/>
  <c r="T1057" i="2"/>
  <c r="S1057" i="2"/>
  <c r="R1057" i="2"/>
  <c r="Q1057" i="2"/>
  <c r="P1057" i="2"/>
  <c r="O1057" i="2"/>
  <c r="T1056" i="2"/>
  <c r="S1056" i="2"/>
  <c r="R1056" i="2"/>
  <c r="Q1056" i="2"/>
  <c r="P1056" i="2"/>
  <c r="O1056" i="2"/>
  <c r="T1055" i="2"/>
  <c r="S1055" i="2"/>
  <c r="R1055" i="2"/>
  <c r="Q1055" i="2"/>
  <c r="P1055" i="2"/>
  <c r="O1055" i="2"/>
  <c r="T1054" i="2"/>
  <c r="S1054" i="2"/>
  <c r="R1054" i="2"/>
  <c r="Q1054" i="2"/>
  <c r="P1054" i="2"/>
  <c r="O1054" i="2"/>
  <c r="T1053" i="2"/>
  <c r="S1053" i="2"/>
  <c r="R1053" i="2"/>
  <c r="Q1053" i="2"/>
  <c r="P1053" i="2"/>
  <c r="O1053" i="2"/>
  <c r="T1052" i="2"/>
  <c r="S1052" i="2"/>
  <c r="R1052" i="2"/>
  <c r="Q1052" i="2"/>
  <c r="P1052" i="2"/>
  <c r="O1052" i="2"/>
  <c r="T1051" i="2"/>
  <c r="S1051" i="2"/>
  <c r="R1051" i="2"/>
  <c r="Q1051" i="2"/>
  <c r="P1051" i="2"/>
  <c r="O1051" i="2"/>
  <c r="T1050" i="2"/>
  <c r="S1050" i="2"/>
  <c r="R1050" i="2"/>
  <c r="Q1050" i="2"/>
  <c r="P1050" i="2"/>
  <c r="O1050" i="2"/>
  <c r="T1049" i="2"/>
  <c r="S1049" i="2"/>
  <c r="R1049" i="2"/>
  <c r="Q1049" i="2"/>
  <c r="P1049" i="2"/>
  <c r="O1049" i="2"/>
  <c r="T1048" i="2"/>
  <c r="S1048" i="2"/>
  <c r="R1048" i="2"/>
  <c r="Q1048" i="2"/>
  <c r="P1048" i="2"/>
  <c r="O1048" i="2"/>
  <c r="T1047" i="2"/>
  <c r="S1047" i="2"/>
  <c r="R1047" i="2"/>
  <c r="Q1047" i="2"/>
  <c r="P1047" i="2"/>
  <c r="O1047" i="2"/>
  <c r="T1046" i="2"/>
  <c r="S1046" i="2"/>
  <c r="R1046" i="2"/>
  <c r="Q1046" i="2"/>
  <c r="P1046" i="2"/>
  <c r="O1046" i="2"/>
  <c r="T1045" i="2"/>
  <c r="S1045" i="2"/>
  <c r="R1045" i="2"/>
  <c r="Q1045" i="2"/>
  <c r="P1045" i="2"/>
  <c r="O1045" i="2"/>
  <c r="T1044" i="2"/>
  <c r="S1044" i="2"/>
  <c r="R1044" i="2"/>
  <c r="Q1044" i="2"/>
  <c r="P1044" i="2"/>
  <c r="O1044" i="2"/>
  <c r="T1043" i="2"/>
  <c r="S1043" i="2"/>
  <c r="R1043" i="2"/>
  <c r="Q1043" i="2"/>
  <c r="P1043" i="2"/>
  <c r="O1043" i="2"/>
  <c r="T1042" i="2"/>
  <c r="S1042" i="2"/>
  <c r="R1042" i="2"/>
  <c r="Q1042" i="2"/>
  <c r="P1042" i="2"/>
  <c r="O1042" i="2"/>
  <c r="T1041" i="2"/>
  <c r="S1041" i="2"/>
  <c r="R1041" i="2"/>
  <c r="Q1041" i="2"/>
  <c r="P1041" i="2"/>
  <c r="O1041" i="2"/>
  <c r="T1040" i="2"/>
  <c r="S1040" i="2"/>
  <c r="R1040" i="2"/>
  <c r="Q1040" i="2"/>
  <c r="P1040" i="2"/>
  <c r="O1040" i="2"/>
  <c r="T1039" i="2"/>
  <c r="S1039" i="2"/>
  <c r="R1039" i="2"/>
  <c r="Q1039" i="2"/>
  <c r="P1039" i="2"/>
  <c r="O1039" i="2"/>
  <c r="T1038" i="2"/>
  <c r="S1038" i="2"/>
  <c r="R1038" i="2"/>
  <c r="Q1038" i="2"/>
  <c r="P1038" i="2"/>
  <c r="O1038" i="2"/>
  <c r="T1037" i="2"/>
  <c r="S1037" i="2"/>
  <c r="R1037" i="2"/>
  <c r="Q1037" i="2"/>
  <c r="P1037" i="2"/>
  <c r="O1037" i="2"/>
  <c r="T1036" i="2"/>
  <c r="S1036" i="2"/>
  <c r="R1036" i="2"/>
  <c r="Q1036" i="2"/>
  <c r="P1036" i="2"/>
  <c r="O1036" i="2"/>
  <c r="T1035" i="2"/>
  <c r="S1035" i="2"/>
  <c r="R1035" i="2"/>
  <c r="Q1035" i="2"/>
  <c r="P1035" i="2"/>
  <c r="O1035" i="2"/>
  <c r="T1034" i="2"/>
  <c r="S1034" i="2"/>
  <c r="R1034" i="2"/>
  <c r="Q1034" i="2"/>
  <c r="P1034" i="2"/>
  <c r="O1034" i="2"/>
  <c r="T1033" i="2"/>
  <c r="S1033" i="2"/>
  <c r="R1033" i="2"/>
  <c r="Q1033" i="2"/>
  <c r="P1033" i="2"/>
  <c r="O1033" i="2"/>
  <c r="T1032" i="2"/>
  <c r="S1032" i="2"/>
  <c r="R1032" i="2"/>
  <c r="Q1032" i="2"/>
  <c r="P1032" i="2"/>
  <c r="O1032" i="2"/>
  <c r="T1031" i="2"/>
  <c r="S1031" i="2"/>
  <c r="R1031" i="2"/>
  <c r="Q1031" i="2"/>
  <c r="P1031" i="2"/>
  <c r="O1031" i="2"/>
  <c r="T1030" i="2"/>
  <c r="S1030" i="2"/>
  <c r="R1030" i="2"/>
  <c r="Q1030" i="2"/>
  <c r="P1030" i="2"/>
  <c r="O1030" i="2"/>
  <c r="T1029" i="2"/>
  <c r="S1029" i="2"/>
  <c r="R1029" i="2"/>
  <c r="Q1029" i="2"/>
  <c r="P1029" i="2"/>
  <c r="O1029" i="2"/>
  <c r="T1028" i="2"/>
  <c r="S1028" i="2"/>
  <c r="R1028" i="2"/>
  <c r="Q1028" i="2"/>
  <c r="P1028" i="2"/>
  <c r="O1028" i="2"/>
  <c r="T1027" i="2"/>
  <c r="S1027" i="2"/>
  <c r="R1027" i="2"/>
  <c r="Q1027" i="2"/>
  <c r="P1027" i="2"/>
  <c r="O1027" i="2"/>
  <c r="T1026" i="2"/>
  <c r="S1026" i="2"/>
  <c r="R1026" i="2"/>
  <c r="Q1026" i="2"/>
  <c r="P1026" i="2"/>
  <c r="O1026" i="2"/>
  <c r="T1025" i="2"/>
  <c r="S1025" i="2"/>
  <c r="R1025" i="2"/>
  <c r="Q1025" i="2"/>
  <c r="P1025" i="2"/>
  <c r="O1025" i="2"/>
  <c r="T1024" i="2"/>
  <c r="S1024" i="2"/>
  <c r="R1024" i="2"/>
  <c r="Q1024" i="2"/>
  <c r="P1024" i="2"/>
  <c r="O1024" i="2"/>
  <c r="T1023" i="2"/>
  <c r="S1023" i="2"/>
  <c r="R1023" i="2"/>
  <c r="Q1023" i="2"/>
  <c r="P1023" i="2"/>
  <c r="O1023" i="2"/>
  <c r="T1022" i="2"/>
  <c r="S1022" i="2"/>
  <c r="R1022" i="2"/>
  <c r="Q1022" i="2"/>
  <c r="P1022" i="2"/>
  <c r="O1022" i="2"/>
  <c r="T1021" i="2"/>
  <c r="S1021" i="2"/>
  <c r="R1021" i="2"/>
  <c r="Q1021" i="2"/>
  <c r="P1021" i="2"/>
  <c r="O1021" i="2"/>
  <c r="T1020" i="2"/>
  <c r="S1020" i="2"/>
  <c r="R1020" i="2"/>
  <c r="Q1020" i="2"/>
  <c r="P1020" i="2"/>
  <c r="O1020" i="2"/>
  <c r="T1019" i="2"/>
  <c r="S1019" i="2"/>
  <c r="R1019" i="2"/>
  <c r="Q1019" i="2"/>
  <c r="P1019" i="2"/>
  <c r="O1019" i="2"/>
  <c r="T1018" i="2"/>
  <c r="S1018" i="2"/>
  <c r="R1018" i="2"/>
  <c r="Q1018" i="2"/>
  <c r="P1018" i="2"/>
  <c r="O1018" i="2"/>
  <c r="T1017" i="2"/>
  <c r="S1017" i="2"/>
  <c r="R1017" i="2"/>
  <c r="Q1017" i="2"/>
  <c r="P1017" i="2"/>
  <c r="O1017" i="2"/>
  <c r="T1016" i="2"/>
  <c r="S1016" i="2"/>
  <c r="R1016" i="2"/>
  <c r="Q1016" i="2"/>
  <c r="P1016" i="2"/>
  <c r="O1016" i="2"/>
  <c r="T1015" i="2"/>
  <c r="S1015" i="2"/>
  <c r="R1015" i="2"/>
  <c r="Q1015" i="2"/>
  <c r="P1015" i="2"/>
  <c r="O1015" i="2"/>
  <c r="T1014" i="2"/>
  <c r="S1014" i="2"/>
  <c r="R1014" i="2"/>
  <c r="Q1014" i="2"/>
  <c r="P1014" i="2"/>
  <c r="O1014" i="2"/>
  <c r="T1013" i="2"/>
  <c r="S1013" i="2"/>
  <c r="R1013" i="2"/>
  <c r="Q1013" i="2"/>
  <c r="P1013" i="2"/>
  <c r="O1013" i="2"/>
  <c r="T1012" i="2"/>
  <c r="S1012" i="2"/>
  <c r="R1012" i="2"/>
  <c r="Q1012" i="2"/>
  <c r="P1012" i="2"/>
  <c r="O1012" i="2"/>
  <c r="T1011" i="2"/>
  <c r="S1011" i="2"/>
  <c r="R1011" i="2"/>
  <c r="Q1011" i="2"/>
  <c r="P1011" i="2"/>
  <c r="O1011" i="2"/>
  <c r="T1010" i="2"/>
  <c r="S1010" i="2"/>
  <c r="R1010" i="2"/>
  <c r="Q1010" i="2"/>
  <c r="P1010" i="2"/>
  <c r="O1010" i="2"/>
  <c r="T1009" i="2"/>
  <c r="S1009" i="2"/>
  <c r="R1009" i="2"/>
  <c r="Q1009" i="2"/>
  <c r="P1009" i="2"/>
  <c r="O1009" i="2"/>
  <c r="T1008" i="2"/>
  <c r="S1008" i="2"/>
  <c r="R1008" i="2"/>
  <c r="Q1008" i="2"/>
  <c r="P1008" i="2"/>
  <c r="O1008" i="2"/>
  <c r="T1007" i="2"/>
  <c r="S1007" i="2"/>
  <c r="R1007" i="2"/>
  <c r="Q1007" i="2"/>
  <c r="P1007" i="2"/>
  <c r="O1007" i="2"/>
  <c r="T1006" i="2"/>
  <c r="S1006" i="2"/>
  <c r="R1006" i="2"/>
  <c r="Q1006" i="2"/>
  <c r="P1006" i="2"/>
  <c r="O1006" i="2"/>
  <c r="T1005" i="2"/>
  <c r="S1005" i="2"/>
  <c r="R1005" i="2"/>
  <c r="Q1005" i="2"/>
  <c r="P1005" i="2"/>
  <c r="O1005" i="2"/>
  <c r="T1004" i="2"/>
  <c r="S1004" i="2"/>
  <c r="R1004" i="2"/>
  <c r="Q1004" i="2"/>
  <c r="P1004" i="2"/>
  <c r="O1004" i="2"/>
  <c r="T1003" i="2"/>
  <c r="S1003" i="2"/>
  <c r="R1003" i="2"/>
  <c r="Q1003" i="2"/>
  <c r="P1003" i="2"/>
  <c r="O1003" i="2"/>
  <c r="T1002" i="2"/>
  <c r="S1002" i="2"/>
  <c r="R1002" i="2"/>
  <c r="Q1002" i="2"/>
  <c r="P1002" i="2"/>
  <c r="O1002" i="2"/>
  <c r="T1001" i="2"/>
  <c r="S1001" i="2"/>
  <c r="R1001" i="2"/>
  <c r="Q1001" i="2"/>
  <c r="P1001" i="2"/>
  <c r="O1001" i="2"/>
  <c r="T1000" i="2"/>
  <c r="S1000" i="2"/>
  <c r="R1000" i="2"/>
  <c r="Q1000" i="2"/>
  <c r="P1000" i="2"/>
  <c r="O1000" i="2"/>
  <c r="T999" i="2"/>
  <c r="S999" i="2"/>
  <c r="R999" i="2"/>
  <c r="Q999" i="2"/>
  <c r="P999" i="2"/>
  <c r="O999" i="2"/>
  <c r="T998" i="2"/>
  <c r="S998" i="2"/>
  <c r="R998" i="2"/>
  <c r="Q998" i="2"/>
  <c r="P998" i="2"/>
  <c r="O998" i="2"/>
  <c r="T997" i="2"/>
  <c r="S997" i="2"/>
  <c r="R997" i="2"/>
  <c r="Q997" i="2"/>
  <c r="P997" i="2"/>
  <c r="O997" i="2"/>
  <c r="T996" i="2"/>
  <c r="S996" i="2"/>
  <c r="R996" i="2"/>
  <c r="Q996" i="2"/>
  <c r="P996" i="2"/>
  <c r="O996" i="2"/>
  <c r="T995" i="2"/>
  <c r="S995" i="2"/>
  <c r="R995" i="2"/>
  <c r="Q995" i="2"/>
  <c r="P995" i="2"/>
  <c r="O995" i="2"/>
  <c r="T994" i="2"/>
  <c r="S994" i="2"/>
  <c r="R994" i="2"/>
  <c r="Q994" i="2"/>
  <c r="P994" i="2"/>
  <c r="O994" i="2"/>
  <c r="T993" i="2"/>
  <c r="S993" i="2"/>
  <c r="R993" i="2"/>
  <c r="Q993" i="2"/>
  <c r="P993" i="2"/>
  <c r="O993" i="2"/>
  <c r="T992" i="2"/>
  <c r="S992" i="2"/>
  <c r="R992" i="2"/>
  <c r="Q992" i="2"/>
  <c r="P992" i="2"/>
  <c r="O992" i="2"/>
  <c r="T991" i="2"/>
  <c r="S991" i="2"/>
  <c r="R991" i="2"/>
  <c r="Q991" i="2"/>
  <c r="P991" i="2"/>
  <c r="O991" i="2"/>
  <c r="T990" i="2"/>
  <c r="S990" i="2"/>
  <c r="R990" i="2"/>
  <c r="Q990" i="2"/>
  <c r="P990" i="2"/>
  <c r="O990" i="2"/>
  <c r="T989" i="2"/>
  <c r="T988" i="2"/>
  <c r="T987" i="2"/>
  <c r="T986" i="2"/>
  <c r="T985" i="2"/>
  <c r="S985" i="2"/>
  <c r="R985" i="2"/>
  <c r="Q985" i="2"/>
  <c r="P985" i="2"/>
  <c r="O985" i="2"/>
  <c r="T984" i="2"/>
  <c r="S984" i="2"/>
  <c r="R984" i="2"/>
  <c r="Q984" i="2"/>
  <c r="P984" i="2"/>
  <c r="O984" i="2"/>
  <c r="T983" i="2"/>
  <c r="S983" i="2"/>
  <c r="R983" i="2"/>
  <c r="Q983" i="2"/>
  <c r="P983" i="2"/>
  <c r="O983" i="2"/>
  <c r="T982" i="2"/>
  <c r="S982" i="2"/>
  <c r="R982" i="2"/>
  <c r="Q982" i="2"/>
  <c r="P982" i="2"/>
  <c r="O982" i="2"/>
  <c r="T981" i="2"/>
  <c r="S981" i="2"/>
  <c r="R981" i="2"/>
  <c r="Q981" i="2"/>
  <c r="P981" i="2"/>
  <c r="O981" i="2"/>
  <c r="T980" i="2"/>
  <c r="S980" i="2"/>
  <c r="R980" i="2"/>
  <c r="Q980" i="2"/>
  <c r="P980" i="2"/>
  <c r="O980" i="2"/>
  <c r="T979" i="2"/>
  <c r="S979" i="2"/>
  <c r="R979" i="2"/>
  <c r="Q979" i="2"/>
  <c r="P979" i="2"/>
  <c r="O979" i="2"/>
  <c r="T978" i="2"/>
  <c r="S978" i="2"/>
  <c r="R978" i="2"/>
  <c r="Q978" i="2"/>
  <c r="P978" i="2"/>
  <c r="O978" i="2"/>
  <c r="T977" i="2"/>
  <c r="S977" i="2"/>
  <c r="R977" i="2"/>
  <c r="Q977" i="2"/>
  <c r="P977" i="2"/>
  <c r="O977" i="2"/>
  <c r="T976" i="2"/>
  <c r="S976" i="2"/>
  <c r="R976" i="2"/>
  <c r="Q976" i="2"/>
  <c r="P976" i="2"/>
  <c r="O976" i="2"/>
  <c r="T975" i="2"/>
  <c r="S975" i="2"/>
  <c r="R975" i="2"/>
  <c r="Q975" i="2"/>
  <c r="P975" i="2"/>
  <c r="O975" i="2"/>
  <c r="T974" i="2"/>
  <c r="S974" i="2"/>
  <c r="R974" i="2"/>
  <c r="Q974" i="2"/>
  <c r="P974" i="2"/>
  <c r="O974" i="2"/>
  <c r="T973" i="2"/>
  <c r="S973" i="2"/>
  <c r="R973" i="2"/>
  <c r="Q973" i="2"/>
  <c r="P973" i="2"/>
  <c r="O973" i="2"/>
  <c r="T972" i="2"/>
  <c r="S972" i="2"/>
  <c r="R972" i="2"/>
  <c r="Q972" i="2"/>
  <c r="P972" i="2"/>
  <c r="O972" i="2"/>
  <c r="T971" i="2"/>
  <c r="S971" i="2"/>
  <c r="R971" i="2"/>
  <c r="Q971" i="2"/>
  <c r="P971" i="2"/>
  <c r="O971" i="2"/>
  <c r="T970" i="2"/>
  <c r="S970" i="2"/>
  <c r="R970" i="2"/>
  <c r="Q970" i="2"/>
  <c r="P970" i="2"/>
  <c r="O970" i="2"/>
  <c r="T969" i="2"/>
  <c r="S969" i="2"/>
  <c r="R969" i="2"/>
  <c r="Q969" i="2"/>
  <c r="P969" i="2"/>
  <c r="O969" i="2"/>
  <c r="T968" i="2"/>
  <c r="S968" i="2"/>
  <c r="R968" i="2"/>
  <c r="Q968" i="2"/>
  <c r="P968" i="2"/>
  <c r="O968" i="2"/>
  <c r="T967" i="2"/>
  <c r="S967" i="2"/>
  <c r="R967" i="2"/>
  <c r="Q967" i="2"/>
  <c r="P967" i="2"/>
  <c r="O967" i="2"/>
  <c r="T966" i="2"/>
  <c r="S966" i="2"/>
  <c r="R966" i="2"/>
  <c r="Q966" i="2"/>
  <c r="P966" i="2"/>
  <c r="O966" i="2"/>
  <c r="T965" i="2"/>
  <c r="S965" i="2"/>
  <c r="R965" i="2"/>
  <c r="Q965" i="2"/>
  <c r="P965" i="2"/>
  <c r="O965" i="2"/>
  <c r="T964" i="2"/>
  <c r="S964" i="2"/>
  <c r="R964" i="2"/>
  <c r="Q964" i="2"/>
  <c r="P964" i="2"/>
  <c r="O964" i="2"/>
  <c r="T963" i="2"/>
  <c r="S963" i="2"/>
  <c r="R963" i="2"/>
  <c r="Q963" i="2"/>
  <c r="P963" i="2"/>
  <c r="O963" i="2"/>
  <c r="T962" i="2"/>
  <c r="S962" i="2"/>
  <c r="R962" i="2"/>
  <c r="Q962" i="2"/>
  <c r="P962" i="2"/>
  <c r="O962" i="2"/>
  <c r="T961" i="2"/>
  <c r="S961" i="2"/>
  <c r="R961" i="2"/>
  <c r="Q961" i="2"/>
  <c r="P961" i="2"/>
  <c r="O961" i="2"/>
  <c r="T960" i="2"/>
  <c r="S960" i="2"/>
  <c r="R960" i="2"/>
  <c r="Q960" i="2"/>
  <c r="P960" i="2"/>
  <c r="O960" i="2"/>
  <c r="T959" i="2"/>
  <c r="S959" i="2"/>
  <c r="R959" i="2"/>
  <c r="Q959" i="2"/>
  <c r="P959" i="2"/>
  <c r="O959" i="2"/>
  <c r="T958" i="2"/>
  <c r="S958" i="2"/>
  <c r="R958" i="2"/>
  <c r="Q958" i="2"/>
  <c r="P958" i="2"/>
  <c r="O958" i="2"/>
  <c r="T957" i="2"/>
  <c r="S957" i="2"/>
  <c r="R957" i="2"/>
  <c r="Q957" i="2"/>
  <c r="P957" i="2"/>
  <c r="O957" i="2"/>
  <c r="T956" i="2"/>
  <c r="S956" i="2"/>
  <c r="R956" i="2"/>
  <c r="Q956" i="2"/>
  <c r="P956" i="2"/>
  <c r="O956" i="2"/>
  <c r="T955" i="2"/>
  <c r="S955" i="2"/>
  <c r="R955" i="2"/>
  <c r="Q955" i="2"/>
  <c r="P955" i="2"/>
  <c r="O955" i="2"/>
  <c r="T954" i="2"/>
  <c r="S954" i="2"/>
  <c r="R954" i="2"/>
  <c r="Q954" i="2"/>
  <c r="P954" i="2"/>
  <c r="O954" i="2"/>
  <c r="T953" i="2"/>
  <c r="S953" i="2"/>
  <c r="R953" i="2"/>
  <c r="Q953" i="2"/>
  <c r="P953" i="2"/>
  <c r="O953" i="2"/>
  <c r="T952" i="2"/>
  <c r="S952" i="2"/>
  <c r="R952" i="2"/>
  <c r="Q952" i="2"/>
  <c r="P952" i="2"/>
  <c r="O952" i="2"/>
  <c r="T951" i="2"/>
  <c r="S951" i="2"/>
  <c r="R951" i="2"/>
  <c r="Q951" i="2"/>
  <c r="P951" i="2"/>
  <c r="O951" i="2"/>
  <c r="T950" i="2"/>
  <c r="S950" i="2"/>
  <c r="R950" i="2"/>
  <c r="Q950" i="2"/>
  <c r="P950" i="2"/>
  <c r="O950" i="2"/>
  <c r="T949" i="2"/>
  <c r="S949" i="2"/>
  <c r="R949" i="2"/>
  <c r="Q949" i="2"/>
  <c r="P949" i="2"/>
  <c r="O949" i="2"/>
  <c r="T948" i="2"/>
  <c r="S948" i="2"/>
  <c r="R948" i="2"/>
  <c r="Q948" i="2"/>
  <c r="P948" i="2"/>
  <c r="O948" i="2"/>
  <c r="T947" i="2"/>
  <c r="S947" i="2"/>
  <c r="R947" i="2"/>
  <c r="Q947" i="2"/>
  <c r="P947" i="2"/>
  <c r="O947" i="2"/>
  <c r="T946" i="2"/>
  <c r="S946" i="2"/>
  <c r="R946" i="2"/>
  <c r="Q946" i="2"/>
  <c r="P946" i="2"/>
  <c r="O946" i="2"/>
  <c r="T945" i="2"/>
  <c r="S945" i="2"/>
  <c r="R945" i="2"/>
  <c r="Q945" i="2"/>
  <c r="P945" i="2"/>
  <c r="O945" i="2"/>
  <c r="T944" i="2"/>
  <c r="S944" i="2"/>
  <c r="R944" i="2"/>
  <c r="Q944" i="2"/>
  <c r="P944" i="2"/>
  <c r="O944" i="2"/>
  <c r="T943" i="2"/>
  <c r="S943" i="2"/>
  <c r="R943" i="2"/>
  <c r="Q943" i="2"/>
  <c r="P943" i="2"/>
  <c r="O943" i="2"/>
  <c r="T942" i="2"/>
  <c r="S942" i="2"/>
  <c r="R942" i="2"/>
  <c r="Q942" i="2"/>
  <c r="P942" i="2"/>
  <c r="O942" i="2"/>
  <c r="T941" i="2"/>
  <c r="S941" i="2"/>
  <c r="R941" i="2"/>
  <c r="Q941" i="2"/>
  <c r="P941" i="2"/>
  <c r="O941" i="2"/>
  <c r="T940" i="2"/>
  <c r="S940" i="2"/>
  <c r="R940" i="2"/>
  <c r="Q940" i="2"/>
  <c r="P940" i="2"/>
  <c r="O940" i="2"/>
  <c r="T939" i="2"/>
  <c r="S939" i="2"/>
  <c r="R939" i="2"/>
  <c r="Q939" i="2"/>
  <c r="P939" i="2"/>
  <c r="O939" i="2"/>
  <c r="T938" i="2"/>
  <c r="S938" i="2"/>
  <c r="R938" i="2"/>
  <c r="Q938" i="2"/>
  <c r="P938" i="2"/>
  <c r="O938" i="2"/>
  <c r="T937" i="2"/>
  <c r="S937" i="2"/>
  <c r="R937" i="2"/>
  <c r="Q937" i="2"/>
  <c r="P937" i="2"/>
  <c r="O937" i="2"/>
  <c r="T936" i="2"/>
  <c r="S936" i="2"/>
  <c r="R936" i="2"/>
  <c r="Q936" i="2"/>
  <c r="P936" i="2"/>
  <c r="O936" i="2"/>
  <c r="T935" i="2"/>
  <c r="S935" i="2"/>
  <c r="R935" i="2"/>
  <c r="Q935" i="2"/>
  <c r="P935" i="2"/>
  <c r="O935" i="2"/>
  <c r="T934" i="2"/>
  <c r="S934" i="2"/>
  <c r="R934" i="2"/>
  <c r="Q934" i="2"/>
  <c r="P934" i="2"/>
  <c r="O934" i="2"/>
  <c r="T933" i="2"/>
  <c r="S933" i="2"/>
  <c r="R933" i="2"/>
  <c r="Q933" i="2"/>
  <c r="P933" i="2"/>
  <c r="O933" i="2"/>
  <c r="T932" i="2"/>
  <c r="S932" i="2"/>
  <c r="R932" i="2"/>
  <c r="Q932" i="2"/>
  <c r="P932" i="2"/>
  <c r="O932" i="2"/>
  <c r="T931" i="2"/>
  <c r="S931" i="2"/>
  <c r="R931" i="2"/>
  <c r="Q931" i="2"/>
  <c r="P931" i="2"/>
  <c r="O931" i="2"/>
  <c r="T930" i="2"/>
  <c r="S930" i="2"/>
  <c r="R930" i="2"/>
  <c r="Q930" i="2"/>
  <c r="P930" i="2"/>
  <c r="O930" i="2"/>
  <c r="T929" i="2"/>
  <c r="S929" i="2"/>
  <c r="R929" i="2"/>
  <c r="Q929" i="2"/>
  <c r="P929" i="2"/>
  <c r="O929" i="2"/>
  <c r="T928" i="2"/>
  <c r="R928" i="2"/>
  <c r="Q928" i="2"/>
  <c r="P928" i="2"/>
  <c r="L928" i="2"/>
  <c r="O928" i="2" s="1"/>
  <c r="T927" i="2"/>
  <c r="R927" i="2"/>
  <c r="Q927" i="2"/>
  <c r="P927" i="2"/>
  <c r="L927" i="2"/>
  <c r="O927" i="2" s="1"/>
  <c r="T926" i="2"/>
  <c r="R926" i="2"/>
  <c r="Q926" i="2"/>
  <c r="P926" i="2"/>
  <c r="L926" i="2"/>
  <c r="O926" i="2" s="1"/>
  <c r="T925" i="2"/>
  <c r="R925" i="2"/>
  <c r="Q925" i="2"/>
  <c r="P925" i="2"/>
  <c r="L925" i="2"/>
  <c r="S925" i="2" s="1"/>
  <c r="T924" i="2"/>
  <c r="R924" i="2"/>
  <c r="Q924" i="2"/>
  <c r="P924" i="2"/>
  <c r="L924" i="2"/>
  <c r="S924" i="2" s="1"/>
  <c r="T923" i="2"/>
  <c r="R923" i="2"/>
  <c r="Q923" i="2"/>
  <c r="P923" i="2"/>
  <c r="L923" i="2"/>
  <c r="S923" i="2" s="1"/>
  <c r="T922" i="2"/>
  <c r="R922" i="2"/>
  <c r="Q922" i="2"/>
  <c r="P922" i="2"/>
  <c r="L922" i="2"/>
  <c r="S922" i="2" s="1"/>
  <c r="T921" i="2"/>
  <c r="R921" i="2"/>
  <c r="Q921" i="2"/>
  <c r="P921" i="2"/>
  <c r="L921" i="2"/>
  <c r="O921" i="2" s="1"/>
  <c r="T920" i="2"/>
  <c r="R920" i="2"/>
  <c r="Q920" i="2"/>
  <c r="P920" i="2"/>
  <c r="L920" i="2"/>
  <c r="O920" i="2" s="1"/>
  <c r="T919" i="2"/>
  <c r="R919" i="2"/>
  <c r="Q919" i="2"/>
  <c r="P919" i="2"/>
  <c r="L919" i="2"/>
  <c r="O919" i="2" s="1"/>
  <c r="T918" i="2"/>
  <c r="R918" i="2"/>
  <c r="Q918" i="2"/>
  <c r="P918" i="2"/>
  <c r="L918" i="2"/>
  <c r="S918" i="2" s="1"/>
  <c r="T917" i="2"/>
  <c r="R917" i="2"/>
  <c r="Q917" i="2"/>
  <c r="P917" i="2"/>
  <c r="L917" i="2"/>
  <c r="O917" i="2" s="1"/>
  <c r="T916" i="2"/>
  <c r="R916" i="2"/>
  <c r="Q916" i="2"/>
  <c r="P916" i="2"/>
  <c r="L916" i="2"/>
  <c r="S916" i="2" s="1"/>
  <c r="T915" i="2"/>
  <c r="R915" i="2"/>
  <c r="Q915" i="2"/>
  <c r="P915" i="2"/>
  <c r="L915" i="2"/>
  <c r="S915" i="2" s="1"/>
  <c r="T914" i="2"/>
  <c r="R914" i="2"/>
  <c r="Q914" i="2"/>
  <c r="P914" i="2"/>
  <c r="L914" i="2"/>
  <c r="O914" i="2" s="1"/>
  <c r="T913" i="2"/>
  <c r="R913" i="2"/>
  <c r="Q913" i="2"/>
  <c r="P913" i="2"/>
  <c r="L913" i="2"/>
  <c r="S913" i="2" s="1"/>
  <c r="T912" i="2"/>
  <c r="R912" i="2"/>
  <c r="Q912" i="2"/>
  <c r="P912" i="2"/>
  <c r="L912" i="2"/>
  <c r="S912" i="2" s="1"/>
  <c r="T911" i="2"/>
  <c r="R911" i="2"/>
  <c r="Q911" i="2"/>
  <c r="P911" i="2"/>
  <c r="L911" i="2"/>
  <c r="S911" i="2" s="1"/>
  <c r="T910" i="2"/>
  <c r="R910" i="2"/>
  <c r="Q910" i="2"/>
  <c r="P910" i="2"/>
  <c r="L910" i="2"/>
  <c r="O910" i="2" s="1"/>
  <c r="T909" i="2"/>
  <c r="R909" i="2"/>
  <c r="Q909" i="2"/>
  <c r="P909" i="2"/>
  <c r="L909" i="2"/>
  <c r="O909" i="2" s="1"/>
  <c r="T908" i="2"/>
  <c r="S908" i="2"/>
  <c r="R908" i="2"/>
  <c r="Q908" i="2"/>
  <c r="P908" i="2"/>
  <c r="O908" i="2"/>
  <c r="T907" i="2"/>
  <c r="S907" i="2"/>
  <c r="R907" i="2"/>
  <c r="Q907" i="2"/>
  <c r="P907" i="2"/>
  <c r="O907" i="2"/>
  <c r="T906" i="2"/>
  <c r="S906" i="2"/>
  <c r="R906" i="2"/>
  <c r="Q906" i="2"/>
  <c r="P906" i="2"/>
  <c r="O906" i="2"/>
  <c r="T905" i="2"/>
  <c r="S905" i="2"/>
  <c r="R905" i="2"/>
  <c r="Q905" i="2"/>
  <c r="P905" i="2"/>
  <c r="O905" i="2"/>
  <c r="T904" i="2"/>
  <c r="S904" i="2"/>
  <c r="R904" i="2"/>
  <c r="Q904" i="2"/>
  <c r="P904" i="2"/>
  <c r="O904" i="2"/>
  <c r="T903" i="2"/>
  <c r="S903" i="2"/>
  <c r="R903" i="2"/>
  <c r="Q903" i="2"/>
  <c r="P903" i="2"/>
  <c r="O903" i="2"/>
  <c r="T902" i="2"/>
  <c r="S902" i="2"/>
  <c r="R902" i="2"/>
  <c r="Q902" i="2"/>
  <c r="P902" i="2"/>
  <c r="O902" i="2"/>
  <c r="T901" i="2"/>
  <c r="S901" i="2"/>
  <c r="R901" i="2"/>
  <c r="Q901" i="2"/>
  <c r="P901" i="2"/>
  <c r="O901" i="2"/>
  <c r="T900" i="2"/>
  <c r="S900" i="2"/>
  <c r="R900" i="2"/>
  <c r="Q900" i="2"/>
  <c r="P900" i="2"/>
  <c r="O900" i="2"/>
  <c r="T899" i="2"/>
  <c r="S899" i="2"/>
  <c r="R899" i="2"/>
  <c r="Q899" i="2"/>
  <c r="P899" i="2"/>
  <c r="O899" i="2"/>
  <c r="T898" i="2"/>
  <c r="S898" i="2"/>
  <c r="R898" i="2"/>
  <c r="Q898" i="2"/>
  <c r="P898" i="2"/>
  <c r="O898" i="2"/>
  <c r="T897" i="2"/>
  <c r="S897" i="2"/>
  <c r="R897" i="2"/>
  <c r="Q897" i="2"/>
  <c r="P897" i="2"/>
  <c r="O897" i="2"/>
  <c r="T896" i="2"/>
  <c r="S896" i="2"/>
  <c r="R896" i="2"/>
  <c r="Q896" i="2"/>
  <c r="P896" i="2"/>
  <c r="O896" i="2"/>
  <c r="T895" i="2"/>
  <c r="S895" i="2"/>
  <c r="R895" i="2"/>
  <c r="Q895" i="2"/>
  <c r="P895" i="2"/>
  <c r="O895" i="2"/>
  <c r="T894" i="2"/>
  <c r="S894" i="2"/>
  <c r="R894" i="2"/>
  <c r="Q894" i="2"/>
  <c r="P894" i="2"/>
  <c r="O894" i="2"/>
  <c r="T893" i="2"/>
  <c r="S893" i="2"/>
  <c r="R893" i="2"/>
  <c r="Q893" i="2"/>
  <c r="P893" i="2"/>
  <c r="O893" i="2"/>
  <c r="T892" i="2"/>
  <c r="S892" i="2"/>
  <c r="R892" i="2"/>
  <c r="Q892" i="2"/>
  <c r="P892" i="2"/>
  <c r="O892" i="2"/>
  <c r="T891" i="2"/>
  <c r="S891" i="2"/>
  <c r="R891" i="2"/>
  <c r="Q891" i="2"/>
  <c r="P891" i="2"/>
  <c r="O891" i="2"/>
  <c r="T890" i="2"/>
  <c r="S890" i="2"/>
  <c r="R890" i="2"/>
  <c r="Q890" i="2"/>
  <c r="P890" i="2"/>
  <c r="O890" i="2"/>
  <c r="T889" i="2"/>
  <c r="S889" i="2"/>
  <c r="R889" i="2"/>
  <c r="Q889" i="2"/>
  <c r="P889" i="2"/>
  <c r="O889" i="2"/>
  <c r="T888" i="2"/>
  <c r="S888" i="2"/>
  <c r="R888" i="2"/>
  <c r="Q888" i="2"/>
  <c r="P888" i="2"/>
  <c r="O888" i="2"/>
  <c r="T887" i="2"/>
  <c r="S887" i="2"/>
  <c r="R887" i="2"/>
  <c r="Q887" i="2"/>
  <c r="P887" i="2"/>
  <c r="O887" i="2"/>
  <c r="T886" i="2"/>
  <c r="S886" i="2"/>
  <c r="R886" i="2"/>
  <c r="Q886" i="2"/>
  <c r="P886" i="2"/>
  <c r="O886" i="2"/>
  <c r="T885" i="2"/>
  <c r="S885" i="2"/>
  <c r="R885" i="2"/>
  <c r="Q885" i="2"/>
  <c r="P885" i="2"/>
  <c r="O885" i="2"/>
  <c r="T884" i="2"/>
  <c r="S884" i="2"/>
  <c r="R884" i="2"/>
  <c r="Q884" i="2"/>
  <c r="P884" i="2"/>
  <c r="O884" i="2"/>
  <c r="T883" i="2"/>
  <c r="S883" i="2"/>
  <c r="R883" i="2"/>
  <c r="Q883" i="2"/>
  <c r="P883" i="2"/>
  <c r="O883" i="2"/>
  <c r="T882" i="2"/>
  <c r="S882" i="2"/>
  <c r="R882" i="2"/>
  <c r="Q882" i="2"/>
  <c r="P882" i="2"/>
  <c r="O882" i="2"/>
  <c r="T881" i="2"/>
  <c r="S881" i="2"/>
  <c r="R881" i="2"/>
  <c r="Q881" i="2"/>
  <c r="P881" i="2"/>
  <c r="O881" i="2"/>
  <c r="T880" i="2"/>
  <c r="S880" i="2"/>
  <c r="R880" i="2"/>
  <c r="Q880" i="2"/>
  <c r="P880" i="2"/>
  <c r="O880" i="2"/>
  <c r="T879" i="2"/>
  <c r="S879" i="2"/>
  <c r="R879" i="2"/>
  <c r="Q879" i="2"/>
  <c r="P879" i="2"/>
  <c r="O879" i="2"/>
  <c r="T878" i="2"/>
  <c r="S878" i="2"/>
  <c r="R878" i="2"/>
  <c r="Q878" i="2"/>
  <c r="P878" i="2"/>
  <c r="O878" i="2"/>
  <c r="T877" i="2"/>
  <c r="S877" i="2"/>
  <c r="R877" i="2"/>
  <c r="Q877" i="2"/>
  <c r="P877" i="2"/>
  <c r="O877" i="2"/>
  <c r="T876" i="2"/>
  <c r="S876" i="2"/>
  <c r="R876" i="2"/>
  <c r="Q876" i="2"/>
  <c r="P876" i="2"/>
  <c r="O876" i="2"/>
  <c r="T875" i="2"/>
  <c r="S875" i="2"/>
  <c r="R875" i="2"/>
  <c r="Q875" i="2"/>
  <c r="P875" i="2"/>
  <c r="O875" i="2"/>
  <c r="T874" i="2"/>
  <c r="S874" i="2"/>
  <c r="R874" i="2"/>
  <c r="Q874" i="2"/>
  <c r="P874" i="2"/>
  <c r="O874" i="2"/>
  <c r="T873" i="2"/>
  <c r="S873" i="2"/>
  <c r="R873" i="2"/>
  <c r="Q873" i="2"/>
  <c r="P873" i="2"/>
  <c r="O873" i="2"/>
  <c r="T872" i="2"/>
  <c r="S872" i="2"/>
  <c r="R872" i="2"/>
  <c r="Q872" i="2"/>
  <c r="P872" i="2"/>
  <c r="O872" i="2"/>
  <c r="T871" i="2"/>
  <c r="S871" i="2"/>
  <c r="R871" i="2"/>
  <c r="Q871" i="2"/>
  <c r="P871" i="2"/>
  <c r="O871" i="2"/>
  <c r="T870" i="2"/>
  <c r="S870" i="2"/>
  <c r="R870" i="2"/>
  <c r="Q870" i="2"/>
  <c r="P870" i="2"/>
  <c r="O870" i="2"/>
  <c r="T869" i="2"/>
  <c r="S869" i="2"/>
  <c r="R869" i="2"/>
  <c r="Q869" i="2"/>
  <c r="P869" i="2"/>
  <c r="O869" i="2"/>
  <c r="T868" i="2"/>
  <c r="S868" i="2"/>
  <c r="R868" i="2"/>
  <c r="Q868" i="2"/>
  <c r="P868" i="2"/>
  <c r="O868" i="2"/>
  <c r="T867" i="2"/>
  <c r="S867" i="2"/>
  <c r="R867" i="2"/>
  <c r="Q867" i="2"/>
  <c r="P867" i="2"/>
  <c r="O867" i="2"/>
  <c r="T866" i="2"/>
  <c r="S866" i="2"/>
  <c r="R866" i="2"/>
  <c r="Q866" i="2"/>
  <c r="P866" i="2"/>
  <c r="O866" i="2"/>
  <c r="T865" i="2"/>
  <c r="S865" i="2"/>
  <c r="R865" i="2"/>
  <c r="Q865" i="2"/>
  <c r="P865" i="2"/>
  <c r="O865" i="2"/>
  <c r="T864" i="2"/>
  <c r="S864" i="2"/>
  <c r="R864" i="2"/>
  <c r="Q864" i="2"/>
  <c r="P864" i="2"/>
  <c r="O864" i="2"/>
  <c r="T863" i="2"/>
  <c r="S863" i="2"/>
  <c r="R863" i="2"/>
  <c r="Q863" i="2"/>
  <c r="P863" i="2"/>
  <c r="O863" i="2"/>
  <c r="T862" i="2"/>
  <c r="S862" i="2"/>
  <c r="R862" i="2"/>
  <c r="Q862" i="2"/>
  <c r="P862" i="2"/>
  <c r="O862" i="2"/>
  <c r="T861" i="2"/>
  <c r="S861" i="2"/>
  <c r="R861" i="2"/>
  <c r="Q861" i="2"/>
  <c r="P861" i="2"/>
  <c r="O861" i="2"/>
  <c r="T860" i="2"/>
  <c r="S860" i="2"/>
  <c r="R860" i="2"/>
  <c r="Q860" i="2"/>
  <c r="P860" i="2"/>
  <c r="O860" i="2"/>
  <c r="T859" i="2"/>
  <c r="S859" i="2"/>
  <c r="R859" i="2"/>
  <c r="Q859" i="2"/>
  <c r="P859" i="2"/>
  <c r="O859" i="2"/>
  <c r="T858" i="2"/>
  <c r="S858" i="2"/>
  <c r="R858" i="2"/>
  <c r="Q858" i="2"/>
  <c r="P858" i="2"/>
  <c r="O858" i="2"/>
  <c r="T857" i="2"/>
  <c r="S857" i="2"/>
  <c r="R857" i="2"/>
  <c r="Q857" i="2"/>
  <c r="P857" i="2"/>
  <c r="O857" i="2"/>
  <c r="T856" i="2"/>
  <c r="S856" i="2"/>
  <c r="R856" i="2"/>
  <c r="Q856" i="2"/>
  <c r="P856" i="2"/>
  <c r="O856" i="2"/>
  <c r="T855" i="2"/>
  <c r="S855" i="2"/>
  <c r="R855" i="2"/>
  <c r="Q855" i="2"/>
  <c r="P855" i="2"/>
  <c r="O855" i="2"/>
  <c r="T854" i="2"/>
  <c r="S854" i="2"/>
  <c r="R854" i="2"/>
  <c r="Q854" i="2"/>
  <c r="P854" i="2"/>
  <c r="O854" i="2"/>
  <c r="T853" i="2"/>
  <c r="S853" i="2"/>
  <c r="R853" i="2"/>
  <c r="Q853" i="2"/>
  <c r="P853" i="2"/>
  <c r="O853" i="2"/>
  <c r="T852" i="2"/>
  <c r="S852" i="2"/>
  <c r="R852" i="2"/>
  <c r="Q852" i="2"/>
  <c r="P852" i="2"/>
  <c r="O852" i="2"/>
  <c r="T851" i="2"/>
  <c r="S851" i="2"/>
  <c r="R851" i="2"/>
  <c r="Q851" i="2"/>
  <c r="P851" i="2"/>
  <c r="O851" i="2"/>
  <c r="T850" i="2"/>
  <c r="S850" i="2"/>
  <c r="R850" i="2"/>
  <c r="Q850" i="2"/>
  <c r="P850" i="2"/>
  <c r="O850" i="2"/>
  <c r="T849" i="2"/>
  <c r="S849" i="2"/>
  <c r="R849" i="2"/>
  <c r="Q849" i="2"/>
  <c r="P849" i="2"/>
  <c r="O849" i="2"/>
  <c r="T848" i="2"/>
  <c r="S848" i="2"/>
  <c r="R848" i="2"/>
  <c r="Q848" i="2"/>
  <c r="P848" i="2"/>
  <c r="O848" i="2"/>
  <c r="T847" i="2"/>
  <c r="S847" i="2"/>
  <c r="R847" i="2"/>
  <c r="Q847" i="2"/>
  <c r="P847" i="2"/>
  <c r="O847" i="2"/>
  <c r="T846" i="2"/>
  <c r="S846" i="2"/>
  <c r="R846" i="2"/>
  <c r="Q846" i="2"/>
  <c r="P846" i="2"/>
  <c r="O846" i="2"/>
  <c r="T845" i="2"/>
  <c r="S845" i="2"/>
  <c r="R845" i="2"/>
  <c r="Q845" i="2"/>
  <c r="P845" i="2"/>
  <c r="O845" i="2"/>
  <c r="T844" i="2"/>
  <c r="S844" i="2"/>
  <c r="R844" i="2"/>
  <c r="Q844" i="2"/>
  <c r="P844" i="2"/>
  <c r="O844" i="2"/>
  <c r="T843" i="2"/>
  <c r="S843" i="2"/>
  <c r="R843" i="2"/>
  <c r="Q843" i="2"/>
  <c r="P843" i="2"/>
  <c r="O843" i="2"/>
  <c r="T842" i="2"/>
  <c r="S842" i="2"/>
  <c r="R842" i="2"/>
  <c r="Q842" i="2"/>
  <c r="P842" i="2"/>
  <c r="O842" i="2"/>
  <c r="T841" i="2"/>
  <c r="S841" i="2"/>
  <c r="R841" i="2"/>
  <c r="Q841" i="2"/>
  <c r="P841" i="2"/>
  <c r="O841" i="2"/>
  <c r="T840" i="2"/>
  <c r="S840" i="2"/>
  <c r="R840" i="2"/>
  <c r="Q840" i="2"/>
  <c r="P840" i="2"/>
  <c r="O840" i="2"/>
  <c r="T839" i="2"/>
  <c r="S839" i="2"/>
  <c r="R839" i="2"/>
  <c r="Q839" i="2"/>
  <c r="P839" i="2"/>
  <c r="O839" i="2"/>
  <c r="T838" i="2"/>
  <c r="S838" i="2"/>
  <c r="R838" i="2"/>
  <c r="Q838" i="2"/>
  <c r="P838" i="2"/>
  <c r="O838" i="2"/>
  <c r="T837" i="2"/>
  <c r="S837" i="2"/>
  <c r="R837" i="2"/>
  <c r="Q837" i="2"/>
  <c r="P837" i="2"/>
  <c r="O837" i="2"/>
  <c r="T836" i="2"/>
  <c r="S836" i="2"/>
  <c r="R836" i="2"/>
  <c r="Q836" i="2"/>
  <c r="P836" i="2"/>
  <c r="O836" i="2"/>
  <c r="T835" i="2"/>
  <c r="S835" i="2"/>
  <c r="R835" i="2"/>
  <c r="Q835" i="2"/>
  <c r="P835" i="2"/>
  <c r="O835" i="2"/>
  <c r="T834" i="2"/>
  <c r="S834" i="2"/>
  <c r="R834" i="2"/>
  <c r="Q834" i="2"/>
  <c r="P834" i="2"/>
  <c r="O834" i="2"/>
  <c r="T833" i="2"/>
  <c r="S833" i="2"/>
  <c r="R833" i="2"/>
  <c r="Q833" i="2"/>
  <c r="P833" i="2"/>
  <c r="O833" i="2"/>
  <c r="T832" i="2"/>
  <c r="S832" i="2"/>
  <c r="R832" i="2"/>
  <c r="Q832" i="2"/>
  <c r="P832" i="2"/>
  <c r="O832" i="2"/>
  <c r="T831" i="2"/>
  <c r="S831" i="2"/>
  <c r="R831" i="2"/>
  <c r="Q831" i="2"/>
  <c r="P831" i="2"/>
  <c r="O831" i="2"/>
  <c r="T830" i="2"/>
  <c r="S830" i="2"/>
  <c r="R830" i="2"/>
  <c r="Q830" i="2"/>
  <c r="P830" i="2"/>
  <c r="O830" i="2"/>
  <c r="T829" i="2"/>
  <c r="S829" i="2"/>
  <c r="R829" i="2"/>
  <c r="Q829" i="2"/>
  <c r="P829" i="2"/>
  <c r="O829" i="2"/>
  <c r="T828" i="2"/>
  <c r="S828" i="2"/>
  <c r="R828" i="2"/>
  <c r="Q828" i="2"/>
  <c r="P828" i="2"/>
  <c r="O828" i="2"/>
  <c r="T827" i="2"/>
  <c r="S827" i="2"/>
  <c r="R827" i="2"/>
  <c r="Q827" i="2"/>
  <c r="P827" i="2"/>
  <c r="O827" i="2"/>
  <c r="T826" i="2"/>
  <c r="S826" i="2"/>
  <c r="R826" i="2"/>
  <c r="Q826" i="2"/>
  <c r="P826" i="2"/>
  <c r="O826" i="2"/>
  <c r="T825" i="2"/>
  <c r="S825" i="2"/>
  <c r="R825" i="2"/>
  <c r="Q825" i="2"/>
  <c r="P825" i="2"/>
  <c r="O825" i="2"/>
  <c r="T824" i="2"/>
  <c r="S824" i="2"/>
  <c r="R824" i="2"/>
  <c r="Q824" i="2"/>
  <c r="P824" i="2"/>
  <c r="O824" i="2"/>
  <c r="T823" i="2"/>
  <c r="S823" i="2"/>
  <c r="R823" i="2"/>
  <c r="Q823" i="2"/>
  <c r="P823" i="2"/>
  <c r="O823" i="2"/>
  <c r="T822" i="2"/>
  <c r="S822" i="2"/>
  <c r="R822" i="2"/>
  <c r="Q822" i="2"/>
  <c r="P822" i="2"/>
  <c r="O822" i="2"/>
  <c r="T821" i="2"/>
  <c r="S821" i="2"/>
  <c r="R821" i="2"/>
  <c r="Q821" i="2"/>
  <c r="P821" i="2"/>
  <c r="O821" i="2"/>
  <c r="T820" i="2"/>
  <c r="S820" i="2"/>
  <c r="R820" i="2"/>
  <c r="Q820" i="2"/>
  <c r="P820" i="2"/>
  <c r="O820" i="2"/>
  <c r="T819" i="2"/>
  <c r="S819" i="2"/>
  <c r="R819" i="2"/>
  <c r="Q819" i="2"/>
  <c r="P819" i="2"/>
  <c r="O819" i="2"/>
  <c r="T818" i="2"/>
  <c r="S818" i="2"/>
  <c r="R818" i="2"/>
  <c r="Q818" i="2"/>
  <c r="P818" i="2"/>
  <c r="O818" i="2"/>
  <c r="T817" i="2"/>
  <c r="S817" i="2"/>
  <c r="R817" i="2"/>
  <c r="Q817" i="2"/>
  <c r="P817" i="2"/>
  <c r="O817" i="2"/>
  <c r="T816" i="2"/>
  <c r="S816" i="2"/>
  <c r="R816" i="2"/>
  <c r="Q816" i="2"/>
  <c r="P816" i="2"/>
  <c r="O816" i="2"/>
  <c r="T815" i="2"/>
  <c r="S815" i="2"/>
  <c r="R815" i="2"/>
  <c r="Q815" i="2"/>
  <c r="P815" i="2"/>
  <c r="O815" i="2"/>
  <c r="T814" i="2"/>
  <c r="S814" i="2"/>
  <c r="R814" i="2"/>
  <c r="Q814" i="2"/>
  <c r="P814" i="2"/>
  <c r="O814" i="2"/>
  <c r="T813" i="2"/>
  <c r="S813" i="2"/>
  <c r="R813" i="2"/>
  <c r="Q813" i="2"/>
  <c r="P813" i="2"/>
  <c r="O813" i="2"/>
  <c r="T812" i="2"/>
  <c r="S812" i="2"/>
  <c r="R812" i="2"/>
  <c r="Q812" i="2"/>
  <c r="P812" i="2"/>
  <c r="O812" i="2"/>
  <c r="T811" i="2"/>
  <c r="S811" i="2"/>
  <c r="R811" i="2"/>
  <c r="Q811" i="2"/>
  <c r="P811" i="2"/>
  <c r="O811" i="2"/>
  <c r="T810" i="2"/>
  <c r="S810" i="2"/>
  <c r="R810" i="2"/>
  <c r="Q810" i="2"/>
  <c r="P810" i="2"/>
  <c r="O810" i="2"/>
  <c r="T809" i="2"/>
  <c r="S809" i="2"/>
  <c r="R809" i="2"/>
  <c r="Q809" i="2"/>
  <c r="P809" i="2"/>
  <c r="O809" i="2"/>
  <c r="T808" i="2"/>
  <c r="S808" i="2"/>
  <c r="R808" i="2"/>
  <c r="Q808" i="2"/>
  <c r="P808" i="2"/>
  <c r="O808" i="2"/>
  <c r="T807" i="2"/>
  <c r="S807" i="2"/>
  <c r="R807" i="2"/>
  <c r="Q807" i="2"/>
  <c r="P807" i="2"/>
  <c r="O807" i="2"/>
  <c r="T806" i="2"/>
  <c r="S806" i="2"/>
  <c r="R806" i="2"/>
  <c r="Q806" i="2"/>
  <c r="P806" i="2"/>
  <c r="O806" i="2"/>
  <c r="T805" i="2"/>
  <c r="S805" i="2"/>
  <c r="R805" i="2"/>
  <c r="Q805" i="2"/>
  <c r="P805" i="2"/>
  <c r="O805" i="2"/>
  <c r="T804" i="2"/>
  <c r="S804" i="2"/>
  <c r="R804" i="2"/>
  <c r="Q804" i="2"/>
  <c r="P804" i="2"/>
  <c r="O804" i="2"/>
  <c r="T803" i="2"/>
  <c r="S803" i="2"/>
  <c r="R803" i="2"/>
  <c r="Q803" i="2"/>
  <c r="P803" i="2"/>
  <c r="O803" i="2"/>
  <c r="T802" i="2"/>
  <c r="S802" i="2"/>
  <c r="R802" i="2"/>
  <c r="Q802" i="2"/>
  <c r="P802" i="2"/>
  <c r="O802" i="2"/>
  <c r="T801" i="2"/>
  <c r="S801" i="2"/>
  <c r="R801" i="2"/>
  <c r="Q801" i="2"/>
  <c r="P801" i="2"/>
  <c r="O801" i="2"/>
  <c r="T800" i="2"/>
  <c r="S800" i="2"/>
  <c r="R800" i="2"/>
  <c r="Q800" i="2"/>
  <c r="P800" i="2"/>
  <c r="O800" i="2"/>
  <c r="T799" i="2"/>
  <c r="S799" i="2"/>
  <c r="R799" i="2"/>
  <c r="Q799" i="2"/>
  <c r="P799" i="2"/>
  <c r="O799" i="2"/>
  <c r="T798" i="2"/>
  <c r="S798" i="2"/>
  <c r="R798" i="2"/>
  <c r="Q798" i="2"/>
  <c r="P798" i="2"/>
  <c r="O798" i="2"/>
  <c r="T797" i="2"/>
  <c r="S797" i="2"/>
  <c r="R797" i="2"/>
  <c r="Q797" i="2"/>
  <c r="P797" i="2"/>
  <c r="O797" i="2"/>
  <c r="T796" i="2"/>
  <c r="S796" i="2"/>
  <c r="R796" i="2"/>
  <c r="Q796" i="2"/>
  <c r="P796" i="2"/>
  <c r="O796" i="2"/>
  <c r="T795" i="2"/>
  <c r="S795" i="2"/>
  <c r="R795" i="2"/>
  <c r="Q795" i="2"/>
  <c r="P795" i="2"/>
  <c r="O795" i="2"/>
  <c r="T794" i="2"/>
  <c r="S794" i="2"/>
  <c r="R794" i="2"/>
  <c r="Q794" i="2"/>
  <c r="P794" i="2"/>
  <c r="O794" i="2"/>
  <c r="T793" i="2"/>
  <c r="S793" i="2"/>
  <c r="R793" i="2"/>
  <c r="Q793" i="2"/>
  <c r="P793" i="2"/>
  <c r="O793" i="2"/>
  <c r="T792" i="2"/>
  <c r="S792" i="2"/>
  <c r="R792" i="2"/>
  <c r="Q792" i="2"/>
  <c r="P792" i="2"/>
  <c r="O792" i="2"/>
  <c r="T791" i="2"/>
  <c r="S791" i="2"/>
  <c r="R791" i="2"/>
  <c r="Q791" i="2"/>
  <c r="P791" i="2"/>
  <c r="O791" i="2"/>
  <c r="T790" i="2"/>
  <c r="S790" i="2"/>
  <c r="R790" i="2"/>
  <c r="Q790" i="2"/>
  <c r="P790" i="2"/>
  <c r="O790" i="2"/>
  <c r="T789" i="2"/>
  <c r="S789" i="2"/>
  <c r="R789" i="2"/>
  <c r="Q789" i="2"/>
  <c r="P789" i="2"/>
  <c r="O789" i="2"/>
  <c r="T788" i="2"/>
  <c r="S788" i="2"/>
  <c r="R788" i="2"/>
  <c r="Q788" i="2"/>
  <c r="P788" i="2"/>
  <c r="O788" i="2"/>
  <c r="T787" i="2"/>
  <c r="S787" i="2"/>
  <c r="R787" i="2"/>
  <c r="Q787" i="2"/>
  <c r="P787" i="2"/>
  <c r="O787" i="2"/>
  <c r="T786" i="2"/>
  <c r="S786" i="2"/>
  <c r="R786" i="2"/>
  <c r="Q786" i="2"/>
  <c r="P786" i="2"/>
  <c r="O786" i="2"/>
  <c r="T785" i="2"/>
  <c r="S785" i="2"/>
  <c r="R785" i="2"/>
  <c r="Q785" i="2"/>
  <c r="P785" i="2"/>
  <c r="O785" i="2"/>
  <c r="T784" i="2"/>
  <c r="S784" i="2"/>
  <c r="R784" i="2"/>
  <c r="Q784" i="2"/>
  <c r="P784" i="2"/>
  <c r="O784" i="2"/>
  <c r="T783" i="2"/>
  <c r="S783" i="2"/>
  <c r="R783" i="2"/>
  <c r="Q783" i="2"/>
  <c r="P783" i="2"/>
  <c r="O783" i="2"/>
  <c r="T782" i="2"/>
  <c r="S782" i="2"/>
  <c r="R782" i="2"/>
  <c r="Q782" i="2"/>
  <c r="P782" i="2"/>
  <c r="O782" i="2"/>
  <c r="T781" i="2"/>
  <c r="S781" i="2"/>
  <c r="R781" i="2"/>
  <c r="Q781" i="2"/>
  <c r="P781" i="2"/>
  <c r="O781" i="2"/>
  <c r="T780" i="2"/>
  <c r="S780" i="2"/>
  <c r="R780" i="2"/>
  <c r="Q780" i="2"/>
  <c r="P780" i="2"/>
  <c r="O780" i="2"/>
  <c r="T779" i="2"/>
  <c r="S779" i="2"/>
  <c r="R779" i="2"/>
  <c r="Q779" i="2"/>
  <c r="P779" i="2"/>
  <c r="O779" i="2"/>
  <c r="T778" i="2"/>
  <c r="S778" i="2"/>
  <c r="R778" i="2"/>
  <c r="Q778" i="2"/>
  <c r="P778" i="2"/>
  <c r="O778" i="2"/>
  <c r="T777" i="2"/>
  <c r="S777" i="2"/>
  <c r="R777" i="2"/>
  <c r="Q777" i="2"/>
  <c r="P777" i="2"/>
  <c r="O777" i="2"/>
  <c r="T776" i="2"/>
  <c r="S776" i="2"/>
  <c r="R776" i="2"/>
  <c r="Q776" i="2"/>
  <c r="P776" i="2"/>
  <c r="O776" i="2"/>
  <c r="T775" i="2"/>
  <c r="S775" i="2"/>
  <c r="R775" i="2"/>
  <c r="Q775" i="2"/>
  <c r="P775" i="2"/>
  <c r="O775" i="2"/>
  <c r="T774" i="2"/>
  <c r="S774" i="2"/>
  <c r="R774" i="2"/>
  <c r="Q774" i="2"/>
  <c r="P774" i="2"/>
  <c r="O774" i="2"/>
  <c r="T773" i="2"/>
  <c r="S773" i="2"/>
  <c r="R773" i="2"/>
  <c r="Q773" i="2"/>
  <c r="P773" i="2"/>
  <c r="O773" i="2"/>
  <c r="T772" i="2"/>
  <c r="S772" i="2"/>
  <c r="R772" i="2"/>
  <c r="Q772" i="2"/>
  <c r="P772" i="2"/>
  <c r="O772" i="2"/>
  <c r="T771" i="2"/>
  <c r="S771" i="2"/>
  <c r="R771" i="2"/>
  <c r="Q771" i="2"/>
  <c r="P771" i="2"/>
  <c r="O771" i="2"/>
  <c r="T770" i="2"/>
  <c r="S770" i="2"/>
  <c r="R770" i="2"/>
  <c r="Q770" i="2"/>
  <c r="P770" i="2"/>
  <c r="O770" i="2"/>
  <c r="T769" i="2"/>
  <c r="S769" i="2"/>
  <c r="R769" i="2"/>
  <c r="Q769" i="2"/>
  <c r="P769" i="2"/>
  <c r="O769" i="2"/>
  <c r="T768" i="2"/>
  <c r="S768" i="2"/>
  <c r="R768" i="2"/>
  <c r="Q768" i="2"/>
  <c r="P768" i="2"/>
  <c r="O768" i="2"/>
  <c r="T767" i="2"/>
  <c r="S767" i="2"/>
  <c r="R767" i="2"/>
  <c r="Q767" i="2"/>
  <c r="P767" i="2"/>
  <c r="O767" i="2"/>
  <c r="T766" i="2"/>
  <c r="S766" i="2"/>
  <c r="R766" i="2"/>
  <c r="Q766" i="2"/>
  <c r="P766" i="2"/>
  <c r="O766" i="2"/>
  <c r="T765" i="2"/>
  <c r="S765" i="2"/>
  <c r="R765" i="2"/>
  <c r="Q765" i="2"/>
  <c r="P765" i="2"/>
  <c r="O765" i="2"/>
  <c r="T764" i="2"/>
  <c r="S764" i="2"/>
  <c r="R764" i="2"/>
  <c r="Q764" i="2"/>
  <c r="P764" i="2"/>
  <c r="O764" i="2"/>
  <c r="T763" i="2"/>
  <c r="S763" i="2"/>
  <c r="R763" i="2"/>
  <c r="Q763" i="2"/>
  <c r="P763" i="2"/>
  <c r="O763" i="2"/>
  <c r="T762" i="2"/>
  <c r="S762" i="2"/>
  <c r="R762" i="2"/>
  <c r="Q762" i="2"/>
  <c r="P762" i="2"/>
  <c r="O762" i="2"/>
  <c r="T761" i="2"/>
  <c r="S761" i="2"/>
  <c r="R761" i="2"/>
  <c r="Q761" i="2"/>
  <c r="P761" i="2"/>
  <c r="O761" i="2"/>
  <c r="T760" i="2"/>
  <c r="S760" i="2"/>
  <c r="R760" i="2"/>
  <c r="Q760" i="2"/>
  <c r="P760" i="2"/>
  <c r="O760" i="2"/>
  <c r="T759" i="2"/>
  <c r="S759" i="2"/>
  <c r="R759" i="2"/>
  <c r="Q759" i="2"/>
  <c r="P759" i="2"/>
  <c r="O759" i="2"/>
  <c r="T758" i="2"/>
  <c r="S758" i="2"/>
  <c r="R758" i="2"/>
  <c r="Q758" i="2"/>
  <c r="P758" i="2"/>
  <c r="O758" i="2"/>
  <c r="T757" i="2"/>
  <c r="S757" i="2"/>
  <c r="R757" i="2"/>
  <c r="Q757" i="2"/>
  <c r="P757" i="2"/>
  <c r="O757" i="2"/>
  <c r="T756" i="2"/>
  <c r="S756" i="2"/>
  <c r="R756" i="2"/>
  <c r="Q756" i="2"/>
  <c r="P756" i="2"/>
  <c r="O756" i="2"/>
  <c r="T755" i="2"/>
  <c r="S755" i="2"/>
  <c r="R755" i="2"/>
  <c r="Q755" i="2"/>
  <c r="P755" i="2"/>
  <c r="O755" i="2"/>
  <c r="T754" i="2"/>
  <c r="S754" i="2"/>
  <c r="R754" i="2"/>
  <c r="Q754" i="2"/>
  <c r="P754" i="2"/>
  <c r="O754" i="2"/>
  <c r="T753" i="2"/>
  <c r="S753" i="2"/>
  <c r="R753" i="2"/>
  <c r="Q753" i="2"/>
  <c r="P753" i="2"/>
  <c r="O753" i="2"/>
  <c r="T752" i="2"/>
  <c r="S752" i="2"/>
  <c r="R752" i="2"/>
  <c r="Q752" i="2"/>
  <c r="P752" i="2"/>
  <c r="O752" i="2"/>
  <c r="T751" i="2"/>
  <c r="S751" i="2"/>
  <c r="R751" i="2"/>
  <c r="Q751" i="2"/>
  <c r="P751" i="2"/>
  <c r="O751" i="2"/>
  <c r="T750" i="2"/>
  <c r="S750" i="2"/>
  <c r="R750" i="2"/>
  <c r="Q750" i="2"/>
  <c r="P750" i="2"/>
  <c r="O750" i="2"/>
  <c r="T749" i="2"/>
  <c r="S749" i="2"/>
  <c r="R749" i="2"/>
  <c r="Q749" i="2"/>
  <c r="P749" i="2"/>
  <c r="O749" i="2"/>
  <c r="T748" i="2"/>
  <c r="S748" i="2"/>
  <c r="R748" i="2"/>
  <c r="Q748" i="2"/>
  <c r="P748" i="2"/>
  <c r="O748" i="2"/>
  <c r="T747" i="2"/>
  <c r="S747" i="2"/>
  <c r="R747" i="2"/>
  <c r="Q747" i="2"/>
  <c r="P747" i="2"/>
  <c r="O747" i="2"/>
  <c r="T746" i="2"/>
  <c r="S746" i="2"/>
  <c r="R746" i="2"/>
  <c r="Q746" i="2"/>
  <c r="P746" i="2"/>
  <c r="O746" i="2"/>
  <c r="T745" i="2"/>
  <c r="S745" i="2"/>
  <c r="R745" i="2"/>
  <c r="Q745" i="2"/>
  <c r="P745" i="2"/>
  <c r="O745" i="2"/>
  <c r="T744" i="2"/>
  <c r="S744" i="2"/>
  <c r="R744" i="2"/>
  <c r="Q744" i="2"/>
  <c r="P744" i="2"/>
  <c r="O744" i="2"/>
  <c r="T743" i="2"/>
  <c r="S743" i="2"/>
  <c r="R743" i="2"/>
  <c r="Q743" i="2"/>
  <c r="P743" i="2"/>
  <c r="O743" i="2"/>
  <c r="T742" i="2"/>
  <c r="S742" i="2"/>
  <c r="R742" i="2"/>
  <c r="Q742" i="2"/>
  <c r="P742" i="2"/>
  <c r="O742" i="2"/>
  <c r="T741" i="2"/>
  <c r="S741" i="2"/>
  <c r="R741" i="2"/>
  <c r="Q741" i="2"/>
  <c r="P741" i="2"/>
  <c r="O741" i="2"/>
  <c r="T740" i="2"/>
  <c r="S740" i="2"/>
  <c r="R740" i="2"/>
  <c r="Q740" i="2"/>
  <c r="P740" i="2"/>
  <c r="O740" i="2"/>
  <c r="T739" i="2"/>
  <c r="S739" i="2"/>
  <c r="R739" i="2"/>
  <c r="Q739" i="2"/>
  <c r="P739" i="2"/>
  <c r="O739" i="2"/>
  <c r="T738" i="2"/>
  <c r="S738" i="2"/>
  <c r="R738" i="2"/>
  <c r="Q738" i="2"/>
  <c r="P738" i="2"/>
  <c r="O738" i="2"/>
  <c r="T737" i="2"/>
  <c r="S737" i="2"/>
  <c r="R737" i="2"/>
  <c r="Q737" i="2"/>
  <c r="P737" i="2"/>
  <c r="O737" i="2"/>
  <c r="T736" i="2"/>
  <c r="S736" i="2"/>
  <c r="R736" i="2"/>
  <c r="Q736" i="2"/>
  <c r="P736" i="2"/>
  <c r="O736" i="2"/>
  <c r="T735" i="2"/>
  <c r="S735" i="2"/>
  <c r="R735" i="2"/>
  <c r="Q735" i="2"/>
  <c r="P735" i="2"/>
  <c r="O735" i="2"/>
  <c r="T734" i="2"/>
  <c r="S734" i="2"/>
  <c r="R734" i="2"/>
  <c r="Q734" i="2"/>
  <c r="P734" i="2"/>
  <c r="O734" i="2"/>
  <c r="T733" i="2"/>
  <c r="S733" i="2"/>
  <c r="R733" i="2"/>
  <c r="Q733" i="2"/>
  <c r="P733" i="2"/>
  <c r="O733" i="2"/>
  <c r="T732" i="2"/>
  <c r="S732" i="2"/>
  <c r="R732" i="2"/>
  <c r="Q732" i="2"/>
  <c r="P732" i="2"/>
  <c r="O732" i="2"/>
  <c r="T731" i="2"/>
  <c r="S731" i="2"/>
  <c r="R731" i="2"/>
  <c r="Q731" i="2"/>
  <c r="P731" i="2"/>
  <c r="O731" i="2"/>
  <c r="T730" i="2"/>
  <c r="S730" i="2"/>
  <c r="R730" i="2"/>
  <c r="Q730" i="2"/>
  <c r="P730" i="2"/>
  <c r="O730" i="2"/>
  <c r="T729" i="2"/>
  <c r="S729" i="2"/>
  <c r="R729" i="2"/>
  <c r="Q729" i="2"/>
  <c r="P729" i="2"/>
  <c r="O729" i="2"/>
  <c r="T728" i="2"/>
  <c r="S728" i="2"/>
  <c r="R728" i="2"/>
  <c r="Q728" i="2"/>
  <c r="P728" i="2"/>
  <c r="O728" i="2"/>
  <c r="T727" i="2"/>
  <c r="S727" i="2"/>
  <c r="R727" i="2"/>
  <c r="Q727" i="2"/>
  <c r="P727" i="2"/>
  <c r="O727" i="2"/>
  <c r="T726" i="2"/>
  <c r="S726" i="2"/>
  <c r="R726" i="2"/>
  <c r="Q726" i="2"/>
  <c r="P726" i="2"/>
  <c r="O726" i="2"/>
  <c r="T725" i="2"/>
  <c r="S725" i="2"/>
  <c r="R725" i="2"/>
  <c r="Q725" i="2"/>
  <c r="P725" i="2"/>
  <c r="O725" i="2"/>
  <c r="T724" i="2"/>
  <c r="S724" i="2"/>
  <c r="R724" i="2"/>
  <c r="Q724" i="2"/>
  <c r="P724" i="2"/>
  <c r="O724" i="2"/>
  <c r="T723" i="2"/>
  <c r="S723" i="2"/>
  <c r="R723" i="2"/>
  <c r="Q723" i="2"/>
  <c r="P723" i="2"/>
  <c r="O723" i="2"/>
  <c r="T722" i="2"/>
  <c r="S722" i="2"/>
  <c r="R722" i="2"/>
  <c r="Q722" i="2"/>
  <c r="P722" i="2"/>
  <c r="O722" i="2"/>
  <c r="T721" i="2"/>
  <c r="S721" i="2"/>
  <c r="R721" i="2"/>
  <c r="Q721" i="2"/>
  <c r="P721" i="2"/>
  <c r="O721" i="2"/>
  <c r="T720" i="2"/>
  <c r="S720" i="2"/>
  <c r="R720" i="2"/>
  <c r="Q720" i="2"/>
  <c r="P720" i="2"/>
  <c r="O720" i="2"/>
  <c r="T719" i="2"/>
  <c r="S719" i="2"/>
  <c r="R719" i="2"/>
  <c r="Q719" i="2"/>
  <c r="P719" i="2"/>
  <c r="O719" i="2"/>
  <c r="T718" i="2"/>
  <c r="S718" i="2"/>
  <c r="R718" i="2"/>
  <c r="Q718" i="2"/>
  <c r="P718" i="2"/>
  <c r="O718" i="2"/>
  <c r="T717" i="2"/>
  <c r="S717" i="2"/>
  <c r="R717" i="2"/>
  <c r="Q717" i="2"/>
  <c r="P717" i="2"/>
  <c r="O717" i="2"/>
  <c r="T716" i="2"/>
  <c r="S716" i="2"/>
  <c r="R716" i="2"/>
  <c r="Q716" i="2"/>
  <c r="P716" i="2"/>
  <c r="O716" i="2"/>
  <c r="T715" i="2"/>
  <c r="S715" i="2"/>
  <c r="R715" i="2"/>
  <c r="Q715" i="2"/>
  <c r="P715" i="2"/>
  <c r="O715" i="2"/>
  <c r="T714" i="2"/>
  <c r="S714" i="2"/>
  <c r="R714" i="2"/>
  <c r="Q714" i="2"/>
  <c r="P714" i="2"/>
  <c r="O714" i="2"/>
  <c r="T713" i="2"/>
  <c r="S713" i="2"/>
  <c r="R713" i="2"/>
  <c r="Q713" i="2"/>
  <c r="P713" i="2"/>
  <c r="O713" i="2"/>
  <c r="T712" i="2"/>
  <c r="S712" i="2"/>
  <c r="R712" i="2"/>
  <c r="Q712" i="2"/>
  <c r="P712" i="2"/>
  <c r="O712" i="2"/>
  <c r="T711" i="2"/>
  <c r="S711" i="2"/>
  <c r="R711" i="2"/>
  <c r="Q711" i="2"/>
  <c r="P711" i="2"/>
  <c r="O711" i="2"/>
  <c r="T710" i="2"/>
  <c r="S710" i="2"/>
  <c r="R710" i="2"/>
  <c r="Q710" i="2"/>
  <c r="P710" i="2"/>
  <c r="O710" i="2"/>
  <c r="T709" i="2"/>
  <c r="S709" i="2"/>
  <c r="R709" i="2"/>
  <c r="Q709" i="2"/>
  <c r="P709" i="2"/>
  <c r="O709" i="2"/>
  <c r="T708" i="2"/>
  <c r="S708" i="2"/>
  <c r="R708" i="2"/>
  <c r="Q708" i="2"/>
  <c r="P708" i="2"/>
  <c r="O708" i="2"/>
  <c r="T707" i="2"/>
  <c r="S707" i="2"/>
  <c r="R707" i="2"/>
  <c r="Q707" i="2"/>
  <c r="P707" i="2"/>
  <c r="O707" i="2"/>
  <c r="T706" i="2"/>
  <c r="S706" i="2"/>
  <c r="R706" i="2"/>
  <c r="Q706" i="2"/>
  <c r="P706" i="2"/>
  <c r="O706" i="2"/>
  <c r="T705" i="2"/>
  <c r="S705" i="2"/>
  <c r="R705" i="2"/>
  <c r="Q705" i="2"/>
  <c r="P705" i="2"/>
  <c r="O705" i="2"/>
  <c r="T704" i="2"/>
  <c r="S704" i="2"/>
  <c r="R704" i="2"/>
  <c r="Q704" i="2"/>
  <c r="P704" i="2"/>
  <c r="O704" i="2"/>
  <c r="T703" i="2"/>
  <c r="S703" i="2"/>
  <c r="R703" i="2"/>
  <c r="Q703" i="2"/>
  <c r="P703" i="2"/>
  <c r="O703" i="2"/>
  <c r="T702" i="2"/>
  <c r="S702" i="2"/>
  <c r="R702" i="2"/>
  <c r="Q702" i="2"/>
  <c r="P702" i="2"/>
  <c r="O702" i="2"/>
  <c r="T701" i="2"/>
  <c r="S701" i="2"/>
  <c r="R701" i="2"/>
  <c r="Q701" i="2"/>
  <c r="P701" i="2"/>
  <c r="O701" i="2"/>
  <c r="T700" i="2"/>
  <c r="S700" i="2"/>
  <c r="R700" i="2"/>
  <c r="Q700" i="2"/>
  <c r="P700" i="2"/>
  <c r="O700" i="2"/>
  <c r="T699" i="2"/>
  <c r="S699" i="2"/>
  <c r="R699" i="2"/>
  <c r="Q699" i="2"/>
  <c r="P699" i="2"/>
  <c r="O699" i="2"/>
  <c r="T698" i="2"/>
  <c r="S698" i="2"/>
  <c r="R698" i="2"/>
  <c r="Q698" i="2"/>
  <c r="P698" i="2"/>
  <c r="O698" i="2"/>
  <c r="T697" i="2"/>
  <c r="S697" i="2"/>
  <c r="R697" i="2"/>
  <c r="Q697" i="2"/>
  <c r="P697" i="2"/>
  <c r="O697" i="2"/>
  <c r="T696" i="2"/>
  <c r="S696" i="2"/>
  <c r="R696" i="2"/>
  <c r="Q696" i="2"/>
  <c r="P696" i="2"/>
  <c r="O696" i="2"/>
  <c r="T695" i="2"/>
  <c r="S695" i="2"/>
  <c r="R695" i="2"/>
  <c r="Q695" i="2"/>
  <c r="P695" i="2"/>
  <c r="O695" i="2"/>
  <c r="T694" i="2"/>
  <c r="S694" i="2"/>
  <c r="R694" i="2"/>
  <c r="Q694" i="2"/>
  <c r="P694" i="2"/>
  <c r="O694" i="2"/>
  <c r="T693" i="2"/>
  <c r="S693" i="2"/>
  <c r="R693" i="2"/>
  <c r="Q693" i="2"/>
  <c r="P693" i="2"/>
  <c r="O693" i="2"/>
  <c r="T692" i="2"/>
  <c r="S692" i="2"/>
  <c r="R692" i="2"/>
  <c r="Q692" i="2"/>
  <c r="P692" i="2"/>
  <c r="O692" i="2"/>
  <c r="T691" i="2"/>
  <c r="S691" i="2"/>
  <c r="R691" i="2"/>
  <c r="Q691" i="2"/>
  <c r="P691" i="2"/>
  <c r="O691" i="2"/>
  <c r="T690" i="2"/>
  <c r="S690" i="2"/>
  <c r="R690" i="2"/>
  <c r="Q690" i="2"/>
  <c r="P690" i="2"/>
  <c r="O690" i="2"/>
  <c r="T689" i="2"/>
  <c r="S689" i="2"/>
  <c r="R689" i="2"/>
  <c r="Q689" i="2"/>
  <c r="P689" i="2"/>
  <c r="O689" i="2"/>
  <c r="T688" i="2"/>
  <c r="S688" i="2"/>
  <c r="R688" i="2"/>
  <c r="Q688" i="2"/>
  <c r="P688" i="2"/>
  <c r="O688" i="2"/>
  <c r="T687" i="2"/>
  <c r="S687" i="2"/>
  <c r="R687" i="2"/>
  <c r="Q687" i="2"/>
  <c r="P687" i="2"/>
  <c r="O687" i="2"/>
  <c r="T686" i="2"/>
  <c r="S686" i="2"/>
  <c r="R686" i="2"/>
  <c r="Q686" i="2"/>
  <c r="P686" i="2"/>
  <c r="O686" i="2"/>
  <c r="E686" i="2"/>
  <c r="T685" i="2"/>
  <c r="S685" i="2"/>
  <c r="R685" i="2"/>
  <c r="Q685" i="2"/>
  <c r="P685" i="2"/>
  <c r="O685" i="2"/>
  <c r="E685" i="2"/>
  <c r="T684" i="2"/>
  <c r="S684" i="2"/>
  <c r="R684" i="2"/>
  <c r="Q684" i="2"/>
  <c r="P684" i="2"/>
  <c r="O684" i="2"/>
  <c r="E684" i="2"/>
  <c r="T683" i="2"/>
  <c r="S683" i="2"/>
  <c r="R683" i="2"/>
  <c r="Q683" i="2"/>
  <c r="P683" i="2"/>
  <c r="O683" i="2"/>
  <c r="E683" i="2"/>
  <c r="T682" i="2"/>
  <c r="S682" i="2"/>
  <c r="R682" i="2"/>
  <c r="Q682" i="2"/>
  <c r="P682" i="2"/>
  <c r="O682" i="2"/>
  <c r="E682" i="2"/>
  <c r="T681" i="2"/>
  <c r="S681" i="2"/>
  <c r="R681" i="2"/>
  <c r="Q681" i="2"/>
  <c r="P681" i="2"/>
  <c r="O681" i="2"/>
  <c r="E681" i="2"/>
  <c r="T680" i="2"/>
  <c r="S680" i="2"/>
  <c r="R680" i="2"/>
  <c r="Q680" i="2"/>
  <c r="P680" i="2"/>
  <c r="O680" i="2"/>
  <c r="E680" i="2"/>
  <c r="T679" i="2"/>
  <c r="S679" i="2"/>
  <c r="R679" i="2"/>
  <c r="Q679" i="2"/>
  <c r="P679" i="2"/>
  <c r="O679" i="2"/>
  <c r="E679" i="2"/>
  <c r="T678" i="2"/>
  <c r="S678" i="2"/>
  <c r="R678" i="2"/>
  <c r="Q678" i="2"/>
  <c r="P678" i="2"/>
  <c r="O678" i="2"/>
  <c r="E678" i="2"/>
  <c r="T677" i="2"/>
  <c r="S677" i="2"/>
  <c r="R677" i="2"/>
  <c r="Q677" i="2"/>
  <c r="P677" i="2"/>
  <c r="O677" i="2"/>
  <c r="E677" i="2"/>
  <c r="T676" i="2"/>
  <c r="S676" i="2"/>
  <c r="R676" i="2"/>
  <c r="Q676" i="2"/>
  <c r="P676" i="2"/>
  <c r="O676" i="2"/>
  <c r="E676" i="2"/>
  <c r="T675" i="2"/>
  <c r="S675" i="2"/>
  <c r="R675" i="2"/>
  <c r="Q675" i="2"/>
  <c r="P675" i="2"/>
  <c r="O675" i="2"/>
  <c r="E675" i="2"/>
  <c r="T674" i="2"/>
  <c r="S674" i="2"/>
  <c r="R674" i="2"/>
  <c r="Q674" i="2"/>
  <c r="P674" i="2"/>
  <c r="O674" i="2"/>
  <c r="E674" i="2"/>
  <c r="T673" i="2"/>
  <c r="S673" i="2"/>
  <c r="R673" i="2"/>
  <c r="Q673" i="2"/>
  <c r="P673" i="2"/>
  <c r="O673" i="2"/>
  <c r="E673" i="2"/>
  <c r="T672" i="2"/>
  <c r="S672" i="2"/>
  <c r="R672" i="2"/>
  <c r="Q672" i="2"/>
  <c r="P672" i="2"/>
  <c r="O672" i="2"/>
  <c r="E672" i="2"/>
  <c r="T671" i="2"/>
  <c r="S671" i="2"/>
  <c r="R671" i="2"/>
  <c r="Q671" i="2"/>
  <c r="P671" i="2"/>
  <c r="O671" i="2"/>
  <c r="E671" i="2"/>
  <c r="T670" i="2"/>
  <c r="S670" i="2"/>
  <c r="R670" i="2"/>
  <c r="Q670" i="2"/>
  <c r="P670" i="2"/>
  <c r="O670" i="2"/>
  <c r="E670" i="2"/>
  <c r="T669" i="2"/>
  <c r="S669" i="2"/>
  <c r="R669" i="2"/>
  <c r="Q669" i="2"/>
  <c r="P669" i="2"/>
  <c r="O669" i="2"/>
  <c r="E669" i="2"/>
  <c r="T668" i="2"/>
  <c r="S668" i="2"/>
  <c r="R668" i="2"/>
  <c r="Q668" i="2"/>
  <c r="P668" i="2"/>
  <c r="O668" i="2"/>
  <c r="E668" i="2"/>
  <c r="T667" i="2"/>
  <c r="S667" i="2"/>
  <c r="R667" i="2"/>
  <c r="Q667" i="2"/>
  <c r="P667" i="2"/>
  <c r="O667" i="2"/>
  <c r="E667" i="2"/>
  <c r="T666" i="2"/>
  <c r="S666" i="2"/>
  <c r="R666" i="2"/>
  <c r="Q666" i="2"/>
  <c r="P666" i="2"/>
  <c r="O666" i="2"/>
  <c r="E666" i="2"/>
  <c r="T665" i="2"/>
  <c r="S665" i="2"/>
  <c r="R665" i="2"/>
  <c r="Q665" i="2"/>
  <c r="P665" i="2"/>
  <c r="O665" i="2"/>
  <c r="E665" i="2"/>
  <c r="T664" i="2"/>
  <c r="S664" i="2"/>
  <c r="R664" i="2"/>
  <c r="Q664" i="2"/>
  <c r="P664" i="2"/>
  <c r="O664" i="2"/>
  <c r="E664" i="2"/>
  <c r="T663" i="2"/>
  <c r="S663" i="2"/>
  <c r="R663" i="2"/>
  <c r="Q663" i="2"/>
  <c r="P663" i="2"/>
  <c r="O663" i="2"/>
  <c r="E663" i="2"/>
  <c r="T662" i="2"/>
  <c r="S662" i="2"/>
  <c r="R662" i="2"/>
  <c r="Q662" i="2"/>
  <c r="P662" i="2"/>
  <c r="O662" i="2"/>
  <c r="E662" i="2"/>
  <c r="T661" i="2"/>
  <c r="S661" i="2"/>
  <c r="R661" i="2"/>
  <c r="Q661" i="2"/>
  <c r="P661" i="2"/>
  <c r="O661" i="2"/>
  <c r="E661" i="2"/>
  <c r="T660" i="2"/>
  <c r="S660" i="2"/>
  <c r="R660" i="2"/>
  <c r="Q660" i="2"/>
  <c r="P660" i="2"/>
  <c r="O660" i="2"/>
  <c r="E660" i="2"/>
  <c r="T659" i="2"/>
  <c r="S659" i="2"/>
  <c r="R659" i="2"/>
  <c r="Q659" i="2"/>
  <c r="P659" i="2"/>
  <c r="O659" i="2"/>
  <c r="E659" i="2"/>
  <c r="T658" i="2"/>
  <c r="S658" i="2"/>
  <c r="R658" i="2"/>
  <c r="Q658" i="2"/>
  <c r="P658" i="2"/>
  <c r="O658" i="2"/>
  <c r="E658" i="2"/>
  <c r="T657" i="2"/>
  <c r="S657" i="2"/>
  <c r="R657" i="2"/>
  <c r="Q657" i="2"/>
  <c r="P657" i="2"/>
  <c r="O657" i="2"/>
  <c r="E657" i="2"/>
  <c r="T656" i="2"/>
  <c r="S656" i="2"/>
  <c r="R656" i="2"/>
  <c r="Q656" i="2"/>
  <c r="P656" i="2"/>
  <c r="O656" i="2"/>
  <c r="E656" i="2"/>
  <c r="T655" i="2"/>
  <c r="S655" i="2"/>
  <c r="R655" i="2"/>
  <c r="Q655" i="2"/>
  <c r="P655" i="2"/>
  <c r="O655" i="2"/>
  <c r="E655" i="2"/>
  <c r="T654" i="2"/>
  <c r="S654" i="2"/>
  <c r="R654" i="2"/>
  <c r="Q654" i="2"/>
  <c r="P654" i="2"/>
  <c r="O654" i="2"/>
  <c r="E654" i="2"/>
  <c r="T653" i="2"/>
  <c r="S653" i="2"/>
  <c r="R653" i="2"/>
  <c r="Q653" i="2"/>
  <c r="P653" i="2"/>
  <c r="O653" i="2"/>
  <c r="E653" i="2"/>
  <c r="T652" i="2"/>
  <c r="S652" i="2"/>
  <c r="R652" i="2"/>
  <c r="Q652" i="2"/>
  <c r="P652" i="2"/>
  <c r="O652" i="2"/>
  <c r="E652" i="2"/>
  <c r="T651" i="2"/>
  <c r="S651" i="2"/>
  <c r="R651" i="2"/>
  <c r="Q651" i="2"/>
  <c r="P651" i="2"/>
  <c r="O651" i="2"/>
  <c r="E651" i="2"/>
  <c r="T650" i="2"/>
  <c r="S650" i="2"/>
  <c r="R650" i="2"/>
  <c r="Q650" i="2"/>
  <c r="P650" i="2"/>
  <c r="O650" i="2"/>
  <c r="E650" i="2"/>
  <c r="T649" i="2"/>
  <c r="S649" i="2"/>
  <c r="R649" i="2"/>
  <c r="Q649" i="2"/>
  <c r="P649" i="2"/>
  <c r="O649" i="2"/>
  <c r="E649" i="2"/>
  <c r="T648" i="2"/>
  <c r="S648" i="2"/>
  <c r="R648" i="2"/>
  <c r="Q648" i="2"/>
  <c r="P648" i="2"/>
  <c r="O648" i="2"/>
  <c r="E648" i="2"/>
  <c r="T647" i="2"/>
  <c r="S647" i="2"/>
  <c r="R647" i="2"/>
  <c r="Q647" i="2"/>
  <c r="P647" i="2"/>
  <c r="O647" i="2"/>
  <c r="E647" i="2"/>
  <c r="T646" i="2"/>
  <c r="S646" i="2"/>
  <c r="R646" i="2"/>
  <c r="Q646" i="2"/>
  <c r="P646" i="2"/>
  <c r="O646" i="2"/>
  <c r="T645" i="2"/>
  <c r="S645" i="2"/>
  <c r="R645" i="2"/>
  <c r="Q645" i="2"/>
  <c r="P645" i="2"/>
  <c r="O645" i="2"/>
  <c r="T644" i="2"/>
  <c r="S644" i="2"/>
  <c r="R644" i="2"/>
  <c r="Q644" i="2"/>
  <c r="P644" i="2"/>
  <c r="O644" i="2"/>
  <c r="T643" i="2"/>
  <c r="S643" i="2"/>
  <c r="R643" i="2"/>
  <c r="Q643" i="2"/>
  <c r="P643" i="2"/>
  <c r="O643" i="2"/>
  <c r="T642" i="2"/>
  <c r="S642" i="2"/>
  <c r="R642" i="2"/>
  <c r="Q642" i="2"/>
  <c r="P642" i="2"/>
  <c r="O642" i="2"/>
  <c r="T641" i="2"/>
  <c r="S641" i="2"/>
  <c r="R641" i="2"/>
  <c r="Q641" i="2"/>
  <c r="P641" i="2"/>
  <c r="O641" i="2"/>
  <c r="T640" i="2"/>
  <c r="S640" i="2"/>
  <c r="R640" i="2"/>
  <c r="Q640" i="2"/>
  <c r="P640" i="2"/>
  <c r="O640" i="2"/>
  <c r="T639" i="2"/>
  <c r="S639" i="2"/>
  <c r="R639" i="2"/>
  <c r="Q639" i="2"/>
  <c r="P639" i="2"/>
  <c r="O639" i="2"/>
  <c r="T638" i="2"/>
  <c r="S638" i="2"/>
  <c r="R638" i="2"/>
  <c r="Q638" i="2"/>
  <c r="P638" i="2"/>
  <c r="O638" i="2"/>
  <c r="T637" i="2"/>
  <c r="S637" i="2"/>
  <c r="R637" i="2"/>
  <c r="Q637" i="2"/>
  <c r="P637" i="2"/>
  <c r="O637" i="2"/>
  <c r="T636" i="2"/>
  <c r="S636" i="2"/>
  <c r="R636" i="2"/>
  <c r="Q636" i="2"/>
  <c r="P636" i="2"/>
  <c r="O636" i="2"/>
  <c r="T635" i="2"/>
  <c r="S635" i="2"/>
  <c r="R635" i="2"/>
  <c r="Q635" i="2"/>
  <c r="P635" i="2"/>
  <c r="O635" i="2"/>
  <c r="T634" i="2"/>
  <c r="S634" i="2"/>
  <c r="R634" i="2"/>
  <c r="Q634" i="2"/>
  <c r="P634" i="2"/>
  <c r="O634" i="2"/>
  <c r="T633" i="2"/>
  <c r="S633" i="2"/>
  <c r="R633" i="2"/>
  <c r="Q633" i="2"/>
  <c r="P633" i="2"/>
  <c r="O633" i="2"/>
  <c r="T632" i="2"/>
  <c r="S632" i="2"/>
  <c r="R632" i="2"/>
  <c r="Q632" i="2"/>
  <c r="P632" i="2"/>
  <c r="O632" i="2"/>
  <c r="T631" i="2"/>
  <c r="S631" i="2"/>
  <c r="R631" i="2"/>
  <c r="Q631" i="2"/>
  <c r="P631" i="2"/>
  <c r="O631" i="2"/>
  <c r="T630" i="2"/>
  <c r="S630" i="2"/>
  <c r="R630" i="2"/>
  <c r="Q630" i="2"/>
  <c r="P630" i="2"/>
  <c r="O630" i="2"/>
  <c r="T629" i="2"/>
  <c r="S629" i="2"/>
  <c r="R629" i="2"/>
  <c r="Q629" i="2"/>
  <c r="P629" i="2"/>
  <c r="O629" i="2"/>
  <c r="T628" i="2"/>
  <c r="S628" i="2"/>
  <c r="R628" i="2"/>
  <c r="Q628" i="2"/>
  <c r="P628" i="2"/>
  <c r="O628" i="2"/>
  <c r="T627" i="2"/>
  <c r="S627" i="2"/>
  <c r="R627" i="2"/>
  <c r="Q627" i="2"/>
  <c r="P627" i="2"/>
  <c r="O627" i="2"/>
  <c r="T626" i="2"/>
  <c r="S626" i="2"/>
  <c r="R626" i="2"/>
  <c r="Q626" i="2"/>
  <c r="P626" i="2"/>
  <c r="O626" i="2"/>
  <c r="T625" i="2"/>
  <c r="S625" i="2"/>
  <c r="R625" i="2"/>
  <c r="Q625" i="2"/>
  <c r="P625" i="2"/>
  <c r="O625" i="2"/>
  <c r="T624" i="2"/>
  <c r="S624" i="2"/>
  <c r="R624" i="2"/>
  <c r="Q624" i="2"/>
  <c r="P624" i="2"/>
  <c r="O624" i="2"/>
  <c r="T623" i="2"/>
  <c r="S623" i="2"/>
  <c r="R623" i="2"/>
  <c r="Q623" i="2"/>
  <c r="P623" i="2"/>
  <c r="O623" i="2"/>
  <c r="T622" i="2"/>
  <c r="S622" i="2"/>
  <c r="R622" i="2"/>
  <c r="Q622" i="2"/>
  <c r="P622" i="2"/>
  <c r="O622" i="2"/>
  <c r="T621" i="2"/>
  <c r="S621" i="2"/>
  <c r="R621" i="2"/>
  <c r="Q621" i="2"/>
  <c r="P621" i="2"/>
  <c r="O621" i="2"/>
  <c r="T620" i="2"/>
  <c r="S620" i="2"/>
  <c r="R620" i="2"/>
  <c r="Q620" i="2"/>
  <c r="P620" i="2"/>
  <c r="O620" i="2"/>
  <c r="T619" i="2"/>
  <c r="S619" i="2"/>
  <c r="R619" i="2"/>
  <c r="Q619" i="2"/>
  <c r="P619" i="2"/>
  <c r="O619" i="2"/>
  <c r="T618" i="2"/>
  <c r="S618" i="2"/>
  <c r="R618" i="2"/>
  <c r="Q618" i="2"/>
  <c r="P618" i="2"/>
  <c r="O618" i="2"/>
  <c r="T617" i="2"/>
  <c r="S617" i="2"/>
  <c r="R617" i="2"/>
  <c r="Q617" i="2"/>
  <c r="P617" i="2"/>
  <c r="O617" i="2"/>
  <c r="T616" i="2"/>
  <c r="S616" i="2"/>
  <c r="R616" i="2"/>
  <c r="Q616" i="2"/>
  <c r="P616" i="2"/>
  <c r="O616" i="2"/>
  <c r="T615" i="2"/>
  <c r="S615" i="2"/>
  <c r="R615" i="2"/>
  <c r="Q615" i="2"/>
  <c r="P615" i="2"/>
  <c r="O615" i="2"/>
  <c r="T614" i="2"/>
  <c r="S614" i="2"/>
  <c r="R614" i="2"/>
  <c r="Q614" i="2"/>
  <c r="P614" i="2"/>
  <c r="O614" i="2"/>
  <c r="T613" i="2"/>
  <c r="S613" i="2"/>
  <c r="R613" i="2"/>
  <c r="Q613" i="2"/>
  <c r="P613" i="2"/>
  <c r="O613" i="2"/>
  <c r="T612" i="2"/>
  <c r="S612" i="2"/>
  <c r="R612" i="2"/>
  <c r="Q612" i="2"/>
  <c r="P612" i="2"/>
  <c r="O612" i="2"/>
  <c r="T611" i="2"/>
  <c r="S611" i="2"/>
  <c r="R611" i="2"/>
  <c r="Q611" i="2"/>
  <c r="P611" i="2"/>
  <c r="O611" i="2"/>
  <c r="T610" i="2"/>
  <c r="S610" i="2"/>
  <c r="R610" i="2"/>
  <c r="Q610" i="2"/>
  <c r="P610" i="2"/>
  <c r="O610" i="2"/>
  <c r="T609" i="2"/>
  <c r="S609" i="2"/>
  <c r="R609" i="2"/>
  <c r="Q609" i="2"/>
  <c r="P609" i="2"/>
  <c r="O609" i="2"/>
  <c r="T608" i="2"/>
  <c r="S608" i="2"/>
  <c r="R608" i="2"/>
  <c r="Q608" i="2"/>
  <c r="P608" i="2"/>
  <c r="O608" i="2"/>
  <c r="T607" i="2"/>
  <c r="S607" i="2"/>
  <c r="R607" i="2"/>
  <c r="Q607" i="2"/>
  <c r="P607" i="2"/>
  <c r="O607" i="2"/>
  <c r="T606" i="2"/>
  <c r="S606" i="2"/>
  <c r="R606" i="2"/>
  <c r="Q606" i="2"/>
  <c r="P606" i="2"/>
  <c r="O606" i="2"/>
  <c r="T605" i="2"/>
  <c r="S605" i="2"/>
  <c r="R605" i="2"/>
  <c r="Q605" i="2"/>
  <c r="P605" i="2"/>
  <c r="O605" i="2"/>
  <c r="T604" i="2"/>
  <c r="S604" i="2"/>
  <c r="R604" i="2"/>
  <c r="Q604" i="2"/>
  <c r="P604" i="2"/>
  <c r="O604" i="2"/>
  <c r="T603" i="2"/>
  <c r="S603" i="2"/>
  <c r="R603" i="2"/>
  <c r="Q603" i="2"/>
  <c r="P603" i="2"/>
  <c r="O603" i="2"/>
  <c r="T602" i="2"/>
  <c r="S602" i="2"/>
  <c r="R602" i="2"/>
  <c r="Q602" i="2"/>
  <c r="P602" i="2"/>
  <c r="O602" i="2"/>
  <c r="T601" i="2"/>
  <c r="S601" i="2"/>
  <c r="R601" i="2"/>
  <c r="Q601" i="2"/>
  <c r="P601" i="2"/>
  <c r="O601" i="2"/>
  <c r="T600" i="2"/>
  <c r="S600" i="2"/>
  <c r="R600" i="2"/>
  <c r="Q600" i="2"/>
  <c r="P600" i="2"/>
  <c r="O600" i="2"/>
  <c r="T599" i="2"/>
  <c r="S599" i="2"/>
  <c r="R599" i="2"/>
  <c r="Q599" i="2"/>
  <c r="P599" i="2"/>
  <c r="O599" i="2"/>
  <c r="T598" i="2"/>
  <c r="S598" i="2"/>
  <c r="R598" i="2"/>
  <c r="Q598" i="2"/>
  <c r="P598" i="2"/>
  <c r="O598" i="2"/>
  <c r="T597" i="2"/>
  <c r="S597" i="2"/>
  <c r="R597" i="2"/>
  <c r="Q597" i="2"/>
  <c r="P597" i="2"/>
  <c r="O597" i="2"/>
  <c r="T596" i="2"/>
  <c r="S596" i="2"/>
  <c r="R596" i="2"/>
  <c r="Q596" i="2"/>
  <c r="P596" i="2"/>
  <c r="O596" i="2"/>
  <c r="T595" i="2"/>
  <c r="S595" i="2"/>
  <c r="R595" i="2"/>
  <c r="Q595" i="2"/>
  <c r="P595" i="2"/>
  <c r="O595" i="2"/>
  <c r="T594" i="2"/>
  <c r="S594" i="2"/>
  <c r="R594" i="2"/>
  <c r="Q594" i="2"/>
  <c r="P594" i="2"/>
  <c r="O594" i="2"/>
  <c r="T593" i="2"/>
  <c r="S593" i="2"/>
  <c r="R593" i="2"/>
  <c r="Q593" i="2"/>
  <c r="P593" i="2"/>
  <c r="O593" i="2"/>
  <c r="T592" i="2"/>
  <c r="S592" i="2"/>
  <c r="R592" i="2"/>
  <c r="Q592" i="2"/>
  <c r="P592" i="2"/>
  <c r="O592" i="2"/>
  <c r="T591" i="2"/>
  <c r="S591" i="2"/>
  <c r="R591" i="2"/>
  <c r="Q591" i="2"/>
  <c r="P591" i="2"/>
  <c r="O591" i="2"/>
  <c r="T590" i="2"/>
  <c r="S590" i="2"/>
  <c r="R590" i="2"/>
  <c r="Q590" i="2"/>
  <c r="P590" i="2"/>
  <c r="O590" i="2"/>
  <c r="T589" i="2"/>
  <c r="S589" i="2"/>
  <c r="R589" i="2"/>
  <c r="Q589" i="2"/>
  <c r="P589" i="2"/>
  <c r="O589" i="2"/>
  <c r="T588" i="2"/>
  <c r="S588" i="2"/>
  <c r="R588" i="2"/>
  <c r="Q588" i="2"/>
  <c r="P588" i="2"/>
  <c r="O588" i="2"/>
  <c r="T587" i="2"/>
  <c r="S587" i="2"/>
  <c r="R587" i="2"/>
  <c r="Q587" i="2"/>
  <c r="P587" i="2"/>
  <c r="O587" i="2"/>
  <c r="T586" i="2"/>
  <c r="S586" i="2"/>
  <c r="R586" i="2"/>
  <c r="Q586" i="2"/>
  <c r="P586" i="2"/>
  <c r="O586" i="2"/>
  <c r="T585" i="2"/>
  <c r="S585" i="2"/>
  <c r="R585" i="2"/>
  <c r="Q585" i="2"/>
  <c r="P585" i="2"/>
  <c r="O585" i="2"/>
  <c r="T584" i="2"/>
  <c r="S584" i="2"/>
  <c r="R584" i="2"/>
  <c r="Q584" i="2"/>
  <c r="P584" i="2"/>
  <c r="O584" i="2"/>
  <c r="T583" i="2"/>
  <c r="S583" i="2"/>
  <c r="R583" i="2"/>
  <c r="Q583" i="2"/>
  <c r="P583" i="2"/>
  <c r="O583" i="2"/>
  <c r="T582" i="2"/>
  <c r="S582" i="2"/>
  <c r="R582" i="2"/>
  <c r="Q582" i="2"/>
  <c r="P582" i="2"/>
  <c r="O582" i="2"/>
  <c r="T581" i="2"/>
  <c r="S581" i="2"/>
  <c r="R581" i="2"/>
  <c r="Q581" i="2"/>
  <c r="P581" i="2"/>
  <c r="O581" i="2"/>
  <c r="T580" i="2"/>
  <c r="S580" i="2"/>
  <c r="R580" i="2"/>
  <c r="Q580" i="2"/>
  <c r="P580" i="2"/>
  <c r="O580" i="2"/>
  <c r="T579" i="2"/>
  <c r="S579" i="2"/>
  <c r="R579" i="2"/>
  <c r="Q579" i="2"/>
  <c r="P579" i="2"/>
  <c r="O579" i="2"/>
  <c r="T578" i="2"/>
  <c r="S578" i="2"/>
  <c r="R578" i="2"/>
  <c r="Q578" i="2"/>
  <c r="P578" i="2"/>
  <c r="O578" i="2"/>
  <c r="T577" i="2"/>
  <c r="S577" i="2"/>
  <c r="R577" i="2"/>
  <c r="Q577" i="2"/>
  <c r="P577" i="2"/>
  <c r="O577" i="2"/>
  <c r="T576" i="2"/>
  <c r="S576" i="2"/>
  <c r="R576" i="2"/>
  <c r="Q576" i="2"/>
  <c r="P576" i="2"/>
  <c r="O576" i="2"/>
  <c r="T575" i="2"/>
  <c r="S575" i="2"/>
  <c r="R575" i="2"/>
  <c r="Q575" i="2"/>
  <c r="P575" i="2"/>
  <c r="O575" i="2"/>
  <c r="T574" i="2"/>
  <c r="S574" i="2"/>
  <c r="R574" i="2"/>
  <c r="Q574" i="2"/>
  <c r="P574" i="2"/>
  <c r="O574" i="2"/>
  <c r="T573" i="2"/>
  <c r="S573" i="2"/>
  <c r="R573" i="2"/>
  <c r="Q573" i="2"/>
  <c r="P573" i="2"/>
  <c r="O573" i="2"/>
  <c r="T572" i="2"/>
  <c r="S572" i="2"/>
  <c r="R572" i="2"/>
  <c r="Q572" i="2"/>
  <c r="P572" i="2"/>
  <c r="O572" i="2"/>
  <c r="T571" i="2"/>
  <c r="S571" i="2"/>
  <c r="R571" i="2"/>
  <c r="Q571" i="2"/>
  <c r="P571" i="2"/>
  <c r="O571" i="2"/>
  <c r="T570" i="2"/>
  <c r="S570" i="2"/>
  <c r="R570" i="2"/>
  <c r="Q570" i="2"/>
  <c r="P570" i="2"/>
  <c r="O570" i="2"/>
  <c r="T569" i="2"/>
  <c r="S569" i="2"/>
  <c r="R569" i="2"/>
  <c r="Q569" i="2"/>
  <c r="P569" i="2"/>
  <c r="O569" i="2"/>
  <c r="T568" i="2"/>
  <c r="S568" i="2"/>
  <c r="R568" i="2"/>
  <c r="Q568" i="2"/>
  <c r="P568" i="2"/>
  <c r="O568" i="2"/>
  <c r="T567" i="2"/>
  <c r="S567" i="2"/>
  <c r="R567" i="2"/>
  <c r="Q567" i="2"/>
  <c r="P567" i="2"/>
  <c r="O567" i="2"/>
  <c r="T566" i="2"/>
  <c r="S566" i="2"/>
  <c r="R566" i="2"/>
  <c r="Q566" i="2"/>
  <c r="P566" i="2"/>
  <c r="O566" i="2"/>
  <c r="T565" i="2"/>
  <c r="S565" i="2"/>
  <c r="R565" i="2"/>
  <c r="Q565" i="2"/>
  <c r="P565" i="2"/>
  <c r="O565" i="2"/>
  <c r="T564" i="2"/>
  <c r="S564" i="2"/>
  <c r="R564" i="2"/>
  <c r="Q564" i="2"/>
  <c r="P564" i="2"/>
  <c r="O564" i="2"/>
  <c r="T563" i="2"/>
  <c r="S563" i="2"/>
  <c r="R563" i="2"/>
  <c r="Q563" i="2"/>
  <c r="P563" i="2"/>
  <c r="O563" i="2"/>
  <c r="T562" i="2"/>
  <c r="S562" i="2"/>
  <c r="R562" i="2"/>
  <c r="Q562" i="2"/>
  <c r="P562" i="2"/>
  <c r="O562" i="2"/>
  <c r="T561" i="2"/>
  <c r="S561" i="2"/>
  <c r="R561" i="2"/>
  <c r="Q561" i="2"/>
  <c r="P561" i="2"/>
  <c r="O561" i="2"/>
  <c r="T560" i="2"/>
  <c r="S560" i="2"/>
  <c r="R560" i="2"/>
  <c r="Q560" i="2"/>
  <c r="P560" i="2"/>
  <c r="O560" i="2"/>
  <c r="T559" i="2"/>
  <c r="S559" i="2"/>
  <c r="R559" i="2"/>
  <c r="Q559" i="2"/>
  <c r="P559" i="2"/>
  <c r="O559" i="2"/>
  <c r="T558" i="2"/>
  <c r="S558" i="2"/>
  <c r="R558" i="2"/>
  <c r="Q558" i="2"/>
  <c r="P558" i="2"/>
  <c r="O558" i="2"/>
  <c r="T557" i="2"/>
  <c r="S557" i="2"/>
  <c r="R557" i="2"/>
  <c r="Q557" i="2"/>
  <c r="P557" i="2"/>
  <c r="O557" i="2"/>
  <c r="T556" i="2"/>
  <c r="S556" i="2"/>
  <c r="R556" i="2"/>
  <c r="Q556" i="2"/>
  <c r="P556" i="2"/>
  <c r="O556" i="2"/>
  <c r="T555" i="2"/>
  <c r="S555" i="2"/>
  <c r="R555" i="2"/>
  <c r="Q555" i="2"/>
  <c r="P555" i="2"/>
  <c r="O555" i="2"/>
  <c r="T554" i="2"/>
  <c r="S554" i="2"/>
  <c r="R554" i="2"/>
  <c r="Q554" i="2"/>
  <c r="P554" i="2"/>
  <c r="O554" i="2"/>
  <c r="T553" i="2"/>
  <c r="S553" i="2"/>
  <c r="R553" i="2"/>
  <c r="Q553" i="2"/>
  <c r="P553" i="2"/>
  <c r="O553" i="2"/>
  <c r="T552" i="2"/>
  <c r="S552" i="2"/>
  <c r="R552" i="2"/>
  <c r="Q552" i="2"/>
  <c r="P552" i="2"/>
  <c r="O552" i="2"/>
  <c r="T551" i="2"/>
  <c r="S551" i="2"/>
  <c r="R551" i="2"/>
  <c r="Q551" i="2"/>
  <c r="P551" i="2"/>
  <c r="O551" i="2"/>
  <c r="T550" i="2"/>
  <c r="S550" i="2"/>
  <c r="R550" i="2"/>
  <c r="Q550" i="2"/>
  <c r="P550" i="2"/>
  <c r="O550" i="2"/>
  <c r="T549" i="2"/>
  <c r="S549" i="2"/>
  <c r="R549" i="2"/>
  <c r="Q549" i="2"/>
  <c r="P549" i="2"/>
  <c r="O549" i="2"/>
  <c r="T548" i="2"/>
  <c r="S548" i="2"/>
  <c r="R548" i="2"/>
  <c r="Q548" i="2"/>
  <c r="P548" i="2"/>
  <c r="O548" i="2"/>
  <c r="T547" i="2"/>
  <c r="S547" i="2"/>
  <c r="R547" i="2"/>
  <c r="Q547" i="2"/>
  <c r="P547" i="2"/>
  <c r="O547" i="2"/>
  <c r="T546" i="2"/>
  <c r="S546" i="2"/>
  <c r="R546" i="2"/>
  <c r="Q546" i="2"/>
  <c r="P546" i="2"/>
  <c r="O546" i="2"/>
  <c r="T545" i="2"/>
  <c r="S545" i="2"/>
  <c r="R545" i="2"/>
  <c r="Q545" i="2"/>
  <c r="P545" i="2"/>
  <c r="O545" i="2"/>
  <c r="T544" i="2"/>
  <c r="S544" i="2"/>
  <c r="R544" i="2"/>
  <c r="Q544" i="2"/>
  <c r="P544" i="2"/>
  <c r="O544" i="2"/>
  <c r="T543" i="2"/>
  <c r="S543" i="2"/>
  <c r="R543" i="2"/>
  <c r="Q543" i="2"/>
  <c r="P543" i="2"/>
  <c r="O543" i="2"/>
  <c r="T542" i="2"/>
  <c r="S542" i="2"/>
  <c r="R542" i="2"/>
  <c r="Q542" i="2"/>
  <c r="P542" i="2"/>
  <c r="O542" i="2"/>
  <c r="T541" i="2"/>
  <c r="S541" i="2"/>
  <c r="R541" i="2"/>
  <c r="Q541" i="2"/>
  <c r="P541" i="2"/>
  <c r="O541" i="2"/>
  <c r="T540" i="2"/>
  <c r="S540" i="2"/>
  <c r="R540" i="2"/>
  <c r="Q540" i="2"/>
  <c r="P540" i="2"/>
  <c r="O540" i="2"/>
  <c r="T539" i="2"/>
  <c r="S539" i="2"/>
  <c r="R539" i="2"/>
  <c r="Q539" i="2"/>
  <c r="P539" i="2"/>
  <c r="O539" i="2"/>
  <c r="T538" i="2"/>
  <c r="S538" i="2"/>
  <c r="R538" i="2"/>
  <c r="Q538" i="2"/>
  <c r="P538" i="2"/>
  <c r="O538" i="2"/>
  <c r="T537" i="2"/>
  <c r="S537" i="2"/>
  <c r="R537" i="2"/>
  <c r="Q537" i="2"/>
  <c r="P537" i="2"/>
  <c r="O537" i="2"/>
  <c r="T536" i="2"/>
  <c r="S536" i="2"/>
  <c r="R536" i="2"/>
  <c r="Q536" i="2"/>
  <c r="P536" i="2"/>
  <c r="O536" i="2"/>
  <c r="T535" i="2"/>
  <c r="S535" i="2"/>
  <c r="R535" i="2"/>
  <c r="Q535" i="2"/>
  <c r="P535" i="2"/>
  <c r="O535" i="2"/>
  <c r="T534" i="2"/>
  <c r="S534" i="2"/>
  <c r="R534" i="2"/>
  <c r="Q534" i="2"/>
  <c r="P534" i="2"/>
  <c r="O534" i="2"/>
  <c r="T533" i="2"/>
  <c r="S533" i="2"/>
  <c r="R533" i="2"/>
  <c r="Q533" i="2"/>
  <c r="P533" i="2"/>
  <c r="O533" i="2"/>
  <c r="T532" i="2"/>
  <c r="S532" i="2"/>
  <c r="R532" i="2"/>
  <c r="Q532" i="2"/>
  <c r="P532" i="2"/>
  <c r="O532" i="2"/>
  <c r="T531" i="2"/>
  <c r="S531" i="2"/>
  <c r="R531" i="2"/>
  <c r="Q531" i="2"/>
  <c r="P531" i="2"/>
  <c r="O531" i="2"/>
  <c r="T530" i="2"/>
  <c r="S530" i="2"/>
  <c r="R530" i="2"/>
  <c r="Q530" i="2"/>
  <c r="P530" i="2"/>
  <c r="O530" i="2"/>
  <c r="T529" i="2"/>
  <c r="S529" i="2"/>
  <c r="R529" i="2"/>
  <c r="Q529" i="2"/>
  <c r="P529" i="2"/>
  <c r="O529" i="2"/>
  <c r="T528" i="2"/>
  <c r="S528" i="2"/>
  <c r="R528" i="2"/>
  <c r="Q528" i="2"/>
  <c r="P528" i="2"/>
  <c r="O528" i="2"/>
  <c r="T527" i="2"/>
  <c r="S527" i="2"/>
  <c r="R527" i="2"/>
  <c r="Q527" i="2"/>
  <c r="P527" i="2"/>
  <c r="O527" i="2"/>
  <c r="T526" i="2"/>
  <c r="S526" i="2"/>
  <c r="R526" i="2"/>
  <c r="Q526" i="2"/>
  <c r="P526" i="2"/>
  <c r="O526" i="2"/>
  <c r="T525" i="2"/>
  <c r="S525" i="2"/>
  <c r="R525" i="2"/>
  <c r="Q525" i="2"/>
  <c r="P525" i="2"/>
  <c r="O525" i="2"/>
  <c r="T524" i="2"/>
  <c r="S524" i="2"/>
  <c r="R524" i="2"/>
  <c r="Q524" i="2"/>
  <c r="P524" i="2"/>
  <c r="O524" i="2"/>
  <c r="T523" i="2"/>
  <c r="S523" i="2"/>
  <c r="R523" i="2"/>
  <c r="Q523" i="2"/>
  <c r="P523" i="2"/>
  <c r="O523" i="2"/>
  <c r="T522" i="2"/>
  <c r="S522" i="2"/>
  <c r="R522" i="2"/>
  <c r="Q522" i="2"/>
  <c r="P522" i="2"/>
  <c r="O522" i="2"/>
  <c r="T521" i="2"/>
  <c r="S521" i="2"/>
  <c r="R521" i="2"/>
  <c r="Q521" i="2"/>
  <c r="P521" i="2"/>
  <c r="O521" i="2"/>
  <c r="T520" i="2"/>
  <c r="S520" i="2"/>
  <c r="R520" i="2"/>
  <c r="Q520" i="2"/>
  <c r="P520" i="2"/>
  <c r="O520" i="2"/>
  <c r="T519" i="2"/>
  <c r="S519" i="2"/>
  <c r="R519" i="2"/>
  <c r="Q519" i="2"/>
  <c r="P519" i="2"/>
  <c r="O519" i="2"/>
  <c r="T518" i="2"/>
  <c r="S518" i="2"/>
  <c r="R518" i="2"/>
  <c r="Q518" i="2"/>
  <c r="P518" i="2"/>
  <c r="O518" i="2"/>
  <c r="T517" i="2"/>
  <c r="S517" i="2"/>
  <c r="R517" i="2"/>
  <c r="Q517" i="2"/>
  <c r="P517" i="2"/>
  <c r="O517" i="2"/>
  <c r="T516" i="2"/>
  <c r="S516" i="2"/>
  <c r="R516" i="2"/>
  <c r="Q516" i="2"/>
  <c r="P516" i="2"/>
  <c r="O516" i="2"/>
  <c r="T515" i="2"/>
  <c r="S515" i="2"/>
  <c r="R515" i="2"/>
  <c r="Q515" i="2"/>
  <c r="P515" i="2"/>
  <c r="O515" i="2"/>
  <c r="T514" i="2"/>
  <c r="S514" i="2"/>
  <c r="R514" i="2"/>
  <c r="Q514" i="2"/>
  <c r="P514" i="2"/>
  <c r="O514" i="2"/>
  <c r="T513" i="2"/>
  <c r="S513" i="2"/>
  <c r="R513" i="2"/>
  <c r="Q513" i="2"/>
  <c r="P513" i="2"/>
  <c r="O513" i="2"/>
  <c r="T512" i="2"/>
  <c r="S512" i="2"/>
  <c r="R512" i="2"/>
  <c r="Q512" i="2"/>
  <c r="P512" i="2"/>
  <c r="O512" i="2"/>
  <c r="T511" i="2"/>
  <c r="S511" i="2"/>
  <c r="R511" i="2"/>
  <c r="Q511" i="2"/>
  <c r="P511" i="2"/>
  <c r="O511" i="2"/>
  <c r="T510" i="2"/>
  <c r="S510" i="2"/>
  <c r="R510" i="2"/>
  <c r="Q510" i="2"/>
  <c r="P510" i="2"/>
  <c r="O510" i="2"/>
  <c r="T509" i="2"/>
  <c r="S509" i="2"/>
  <c r="R509" i="2"/>
  <c r="Q509" i="2"/>
  <c r="P509" i="2"/>
  <c r="O509" i="2"/>
  <c r="T508" i="2"/>
  <c r="S508" i="2"/>
  <c r="R508" i="2"/>
  <c r="Q508" i="2"/>
  <c r="P508" i="2"/>
  <c r="O508" i="2"/>
  <c r="T507" i="2"/>
  <c r="S507" i="2"/>
  <c r="R507" i="2"/>
  <c r="Q507" i="2"/>
  <c r="P507" i="2"/>
  <c r="O507" i="2"/>
  <c r="T506" i="2"/>
  <c r="S506" i="2"/>
  <c r="R506" i="2"/>
  <c r="Q506" i="2"/>
  <c r="P506" i="2"/>
  <c r="O506" i="2"/>
  <c r="T505" i="2"/>
  <c r="S505" i="2"/>
  <c r="R505" i="2"/>
  <c r="Q505" i="2"/>
  <c r="P505" i="2"/>
  <c r="O505" i="2"/>
  <c r="T504" i="2"/>
  <c r="S504" i="2"/>
  <c r="R504" i="2"/>
  <c r="Q504" i="2"/>
  <c r="P504" i="2"/>
  <c r="O504" i="2"/>
  <c r="T503" i="2"/>
  <c r="S503" i="2"/>
  <c r="R503" i="2"/>
  <c r="Q503" i="2"/>
  <c r="P503" i="2"/>
  <c r="O503" i="2"/>
  <c r="T502" i="2"/>
  <c r="S502" i="2"/>
  <c r="R502" i="2"/>
  <c r="Q502" i="2"/>
  <c r="P502" i="2"/>
  <c r="O502" i="2"/>
  <c r="T501" i="2"/>
  <c r="S501" i="2"/>
  <c r="R501" i="2"/>
  <c r="Q501" i="2"/>
  <c r="P501" i="2"/>
  <c r="O501" i="2"/>
  <c r="T500" i="2"/>
  <c r="S500" i="2"/>
  <c r="R500" i="2"/>
  <c r="Q500" i="2"/>
  <c r="P500" i="2"/>
  <c r="O500" i="2"/>
  <c r="T499" i="2"/>
  <c r="S499" i="2"/>
  <c r="R499" i="2"/>
  <c r="Q499" i="2"/>
  <c r="P499" i="2"/>
  <c r="O499" i="2"/>
  <c r="T498" i="2"/>
  <c r="S498" i="2"/>
  <c r="R498" i="2"/>
  <c r="Q498" i="2"/>
  <c r="P498" i="2"/>
  <c r="O498" i="2"/>
  <c r="T497" i="2"/>
  <c r="S497" i="2"/>
  <c r="R497" i="2"/>
  <c r="Q497" i="2"/>
  <c r="P497" i="2"/>
  <c r="O497" i="2"/>
  <c r="T496" i="2"/>
  <c r="S496" i="2"/>
  <c r="R496" i="2"/>
  <c r="Q496" i="2"/>
  <c r="P496" i="2"/>
  <c r="O496" i="2"/>
  <c r="T495" i="2"/>
  <c r="S495" i="2"/>
  <c r="R495" i="2"/>
  <c r="Q495" i="2"/>
  <c r="P495" i="2"/>
  <c r="O495" i="2"/>
  <c r="T494" i="2"/>
  <c r="S494" i="2"/>
  <c r="R494" i="2"/>
  <c r="Q494" i="2"/>
  <c r="P494" i="2"/>
  <c r="O494" i="2"/>
  <c r="T493" i="2"/>
  <c r="S493" i="2"/>
  <c r="R493" i="2"/>
  <c r="Q493" i="2"/>
  <c r="P493" i="2"/>
  <c r="O493" i="2"/>
  <c r="T492" i="2"/>
  <c r="S492" i="2"/>
  <c r="R492" i="2"/>
  <c r="Q492" i="2"/>
  <c r="P492" i="2"/>
  <c r="O492" i="2"/>
  <c r="T491" i="2"/>
  <c r="S491" i="2"/>
  <c r="R491" i="2"/>
  <c r="Q491" i="2"/>
  <c r="P491" i="2"/>
  <c r="O491" i="2"/>
  <c r="T490" i="2"/>
  <c r="S490" i="2"/>
  <c r="R490" i="2"/>
  <c r="Q490" i="2"/>
  <c r="P490" i="2"/>
  <c r="O490" i="2"/>
  <c r="T489" i="2"/>
  <c r="S489" i="2"/>
  <c r="R489" i="2"/>
  <c r="Q489" i="2"/>
  <c r="P489" i="2"/>
  <c r="O489" i="2"/>
  <c r="T488" i="2"/>
  <c r="S488" i="2"/>
  <c r="R488" i="2"/>
  <c r="Q488" i="2"/>
  <c r="P488" i="2"/>
  <c r="O488" i="2"/>
  <c r="T487" i="2"/>
  <c r="S487" i="2"/>
  <c r="R487" i="2"/>
  <c r="Q487" i="2"/>
  <c r="P487" i="2"/>
  <c r="O487" i="2"/>
  <c r="T486" i="2"/>
  <c r="S486" i="2"/>
  <c r="R486" i="2"/>
  <c r="Q486" i="2"/>
  <c r="P486" i="2"/>
  <c r="O486" i="2"/>
  <c r="T485" i="2"/>
  <c r="S485" i="2"/>
  <c r="R485" i="2"/>
  <c r="Q485" i="2"/>
  <c r="P485" i="2"/>
  <c r="O485" i="2"/>
  <c r="T484" i="2"/>
  <c r="S484" i="2"/>
  <c r="R484" i="2"/>
  <c r="Q484" i="2"/>
  <c r="P484" i="2"/>
  <c r="O484" i="2"/>
  <c r="T483" i="2"/>
  <c r="S483" i="2"/>
  <c r="R483" i="2"/>
  <c r="Q483" i="2"/>
  <c r="P483" i="2"/>
  <c r="O483" i="2"/>
  <c r="T482" i="2"/>
  <c r="S482" i="2"/>
  <c r="R482" i="2"/>
  <c r="Q482" i="2"/>
  <c r="P482" i="2"/>
  <c r="O482" i="2"/>
  <c r="T481" i="2"/>
  <c r="S481" i="2"/>
  <c r="R481" i="2"/>
  <c r="Q481" i="2"/>
  <c r="P481" i="2"/>
  <c r="O481" i="2"/>
  <c r="T480" i="2"/>
  <c r="S480" i="2"/>
  <c r="R480" i="2"/>
  <c r="Q480" i="2"/>
  <c r="P480" i="2"/>
  <c r="O480" i="2"/>
  <c r="T479" i="2"/>
  <c r="S479" i="2"/>
  <c r="R479" i="2"/>
  <c r="Q479" i="2"/>
  <c r="P479" i="2"/>
  <c r="O479" i="2"/>
  <c r="T478" i="2"/>
  <c r="S478" i="2"/>
  <c r="R478" i="2"/>
  <c r="Q478" i="2"/>
  <c r="P478" i="2"/>
  <c r="O478" i="2"/>
  <c r="T477" i="2"/>
  <c r="S477" i="2"/>
  <c r="R477" i="2"/>
  <c r="Q477" i="2"/>
  <c r="P477" i="2"/>
  <c r="O477" i="2"/>
  <c r="T476" i="2"/>
  <c r="S476" i="2"/>
  <c r="R476" i="2"/>
  <c r="Q476" i="2"/>
  <c r="P476" i="2"/>
  <c r="O476" i="2"/>
  <c r="T475" i="2"/>
  <c r="S475" i="2"/>
  <c r="R475" i="2"/>
  <c r="Q475" i="2"/>
  <c r="P475" i="2"/>
  <c r="O475" i="2"/>
  <c r="T474" i="2"/>
  <c r="S474" i="2"/>
  <c r="R474" i="2"/>
  <c r="Q474" i="2"/>
  <c r="P474" i="2"/>
  <c r="O474" i="2"/>
  <c r="T473" i="2"/>
  <c r="S473" i="2"/>
  <c r="R473" i="2"/>
  <c r="Q473" i="2"/>
  <c r="P473" i="2"/>
  <c r="O473" i="2"/>
  <c r="T472" i="2"/>
  <c r="S472" i="2"/>
  <c r="R472" i="2"/>
  <c r="Q472" i="2"/>
  <c r="P472" i="2"/>
  <c r="O472" i="2"/>
  <c r="T471" i="2"/>
  <c r="S471" i="2"/>
  <c r="R471" i="2"/>
  <c r="Q471" i="2"/>
  <c r="P471" i="2"/>
  <c r="O471" i="2"/>
  <c r="T470" i="2"/>
  <c r="S470" i="2"/>
  <c r="R470" i="2"/>
  <c r="Q470" i="2"/>
  <c r="P470" i="2"/>
  <c r="O470" i="2"/>
  <c r="T469" i="2"/>
  <c r="S469" i="2"/>
  <c r="R469" i="2"/>
  <c r="Q469" i="2"/>
  <c r="P469" i="2"/>
  <c r="O469" i="2"/>
  <c r="T468" i="2"/>
  <c r="S468" i="2"/>
  <c r="R468" i="2"/>
  <c r="Q468" i="2"/>
  <c r="P468" i="2"/>
  <c r="O468" i="2"/>
  <c r="T467" i="2"/>
  <c r="S467" i="2"/>
  <c r="R467" i="2"/>
  <c r="Q467" i="2"/>
  <c r="P467" i="2"/>
  <c r="O467" i="2"/>
  <c r="T466" i="2"/>
  <c r="S466" i="2"/>
  <c r="R466" i="2"/>
  <c r="Q466" i="2"/>
  <c r="P466" i="2"/>
  <c r="O466" i="2"/>
  <c r="T465" i="2"/>
  <c r="S465" i="2"/>
  <c r="R465" i="2"/>
  <c r="Q465" i="2"/>
  <c r="P465" i="2"/>
  <c r="O465" i="2"/>
  <c r="T464" i="2"/>
  <c r="S464" i="2"/>
  <c r="R464" i="2"/>
  <c r="Q464" i="2"/>
  <c r="P464" i="2"/>
  <c r="O464" i="2"/>
  <c r="T463" i="2"/>
  <c r="S463" i="2"/>
  <c r="R463" i="2"/>
  <c r="Q463" i="2"/>
  <c r="P463" i="2"/>
  <c r="O463" i="2"/>
  <c r="T462" i="2"/>
  <c r="S462" i="2"/>
  <c r="R462" i="2"/>
  <c r="Q462" i="2"/>
  <c r="P462" i="2"/>
  <c r="O462" i="2"/>
  <c r="T461" i="2"/>
  <c r="S461" i="2"/>
  <c r="R461" i="2"/>
  <c r="Q461" i="2"/>
  <c r="P461" i="2"/>
  <c r="O461" i="2"/>
  <c r="T460" i="2"/>
  <c r="S460" i="2"/>
  <c r="R460" i="2"/>
  <c r="Q460" i="2"/>
  <c r="P460" i="2"/>
  <c r="O460" i="2"/>
  <c r="T459" i="2"/>
  <c r="S459" i="2"/>
  <c r="R459" i="2"/>
  <c r="Q459" i="2"/>
  <c r="P459" i="2"/>
  <c r="O459" i="2"/>
  <c r="T458" i="2"/>
  <c r="S458" i="2"/>
  <c r="R458" i="2"/>
  <c r="Q458" i="2"/>
  <c r="P458" i="2"/>
  <c r="O458" i="2"/>
  <c r="T457" i="2"/>
  <c r="S457" i="2"/>
  <c r="R457" i="2"/>
  <c r="Q457" i="2"/>
  <c r="P457" i="2"/>
  <c r="O457" i="2"/>
  <c r="T456" i="2"/>
  <c r="S456" i="2"/>
  <c r="R456" i="2"/>
  <c r="Q456" i="2"/>
  <c r="P456" i="2"/>
  <c r="O456" i="2"/>
  <c r="T455" i="2"/>
  <c r="S455" i="2"/>
  <c r="R455" i="2"/>
  <c r="Q455" i="2"/>
  <c r="P455" i="2"/>
  <c r="O455" i="2"/>
  <c r="T454" i="2"/>
  <c r="S454" i="2"/>
  <c r="R454" i="2"/>
  <c r="Q454" i="2"/>
  <c r="P454" i="2"/>
  <c r="O454" i="2"/>
  <c r="T453" i="2"/>
  <c r="S453" i="2"/>
  <c r="R453" i="2"/>
  <c r="Q453" i="2"/>
  <c r="P453" i="2"/>
  <c r="O453" i="2"/>
  <c r="T452" i="2"/>
  <c r="S452" i="2"/>
  <c r="R452" i="2"/>
  <c r="Q452" i="2"/>
  <c r="P452" i="2"/>
  <c r="O452" i="2"/>
  <c r="T451" i="2"/>
  <c r="S451" i="2"/>
  <c r="R451" i="2"/>
  <c r="Q451" i="2"/>
  <c r="P451" i="2"/>
  <c r="O451" i="2"/>
  <c r="T450" i="2"/>
  <c r="S450" i="2"/>
  <c r="R450" i="2"/>
  <c r="Q450" i="2"/>
  <c r="P450" i="2"/>
  <c r="O450" i="2"/>
  <c r="T449" i="2"/>
  <c r="S449" i="2"/>
  <c r="R449" i="2"/>
  <c r="Q449" i="2"/>
  <c r="P449" i="2"/>
  <c r="O449" i="2"/>
  <c r="T448" i="2"/>
  <c r="S448" i="2"/>
  <c r="R448" i="2"/>
  <c r="Q448" i="2"/>
  <c r="P448" i="2"/>
  <c r="O448" i="2"/>
  <c r="T447" i="2"/>
  <c r="S447" i="2"/>
  <c r="R447" i="2"/>
  <c r="Q447" i="2"/>
  <c r="P447" i="2"/>
  <c r="O447" i="2"/>
  <c r="T446" i="2"/>
  <c r="S446" i="2"/>
  <c r="R446" i="2"/>
  <c r="Q446" i="2"/>
  <c r="P446" i="2"/>
  <c r="O446" i="2"/>
  <c r="T445" i="2"/>
  <c r="S445" i="2"/>
  <c r="R445" i="2"/>
  <c r="Q445" i="2"/>
  <c r="P445" i="2"/>
  <c r="O445" i="2"/>
  <c r="T444" i="2"/>
  <c r="S444" i="2"/>
  <c r="R444" i="2"/>
  <c r="Q444" i="2"/>
  <c r="P444" i="2"/>
  <c r="O444" i="2"/>
  <c r="T443" i="2"/>
  <c r="S443" i="2"/>
  <c r="R443" i="2"/>
  <c r="Q443" i="2"/>
  <c r="P443" i="2"/>
  <c r="O443" i="2"/>
  <c r="T442" i="2"/>
  <c r="S442" i="2"/>
  <c r="R442" i="2"/>
  <c r="Q442" i="2"/>
  <c r="P442" i="2"/>
  <c r="O442" i="2"/>
  <c r="T441" i="2"/>
  <c r="S441" i="2"/>
  <c r="R441" i="2"/>
  <c r="Q441" i="2"/>
  <c r="P441" i="2"/>
  <c r="O441" i="2"/>
  <c r="T440" i="2"/>
  <c r="S440" i="2"/>
  <c r="R440" i="2"/>
  <c r="Q440" i="2"/>
  <c r="P440" i="2"/>
  <c r="O440" i="2"/>
  <c r="T439" i="2"/>
  <c r="S439" i="2"/>
  <c r="R439" i="2"/>
  <c r="Q439" i="2"/>
  <c r="P439" i="2"/>
  <c r="O439" i="2"/>
  <c r="T438" i="2"/>
  <c r="S438" i="2"/>
  <c r="R438" i="2"/>
  <c r="Q438" i="2"/>
  <c r="P438" i="2"/>
  <c r="O438" i="2"/>
  <c r="T437" i="2"/>
  <c r="S437" i="2"/>
  <c r="R437" i="2"/>
  <c r="Q437" i="2"/>
  <c r="P437" i="2"/>
  <c r="O437" i="2"/>
  <c r="T436" i="2"/>
  <c r="S436" i="2"/>
  <c r="R436" i="2"/>
  <c r="Q436" i="2"/>
  <c r="P436" i="2"/>
  <c r="O436" i="2"/>
  <c r="T435" i="2"/>
  <c r="S435" i="2"/>
  <c r="R435" i="2"/>
  <c r="Q435" i="2"/>
  <c r="P435" i="2"/>
  <c r="O435" i="2"/>
  <c r="T434" i="2"/>
  <c r="S434" i="2"/>
  <c r="R434" i="2"/>
  <c r="Q434" i="2"/>
  <c r="P434" i="2"/>
  <c r="O434" i="2"/>
  <c r="T433" i="2"/>
  <c r="S433" i="2"/>
  <c r="R433" i="2"/>
  <c r="Q433" i="2"/>
  <c r="P433" i="2"/>
  <c r="O433" i="2"/>
  <c r="T432" i="2"/>
  <c r="S432" i="2"/>
  <c r="R432" i="2"/>
  <c r="Q432" i="2"/>
  <c r="P432" i="2"/>
  <c r="O432" i="2"/>
  <c r="T431" i="2"/>
  <c r="S431" i="2"/>
  <c r="R431" i="2"/>
  <c r="Q431" i="2"/>
  <c r="P431" i="2"/>
  <c r="O431" i="2"/>
  <c r="T430" i="2"/>
  <c r="S430" i="2"/>
  <c r="R430" i="2"/>
  <c r="Q430" i="2"/>
  <c r="P430" i="2"/>
  <c r="O430" i="2"/>
  <c r="T429" i="2"/>
  <c r="S429" i="2"/>
  <c r="R429" i="2"/>
  <c r="Q429" i="2"/>
  <c r="P429" i="2"/>
  <c r="O429" i="2"/>
  <c r="T428" i="2"/>
  <c r="S428" i="2"/>
  <c r="R428" i="2"/>
  <c r="Q428" i="2"/>
  <c r="P428" i="2"/>
  <c r="O428" i="2"/>
  <c r="T427" i="2"/>
  <c r="S427" i="2"/>
  <c r="R427" i="2"/>
  <c r="Q427" i="2"/>
  <c r="P427" i="2"/>
  <c r="O427" i="2"/>
  <c r="T426" i="2"/>
  <c r="S426" i="2"/>
  <c r="R426" i="2"/>
  <c r="Q426" i="2"/>
  <c r="P426" i="2"/>
  <c r="O426" i="2"/>
  <c r="T425" i="2"/>
  <c r="S425" i="2"/>
  <c r="R425" i="2"/>
  <c r="Q425" i="2"/>
  <c r="P425" i="2"/>
  <c r="O425" i="2"/>
  <c r="T424" i="2"/>
  <c r="S424" i="2"/>
  <c r="R424" i="2"/>
  <c r="Q424" i="2"/>
  <c r="P424" i="2"/>
  <c r="O424" i="2"/>
  <c r="T423" i="2"/>
  <c r="S423" i="2"/>
  <c r="R423" i="2"/>
  <c r="Q423" i="2"/>
  <c r="P423" i="2"/>
  <c r="O423" i="2"/>
  <c r="T422" i="2"/>
  <c r="S422" i="2"/>
  <c r="R422" i="2"/>
  <c r="Q422" i="2"/>
  <c r="P422" i="2"/>
  <c r="O422" i="2"/>
  <c r="T421" i="2"/>
  <c r="S421" i="2"/>
  <c r="R421" i="2"/>
  <c r="Q421" i="2"/>
  <c r="P421" i="2"/>
  <c r="O421" i="2"/>
  <c r="T420" i="2"/>
  <c r="S420" i="2"/>
  <c r="R420" i="2"/>
  <c r="Q420" i="2"/>
  <c r="P420" i="2"/>
  <c r="O420" i="2"/>
  <c r="T419" i="2"/>
  <c r="S419" i="2"/>
  <c r="R419" i="2"/>
  <c r="Q419" i="2"/>
  <c r="P419" i="2"/>
  <c r="O419" i="2"/>
  <c r="T418" i="2"/>
  <c r="S418" i="2"/>
  <c r="R418" i="2"/>
  <c r="Q418" i="2"/>
  <c r="P418" i="2"/>
  <c r="O418" i="2"/>
  <c r="T417" i="2"/>
  <c r="S417" i="2"/>
  <c r="R417" i="2"/>
  <c r="Q417" i="2"/>
  <c r="P417" i="2"/>
  <c r="O417" i="2"/>
  <c r="T416" i="2"/>
  <c r="S416" i="2"/>
  <c r="R416" i="2"/>
  <c r="Q416" i="2"/>
  <c r="P416" i="2"/>
  <c r="O416" i="2"/>
  <c r="T415" i="2"/>
  <c r="S415" i="2"/>
  <c r="R415" i="2"/>
  <c r="Q415" i="2"/>
  <c r="P415" i="2"/>
  <c r="O415" i="2"/>
  <c r="T414" i="2"/>
  <c r="S414" i="2"/>
  <c r="R414" i="2"/>
  <c r="Q414" i="2"/>
  <c r="P414" i="2"/>
  <c r="O414" i="2"/>
  <c r="T413" i="2"/>
  <c r="S413" i="2"/>
  <c r="R413" i="2"/>
  <c r="Q413" i="2"/>
  <c r="P413" i="2"/>
  <c r="O413" i="2"/>
  <c r="T412" i="2"/>
  <c r="S412" i="2"/>
  <c r="R412" i="2"/>
  <c r="Q412" i="2"/>
  <c r="P412" i="2"/>
  <c r="O412" i="2"/>
  <c r="T411" i="2"/>
  <c r="S411" i="2"/>
  <c r="R411" i="2"/>
  <c r="Q411" i="2"/>
  <c r="P411" i="2"/>
  <c r="O411" i="2"/>
  <c r="T410" i="2"/>
  <c r="S410" i="2"/>
  <c r="R410" i="2"/>
  <c r="Q410" i="2"/>
  <c r="P410" i="2"/>
  <c r="O410" i="2"/>
  <c r="T409" i="2"/>
  <c r="S409" i="2"/>
  <c r="R409" i="2"/>
  <c r="Q409" i="2"/>
  <c r="P409" i="2"/>
  <c r="O409" i="2"/>
  <c r="T408" i="2"/>
  <c r="S408" i="2"/>
  <c r="R408" i="2"/>
  <c r="Q408" i="2"/>
  <c r="P408" i="2"/>
  <c r="O408" i="2"/>
  <c r="T407" i="2"/>
  <c r="S407" i="2"/>
  <c r="R407" i="2"/>
  <c r="Q407" i="2"/>
  <c r="P407" i="2"/>
  <c r="O407" i="2"/>
  <c r="T406" i="2"/>
  <c r="S406" i="2"/>
  <c r="R406" i="2"/>
  <c r="Q406" i="2"/>
  <c r="P406" i="2"/>
  <c r="O406" i="2"/>
  <c r="T405" i="2"/>
  <c r="S405" i="2"/>
  <c r="R405" i="2"/>
  <c r="Q405" i="2"/>
  <c r="P405" i="2"/>
  <c r="O405" i="2"/>
  <c r="T404" i="2"/>
  <c r="S404" i="2"/>
  <c r="R404" i="2"/>
  <c r="Q404" i="2"/>
  <c r="P404" i="2"/>
  <c r="O404" i="2"/>
  <c r="T403" i="2"/>
  <c r="S403" i="2"/>
  <c r="R403" i="2"/>
  <c r="Q403" i="2"/>
  <c r="P403" i="2"/>
  <c r="O403" i="2"/>
  <c r="T402" i="2"/>
  <c r="S402" i="2"/>
  <c r="R402" i="2"/>
  <c r="Q402" i="2"/>
  <c r="P402" i="2"/>
  <c r="O402" i="2"/>
  <c r="T401" i="2"/>
  <c r="S401" i="2"/>
  <c r="R401" i="2"/>
  <c r="Q401" i="2"/>
  <c r="P401" i="2"/>
  <c r="O401" i="2"/>
  <c r="T400" i="2"/>
  <c r="S400" i="2"/>
  <c r="R400" i="2"/>
  <c r="Q400" i="2"/>
  <c r="P400" i="2"/>
  <c r="O400" i="2"/>
  <c r="T399" i="2"/>
  <c r="S399" i="2"/>
  <c r="R399" i="2"/>
  <c r="Q399" i="2"/>
  <c r="P399" i="2"/>
  <c r="O399" i="2"/>
  <c r="T398" i="2"/>
  <c r="S398" i="2"/>
  <c r="R398" i="2"/>
  <c r="Q398" i="2"/>
  <c r="P398" i="2"/>
  <c r="O398" i="2"/>
  <c r="T397" i="2"/>
  <c r="S397" i="2"/>
  <c r="R397" i="2"/>
  <c r="Q397" i="2"/>
  <c r="P397" i="2"/>
  <c r="O397" i="2"/>
  <c r="T396" i="2"/>
  <c r="S396" i="2"/>
  <c r="R396" i="2"/>
  <c r="Q396" i="2"/>
  <c r="P396" i="2"/>
  <c r="O396" i="2"/>
  <c r="T395" i="2"/>
  <c r="S395" i="2"/>
  <c r="R395" i="2"/>
  <c r="Q395" i="2"/>
  <c r="P395" i="2"/>
  <c r="O395" i="2"/>
  <c r="T394" i="2"/>
  <c r="S394" i="2"/>
  <c r="R394" i="2"/>
  <c r="Q394" i="2"/>
  <c r="P394" i="2"/>
  <c r="O394" i="2"/>
  <c r="T393" i="2"/>
  <c r="S393" i="2"/>
  <c r="R393" i="2"/>
  <c r="Q393" i="2"/>
  <c r="P393" i="2"/>
  <c r="O393" i="2"/>
  <c r="T392" i="2"/>
  <c r="S392" i="2"/>
  <c r="R392" i="2"/>
  <c r="Q392" i="2"/>
  <c r="P392" i="2"/>
  <c r="O392" i="2"/>
  <c r="T391" i="2"/>
  <c r="S391" i="2"/>
  <c r="R391" i="2"/>
  <c r="Q391" i="2"/>
  <c r="P391" i="2"/>
  <c r="O391" i="2"/>
  <c r="T390" i="2"/>
  <c r="S390" i="2"/>
  <c r="R390" i="2"/>
  <c r="Q390" i="2"/>
  <c r="P390" i="2"/>
  <c r="O390" i="2"/>
  <c r="T389" i="2"/>
  <c r="S389" i="2"/>
  <c r="R389" i="2"/>
  <c r="Q389" i="2"/>
  <c r="P389" i="2"/>
  <c r="O389" i="2"/>
  <c r="T388" i="2"/>
  <c r="S388" i="2"/>
  <c r="R388" i="2"/>
  <c r="Q388" i="2"/>
  <c r="P388" i="2"/>
  <c r="O388" i="2"/>
  <c r="T387" i="2"/>
  <c r="S387" i="2"/>
  <c r="R387" i="2"/>
  <c r="Q387" i="2"/>
  <c r="P387" i="2"/>
  <c r="O387" i="2"/>
  <c r="T386" i="2"/>
  <c r="S386" i="2"/>
  <c r="R386" i="2"/>
  <c r="Q386" i="2"/>
  <c r="P386" i="2"/>
  <c r="O386" i="2"/>
  <c r="T385" i="2"/>
  <c r="S385" i="2"/>
  <c r="R385" i="2"/>
  <c r="Q385" i="2"/>
  <c r="P385" i="2"/>
  <c r="O385" i="2"/>
  <c r="T384" i="2"/>
  <c r="S384" i="2"/>
  <c r="R384" i="2"/>
  <c r="Q384" i="2"/>
  <c r="P384" i="2"/>
  <c r="O384" i="2"/>
  <c r="T383" i="2"/>
  <c r="S383" i="2"/>
  <c r="R383" i="2"/>
  <c r="Q383" i="2"/>
  <c r="P383" i="2"/>
  <c r="O383" i="2"/>
  <c r="T382" i="2"/>
  <c r="S382" i="2"/>
  <c r="R382" i="2"/>
  <c r="Q382" i="2"/>
  <c r="P382" i="2"/>
  <c r="O382" i="2"/>
  <c r="T381" i="2"/>
  <c r="S381" i="2"/>
  <c r="R381" i="2"/>
  <c r="Q381" i="2"/>
  <c r="P381" i="2"/>
  <c r="O381" i="2"/>
  <c r="T380" i="2"/>
  <c r="S380" i="2"/>
  <c r="R380" i="2"/>
  <c r="Q380" i="2"/>
  <c r="P380" i="2"/>
  <c r="O380" i="2"/>
  <c r="T379" i="2"/>
  <c r="S379" i="2"/>
  <c r="R379" i="2"/>
  <c r="Q379" i="2"/>
  <c r="P379" i="2"/>
  <c r="O379" i="2"/>
  <c r="T378" i="2"/>
  <c r="S378" i="2"/>
  <c r="R378" i="2"/>
  <c r="Q378" i="2"/>
  <c r="P378" i="2"/>
  <c r="O378" i="2"/>
  <c r="T377" i="2"/>
  <c r="S377" i="2"/>
  <c r="R377" i="2"/>
  <c r="Q377" i="2"/>
  <c r="P377" i="2"/>
  <c r="O377" i="2"/>
  <c r="T376" i="2"/>
  <c r="S376" i="2"/>
  <c r="R376" i="2"/>
  <c r="Q376" i="2"/>
  <c r="P376" i="2"/>
  <c r="O376" i="2"/>
  <c r="T375" i="2"/>
  <c r="S375" i="2"/>
  <c r="R375" i="2"/>
  <c r="Q375" i="2"/>
  <c r="P375" i="2"/>
  <c r="O375" i="2"/>
  <c r="T374" i="2"/>
  <c r="S374" i="2"/>
  <c r="R374" i="2"/>
  <c r="Q374" i="2"/>
  <c r="P374" i="2"/>
  <c r="O374" i="2"/>
  <c r="T373" i="2"/>
  <c r="S373" i="2"/>
  <c r="R373" i="2"/>
  <c r="Q373" i="2"/>
  <c r="P373" i="2"/>
  <c r="O373" i="2"/>
  <c r="T372" i="2"/>
  <c r="S372" i="2"/>
  <c r="R372" i="2"/>
  <c r="Q372" i="2"/>
  <c r="P372" i="2"/>
  <c r="O372" i="2"/>
  <c r="T371" i="2"/>
  <c r="S371" i="2"/>
  <c r="R371" i="2"/>
  <c r="Q371" i="2"/>
  <c r="P371" i="2"/>
  <c r="O371" i="2"/>
  <c r="T370" i="2"/>
  <c r="S370" i="2"/>
  <c r="R370" i="2"/>
  <c r="Q370" i="2"/>
  <c r="P370" i="2"/>
  <c r="O370" i="2"/>
  <c r="T369" i="2"/>
  <c r="S369" i="2"/>
  <c r="R369" i="2"/>
  <c r="Q369" i="2"/>
  <c r="P369" i="2"/>
  <c r="O369" i="2"/>
  <c r="T368" i="2"/>
  <c r="S368" i="2"/>
  <c r="R368" i="2"/>
  <c r="Q368" i="2"/>
  <c r="P368" i="2"/>
  <c r="O368" i="2"/>
  <c r="T367" i="2"/>
  <c r="S367" i="2"/>
  <c r="R367" i="2"/>
  <c r="Q367" i="2"/>
  <c r="P367" i="2"/>
  <c r="O367" i="2"/>
  <c r="T366" i="2"/>
  <c r="S366" i="2"/>
  <c r="R366" i="2"/>
  <c r="Q366" i="2"/>
  <c r="P366" i="2"/>
  <c r="O366" i="2"/>
  <c r="T365" i="2"/>
  <c r="S365" i="2"/>
  <c r="R365" i="2"/>
  <c r="Q365" i="2"/>
  <c r="P365" i="2"/>
  <c r="O365" i="2"/>
  <c r="T364" i="2"/>
  <c r="S364" i="2"/>
  <c r="R364" i="2"/>
  <c r="Q364" i="2"/>
  <c r="P364" i="2"/>
  <c r="O364" i="2"/>
  <c r="T363" i="2"/>
  <c r="S363" i="2"/>
  <c r="R363" i="2"/>
  <c r="Q363" i="2"/>
  <c r="P363" i="2"/>
  <c r="O363" i="2"/>
  <c r="T362" i="2"/>
  <c r="S362" i="2"/>
  <c r="R362" i="2"/>
  <c r="Q362" i="2"/>
  <c r="P362" i="2"/>
  <c r="O362" i="2"/>
  <c r="T361" i="2"/>
  <c r="S361" i="2"/>
  <c r="R361" i="2"/>
  <c r="Q361" i="2"/>
  <c r="P361" i="2"/>
  <c r="O361" i="2"/>
  <c r="T360" i="2"/>
  <c r="S360" i="2"/>
  <c r="R360" i="2"/>
  <c r="Q360" i="2"/>
  <c r="P360" i="2"/>
  <c r="O360" i="2"/>
  <c r="T359" i="2"/>
  <c r="S359" i="2"/>
  <c r="R359" i="2"/>
  <c r="Q359" i="2"/>
  <c r="P359" i="2"/>
  <c r="O359" i="2"/>
  <c r="T358" i="2"/>
  <c r="S358" i="2"/>
  <c r="R358" i="2"/>
  <c r="Q358" i="2"/>
  <c r="P358" i="2"/>
  <c r="O358" i="2"/>
  <c r="T357" i="2"/>
  <c r="S357" i="2"/>
  <c r="R357" i="2"/>
  <c r="Q357" i="2"/>
  <c r="P357" i="2"/>
  <c r="O357" i="2"/>
  <c r="T356" i="2"/>
  <c r="S356" i="2"/>
  <c r="R356" i="2"/>
  <c r="Q356" i="2"/>
  <c r="P356" i="2"/>
  <c r="O356" i="2"/>
  <c r="T355" i="2"/>
  <c r="S355" i="2"/>
  <c r="R355" i="2"/>
  <c r="Q355" i="2"/>
  <c r="P355" i="2"/>
  <c r="O355" i="2"/>
  <c r="T354" i="2"/>
  <c r="S354" i="2"/>
  <c r="R354" i="2"/>
  <c r="Q354" i="2"/>
  <c r="P354" i="2"/>
  <c r="O354" i="2"/>
  <c r="T353" i="2"/>
  <c r="S353" i="2"/>
  <c r="R353" i="2"/>
  <c r="Q353" i="2"/>
  <c r="P353" i="2"/>
  <c r="O353" i="2"/>
  <c r="T352" i="2"/>
  <c r="S352" i="2"/>
  <c r="R352" i="2"/>
  <c r="Q352" i="2"/>
  <c r="P352" i="2"/>
  <c r="O352" i="2"/>
  <c r="T351" i="2"/>
  <c r="S351" i="2"/>
  <c r="R351" i="2"/>
  <c r="Q351" i="2"/>
  <c r="P351" i="2"/>
  <c r="O351" i="2"/>
  <c r="T350" i="2"/>
  <c r="S350" i="2"/>
  <c r="R350" i="2"/>
  <c r="Q350" i="2"/>
  <c r="P350" i="2"/>
  <c r="O350" i="2"/>
  <c r="T349" i="2"/>
  <c r="S349" i="2"/>
  <c r="R349" i="2"/>
  <c r="Q349" i="2"/>
  <c r="P349" i="2"/>
  <c r="O349" i="2"/>
  <c r="T348" i="2"/>
  <c r="S348" i="2"/>
  <c r="R348" i="2"/>
  <c r="Q348" i="2"/>
  <c r="P348" i="2"/>
  <c r="O348" i="2"/>
  <c r="T347" i="2"/>
  <c r="S347" i="2"/>
  <c r="R347" i="2"/>
  <c r="Q347" i="2"/>
  <c r="P347" i="2"/>
  <c r="O347" i="2"/>
  <c r="T346" i="2"/>
  <c r="S346" i="2"/>
  <c r="R346" i="2"/>
  <c r="Q346" i="2"/>
  <c r="P346" i="2"/>
  <c r="O346" i="2"/>
  <c r="T345" i="2"/>
  <c r="S345" i="2"/>
  <c r="R345" i="2"/>
  <c r="Q345" i="2"/>
  <c r="P345" i="2"/>
  <c r="O345" i="2"/>
  <c r="T344" i="2"/>
  <c r="S344" i="2"/>
  <c r="R344" i="2"/>
  <c r="Q344" i="2"/>
  <c r="P344" i="2"/>
  <c r="O344" i="2"/>
  <c r="T343" i="2"/>
  <c r="S343" i="2"/>
  <c r="R343" i="2"/>
  <c r="Q343" i="2"/>
  <c r="P343" i="2"/>
  <c r="O343" i="2"/>
  <c r="T342" i="2"/>
  <c r="S342" i="2"/>
  <c r="R342" i="2"/>
  <c r="Q342" i="2"/>
  <c r="P342" i="2"/>
  <c r="O342" i="2"/>
  <c r="T341" i="2"/>
  <c r="S341" i="2"/>
  <c r="R341" i="2"/>
  <c r="Q341" i="2"/>
  <c r="P341" i="2"/>
  <c r="O341" i="2"/>
  <c r="T340" i="2"/>
  <c r="S340" i="2"/>
  <c r="R340" i="2"/>
  <c r="Q340" i="2"/>
  <c r="P340" i="2"/>
  <c r="O340" i="2"/>
  <c r="T339" i="2"/>
  <c r="S339" i="2"/>
  <c r="R339" i="2"/>
  <c r="Q339" i="2"/>
  <c r="P339" i="2"/>
  <c r="O339" i="2"/>
  <c r="T338" i="2"/>
  <c r="S338" i="2"/>
  <c r="R338" i="2"/>
  <c r="Q338" i="2"/>
  <c r="P338" i="2"/>
  <c r="O338" i="2"/>
  <c r="T337" i="2"/>
  <c r="S337" i="2"/>
  <c r="R337" i="2"/>
  <c r="Q337" i="2"/>
  <c r="P337" i="2"/>
  <c r="O337" i="2"/>
  <c r="T336" i="2"/>
  <c r="S336" i="2"/>
  <c r="R336" i="2"/>
  <c r="Q336" i="2"/>
  <c r="P336" i="2"/>
  <c r="O336" i="2"/>
  <c r="T335" i="2"/>
  <c r="S335" i="2"/>
  <c r="R335" i="2"/>
  <c r="Q335" i="2"/>
  <c r="P335" i="2"/>
  <c r="O335" i="2"/>
  <c r="T334" i="2"/>
  <c r="S334" i="2"/>
  <c r="R334" i="2"/>
  <c r="Q334" i="2"/>
  <c r="P334" i="2"/>
  <c r="O334" i="2"/>
  <c r="T333" i="2"/>
  <c r="S333" i="2"/>
  <c r="R333" i="2"/>
  <c r="Q333" i="2"/>
  <c r="P333" i="2"/>
  <c r="O333" i="2"/>
  <c r="T332" i="2"/>
  <c r="S332" i="2"/>
  <c r="R332" i="2"/>
  <c r="Q332" i="2"/>
  <c r="P332" i="2"/>
  <c r="O332" i="2"/>
  <c r="T331" i="2"/>
  <c r="S331" i="2"/>
  <c r="R331" i="2"/>
  <c r="Q331" i="2"/>
  <c r="P331" i="2"/>
  <c r="O331" i="2"/>
  <c r="T330" i="2"/>
  <c r="S330" i="2"/>
  <c r="R330" i="2"/>
  <c r="Q330" i="2"/>
  <c r="P330" i="2"/>
  <c r="O330" i="2"/>
  <c r="T329" i="2"/>
  <c r="S329" i="2"/>
  <c r="R329" i="2"/>
  <c r="Q329" i="2"/>
  <c r="P329" i="2"/>
  <c r="O329" i="2"/>
  <c r="T328" i="2"/>
  <c r="S328" i="2"/>
  <c r="R328" i="2"/>
  <c r="Q328" i="2"/>
  <c r="P328" i="2"/>
  <c r="O328" i="2"/>
  <c r="T327" i="2"/>
  <c r="S327" i="2"/>
  <c r="R327" i="2"/>
  <c r="Q327" i="2"/>
  <c r="P327" i="2"/>
  <c r="O327" i="2"/>
  <c r="T326" i="2"/>
  <c r="S326" i="2"/>
  <c r="R326" i="2"/>
  <c r="Q326" i="2"/>
  <c r="P326" i="2"/>
  <c r="O326" i="2"/>
  <c r="T325" i="2"/>
  <c r="S325" i="2"/>
  <c r="R325" i="2"/>
  <c r="Q325" i="2"/>
  <c r="P325" i="2"/>
  <c r="O325" i="2"/>
  <c r="T324" i="2"/>
  <c r="S324" i="2"/>
  <c r="R324" i="2"/>
  <c r="Q324" i="2"/>
  <c r="P324" i="2"/>
  <c r="O324" i="2"/>
  <c r="T323" i="2"/>
  <c r="S323" i="2"/>
  <c r="R323" i="2"/>
  <c r="Q323" i="2"/>
  <c r="P323" i="2"/>
  <c r="O323" i="2"/>
  <c r="T322" i="2"/>
  <c r="S322" i="2"/>
  <c r="R322" i="2"/>
  <c r="Q322" i="2"/>
  <c r="P322" i="2"/>
  <c r="O322" i="2"/>
  <c r="T321" i="2"/>
  <c r="S321" i="2"/>
  <c r="R321" i="2"/>
  <c r="Q321" i="2"/>
  <c r="P321" i="2"/>
  <c r="O321" i="2"/>
  <c r="T320" i="2"/>
  <c r="S320" i="2"/>
  <c r="R320" i="2"/>
  <c r="Q320" i="2"/>
  <c r="P320" i="2"/>
  <c r="O320" i="2"/>
  <c r="T319" i="2"/>
  <c r="S319" i="2"/>
  <c r="R319" i="2"/>
  <c r="Q319" i="2"/>
  <c r="P319" i="2"/>
  <c r="O319" i="2"/>
  <c r="T318" i="2"/>
  <c r="S318" i="2"/>
  <c r="R318" i="2"/>
  <c r="Q318" i="2"/>
  <c r="P318" i="2"/>
  <c r="O318" i="2"/>
  <c r="T317" i="2"/>
  <c r="S317" i="2"/>
  <c r="R317" i="2"/>
  <c r="Q317" i="2"/>
  <c r="P317" i="2"/>
  <c r="O317" i="2"/>
  <c r="T316" i="2"/>
  <c r="S316" i="2"/>
  <c r="R316" i="2"/>
  <c r="Q316" i="2"/>
  <c r="P316" i="2"/>
  <c r="O316" i="2"/>
  <c r="T315" i="2"/>
  <c r="S315" i="2"/>
  <c r="R315" i="2"/>
  <c r="Q315" i="2"/>
  <c r="P315" i="2"/>
  <c r="O315" i="2"/>
  <c r="T314" i="2"/>
  <c r="S314" i="2"/>
  <c r="R314" i="2"/>
  <c r="Q314" i="2"/>
  <c r="P314" i="2"/>
  <c r="O314" i="2"/>
  <c r="T313" i="2"/>
  <c r="S313" i="2"/>
  <c r="R313" i="2"/>
  <c r="Q313" i="2"/>
  <c r="P313" i="2"/>
  <c r="O313" i="2"/>
  <c r="T312" i="2"/>
  <c r="S312" i="2"/>
  <c r="R312" i="2"/>
  <c r="Q312" i="2"/>
  <c r="P312" i="2"/>
  <c r="O312" i="2"/>
  <c r="T311" i="2"/>
  <c r="S311" i="2"/>
  <c r="R311" i="2"/>
  <c r="Q311" i="2"/>
  <c r="P311" i="2"/>
  <c r="O311" i="2"/>
  <c r="T310" i="2"/>
  <c r="S310" i="2"/>
  <c r="R310" i="2"/>
  <c r="Q310" i="2"/>
  <c r="P310" i="2"/>
  <c r="O310" i="2"/>
  <c r="T309" i="2"/>
  <c r="S309" i="2"/>
  <c r="R309" i="2"/>
  <c r="Q309" i="2"/>
  <c r="P309" i="2"/>
  <c r="O309" i="2"/>
  <c r="T308" i="2"/>
  <c r="S308" i="2"/>
  <c r="R308" i="2"/>
  <c r="Q308" i="2"/>
  <c r="P308" i="2"/>
  <c r="O308" i="2"/>
  <c r="T307" i="2"/>
  <c r="S307" i="2"/>
  <c r="R307" i="2"/>
  <c r="Q307" i="2"/>
  <c r="P307" i="2"/>
  <c r="O307" i="2"/>
  <c r="T306" i="2"/>
  <c r="S306" i="2"/>
  <c r="R306" i="2"/>
  <c r="Q306" i="2"/>
  <c r="P306" i="2"/>
  <c r="O306" i="2"/>
  <c r="T305" i="2"/>
  <c r="S305" i="2"/>
  <c r="R305" i="2"/>
  <c r="Q305" i="2"/>
  <c r="P305" i="2"/>
  <c r="O305" i="2"/>
  <c r="T304" i="2"/>
  <c r="S304" i="2"/>
  <c r="R304" i="2"/>
  <c r="Q304" i="2"/>
  <c r="P304" i="2"/>
  <c r="O304" i="2"/>
  <c r="T303" i="2"/>
  <c r="S303" i="2"/>
  <c r="R303" i="2"/>
  <c r="Q303" i="2"/>
  <c r="P303" i="2"/>
  <c r="O303" i="2"/>
  <c r="T302" i="2"/>
  <c r="S302" i="2"/>
  <c r="R302" i="2"/>
  <c r="Q302" i="2"/>
  <c r="P302" i="2"/>
  <c r="O302" i="2"/>
  <c r="T301" i="2"/>
  <c r="S301" i="2"/>
  <c r="R301" i="2"/>
  <c r="Q301" i="2"/>
  <c r="P301" i="2"/>
  <c r="O301" i="2"/>
  <c r="T300" i="2"/>
  <c r="S300" i="2"/>
  <c r="R300" i="2"/>
  <c r="Q300" i="2"/>
  <c r="P300" i="2"/>
  <c r="O300" i="2"/>
  <c r="T299" i="2"/>
  <c r="S299" i="2"/>
  <c r="R299" i="2"/>
  <c r="Q299" i="2"/>
  <c r="P299" i="2"/>
  <c r="O299" i="2"/>
  <c r="T298" i="2"/>
  <c r="S298" i="2"/>
  <c r="R298" i="2"/>
  <c r="Q298" i="2"/>
  <c r="P298" i="2"/>
  <c r="O298" i="2"/>
  <c r="T297" i="2"/>
  <c r="S297" i="2"/>
  <c r="R297" i="2"/>
  <c r="Q297" i="2"/>
  <c r="P297" i="2"/>
  <c r="O297" i="2"/>
  <c r="T296" i="2"/>
  <c r="S296" i="2"/>
  <c r="R296" i="2"/>
  <c r="Q296" i="2"/>
  <c r="P296" i="2"/>
  <c r="O296" i="2"/>
  <c r="T295" i="2"/>
  <c r="S295" i="2"/>
  <c r="R295" i="2"/>
  <c r="Q295" i="2"/>
  <c r="P295" i="2"/>
  <c r="O295" i="2"/>
  <c r="T294" i="2"/>
  <c r="S294" i="2"/>
  <c r="R294" i="2"/>
  <c r="Q294" i="2"/>
  <c r="P294" i="2"/>
  <c r="O294" i="2"/>
  <c r="T293" i="2"/>
  <c r="S293" i="2"/>
  <c r="R293" i="2"/>
  <c r="Q293" i="2"/>
  <c r="P293" i="2"/>
  <c r="O293" i="2"/>
  <c r="T292" i="2"/>
  <c r="S292" i="2"/>
  <c r="R292" i="2"/>
  <c r="Q292" i="2"/>
  <c r="P292" i="2"/>
  <c r="O292" i="2"/>
  <c r="T291" i="2"/>
  <c r="S291" i="2"/>
  <c r="R291" i="2"/>
  <c r="Q291" i="2"/>
  <c r="P291" i="2"/>
  <c r="O291" i="2"/>
  <c r="T290" i="2"/>
  <c r="S290" i="2"/>
  <c r="R290" i="2"/>
  <c r="Q290" i="2"/>
  <c r="P290" i="2"/>
  <c r="O290" i="2"/>
  <c r="T289" i="2"/>
  <c r="S289" i="2"/>
  <c r="R289" i="2"/>
  <c r="Q289" i="2"/>
  <c r="P289" i="2"/>
  <c r="O289" i="2"/>
  <c r="T288" i="2"/>
  <c r="S288" i="2"/>
  <c r="R288" i="2"/>
  <c r="Q288" i="2"/>
  <c r="P288" i="2"/>
  <c r="O288" i="2"/>
  <c r="T287" i="2"/>
  <c r="S287" i="2"/>
  <c r="R287" i="2"/>
  <c r="Q287" i="2"/>
  <c r="P287" i="2"/>
  <c r="O287" i="2"/>
  <c r="T286" i="2"/>
  <c r="S286" i="2"/>
  <c r="R286" i="2"/>
  <c r="Q286" i="2"/>
  <c r="P286" i="2"/>
  <c r="O286" i="2"/>
  <c r="T285" i="2"/>
  <c r="S285" i="2"/>
  <c r="R285" i="2"/>
  <c r="Q285" i="2"/>
  <c r="P285" i="2"/>
  <c r="O285" i="2"/>
  <c r="T284" i="2"/>
  <c r="S284" i="2"/>
  <c r="R284" i="2"/>
  <c r="Q284" i="2"/>
  <c r="P284" i="2"/>
  <c r="O284" i="2"/>
  <c r="T283" i="2"/>
  <c r="S283" i="2"/>
  <c r="R283" i="2"/>
  <c r="Q283" i="2"/>
  <c r="P283" i="2"/>
  <c r="O283" i="2"/>
  <c r="T282" i="2"/>
  <c r="S282" i="2"/>
  <c r="R282" i="2"/>
  <c r="Q282" i="2"/>
  <c r="P282" i="2"/>
  <c r="O282" i="2"/>
  <c r="T281" i="2"/>
  <c r="S281" i="2"/>
  <c r="R281" i="2"/>
  <c r="Q281" i="2"/>
  <c r="P281" i="2"/>
  <c r="O281" i="2"/>
  <c r="T280" i="2"/>
  <c r="S280" i="2"/>
  <c r="R280" i="2"/>
  <c r="Q280" i="2"/>
  <c r="P280" i="2"/>
  <c r="O280" i="2"/>
  <c r="T279" i="2"/>
  <c r="S279" i="2"/>
  <c r="R279" i="2"/>
  <c r="Q279" i="2"/>
  <c r="P279" i="2"/>
  <c r="O279" i="2"/>
  <c r="T278" i="2"/>
  <c r="S278" i="2"/>
  <c r="H22" i="1" s="1"/>
  <c r="R278" i="2"/>
  <c r="Q278" i="2"/>
  <c r="P278" i="2"/>
  <c r="O278" i="2"/>
  <c r="T277" i="2"/>
  <c r="S277" i="2"/>
  <c r="H21" i="1" s="1"/>
  <c r="R277" i="2"/>
  <c r="Q277" i="2"/>
  <c r="P277" i="2"/>
  <c r="O277" i="2"/>
  <c r="T276" i="2"/>
  <c r="S276" i="2"/>
  <c r="R276" i="2"/>
  <c r="Q276" i="2"/>
  <c r="P276" i="2"/>
  <c r="O276" i="2"/>
  <c r="T275" i="2"/>
  <c r="S275" i="2"/>
  <c r="R275" i="2"/>
  <c r="Q275" i="2"/>
  <c r="P275" i="2"/>
  <c r="O275" i="2"/>
  <c r="T274" i="2"/>
  <c r="S274" i="2"/>
  <c r="R274" i="2"/>
  <c r="Q274" i="2"/>
  <c r="P274" i="2"/>
  <c r="O274" i="2"/>
  <c r="T273" i="2"/>
  <c r="S273" i="2"/>
  <c r="R273" i="2"/>
  <c r="Q273" i="2"/>
  <c r="P273" i="2"/>
  <c r="O273" i="2"/>
  <c r="T272" i="2"/>
  <c r="S272" i="2"/>
  <c r="R272" i="2"/>
  <c r="Q272" i="2"/>
  <c r="P272" i="2"/>
  <c r="O272" i="2"/>
  <c r="T271" i="2"/>
  <c r="S271" i="2"/>
  <c r="H76" i="1" s="1"/>
  <c r="R271" i="2"/>
  <c r="Q271" i="2"/>
  <c r="P271" i="2"/>
  <c r="O271" i="2"/>
  <c r="T270" i="2"/>
  <c r="S270" i="2"/>
  <c r="R270" i="2"/>
  <c r="Q270" i="2"/>
  <c r="P270" i="2"/>
  <c r="O270" i="2"/>
  <c r="T269" i="2"/>
  <c r="S269" i="2"/>
  <c r="R269" i="2"/>
  <c r="Q269" i="2"/>
  <c r="P269" i="2"/>
  <c r="O269" i="2"/>
  <c r="T268" i="2"/>
  <c r="S268" i="2"/>
  <c r="R268" i="2"/>
  <c r="Q268" i="2"/>
  <c r="P268" i="2"/>
  <c r="O268" i="2"/>
  <c r="T267" i="2"/>
  <c r="S267" i="2"/>
  <c r="R267" i="2"/>
  <c r="Q267" i="2"/>
  <c r="P267" i="2"/>
  <c r="O267" i="2"/>
  <c r="T266" i="2"/>
  <c r="S266" i="2"/>
  <c r="R266" i="2"/>
  <c r="Q266" i="2"/>
  <c r="P266" i="2"/>
  <c r="O266" i="2"/>
  <c r="T265" i="2"/>
  <c r="S265" i="2"/>
  <c r="R265" i="2"/>
  <c r="Q265" i="2"/>
  <c r="P265" i="2"/>
  <c r="O265" i="2"/>
  <c r="T264" i="2"/>
  <c r="S264" i="2"/>
  <c r="R264" i="2"/>
  <c r="Q264" i="2"/>
  <c r="P264" i="2"/>
  <c r="O264" i="2"/>
  <c r="T263" i="2"/>
  <c r="S263" i="2"/>
  <c r="R263" i="2"/>
  <c r="Q263" i="2"/>
  <c r="P263" i="2"/>
  <c r="O263" i="2"/>
  <c r="T262" i="2"/>
  <c r="S262" i="2"/>
  <c r="R262" i="2"/>
  <c r="Q262" i="2"/>
  <c r="P262" i="2"/>
  <c r="O262" i="2"/>
  <c r="T261" i="2"/>
  <c r="S261" i="2"/>
  <c r="R261" i="2"/>
  <c r="Q261" i="2"/>
  <c r="P261" i="2"/>
  <c r="O261" i="2"/>
  <c r="T260" i="2"/>
  <c r="S260" i="2"/>
  <c r="R260" i="2"/>
  <c r="Q260" i="2"/>
  <c r="P260" i="2"/>
  <c r="O260" i="2"/>
  <c r="T259" i="2"/>
  <c r="S259" i="2"/>
  <c r="R259" i="2"/>
  <c r="Q259" i="2"/>
  <c r="P259" i="2"/>
  <c r="O259" i="2"/>
  <c r="T258" i="2"/>
  <c r="S258" i="2"/>
  <c r="R258" i="2"/>
  <c r="Q258" i="2"/>
  <c r="P258" i="2"/>
  <c r="O258" i="2"/>
  <c r="T257" i="2"/>
  <c r="S257" i="2"/>
  <c r="R257" i="2"/>
  <c r="Q257" i="2"/>
  <c r="P257" i="2"/>
  <c r="O257" i="2"/>
  <c r="T256" i="2"/>
  <c r="S256" i="2"/>
  <c r="R256" i="2"/>
  <c r="Q256" i="2"/>
  <c r="P256" i="2"/>
  <c r="O256" i="2"/>
  <c r="T255" i="2"/>
  <c r="S255" i="2"/>
  <c r="R255" i="2"/>
  <c r="Q255" i="2"/>
  <c r="P255" i="2"/>
  <c r="O255" i="2"/>
  <c r="T254" i="2"/>
  <c r="S254" i="2"/>
  <c r="R254" i="2"/>
  <c r="Q254" i="2"/>
  <c r="P254" i="2"/>
  <c r="O254" i="2"/>
  <c r="T253" i="2"/>
  <c r="S253" i="2"/>
  <c r="R253" i="2"/>
  <c r="Q253" i="2"/>
  <c r="P253" i="2"/>
  <c r="O253" i="2"/>
  <c r="T252" i="2"/>
  <c r="S252" i="2"/>
  <c r="R252" i="2"/>
  <c r="Q252" i="2"/>
  <c r="P252" i="2"/>
  <c r="O252" i="2"/>
  <c r="T251" i="2"/>
  <c r="S251" i="2"/>
  <c r="R251" i="2"/>
  <c r="Q251" i="2"/>
  <c r="P251" i="2"/>
  <c r="O251" i="2"/>
  <c r="T250" i="2"/>
  <c r="S250" i="2"/>
  <c r="R250" i="2"/>
  <c r="Q250" i="2"/>
  <c r="P250" i="2"/>
  <c r="O250" i="2"/>
  <c r="T249" i="2"/>
  <c r="S249" i="2"/>
  <c r="R249" i="2"/>
  <c r="Q249" i="2"/>
  <c r="P249" i="2"/>
  <c r="O249" i="2"/>
  <c r="T248" i="2"/>
  <c r="S248" i="2"/>
  <c r="R248" i="2"/>
  <c r="Q248" i="2"/>
  <c r="P248" i="2"/>
  <c r="O248" i="2"/>
  <c r="T247" i="2"/>
  <c r="S247" i="2"/>
  <c r="R247" i="2"/>
  <c r="Q247" i="2"/>
  <c r="P247" i="2"/>
  <c r="O247" i="2"/>
  <c r="T246" i="2"/>
  <c r="S246" i="2"/>
  <c r="R246" i="2"/>
  <c r="Q246" i="2"/>
  <c r="P246" i="2"/>
  <c r="O246" i="2"/>
  <c r="T245" i="2"/>
  <c r="S245" i="2"/>
  <c r="R245" i="2"/>
  <c r="Q245" i="2"/>
  <c r="P245" i="2"/>
  <c r="O245" i="2"/>
  <c r="T244" i="2"/>
  <c r="S244" i="2"/>
  <c r="R244" i="2"/>
  <c r="Q244" i="2"/>
  <c r="P244" i="2"/>
  <c r="O244" i="2"/>
  <c r="T243" i="2"/>
  <c r="S243" i="2"/>
  <c r="R243" i="2"/>
  <c r="Q243" i="2"/>
  <c r="P243" i="2"/>
  <c r="O243" i="2"/>
  <c r="T242" i="2"/>
  <c r="S242" i="2"/>
  <c r="R242" i="2"/>
  <c r="Q242" i="2"/>
  <c r="P242" i="2"/>
  <c r="O242" i="2"/>
  <c r="T241" i="2"/>
  <c r="S241" i="2"/>
  <c r="R241" i="2"/>
  <c r="Q241" i="2"/>
  <c r="P241" i="2"/>
  <c r="O241" i="2"/>
  <c r="T240" i="2"/>
  <c r="S240" i="2"/>
  <c r="R240" i="2"/>
  <c r="Q240" i="2"/>
  <c r="P240" i="2"/>
  <c r="O240" i="2"/>
  <c r="T239" i="2"/>
  <c r="S239" i="2"/>
  <c r="R239" i="2"/>
  <c r="Q239" i="2"/>
  <c r="P239" i="2"/>
  <c r="O239" i="2"/>
  <c r="T238" i="2"/>
  <c r="S238" i="2"/>
  <c r="R238" i="2"/>
  <c r="Q238" i="2"/>
  <c r="P238" i="2"/>
  <c r="O238" i="2"/>
  <c r="T237" i="2"/>
  <c r="S237" i="2"/>
  <c r="R237" i="2"/>
  <c r="Q237" i="2"/>
  <c r="P237" i="2"/>
  <c r="O237" i="2"/>
  <c r="T236" i="2"/>
  <c r="S236" i="2"/>
  <c r="R236" i="2"/>
  <c r="Q236" i="2"/>
  <c r="P236" i="2"/>
  <c r="O236" i="2"/>
  <c r="T235" i="2"/>
  <c r="S235" i="2"/>
  <c r="R235" i="2"/>
  <c r="Q235" i="2"/>
  <c r="P235" i="2"/>
  <c r="O235" i="2"/>
  <c r="T234" i="2"/>
  <c r="S234" i="2"/>
  <c r="R234" i="2"/>
  <c r="Q234" i="2"/>
  <c r="P234" i="2"/>
  <c r="O234" i="2"/>
  <c r="T233" i="2"/>
  <c r="S233" i="2"/>
  <c r="R233" i="2"/>
  <c r="Q233" i="2"/>
  <c r="P233" i="2"/>
  <c r="O233" i="2"/>
  <c r="T232" i="2"/>
  <c r="S232" i="2"/>
  <c r="R232" i="2"/>
  <c r="Q232" i="2"/>
  <c r="P232" i="2"/>
  <c r="O232" i="2"/>
  <c r="T231" i="2"/>
  <c r="S231" i="2"/>
  <c r="R231" i="2"/>
  <c r="Q231" i="2"/>
  <c r="P231" i="2"/>
  <c r="O231" i="2"/>
  <c r="T230" i="2"/>
  <c r="S230" i="2"/>
  <c r="R230" i="2"/>
  <c r="Q230" i="2"/>
  <c r="P230" i="2"/>
  <c r="O230" i="2"/>
  <c r="T229" i="2"/>
  <c r="S229" i="2"/>
  <c r="R229" i="2"/>
  <c r="Q229" i="2"/>
  <c r="P229" i="2"/>
  <c r="O229" i="2"/>
  <c r="T228" i="2"/>
  <c r="S228" i="2"/>
  <c r="R228" i="2"/>
  <c r="Q228" i="2"/>
  <c r="P228" i="2"/>
  <c r="O228" i="2"/>
  <c r="T227" i="2"/>
  <c r="S227" i="2"/>
  <c r="R227" i="2"/>
  <c r="Q227" i="2"/>
  <c r="P227" i="2"/>
  <c r="O227" i="2"/>
  <c r="T226" i="2"/>
  <c r="S226" i="2"/>
  <c r="R226" i="2"/>
  <c r="Q226" i="2"/>
  <c r="P226" i="2"/>
  <c r="O226" i="2"/>
  <c r="T225" i="2"/>
  <c r="S225" i="2"/>
  <c r="R225" i="2"/>
  <c r="Q225" i="2"/>
  <c r="P225" i="2"/>
  <c r="O225" i="2"/>
  <c r="T224" i="2"/>
  <c r="S224" i="2"/>
  <c r="R224" i="2"/>
  <c r="Q224" i="2"/>
  <c r="P224" i="2"/>
  <c r="O224" i="2"/>
  <c r="T223" i="2"/>
  <c r="S223" i="2"/>
  <c r="R223" i="2"/>
  <c r="Q223" i="2"/>
  <c r="P223" i="2"/>
  <c r="O223" i="2"/>
  <c r="T222" i="2"/>
  <c r="S222" i="2"/>
  <c r="R222" i="2"/>
  <c r="Q222" i="2"/>
  <c r="P222" i="2"/>
  <c r="O222" i="2"/>
  <c r="T221" i="2"/>
  <c r="S221" i="2"/>
  <c r="R221" i="2"/>
  <c r="Q221" i="2"/>
  <c r="P221" i="2"/>
  <c r="O221" i="2"/>
  <c r="T220" i="2"/>
  <c r="S220" i="2"/>
  <c r="R220" i="2"/>
  <c r="Q220" i="2"/>
  <c r="P220" i="2"/>
  <c r="O220" i="2"/>
  <c r="T219" i="2"/>
  <c r="S219" i="2"/>
  <c r="R219" i="2"/>
  <c r="Q219" i="2"/>
  <c r="P219" i="2"/>
  <c r="O219" i="2"/>
  <c r="T218" i="2"/>
  <c r="S218" i="2"/>
  <c r="R218" i="2"/>
  <c r="Q218" i="2"/>
  <c r="P218" i="2"/>
  <c r="O218" i="2"/>
  <c r="T217" i="2"/>
  <c r="S217" i="2"/>
  <c r="R217" i="2"/>
  <c r="Q217" i="2"/>
  <c r="P217" i="2"/>
  <c r="O217" i="2"/>
  <c r="T216" i="2"/>
  <c r="S216" i="2"/>
  <c r="R216" i="2"/>
  <c r="Q216" i="2"/>
  <c r="P216" i="2"/>
  <c r="O216" i="2"/>
  <c r="T215" i="2"/>
  <c r="S215" i="2"/>
  <c r="R215" i="2"/>
  <c r="Q215" i="2"/>
  <c r="P215" i="2"/>
  <c r="O215" i="2"/>
  <c r="T214" i="2"/>
  <c r="S214" i="2"/>
  <c r="R214" i="2"/>
  <c r="Q214" i="2"/>
  <c r="P214" i="2"/>
  <c r="O214" i="2"/>
  <c r="T213" i="2"/>
  <c r="S213" i="2"/>
  <c r="R213" i="2"/>
  <c r="Q213" i="2"/>
  <c r="P213" i="2"/>
  <c r="O213" i="2"/>
  <c r="T212" i="2"/>
  <c r="S212" i="2"/>
  <c r="R212" i="2"/>
  <c r="Q212" i="2"/>
  <c r="P212" i="2"/>
  <c r="O212" i="2"/>
  <c r="T211" i="2"/>
  <c r="S211" i="2"/>
  <c r="R211" i="2"/>
  <c r="Q211" i="2"/>
  <c r="P211" i="2"/>
  <c r="O211" i="2"/>
  <c r="T210" i="2"/>
  <c r="S210" i="2"/>
  <c r="R210" i="2"/>
  <c r="Q210" i="2"/>
  <c r="P210" i="2"/>
  <c r="O210" i="2"/>
  <c r="T209" i="2"/>
  <c r="S209" i="2"/>
  <c r="R209" i="2"/>
  <c r="Q209" i="2"/>
  <c r="P209" i="2"/>
  <c r="O209" i="2"/>
  <c r="T208" i="2"/>
  <c r="S208" i="2"/>
  <c r="R208" i="2"/>
  <c r="Q208" i="2"/>
  <c r="P208" i="2"/>
  <c r="O208" i="2"/>
  <c r="T207" i="2"/>
  <c r="S207" i="2"/>
  <c r="R207" i="2"/>
  <c r="Q207" i="2"/>
  <c r="P207" i="2"/>
  <c r="O207" i="2"/>
  <c r="T206" i="2"/>
  <c r="S206" i="2"/>
  <c r="R206" i="2"/>
  <c r="Q206" i="2"/>
  <c r="P206" i="2"/>
  <c r="O206" i="2"/>
  <c r="T205" i="2"/>
  <c r="S205" i="2"/>
  <c r="R205" i="2"/>
  <c r="Q205" i="2"/>
  <c r="P205" i="2"/>
  <c r="O205" i="2"/>
  <c r="T204" i="2"/>
  <c r="R204" i="2"/>
  <c r="Q204" i="2"/>
  <c r="P204" i="2"/>
  <c r="L204" i="2"/>
  <c r="O204" i="2" s="1"/>
  <c r="T203" i="2"/>
  <c r="R203" i="2"/>
  <c r="Q203" i="2"/>
  <c r="P203" i="2"/>
  <c r="L203" i="2"/>
  <c r="O203" i="2" s="1"/>
  <c r="T202" i="2"/>
  <c r="R202" i="2"/>
  <c r="Q202" i="2"/>
  <c r="P202" i="2"/>
  <c r="L202" i="2"/>
  <c r="O202" i="2" s="1"/>
  <c r="T201" i="2"/>
  <c r="R201" i="2"/>
  <c r="Q201" i="2"/>
  <c r="P201" i="2"/>
  <c r="L201" i="2"/>
  <c r="O201" i="2" s="1"/>
  <c r="T200" i="2"/>
  <c r="R200" i="2"/>
  <c r="Q200" i="2"/>
  <c r="P200" i="2"/>
  <c r="L200" i="2"/>
  <c r="S200" i="2" s="1"/>
  <c r="T199" i="2"/>
  <c r="S199" i="2"/>
  <c r="R199" i="2"/>
  <c r="Q199" i="2"/>
  <c r="P199" i="2"/>
  <c r="L199" i="2"/>
  <c r="O199" i="2" s="1"/>
  <c r="T198" i="2"/>
  <c r="R198" i="2"/>
  <c r="Q198" i="2"/>
  <c r="P198" i="2"/>
  <c r="L198" i="2"/>
  <c r="S198" i="2" s="1"/>
  <c r="T197" i="2"/>
  <c r="R197" i="2"/>
  <c r="Q197" i="2"/>
  <c r="P197" i="2"/>
  <c r="L197" i="2"/>
  <c r="S197" i="2" s="1"/>
  <c r="T196" i="2"/>
  <c r="R196" i="2"/>
  <c r="Q196" i="2"/>
  <c r="P196" i="2"/>
  <c r="L196" i="2"/>
  <c r="S196" i="2" s="1"/>
  <c r="T195" i="2"/>
  <c r="R195" i="2"/>
  <c r="Q195" i="2"/>
  <c r="P195" i="2"/>
  <c r="L195" i="2"/>
  <c r="O195" i="2" s="1"/>
  <c r="T194" i="2"/>
  <c r="R194" i="2"/>
  <c r="Q194" i="2"/>
  <c r="P194" i="2"/>
  <c r="L194" i="2"/>
  <c r="S194" i="2" s="1"/>
  <c r="T193" i="2"/>
  <c r="R193" i="2"/>
  <c r="Q193" i="2"/>
  <c r="P193" i="2"/>
  <c r="L193" i="2"/>
  <c r="S193" i="2" s="1"/>
  <c r="T192" i="2"/>
  <c r="R192" i="2"/>
  <c r="Q192" i="2"/>
  <c r="P192" i="2"/>
  <c r="L192" i="2"/>
  <c r="O192" i="2" s="1"/>
  <c r="T191" i="2"/>
  <c r="R191" i="2"/>
  <c r="Q191" i="2"/>
  <c r="P191" i="2"/>
  <c r="L191" i="2"/>
  <c r="O191" i="2" s="1"/>
  <c r="T190" i="2"/>
  <c r="R190" i="2"/>
  <c r="Q190" i="2"/>
  <c r="P190" i="2"/>
  <c r="L190" i="2"/>
  <c r="O190" i="2" s="1"/>
  <c r="T189" i="2"/>
  <c r="R189" i="2"/>
  <c r="Q189" i="2"/>
  <c r="P189" i="2"/>
  <c r="L189" i="2"/>
  <c r="O189" i="2" s="1"/>
  <c r="T188" i="2"/>
  <c r="R188" i="2"/>
  <c r="Q188" i="2"/>
  <c r="P188" i="2"/>
  <c r="L188" i="2"/>
  <c r="S188" i="2" s="1"/>
  <c r="T187" i="2"/>
  <c r="R187" i="2"/>
  <c r="Q187" i="2"/>
  <c r="P187" i="2"/>
  <c r="L187" i="2"/>
  <c r="O187" i="2" s="1"/>
  <c r="T186" i="2"/>
  <c r="R186" i="2"/>
  <c r="Q186" i="2"/>
  <c r="P186" i="2"/>
  <c r="L186" i="2"/>
  <c r="S186" i="2" s="1"/>
  <c r="T185" i="2"/>
  <c r="R185" i="2"/>
  <c r="Q185" i="2"/>
  <c r="P185" i="2"/>
  <c r="L185" i="2"/>
  <c r="S185" i="2" s="1"/>
  <c r="T184" i="2"/>
  <c r="R184" i="2"/>
  <c r="Q184" i="2"/>
  <c r="P184" i="2"/>
  <c r="L184" i="2"/>
  <c r="S184" i="2" s="1"/>
  <c r="T183" i="2"/>
  <c r="S183" i="2"/>
  <c r="R183" i="2"/>
  <c r="Q183" i="2"/>
  <c r="P183" i="2"/>
  <c r="O183" i="2"/>
  <c r="T182" i="2"/>
  <c r="S182" i="2"/>
  <c r="R182" i="2"/>
  <c r="Q182" i="2"/>
  <c r="P182" i="2"/>
  <c r="O182" i="2"/>
  <c r="T181" i="2"/>
  <c r="S181" i="2"/>
  <c r="R181" i="2"/>
  <c r="Q181" i="2"/>
  <c r="P181" i="2"/>
  <c r="O181" i="2"/>
  <c r="T180" i="2"/>
  <c r="S180" i="2"/>
  <c r="R180" i="2"/>
  <c r="Q180" i="2"/>
  <c r="P180" i="2"/>
  <c r="O180" i="2"/>
  <c r="T179" i="2"/>
  <c r="S179" i="2"/>
  <c r="R179" i="2"/>
  <c r="Q179" i="2"/>
  <c r="P179" i="2"/>
  <c r="O179" i="2"/>
  <c r="T178" i="2"/>
  <c r="S178" i="2"/>
  <c r="R178" i="2"/>
  <c r="Q178" i="2"/>
  <c r="P178" i="2"/>
  <c r="O178" i="2"/>
  <c r="T177" i="2"/>
  <c r="S177" i="2"/>
  <c r="R177" i="2"/>
  <c r="Q177" i="2"/>
  <c r="P177" i="2"/>
  <c r="O177" i="2"/>
  <c r="T176" i="2"/>
  <c r="S176" i="2"/>
  <c r="R176" i="2"/>
  <c r="Q176" i="2"/>
  <c r="P176" i="2"/>
  <c r="O176" i="2"/>
  <c r="T175" i="2"/>
  <c r="S175" i="2"/>
  <c r="R175" i="2"/>
  <c r="Q175" i="2"/>
  <c r="P175" i="2"/>
  <c r="O175" i="2"/>
  <c r="T174" i="2"/>
  <c r="S174" i="2"/>
  <c r="R174" i="2"/>
  <c r="Q174" i="2"/>
  <c r="P174" i="2"/>
  <c r="O174" i="2"/>
  <c r="T173" i="2"/>
  <c r="S173" i="2"/>
  <c r="R173" i="2"/>
  <c r="Q173" i="2"/>
  <c r="P173" i="2"/>
  <c r="O173" i="2"/>
  <c r="T172" i="2"/>
  <c r="S172" i="2"/>
  <c r="R172" i="2"/>
  <c r="Q172" i="2"/>
  <c r="P172" i="2"/>
  <c r="O172" i="2"/>
  <c r="T171" i="2"/>
  <c r="S171" i="2"/>
  <c r="R171" i="2"/>
  <c r="Q171" i="2"/>
  <c r="P171" i="2"/>
  <c r="O171" i="2"/>
  <c r="T170" i="2"/>
  <c r="S170" i="2"/>
  <c r="R170" i="2"/>
  <c r="Q170" i="2"/>
  <c r="P170" i="2"/>
  <c r="O170" i="2"/>
  <c r="T169" i="2"/>
  <c r="S169" i="2"/>
  <c r="R169" i="2"/>
  <c r="Q169" i="2"/>
  <c r="P169" i="2"/>
  <c r="O169" i="2"/>
  <c r="T168" i="2"/>
  <c r="S168" i="2"/>
  <c r="R168" i="2"/>
  <c r="Q168" i="2"/>
  <c r="P168" i="2"/>
  <c r="O168" i="2"/>
  <c r="T167" i="2"/>
  <c r="S167" i="2"/>
  <c r="R167" i="2"/>
  <c r="Q167" i="2"/>
  <c r="P167" i="2"/>
  <c r="O167" i="2"/>
  <c r="T166" i="2"/>
  <c r="S166" i="2"/>
  <c r="R166" i="2"/>
  <c r="Q166" i="2"/>
  <c r="P166" i="2"/>
  <c r="O166" i="2"/>
  <c r="T165" i="2"/>
  <c r="S165" i="2"/>
  <c r="R165" i="2"/>
  <c r="Q165" i="2"/>
  <c r="P165" i="2"/>
  <c r="O165" i="2"/>
  <c r="T164" i="2"/>
  <c r="S164" i="2"/>
  <c r="R164" i="2"/>
  <c r="Q164" i="2"/>
  <c r="P164" i="2"/>
  <c r="O164" i="2"/>
  <c r="T163" i="2"/>
  <c r="S163" i="2"/>
  <c r="R163" i="2"/>
  <c r="Q163" i="2"/>
  <c r="P163" i="2"/>
  <c r="O163" i="2"/>
  <c r="T162" i="2"/>
  <c r="S162" i="2"/>
  <c r="R162" i="2"/>
  <c r="Q162" i="2"/>
  <c r="P162" i="2"/>
  <c r="O162" i="2"/>
  <c r="T161" i="2"/>
  <c r="S161" i="2"/>
  <c r="R161" i="2"/>
  <c r="Q161" i="2"/>
  <c r="P161" i="2"/>
  <c r="O161" i="2"/>
  <c r="T160" i="2"/>
  <c r="S160" i="2"/>
  <c r="R160" i="2"/>
  <c r="Q160" i="2"/>
  <c r="P160" i="2"/>
  <c r="O160" i="2"/>
  <c r="T159" i="2"/>
  <c r="S159" i="2"/>
  <c r="R159" i="2"/>
  <c r="Q159" i="2"/>
  <c r="P159" i="2"/>
  <c r="O159" i="2"/>
  <c r="T158" i="2"/>
  <c r="S158" i="2"/>
  <c r="R158" i="2"/>
  <c r="Q158" i="2"/>
  <c r="P158" i="2"/>
  <c r="O158" i="2"/>
  <c r="T157" i="2"/>
  <c r="S157" i="2"/>
  <c r="R157" i="2"/>
  <c r="Q157" i="2"/>
  <c r="P157" i="2"/>
  <c r="O157" i="2"/>
  <c r="T156" i="2"/>
  <c r="S156" i="2"/>
  <c r="R156" i="2"/>
  <c r="Q156" i="2"/>
  <c r="P156" i="2"/>
  <c r="O156" i="2"/>
  <c r="T155" i="2"/>
  <c r="S155" i="2"/>
  <c r="R155" i="2"/>
  <c r="Q155" i="2"/>
  <c r="P155" i="2"/>
  <c r="O155" i="2"/>
  <c r="T154" i="2"/>
  <c r="S154" i="2"/>
  <c r="R154" i="2"/>
  <c r="Q154" i="2"/>
  <c r="P154" i="2"/>
  <c r="O154" i="2"/>
  <c r="T153" i="2"/>
  <c r="S153" i="2"/>
  <c r="R153" i="2"/>
  <c r="Q153" i="2"/>
  <c r="P153" i="2"/>
  <c r="O153" i="2"/>
  <c r="T152" i="2"/>
  <c r="S152" i="2"/>
  <c r="R152" i="2"/>
  <c r="Q152" i="2"/>
  <c r="P152" i="2"/>
  <c r="O152" i="2"/>
  <c r="T151" i="2"/>
  <c r="S151" i="2"/>
  <c r="R151" i="2"/>
  <c r="Q151" i="2"/>
  <c r="P151" i="2"/>
  <c r="O151" i="2"/>
  <c r="T150" i="2"/>
  <c r="S150" i="2"/>
  <c r="R150" i="2"/>
  <c r="Q150" i="2"/>
  <c r="P150" i="2"/>
  <c r="O150" i="2"/>
  <c r="T149" i="2"/>
  <c r="S149" i="2"/>
  <c r="R149" i="2"/>
  <c r="Q149" i="2"/>
  <c r="P149" i="2"/>
  <c r="O149" i="2"/>
  <c r="T148" i="2"/>
  <c r="S148" i="2"/>
  <c r="R148" i="2"/>
  <c r="Q148" i="2"/>
  <c r="P148" i="2"/>
  <c r="O148" i="2"/>
  <c r="T147" i="2"/>
  <c r="S147" i="2"/>
  <c r="R147" i="2"/>
  <c r="Q147" i="2"/>
  <c r="P147" i="2"/>
  <c r="O147" i="2"/>
  <c r="T146" i="2"/>
  <c r="S146" i="2"/>
  <c r="R146" i="2"/>
  <c r="Q146" i="2"/>
  <c r="P146" i="2"/>
  <c r="O146" i="2"/>
  <c r="T145" i="2"/>
  <c r="S145" i="2"/>
  <c r="R145" i="2"/>
  <c r="Q145" i="2"/>
  <c r="P145" i="2"/>
  <c r="O145" i="2"/>
  <c r="T144" i="2"/>
  <c r="S144" i="2"/>
  <c r="R144" i="2"/>
  <c r="Q144" i="2"/>
  <c r="P144" i="2"/>
  <c r="O144" i="2"/>
  <c r="T143" i="2"/>
  <c r="S143" i="2"/>
  <c r="R143" i="2"/>
  <c r="Q143" i="2"/>
  <c r="P143" i="2"/>
  <c r="O143" i="2"/>
  <c r="T142" i="2"/>
  <c r="S142" i="2"/>
  <c r="R142" i="2"/>
  <c r="Q142" i="2"/>
  <c r="P142" i="2"/>
  <c r="O142" i="2"/>
  <c r="T141" i="2"/>
  <c r="S141" i="2"/>
  <c r="R141" i="2"/>
  <c r="Q141" i="2"/>
  <c r="P141" i="2"/>
  <c r="O141" i="2"/>
  <c r="T140" i="2"/>
  <c r="S140" i="2"/>
  <c r="R140" i="2"/>
  <c r="Q140" i="2"/>
  <c r="P140" i="2"/>
  <c r="O140" i="2"/>
  <c r="T139" i="2"/>
  <c r="S139" i="2"/>
  <c r="R139" i="2"/>
  <c r="Q139" i="2"/>
  <c r="P139" i="2"/>
  <c r="O139" i="2"/>
  <c r="T138" i="2"/>
  <c r="S138" i="2"/>
  <c r="R138" i="2"/>
  <c r="Q138" i="2"/>
  <c r="P138" i="2"/>
  <c r="O138" i="2"/>
  <c r="T137" i="2"/>
  <c r="S137" i="2"/>
  <c r="R137" i="2"/>
  <c r="Q137" i="2"/>
  <c r="P137" i="2"/>
  <c r="O137" i="2"/>
  <c r="T136" i="2"/>
  <c r="S136" i="2"/>
  <c r="R136" i="2"/>
  <c r="Q136" i="2"/>
  <c r="P136" i="2"/>
  <c r="O136" i="2"/>
  <c r="T135" i="2"/>
  <c r="S135" i="2"/>
  <c r="R135" i="2"/>
  <c r="Q135" i="2"/>
  <c r="P135" i="2"/>
  <c r="O135" i="2"/>
  <c r="T134" i="2"/>
  <c r="S134" i="2"/>
  <c r="R134" i="2"/>
  <c r="Q134" i="2"/>
  <c r="P134" i="2"/>
  <c r="O134" i="2"/>
  <c r="T133" i="2"/>
  <c r="S133" i="2"/>
  <c r="R133" i="2"/>
  <c r="Q133" i="2"/>
  <c r="P133" i="2"/>
  <c r="O133" i="2"/>
  <c r="T132" i="2"/>
  <c r="S132" i="2"/>
  <c r="R132" i="2"/>
  <c r="Q132" i="2"/>
  <c r="P132" i="2"/>
  <c r="O132" i="2"/>
  <c r="T131" i="2"/>
  <c r="S131" i="2"/>
  <c r="R131" i="2"/>
  <c r="Q131" i="2"/>
  <c r="P131" i="2"/>
  <c r="O131" i="2"/>
  <c r="T130" i="2"/>
  <c r="S130" i="2"/>
  <c r="R130" i="2"/>
  <c r="Q130" i="2"/>
  <c r="P130" i="2"/>
  <c r="O130" i="2"/>
  <c r="T129" i="2"/>
  <c r="S129" i="2"/>
  <c r="R129" i="2"/>
  <c r="Q129" i="2"/>
  <c r="P129" i="2"/>
  <c r="O129" i="2"/>
  <c r="T128" i="2"/>
  <c r="S128" i="2"/>
  <c r="R128" i="2"/>
  <c r="Q128" i="2"/>
  <c r="P128" i="2"/>
  <c r="O128" i="2"/>
  <c r="T127" i="2"/>
  <c r="S127" i="2"/>
  <c r="R127" i="2"/>
  <c r="Q127" i="2"/>
  <c r="P127" i="2"/>
  <c r="O127" i="2"/>
  <c r="T126" i="2"/>
  <c r="S126" i="2"/>
  <c r="R126" i="2"/>
  <c r="Q126" i="2"/>
  <c r="P126" i="2"/>
  <c r="O126" i="2"/>
  <c r="T125" i="2"/>
  <c r="S125" i="2"/>
  <c r="R125" i="2"/>
  <c r="Q125" i="2"/>
  <c r="P125" i="2"/>
  <c r="O125" i="2"/>
  <c r="T124" i="2"/>
  <c r="S124" i="2"/>
  <c r="R124" i="2"/>
  <c r="Q124" i="2"/>
  <c r="P124" i="2"/>
  <c r="O124" i="2"/>
  <c r="T123" i="2"/>
  <c r="S123" i="2"/>
  <c r="R123" i="2"/>
  <c r="Q123" i="2"/>
  <c r="P123" i="2"/>
  <c r="O123" i="2"/>
  <c r="T122" i="2"/>
  <c r="S122" i="2"/>
  <c r="R122" i="2"/>
  <c r="Q122" i="2"/>
  <c r="P122" i="2"/>
  <c r="O122" i="2"/>
  <c r="T121" i="2"/>
  <c r="S121" i="2"/>
  <c r="R121" i="2"/>
  <c r="Q121" i="2"/>
  <c r="P121" i="2"/>
  <c r="O121" i="2"/>
  <c r="T120" i="2"/>
  <c r="S120" i="2"/>
  <c r="R120" i="2"/>
  <c r="Q120" i="2"/>
  <c r="P120" i="2"/>
  <c r="O120" i="2"/>
  <c r="T119" i="2"/>
  <c r="S119" i="2"/>
  <c r="R119" i="2"/>
  <c r="Q119" i="2"/>
  <c r="P119" i="2"/>
  <c r="O119" i="2"/>
  <c r="T118" i="2"/>
  <c r="S118" i="2"/>
  <c r="R118" i="2"/>
  <c r="Q118" i="2"/>
  <c r="P118" i="2"/>
  <c r="O118" i="2"/>
  <c r="T117" i="2"/>
  <c r="S117" i="2"/>
  <c r="R117" i="2"/>
  <c r="Q117" i="2"/>
  <c r="P117" i="2"/>
  <c r="O117" i="2"/>
  <c r="T116" i="2"/>
  <c r="S116" i="2"/>
  <c r="R116" i="2"/>
  <c r="Q116" i="2"/>
  <c r="P116" i="2"/>
  <c r="O116" i="2"/>
  <c r="T115" i="2"/>
  <c r="S115" i="2"/>
  <c r="R115" i="2"/>
  <c r="Q115" i="2"/>
  <c r="P115" i="2"/>
  <c r="O115" i="2"/>
  <c r="T114" i="2"/>
  <c r="S114" i="2"/>
  <c r="R114" i="2"/>
  <c r="Q114" i="2"/>
  <c r="P114" i="2"/>
  <c r="O114" i="2"/>
  <c r="T113" i="2"/>
  <c r="S113" i="2"/>
  <c r="R113" i="2"/>
  <c r="Q113" i="2"/>
  <c r="P113" i="2"/>
  <c r="O113" i="2"/>
  <c r="T112" i="2"/>
  <c r="S112" i="2"/>
  <c r="R112" i="2"/>
  <c r="Q112" i="2"/>
  <c r="P112" i="2"/>
  <c r="O112" i="2"/>
  <c r="T111" i="2"/>
  <c r="S111" i="2"/>
  <c r="R111" i="2"/>
  <c r="Q111" i="2"/>
  <c r="P111" i="2"/>
  <c r="O111" i="2"/>
  <c r="T110" i="2"/>
  <c r="S110" i="2"/>
  <c r="R110" i="2"/>
  <c r="Q110" i="2"/>
  <c r="P110" i="2"/>
  <c r="O110" i="2"/>
  <c r="T109" i="2"/>
  <c r="S109" i="2"/>
  <c r="R109" i="2"/>
  <c r="Q109" i="2"/>
  <c r="P109" i="2"/>
  <c r="O109" i="2"/>
  <c r="T108" i="2"/>
  <c r="S108" i="2"/>
  <c r="R108" i="2"/>
  <c r="Q108" i="2"/>
  <c r="P108" i="2"/>
  <c r="O108" i="2"/>
  <c r="T107" i="2"/>
  <c r="S107" i="2"/>
  <c r="R107" i="2"/>
  <c r="Q107" i="2"/>
  <c r="P107" i="2"/>
  <c r="O107" i="2"/>
  <c r="T106" i="2"/>
  <c r="S106" i="2"/>
  <c r="R106" i="2"/>
  <c r="Q106" i="2"/>
  <c r="P106" i="2"/>
  <c r="O106" i="2"/>
  <c r="T105" i="2"/>
  <c r="S105" i="2"/>
  <c r="R105" i="2"/>
  <c r="Q105" i="2"/>
  <c r="P105" i="2"/>
  <c r="O105" i="2"/>
  <c r="T104" i="2"/>
  <c r="S104" i="2"/>
  <c r="R104" i="2"/>
  <c r="Q104" i="2"/>
  <c r="P104" i="2"/>
  <c r="O104" i="2"/>
  <c r="T103" i="2"/>
  <c r="S103" i="2"/>
  <c r="R103" i="2"/>
  <c r="Q103" i="2"/>
  <c r="P103" i="2"/>
  <c r="O103" i="2"/>
  <c r="T102" i="2"/>
  <c r="S102" i="2"/>
  <c r="R102" i="2"/>
  <c r="Q102" i="2"/>
  <c r="P102" i="2"/>
  <c r="O102" i="2"/>
  <c r="T101" i="2"/>
  <c r="S101" i="2"/>
  <c r="R101" i="2"/>
  <c r="Q101" i="2"/>
  <c r="P101" i="2"/>
  <c r="O101" i="2"/>
  <c r="T100" i="2"/>
  <c r="S100" i="2"/>
  <c r="R100" i="2"/>
  <c r="Q100" i="2"/>
  <c r="P100" i="2"/>
  <c r="O100" i="2"/>
  <c r="T99" i="2"/>
  <c r="S99" i="2"/>
  <c r="R99" i="2"/>
  <c r="Q99" i="2"/>
  <c r="P99" i="2"/>
  <c r="O99" i="2"/>
  <c r="T98" i="2"/>
  <c r="S98" i="2"/>
  <c r="R98" i="2"/>
  <c r="Q98" i="2"/>
  <c r="P98" i="2"/>
  <c r="O98" i="2"/>
  <c r="T97" i="2"/>
  <c r="S97" i="2"/>
  <c r="R97" i="2"/>
  <c r="Q97" i="2"/>
  <c r="P97" i="2"/>
  <c r="O97" i="2"/>
  <c r="T96" i="2"/>
  <c r="S96" i="2"/>
  <c r="R96" i="2"/>
  <c r="Q96" i="2"/>
  <c r="P96" i="2"/>
  <c r="O96" i="2"/>
  <c r="T95" i="2"/>
  <c r="S95" i="2"/>
  <c r="R95" i="2"/>
  <c r="Q95" i="2"/>
  <c r="P95" i="2"/>
  <c r="O95" i="2"/>
  <c r="T94" i="2"/>
  <c r="S94" i="2"/>
  <c r="R94" i="2"/>
  <c r="Q94" i="2"/>
  <c r="P94" i="2"/>
  <c r="O94" i="2"/>
  <c r="T93" i="2"/>
  <c r="S93" i="2"/>
  <c r="R93" i="2"/>
  <c r="Q93" i="2"/>
  <c r="P93" i="2"/>
  <c r="O93" i="2"/>
  <c r="T92" i="2"/>
  <c r="S92" i="2"/>
  <c r="R92" i="2"/>
  <c r="Q92" i="2"/>
  <c r="P92" i="2"/>
  <c r="O92" i="2"/>
  <c r="T91" i="2"/>
  <c r="S91" i="2"/>
  <c r="R91" i="2"/>
  <c r="Q91" i="2"/>
  <c r="P91" i="2"/>
  <c r="O91" i="2"/>
  <c r="T90" i="2"/>
  <c r="S90" i="2"/>
  <c r="R90" i="2"/>
  <c r="Q90" i="2"/>
  <c r="P90" i="2"/>
  <c r="O90" i="2"/>
  <c r="T89" i="2"/>
  <c r="S89" i="2"/>
  <c r="R89" i="2"/>
  <c r="Q89" i="2"/>
  <c r="P89" i="2"/>
  <c r="O89" i="2"/>
  <c r="T88" i="2"/>
  <c r="S88" i="2"/>
  <c r="R88" i="2"/>
  <c r="Q88" i="2"/>
  <c r="P88" i="2"/>
  <c r="O88" i="2"/>
  <c r="T87" i="2"/>
  <c r="S87" i="2"/>
  <c r="R87" i="2"/>
  <c r="Q87" i="2"/>
  <c r="P87" i="2"/>
  <c r="O87" i="2"/>
  <c r="T86" i="2"/>
  <c r="S86" i="2"/>
  <c r="R86" i="2"/>
  <c r="Q86" i="2"/>
  <c r="P86" i="2"/>
  <c r="O86" i="2"/>
  <c r="T85" i="2"/>
  <c r="S85" i="2"/>
  <c r="R85" i="2"/>
  <c r="Q85" i="2"/>
  <c r="P85" i="2"/>
  <c r="O85" i="2"/>
  <c r="T84" i="2"/>
  <c r="S84" i="2"/>
  <c r="R84" i="2"/>
  <c r="Q84" i="2"/>
  <c r="P84" i="2"/>
  <c r="O84" i="2"/>
  <c r="T83" i="2"/>
  <c r="S83" i="2"/>
  <c r="R83" i="2"/>
  <c r="Q83" i="2"/>
  <c r="P83" i="2"/>
  <c r="O83" i="2"/>
  <c r="T82" i="2"/>
  <c r="S82" i="2"/>
  <c r="R82" i="2"/>
  <c r="Q82" i="2"/>
  <c r="P82" i="2"/>
  <c r="O82" i="2"/>
  <c r="T81" i="2"/>
  <c r="S81" i="2"/>
  <c r="R81" i="2"/>
  <c r="Q81" i="2"/>
  <c r="P81" i="2"/>
  <c r="O81" i="2"/>
  <c r="T80" i="2"/>
  <c r="S80" i="2"/>
  <c r="R80" i="2"/>
  <c r="Q80" i="2"/>
  <c r="P80" i="2"/>
  <c r="O80" i="2"/>
  <c r="T79" i="2"/>
  <c r="S79" i="2"/>
  <c r="R79" i="2"/>
  <c r="Q79" i="2"/>
  <c r="P79" i="2"/>
  <c r="O79" i="2"/>
  <c r="T78" i="2"/>
  <c r="S78" i="2"/>
  <c r="R78" i="2"/>
  <c r="Q78" i="2"/>
  <c r="P78" i="2"/>
  <c r="O78" i="2"/>
  <c r="T77" i="2"/>
  <c r="S77" i="2"/>
  <c r="R77" i="2"/>
  <c r="Q77" i="2"/>
  <c r="P77" i="2"/>
  <c r="O77" i="2"/>
  <c r="T76" i="2"/>
  <c r="S76" i="2"/>
  <c r="R76" i="2"/>
  <c r="Q76" i="2"/>
  <c r="P76" i="2"/>
  <c r="O76" i="2"/>
  <c r="T75" i="2"/>
  <c r="S75" i="2"/>
  <c r="R75" i="2"/>
  <c r="Q75" i="2"/>
  <c r="P75" i="2"/>
  <c r="O75" i="2"/>
  <c r="T74" i="2"/>
  <c r="S74" i="2"/>
  <c r="R74" i="2"/>
  <c r="Q74" i="2"/>
  <c r="P74" i="2"/>
  <c r="O74" i="2"/>
  <c r="T73" i="2"/>
  <c r="S73" i="2"/>
  <c r="R73" i="2"/>
  <c r="Q73" i="2"/>
  <c r="P73" i="2"/>
  <c r="O73" i="2"/>
  <c r="T72" i="2"/>
  <c r="S72" i="2"/>
  <c r="R72" i="2"/>
  <c r="Q72" i="2"/>
  <c r="P72" i="2"/>
  <c r="O72" i="2"/>
  <c r="T71" i="2"/>
  <c r="S71" i="2"/>
  <c r="R71" i="2"/>
  <c r="Q71" i="2"/>
  <c r="P71" i="2"/>
  <c r="O71" i="2"/>
  <c r="T70" i="2"/>
  <c r="S70" i="2"/>
  <c r="R70" i="2"/>
  <c r="Q70" i="2"/>
  <c r="P70" i="2"/>
  <c r="O70" i="2"/>
  <c r="T69" i="2"/>
  <c r="S69" i="2"/>
  <c r="R69" i="2"/>
  <c r="Q69" i="2"/>
  <c r="P69" i="2"/>
  <c r="O69" i="2"/>
  <c r="T68" i="2"/>
  <c r="S68" i="2"/>
  <c r="R68" i="2"/>
  <c r="Q68" i="2"/>
  <c r="P68" i="2"/>
  <c r="O68" i="2"/>
  <c r="T67" i="2"/>
  <c r="S67" i="2"/>
  <c r="R67" i="2"/>
  <c r="Q67" i="2"/>
  <c r="P67" i="2"/>
  <c r="O67" i="2"/>
  <c r="T66" i="2"/>
  <c r="S66" i="2"/>
  <c r="R66" i="2"/>
  <c r="Q66" i="2"/>
  <c r="P66" i="2"/>
  <c r="O66" i="2"/>
  <c r="T65" i="2"/>
  <c r="S65" i="2"/>
  <c r="R65" i="2"/>
  <c r="Q65" i="2"/>
  <c r="P65" i="2"/>
  <c r="O65" i="2"/>
  <c r="T64" i="2"/>
  <c r="S64" i="2"/>
  <c r="R64" i="2"/>
  <c r="Q64" i="2"/>
  <c r="P64" i="2"/>
  <c r="O64" i="2"/>
  <c r="T63" i="2"/>
  <c r="S63" i="2"/>
  <c r="R63" i="2"/>
  <c r="Q63" i="2"/>
  <c r="P63" i="2"/>
  <c r="O63" i="2"/>
  <c r="T62" i="2"/>
  <c r="S62" i="2"/>
  <c r="R62" i="2"/>
  <c r="Q62" i="2"/>
  <c r="P62" i="2"/>
  <c r="O62" i="2"/>
  <c r="T61" i="2"/>
  <c r="S61" i="2"/>
  <c r="R61" i="2"/>
  <c r="Q61" i="2"/>
  <c r="P61" i="2"/>
  <c r="O61" i="2"/>
  <c r="T60" i="2"/>
  <c r="S60" i="2"/>
  <c r="R60" i="2"/>
  <c r="Q60" i="2"/>
  <c r="P60" i="2"/>
  <c r="O60" i="2"/>
  <c r="T59" i="2"/>
  <c r="S59" i="2"/>
  <c r="R59" i="2"/>
  <c r="Q59" i="2"/>
  <c r="P59" i="2"/>
  <c r="O59" i="2"/>
  <c r="T58" i="2"/>
  <c r="S58" i="2"/>
  <c r="R58" i="2"/>
  <c r="Q58" i="2"/>
  <c r="P58" i="2"/>
  <c r="O58" i="2"/>
  <c r="T57" i="2"/>
  <c r="S57" i="2"/>
  <c r="R57" i="2"/>
  <c r="Q57" i="2"/>
  <c r="P57" i="2"/>
  <c r="O57" i="2"/>
  <c r="T56" i="2"/>
  <c r="S56" i="2"/>
  <c r="R56" i="2"/>
  <c r="Q56" i="2"/>
  <c r="P56" i="2"/>
  <c r="O56" i="2"/>
  <c r="T55" i="2"/>
  <c r="S55" i="2"/>
  <c r="R55" i="2"/>
  <c r="Q55" i="2"/>
  <c r="P55" i="2"/>
  <c r="O55" i="2"/>
  <c r="T54" i="2"/>
  <c r="S54" i="2"/>
  <c r="R54" i="2"/>
  <c r="Q54" i="2"/>
  <c r="P54" i="2"/>
  <c r="O54" i="2"/>
  <c r="T53" i="2"/>
  <c r="S53" i="2"/>
  <c r="R53" i="2"/>
  <c r="Q53" i="2"/>
  <c r="P53" i="2"/>
  <c r="O53" i="2"/>
  <c r="T52" i="2"/>
  <c r="S52" i="2"/>
  <c r="R52" i="2"/>
  <c r="Q52" i="2"/>
  <c r="P52" i="2"/>
  <c r="O52" i="2"/>
  <c r="T51" i="2"/>
  <c r="S51" i="2"/>
  <c r="R51" i="2"/>
  <c r="Q51" i="2"/>
  <c r="P51" i="2"/>
  <c r="O51" i="2"/>
  <c r="T50" i="2"/>
  <c r="S50" i="2"/>
  <c r="R50" i="2"/>
  <c r="Q50" i="2"/>
  <c r="P50" i="2"/>
  <c r="O50" i="2"/>
  <c r="T49" i="2"/>
  <c r="S49" i="2"/>
  <c r="R49" i="2"/>
  <c r="Q49" i="2"/>
  <c r="P49" i="2"/>
  <c r="O49" i="2"/>
  <c r="T48" i="2"/>
  <c r="S48" i="2"/>
  <c r="R48" i="2"/>
  <c r="Q48" i="2"/>
  <c r="P48" i="2"/>
  <c r="O48" i="2"/>
  <c r="T47" i="2"/>
  <c r="S47" i="2"/>
  <c r="R47" i="2"/>
  <c r="Q47" i="2"/>
  <c r="P47" i="2"/>
  <c r="O47" i="2"/>
  <c r="T46" i="2"/>
  <c r="S46" i="2"/>
  <c r="R46" i="2"/>
  <c r="Q46" i="2"/>
  <c r="P46" i="2"/>
  <c r="O46" i="2"/>
  <c r="T45" i="2"/>
  <c r="S45" i="2"/>
  <c r="R45" i="2"/>
  <c r="Q45" i="2"/>
  <c r="P45" i="2"/>
  <c r="O45" i="2"/>
  <c r="T44" i="2"/>
  <c r="S44" i="2"/>
  <c r="R44" i="2"/>
  <c r="Q44" i="2"/>
  <c r="P44" i="2"/>
  <c r="O44" i="2"/>
  <c r="T43" i="2"/>
  <c r="S43" i="2"/>
  <c r="R43" i="2"/>
  <c r="Q43" i="2"/>
  <c r="P43" i="2"/>
  <c r="O43" i="2"/>
  <c r="T42" i="2"/>
  <c r="S42" i="2"/>
  <c r="R42" i="2"/>
  <c r="Q42" i="2"/>
  <c r="P42" i="2"/>
  <c r="O42" i="2"/>
  <c r="T41" i="2"/>
  <c r="S41" i="2"/>
  <c r="R41" i="2"/>
  <c r="Q41" i="2"/>
  <c r="P41" i="2"/>
  <c r="O41" i="2"/>
  <c r="T40" i="2"/>
  <c r="S40" i="2"/>
  <c r="R40" i="2"/>
  <c r="Q40" i="2"/>
  <c r="P40" i="2"/>
  <c r="O40" i="2"/>
  <c r="T39" i="2"/>
  <c r="S39" i="2"/>
  <c r="R39" i="2"/>
  <c r="Q39" i="2"/>
  <c r="P39" i="2"/>
  <c r="O39" i="2"/>
  <c r="T38" i="2"/>
  <c r="S38" i="2"/>
  <c r="R38" i="2"/>
  <c r="Q38" i="2"/>
  <c r="P38" i="2"/>
  <c r="O38" i="2"/>
  <c r="T37" i="2"/>
  <c r="S37" i="2"/>
  <c r="R37" i="2"/>
  <c r="Q37" i="2"/>
  <c r="P37" i="2"/>
  <c r="O37" i="2"/>
  <c r="T36" i="2"/>
  <c r="S36" i="2"/>
  <c r="R36" i="2"/>
  <c r="Q36" i="2"/>
  <c r="P36" i="2"/>
  <c r="O36" i="2"/>
  <c r="T35" i="2"/>
  <c r="S35" i="2"/>
  <c r="R35" i="2"/>
  <c r="Q35" i="2"/>
  <c r="P35" i="2"/>
  <c r="O35" i="2"/>
  <c r="T34" i="2"/>
  <c r="S34" i="2"/>
  <c r="R34" i="2"/>
  <c r="Q34" i="2"/>
  <c r="P34" i="2"/>
  <c r="O34" i="2"/>
  <c r="T33" i="2"/>
  <c r="S33" i="2"/>
  <c r="R33" i="2"/>
  <c r="Q33" i="2"/>
  <c r="P33" i="2"/>
  <c r="O33" i="2"/>
  <c r="T32" i="2"/>
  <c r="S32" i="2"/>
  <c r="R32" i="2"/>
  <c r="Q32" i="2"/>
  <c r="P32" i="2"/>
  <c r="O32" i="2"/>
  <c r="T31" i="2"/>
  <c r="S31" i="2"/>
  <c r="R31" i="2"/>
  <c r="Q31" i="2"/>
  <c r="P31" i="2"/>
  <c r="O31" i="2"/>
  <c r="T30" i="2"/>
  <c r="S30" i="2"/>
  <c r="R30" i="2"/>
  <c r="Q30" i="2"/>
  <c r="P30" i="2"/>
  <c r="O30" i="2"/>
  <c r="T29" i="2"/>
  <c r="S29" i="2"/>
  <c r="R29" i="2"/>
  <c r="Q29" i="2"/>
  <c r="P29" i="2"/>
  <c r="O29" i="2"/>
  <c r="T28" i="2"/>
  <c r="S28" i="2"/>
  <c r="R28" i="2"/>
  <c r="Q28" i="2"/>
  <c r="P28" i="2"/>
  <c r="O28" i="2"/>
  <c r="T27" i="2"/>
  <c r="S27" i="2"/>
  <c r="R27" i="2"/>
  <c r="Q27" i="2"/>
  <c r="P27" i="2"/>
  <c r="O27" i="2"/>
  <c r="T26" i="2"/>
  <c r="S26" i="2"/>
  <c r="R26" i="2"/>
  <c r="Q26" i="2"/>
  <c r="P26" i="2"/>
  <c r="O26" i="2"/>
  <c r="T25" i="2"/>
  <c r="S25" i="2"/>
  <c r="R25" i="2"/>
  <c r="Q25" i="2"/>
  <c r="P25" i="2"/>
  <c r="O25" i="2"/>
  <c r="T24" i="2"/>
  <c r="S24" i="2"/>
  <c r="R24" i="2"/>
  <c r="Q24" i="2"/>
  <c r="P24" i="2"/>
  <c r="O24" i="2"/>
  <c r="T23" i="2"/>
  <c r="S23" i="2"/>
  <c r="R23" i="2"/>
  <c r="Q23" i="2"/>
  <c r="P23" i="2"/>
  <c r="O23" i="2"/>
  <c r="T22" i="2"/>
  <c r="S22" i="2"/>
  <c r="R22" i="2"/>
  <c r="Q22" i="2"/>
  <c r="P22" i="2"/>
  <c r="O22" i="2"/>
  <c r="T21" i="2"/>
  <c r="S21" i="2"/>
  <c r="R21" i="2"/>
  <c r="Q21" i="2"/>
  <c r="P21" i="2"/>
  <c r="O21" i="2"/>
  <c r="T20" i="2"/>
  <c r="S20" i="2"/>
  <c r="R20" i="2"/>
  <c r="Q20" i="2"/>
  <c r="P20" i="2"/>
  <c r="O20" i="2"/>
  <c r="T19" i="2"/>
  <c r="S19" i="2"/>
  <c r="R19" i="2"/>
  <c r="Q19" i="2"/>
  <c r="P19" i="2"/>
  <c r="O19" i="2"/>
  <c r="T18" i="2"/>
  <c r="S18" i="2"/>
  <c r="R18" i="2"/>
  <c r="Q18" i="2"/>
  <c r="P18" i="2"/>
  <c r="O18" i="2"/>
  <c r="T17" i="2"/>
  <c r="S17" i="2"/>
  <c r="R17" i="2"/>
  <c r="Q17" i="2"/>
  <c r="P17" i="2"/>
  <c r="O17" i="2"/>
  <c r="T16" i="2"/>
  <c r="S16" i="2"/>
  <c r="R16" i="2"/>
  <c r="Q16" i="2"/>
  <c r="P16" i="2"/>
  <c r="O16" i="2"/>
  <c r="T15" i="2"/>
  <c r="S15" i="2"/>
  <c r="R15" i="2"/>
  <c r="Q15" i="2"/>
  <c r="P15" i="2"/>
  <c r="O15" i="2"/>
  <c r="T14" i="2"/>
  <c r="S14" i="2"/>
  <c r="R14" i="2"/>
  <c r="Q14" i="2"/>
  <c r="P14" i="2"/>
  <c r="O14" i="2"/>
  <c r="T13" i="2"/>
  <c r="S13" i="2"/>
  <c r="R13" i="2"/>
  <c r="Q13" i="2"/>
  <c r="P13" i="2"/>
  <c r="O13" i="2"/>
  <c r="T12" i="2"/>
  <c r="S12" i="2"/>
  <c r="R12" i="2"/>
  <c r="Q12" i="2"/>
  <c r="P12" i="2"/>
  <c r="O12" i="2"/>
  <c r="T11" i="2"/>
  <c r="S11" i="2"/>
  <c r="R11" i="2"/>
  <c r="Q11" i="2"/>
  <c r="P11" i="2"/>
  <c r="O11" i="2"/>
  <c r="T10" i="2"/>
  <c r="S10" i="2"/>
  <c r="R10" i="2"/>
  <c r="Q10" i="2"/>
  <c r="P10" i="2"/>
  <c r="O10" i="2"/>
  <c r="T9" i="2"/>
  <c r="S9" i="2"/>
  <c r="R9" i="2"/>
  <c r="Q9" i="2"/>
  <c r="P9" i="2"/>
  <c r="O9" i="2"/>
  <c r="T8" i="2"/>
  <c r="S8" i="2"/>
  <c r="R8" i="2"/>
  <c r="Q8" i="2"/>
  <c r="P8" i="2"/>
  <c r="O8" i="2"/>
  <c r="T7" i="2"/>
  <c r="S7" i="2"/>
  <c r="R7" i="2"/>
  <c r="Q7" i="2"/>
  <c r="P7" i="2"/>
  <c r="O7" i="2"/>
  <c r="T6" i="2"/>
  <c r="S6" i="2"/>
  <c r="R6" i="2"/>
  <c r="Q6" i="2"/>
  <c r="P6" i="2"/>
  <c r="O6" i="2"/>
  <c r="T5" i="2"/>
  <c r="S5" i="2"/>
  <c r="R5" i="2"/>
  <c r="Q5" i="2"/>
  <c r="P5" i="2"/>
  <c r="O5" i="2"/>
  <c r="T4" i="2"/>
  <c r="S4" i="2"/>
  <c r="R4" i="2"/>
  <c r="Q4" i="2"/>
  <c r="P4" i="2"/>
  <c r="O4" i="2"/>
  <c r="T3" i="2"/>
  <c r="S3" i="2"/>
  <c r="R3" i="2"/>
  <c r="Q3" i="2"/>
  <c r="P3" i="2"/>
  <c r="O3" i="2"/>
  <c r="T2" i="2"/>
  <c r="S2" i="2"/>
  <c r="R2" i="2"/>
  <c r="Q2" i="2"/>
  <c r="P2" i="2"/>
  <c r="O2" i="2"/>
  <c r="S195" i="2" l="1"/>
  <c r="S917" i="2"/>
  <c r="S191" i="2"/>
  <c r="S189" i="2"/>
  <c r="H202" i="1"/>
  <c r="O185" i="2"/>
  <c r="O916" i="2"/>
  <c r="S187" i="2"/>
  <c r="S203" i="2"/>
  <c r="S927" i="2"/>
  <c r="S201" i="2"/>
  <c r="S926" i="2"/>
  <c r="S928" i="2"/>
  <c r="H10" i="1"/>
  <c r="H45" i="1"/>
  <c r="H112" i="1"/>
  <c r="H160" i="1"/>
  <c r="O198" i="2"/>
  <c r="H46" i="1"/>
  <c r="H118" i="1"/>
  <c r="H166" i="1"/>
  <c r="H15" i="1"/>
  <c r="I15" i="1" s="1"/>
  <c r="H33" i="1"/>
  <c r="I33" i="1" s="1"/>
  <c r="H51" i="1"/>
  <c r="H124" i="1"/>
  <c r="H172" i="1"/>
  <c r="O186" i="2"/>
  <c r="O918" i="2"/>
  <c r="H52" i="1"/>
  <c r="H130" i="1"/>
  <c r="H178" i="1"/>
  <c r="H77" i="1"/>
  <c r="I77" i="1" s="1"/>
  <c r="H29" i="1"/>
  <c r="I29" i="1" s="1"/>
  <c r="H30" i="1"/>
  <c r="I30" i="1" s="1"/>
  <c r="H18" i="1"/>
  <c r="I18" i="1" s="1"/>
  <c r="H32" i="1"/>
  <c r="I32" i="1" s="1"/>
  <c r="H20" i="1"/>
  <c r="I20" i="1" s="1"/>
  <c r="H79" i="1"/>
  <c r="I79" i="1" s="1"/>
  <c r="H81" i="1"/>
  <c r="I81" i="1" s="1"/>
  <c r="H35" i="1"/>
  <c r="H83" i="1"/>
  <c r="H37" i="1"/>
  <c r="H25" i="1"/>
  <c r="I25" i="1" s="1"/>
  <c r="H144" i="1"/>
  <c r="I144" i="1" s="1"/>
  <c r="H145" i="1"/>
  <c r="I145" i="1" s="1"/>
  <c r="H143" i="1"/>
  <c r="I143" i="1" s="1"/>
  <c r="S914" i="2"/>
  <c r="H16" i="1"/>
  <c r="I16" i="1" s="1"/>
  <c r="H34" i="1"/>
  <c r="I34" i="1" s="1"/>
  <c r="H57" i="1"/>
  <c r="H136" i="1"/>
  <c r="H184" i="1"/>
  <c r="S920" i="2"/>
  <c r="H58" i="1"/>
  <c r="H82" i="1"/>
  <c r="I82" i="1" s="1"/>
  <c r="H190" i="1"/>
  <c r="H27" i="1"/>
  <c r="I27" i="1" s="1"/>
  <c r="H64" i="1"/>
  <c r="H142" i="1"/>
  <c r="I142" i="1" s="1"/>
  <c r="H196" i="1"/>
  <c r="O197" i="2"/>
  <c r="S910" i="2"/>
  <c r="O915" i="2"/>
  <c r="H70" i="1"/>
  <c r="O448" i="1"/>
  <c r="O436" i="1"/>
  <c r="O424" i="1"/>
  <c r="O412" i="1"/>
  <c r="O400" i="1"/>
  <c r="O388" i="1"/>
  <c r="O376" i="1"/>
  <c r="O364" i="1"/>
  <c r="O352" i="1"/>
  <c r="O340" i="1"/>
  <c r="O328" i="1"/>
  <c r="O316" i="1"/>
  <c r="O304" i="1"/>
  <c r="O292" i="1"/>
  <c r="O280" i="1"/>
  <c r="O268" i="1"/>
  <c r="O256" i="1"/>
  <c r="O244" i="1"/>
  <c r="O232" i="1"/>
  <c r="O220" i="1"/>
  <c r="O208" i="1"/>
  <c r="O196" i="1"/>
  <c r="O184" i="1"/>
  <c r="O172" i="1"/>
  <c r="O160" i="1"/>
  <c r="O148" i="1"/>
  <c r="O136" i="1"/>
  <c r="O124" i="1"/>
  <c r="O112" i="1"/>
  <c r="O100" i="1"/>
  <c r="O88" i="1"/>
  <c r="O64" i="1"/>
  <c r="O52" i="1"/>
  <c r="O40" i="1"/>
  <c r="O4" i="1"/>
  <c r="N444" i="1"/>
  <c r="N432" i="1"/>
  <c r="N420" i="1"/>
  <c r="N408" i="1"/>
  <c r="N396" i="1"/>
  <c r="N384" i="1"/>
  <c r="N372" i="1"/>
  <c r="N360" i="1"/>
  <c r="N348" i="1"/>
  <c r="N336" i="1"/>
  <c r="N324" i="1"/>
  <c r="N312" i="1"/>
  <c r="N300" i="1"/>
  <c r="N288" i="1"/>
  <c r="N276" i="1"/>
  <c r="N264" i="1"/>
  <c r="N252" i="1"/>
  <c r="N240" i="1"/>
  <c r="N228" i="1"/>
  <c r="N216" i="1"/>
  <c r="N204" i="1"/>
  <c r="N192" i="1"/>
  <c r="O447" i="1"/>
  <c r="O435" i="1"/>
  <c r="O423" i="1"/>
  <c r="O411" i="1"/>
  <c r="O399" i="1"/>
  <c r="O387" i="1"/>
  <c r="O375" i="1"/>
  <c r="O363" i="1"/>
  <c r="O351" i="1"/>
  <c r="O339" i="1"/>
  <c r="O327" i="1"/>
  <c r="O315" i="1"/>
  <c r="O303" i="1"/>
  <c r="O291" i="1"/>
  <c r="O279" i="1"/>
  <c r="O267" i="1"/>
  <c r="O255" i="1"/>
  <c r="O243" i="1"/>
  <c r="O231" i="1"/>
  <c r="O219" i="1"/>
  <c r="O207" i="1"/>
  <c r="O195" i="1"/>
  <c r="O183" i="1"/>
  <c r="O171" i="1"/>
  <c r="O159" i="1"/>
  <c r="O147" i="1"/>
  <c r="O135" i="1"/>
  <c r="O123" i="1"/>
  <c r="O111" i="1"/>
  <c r="O99" i="1"/>
  <c r="O87" i="1"/>
  <c r="O63" i="1"/>
  <c r="O51" i="1"/>
  <c r="O3" i="1"/>
  <c r="N443" i="1"/>
  <c r="N431" i="1"/>
  <c r="N419" i="1"/>
  <c r="N407" i="1"/>
  <c r="N395" i="1"/>
  <c r="N383" i="1"/>
  <c r="N371" i="1"/>
  <c r="N359" i="1"/>
  <c r="N347" i="1"/>
  <c r="N335" i="1"/>
  <c r="N323" i="1"/>
  <c r="N311" i="1"/>
  <c r="N299" i="1"/>
  <c r="N287" i="1"/>
  <c r="N275" i="1"/>
  <c r="N263" i="1"/>
  <c r="N251" i="1"/>
  <c r="N239" i="1"/>
  <c r="N227" i="1"/>
  <c r="N215" i="1"/>
  <c r="N203" i="1"/>
  <c r="N191" i="1"/>
  <c r="N179" i="1"/>
  <c r="N167" i="1"/>
  <c r="N155" i="1"/>
  <c r="N131" i="1"/>
  <c r="N119" i="1"/>
  <c r="N107" i="1"/>
  <c r="O446" i="1"/>
  <c r="O434" i="1"/>
  <c r="O422" i="1"/>
  <c r="O410" i="1"/>
  <c r="O398" i="1"/>
  <c r="O386" i="1"/>
  <c r="O374" i="1"/>
  <c r="O362" i="1"/>
  <c r="O350" i="1"/>
  <c r="O338" i="1"/>
  <c r="O326" i="1"/>
  <c r="O314" i="1"/>
  <c r="O302" i="1"/>
  <c r="O290" i="1"/>
  <c r="O278" i="1"/>
  <c r="O266" i="1"/>
  <c r="O254" i="1"/>
  <c r="O242" i="1"/>
  <c r="O230" i="1"/>
  <c r="O218" i="1"/>
  <c r="O206" i="1"/>
  <c r="O194" i="1"/>
  <c r="O182" i="1"/>
  <c r="O170" i="1"/>
  <c r="O158" i="1"/>
  <c r="O146" i="1"/>
  <c r="O134" i="1"/>
  <c r="O122" i="1"/>
  <c r="O110" i="1"/>
  <c r="O98" i="1"/>
  <c r="O86" i="1"/>
  <c r="O74" i="1"/>
  <c r="O62" i="1"/>
  <c r="O50" i="1"/>
  <c r="O14" i="1"/>
  <c r="O2" i="1"/>
  <c r="N442" i="1"/>
  <c r="N430" i="1"/>
  <c r="N418" i="1"/>
  <c r="N406" i="1"/>
  <c r="N394" i="1"/>
  <c r="N382" i="1"/>
  <c r="N370" i="1"/>
  <c r="N358" i="1"/>
  <c r="N346" i="1"/>
  <c r="N334" i="1"/>
  <c r="N322" i="1"/>
  <c r="N310" i="1"/>
  <c r="N298" i="1"/>
  <c r="N286" i="1"/>
  <c r="N274" i="1"/>
  <c r="N262" i="1"/>
  <c r="N250" i="1"/>
  <c r="N238" i="1"/>
  <c r="N226" i="1"/>
  <c r="N214" i="1"/>
  <c r="N202" i="1"/>
  <c r="N190" i="1"/>
  <c r="N178" i="1"/>
  <c r="N166" i="1"/>
  <c r="N154" i="1"/>
  <c r="N130" i="1"/>
  <c r="N118" i="1"/>
  <c r="O445" i="1"/>
  <c r="O433" i="1"/>
  <c r="O421" i="1"/>
  <c r="O409" i="1"/>
  <c r="O397" i="1"/>
  <c r="O385" i="1"/>
  <c r="O373" i="1"/>
  <c r="O361" i="1"/>
  <c r="O349" i="1"/>
  <c r="O337" i="1"/>
  <c r="O325" i="1"/>
  <c r="O313" i="1"/>
  <c r="O301" i="1"/>
  <c r="O289" i="1"/>
  <c r="O277" i="1"/>
  <c r="O265" i="1"/>
  <c r="O253" i="1"/>
  <c r="O241" i="1"/>
  <c r="O229" i="1"/>
  <c r="O217" i="1"/>
  <c r="O205" i="1"/>
  <c r="O193" i="1"/>
  <c r="O181" i="1"/>
  <c r="O169" i="1"/>
  <c r="O157" i="1"/>
  <c r="O133" i="1"/>
  <c r="O121" i="1"/>
  <c r="O109" i="1"/>
  <c r="O97" i="1"/>
  <c r="O85" i="1"/>
  <c r="O73" i="1"/>
  <c r="O61" i="1"/>
  <c r="O49" i="1"/>
  <c r="O13" i="1"/>
  <c r="N453" i="1"/>
  <c r="N441" i="1"/>
  <c r="N429" i="1"/>
  <c r="N417" i="1"/>
  <c r="N405" i="1"/>
  <c r="N393" i="1"/>
  <c r="N381" i="1"/>
  <c r="N369" i="1"/>
  <c r="N357" i="1"/>
  <c r="N345" i="1"/>
  <c r="N333" i="1"/>
  <c r="N321" i="1"/>
  <c r="N309" i="1"/>
  <c r="N297" i="1"/>
  <c r="N285" i="1"/>
  <c r="N273" i="1"/>
  <c r="N261" i="1"/>
  <c r="N249" i="1"/>
  <c r="N237" i="1"/>
  <c r="N225" i="1"/>
  <c r="N213" i="1"/>
  <c r="N201" i="1"/>
  <c r="N189" i="1"/>
  <c r="N177" i="1"/>
  <c r="N165" i="1"/>
  <c r="N153" i="1"/>
  <c r="N141" i="1"/>
  <c r="N129" i="1"/>
  <c r="O444" i="1"/>
  <c r="O432" i="1"/>
  <c r="O420" i="1"/>
  <c r="O408" i="1"/>
  <c r="O396" i="1"/>
  <c r="O384" i="1"/>
  <c r="O372" i="1"/>
  <c r="O360" i="1"/>
  <c r="O348" i="1"/>
  <c r="O336" i="1"/>
  <c r="O324" i="1"/>
  <c r="O312" i="1"/>
  <c r="O300" i="1"/>
  <c r="O288" i="1"/>
  <c r="O276" i="1"/>
  <c r="O264" i="1"/>
  <c r="O252" i="1"/>
  <c r="O240" i="1"/>
  <c r="O228" i="1"/>
  <c r="O216" i="1"/>
  <c r="O204" i="1"/>
  <c r="O192" i="1"/>
  <c r="O180" i="1"/>
  <c r="O168" i="1"/>
  <c r="O156" i="1"/>
  <c r="O132" i="1"/>
  <c r="O120" i="1"/>
  <c r="O108" i="1"/>
  <c r="O96" i="1"/>
  <c r="O72" i="1"/>
  <c r="O60" i="1"/>
  <c r="O48" i="1"/>
  <c r="O12" i="1"/>
  <c r="N452" i="1"/>
  <c r="N440" i="1"/>
  <c r="N428" i="1"/>
  <c r="N416" i="1"/>
  <c r="N404" i="1"/>
  <c r="N392" i="1"/>
  <c r="N380" i="1"/>
  <c r="N368" i="1"/>
  <c r="N356" i="1"/>
  <c r="N344" i="1"/>
  <c r="N332" i="1"/>
  <c r="N320" i="1"/>
  <c r="N308" i="1"/>
  <c r="N296" i="1"/>
  <c r="N284" i="1"/>
  <c r="N272" i="1"/>
  <c r="N260" i="1"/>
  <c r="O443" i="1"/>
  <c r="O431" i="1"/>
  <c r="O419" i="1"/>
  <c r="O407" i="1"/>
  <c r="O395" i="1"/>
  <c r="O383" i="1"/>
  <c r="O371" i="1"/>
  <c r="O359" i="1"/>
  <c r="O347" i="1"/>
  <c r="O335" i="1"/>
  <c r="O323" i="1"/>
  <c r="O311" i="1"/>
  <c r="O299" i="1"/>
  <c r="O287" i="1"/>
  <c r="O275" i="1"/>
  <c r="O263" i="1"/>
  <c r="O251" i="1"/>
  <c r="O239" i="1"/>
  <c r="O227" i="1"/>
  <c r="O215" i="1"/>
  <c r="O203" i="1"/>
  <c r="O191" i="1"/>
  <c r="O179" i="1"/>
  <c r="O167" i="1"/>
  <c r="O155" i="1"/>
  <c r="O131" i="1"/>
  <c r="O119" i="1"/>
  <c r="O107" i="1"/>
  <c r="O95" i="1"/>
  <c r="O71" i="1"/>
  <c r="O59" i="1"/>
  <c r="O47" i="1"/>
  <c r="O11" i="1"/>
  <c r="N451" i="1"/>
  <c r="N439" i="1"/>
  <c r="N427" i="1"/>
  <c r="N415" i="1"/>
  <c r="N403" i="1"/>
  <c r="N391" i="1"/>
  <c r="N379" i="1"/>
  <c r="N367" i="1"/>
  <c r="N355" i="1"/>
  <c r="N343" i="1"/>
  <c r="N331" i="1"/>
  <c r="N319" i="1"/>
  <c r="N307" i="1"/>
  <c r="N295" i="1"/>
  <c r="N283" i="1"/>
  <c r="N271" i="1"/>
  <c r="N259" i="1"/>
  <c r="N247" i="1"/>
  <c r="N235" i="1"/>
  <c r="N223" i="1"/>
  <c r="N211" i="1"/>
  <c r="N199" i="1"/>
  <c r="N187" i="1"/>
  <c r="N175" i="1"/>
  <c r="N163" i="1"/>
  <c r="N151" i="1"/>
  <c r="N139" i="1"/>
  <c r="N127" i="1"/>
  <c r="N115" i="1"/>
  <c r="O442" i="1"/>
  <c r="O430" i="1"/>
  <c r="O418" i="1"/>
  <c r="O406" i="1"/>
  <c r="O394" i="1"/>
  <c r="O382" i="1"/>
  <c r="O370" i="1"/>
  <c r="O453" i="1"/>
  <c r="O441" i="1"/>
  <c r="O429" i="1"/>
  <c r="O417" i="1"/>
  <c r="O405" i="1"/>
  <c r="O393" i="1"/>
  <c r="O381" i="1"/>
  <c r="O369" i="1"/>
  <c r="O357" i="1"/>
  <c r="O345" i="1"/>
  <c r="O333" i="1"/>
  <c r="O321" i="1"/>
  <c r="O309" i="1"/>
  <c r="O297" i="1"/>
  <c r="O285" i="1"/>
  <c r="O273" i="1"/>
  <c r="O261" i="1"/>
  <c r="O249" i="1"/>
  <c r="O237" i="1"/>
  <c r="O225" i="1"/>
  <c r="O213" i="1"/>
  <c r="O201" i="1"/>
  <c r="O189" i="1"/>
  <c r="O177" i="1"/>
  <c r="O165" i="1"/>
  <c r="O153" i="1"/>
  <c r="O141" i="1"/>
  <c r="O129" i="1"/>
  <c r="O117" i="1"/>
  <c r="O105" i="1"/>
  <c r="O93" i="1"/>
  <c r="O69" i="1"/>
  <c r="O57" i="1"/>
  <c r="O45" i="1"/>
  <c r="O9" i="1"/>
  <c r="N449" i="1"/>
  <c r="N437" i="1"/>
  <c r="N425" i="1"/>
  <c r="N413" i="1"/>
  <c r="N401" i="1"/>
  <c r="N389" i="1"/>
  <c r="N377" i="1"/>
  <c r="N365" i="1"/>
  <c r="N353" i="1"/>
  <c r="N341" i="1"/>
  <c r="N329" i="1"/>
  <c r="N317" i="1"/>
  <c r="N305" i="1"/>
  <c r="N293" i="1"/>
  <c r="N281" i="1"/>
  <c r="N269" i="1"/>
  <c r="N257" i="1"/>
  <c r="N245" i="1"/>
  <c r="N233" i="1"/>
  <c r="N221" i="1"/>
  <c r="N209" i="1"/>
  <c r="N197" i="1"/>
  <c r="N185" i="1"/>
  <c r="N173" i="1"/>
  <c r="N161" i="1"/>
  <c r="O452" i="1"/>
  <c r="O440" i="1"/>
  <c r="O428" i="1"/>
  <c r="O416" i="1"/>
  <c r="O404" i="1"/>
  <c r="O392" i="1"/>
  <c r="O380" i="1"/>
  <c r="O368" i="1"/>
  <c r="O356" i="1"/>
  <c r="O344" i="1"/>
  <c r="O332" i="1"/>
  <c r="O320" i="1"/>
  <c r="O308" i="1"/>
  <c r="O296" i="1"/>
  <c r="O284" i="1"/>
  <c r="O272" i="1"/>
  <c r="O260" i="1"/>
  <c r="O248" i="1"/>
  <c r="O224" i="1"/>
  <c r="O212" i="1"/>
  <c r="O200" i="1"/>
  <c r="O188" i="1"/>
  <c r="O176" i="1"/>
  <c r="O164" i="1"/>
  <c r="O152" i="1"/>
  <c r="O140" i="1"/>
  <c r="O128" i="1"/>
  <c r="O116" i="1"/>
  <c r="O104" i="1"/>
  <c r="O92" i="1"/>
  <c r="O68" i="1"/>
  <c r="O56" i="1"/>
  <c r="O44" i="1"/>
  <c r="O8" i="1"/>
  <c r="N448" i="1"/>
  <c r="N436" i="1"/>
  <c r="N424" i="1"/>
  <c r="N412" i="1"/>
  <c r="N400" i="1"/>
  <c r="N388" i="1"/>
  <c r="N376" i="1"/>
  <c r="N364" i="1"/>
  <c r="N352" i="1"/>
  <c r="N340" i="1"/>
  <c r="N328" i="1"/>
  <c r="N316" i="1"/>
  <c r="N304" i="1"/>
  <c r="N292" i="1"/>
  <c r="N280" i="1"/>
  <c r="N268" i="1"/>
  <c r="N256" i="1"/>
  <c r="N244" i="1"/>
  <c r="N232" i="1"/>
  <c r="N220" i="1"/>
  <c r="N208" i="1"/>
  <c r="N196" i="1"/>
  <c r="N184" i="1"/>
  <c r="N172" i="1"/>
  <c r="N160" i="1"/>
  <c r="N148" i="1"/>
  <c r="N136" i="1"/>
  <c r="O451" i="1"/>
  <c r="O439" i="1"/>
  <c r="O427" i="1"/>
  <c r="O415" i="1"/>
  <c r="O403" i="1"/>
  <c r="O391" i="1"/>
  <c r="O379" i="1"/>
  <c r="O367" i="1"/>
  <c r="O355" i="1"/>
  <c r="O343" i="1"/>
  <c r="O331" i="1"/>
  <c r="O319" i="1"/>
  <c r="O307" i="1"/>
  <c r="O295" i="1"/>
  <c r="O283" i="1"/>
  <c r="O271" i="1"/>
  <c r="O259" i="1"/>
  <c r="O247" i="1"/>
  <c r="O235" i="1"/>
  <c r="O223" i="1"/>
  <c r="O211" i="1"/>
  <c r="O199" i="1"/>
  <c r="O187" i="1"/>
  <c r="O175" i="1"/>
  <c r="O163" i="1"/>
  <c r="O151" i="1"/>
  <c r="O139" i="1"/>
  <c r="O127" i="1"/>
  <c r="O115" i="1"/>
  <c r="O103" i="1"/>
  <c r="O91" i="1"/>
  <c r="O67" i="1"/>
  <c r="O55" i="1"/>
  <c r="O43" i="1"/>
  <c r="O7" i="1"/>
  <c r="N447" i="1"/>
  <c r="N435" i="1"/>
  <c r="N423" i="1"/>
  <c r="N411" i="1"/>
  <c r="N399" i="1"/>
  <c r="N387" i="1"/>
  <c r="N375" i="1"/>
  <c r="N363" i="1"/>
  <c r="N351" i="1"/>
  <c r="N339" i="1"/>
  <c r="N327" i="1"/>
  <c r="N315" i="1"/>
  <c r="N303" i="1"/>
  <c r="N291" i="1"/>
  <c r="N279" i="1"/>
  <c r="N267" i="1"/>
  <c r="N255" i="1"/>
  <c r="N243" i="1"/>
  <c r="N231" i="1"/>
  <c r="N219" i="1"/>
  <c r="N207" i="1"/>
  <c r="N195" i="1"/>
  <c r="N183" i="1"/>
  <c r="N171" i="1"/>
  <c r="N159" i="1"/>
  <c r="N147" i="1"/>
  <c r="N135" i="1"/>
  <c r="N123" i="1"/>
  <c r="N111" i="1"/>
  <c r="O450" i="1"/>
  <c r="O438" i="1"/>
  <c r="O426" i="1"/>
  <c r="O414" i="1"/>
  <c r="O402" i="1"/>
  <c r="O390" i="1"/>
  <c r="O378" i="1"/>
  <c r="O366" i="1"/>
  <c r="O354" i="1"/>
  <c r="O342" i="1"/>
  <c r="O330" i="1"/>
  <c r="O318" i="1"/>
  <c r="O306" i="1"/>
  <c r="O294" i="1"/>
  <c r="O282" i="1"/>
  <c r="O270" i="1"/>
  <c r="O258" i="1"/>
  <c r="O246" i="1"/>
  <c r="O234" i="1"/>
  <c r="O222" i="1"/>
  <c r="O210" i="1"/>
  <c r="O198" i="1"/>
  <c r="O186" i="1"/>
  <c r="O174" i="1"/>
  <c r="O162" i="1"/>
  <c r="O150" i="1"/>
  <c r="O138" i="1"/>
  <c r="O126" i="1"/>
  <c r="O114" i="1"/>
  <c r="O102" i="1"/>
  <c r="O90" i="1"/>
  <c r="O66" i="1"/>
  <c r="O54" i="1"/>
  <c r="O42" i="1"/>
  <c r="O6" i="1"/>
  <c r="N446" i="1"/>
  <c r="N434" i="1"/>
  <c r="N422" i="1"/>
  <c r="N410" i="1"/>
  <c r="N398" i="1"/>
  <c r="N386" i="1"/>
  <c r="N374" i="1"/>
  <c r="N362" i="1"/>
  <c r="N350" i="1"/>
  <c r="N338" i="1"/>
  <c r="N326" i="1"/>
  <c r="N314" i="1"/>
  <c r="N302" i="1"/>
  <c r="N290" i="1"/>
  <c r="N278" i="1"/>
  <c r="N266" i="1"/>
  <c r="N254" i="1"/>
  <c r="N242" i="1"/>
  <c r="N230" i="1"/>
  <c r="N218" i="1"/>
  <c r="N206" i="1"/>
  <c r="N194" i="1"/>
  <c r="N182" i="1"/>
  <c r="N170" i="1"/>
  <c r="N158" i="1"/>
  <c r="N146" i="1"/>
  <c r="N134" i="1"/>
  <c r="N122" i="1"/>
  <c r="O449" i="1"/>
  <c r="O437" i="1"/>
  <c r="O425" i="1"/>
  <c r="O413" i="1"/>
  <c r="O401" i="1"/>
  <c r="O389" i="1"/>
  <c r="O377" i="1"/>
  <c r="O365" i="1"/>
  <c r="O353" i="1"/>
  <c r="O341" i="1"/>
  <c r="O329" i="1"/>
  <c r="O317" i="1"/>
  <c r="O305" i="1"/>
  <c r="O293" i="1"/>
  <c r="O281" i="1"/>
  <c r="O269" i="1"/>
  <c r="O257" i="1"/>
  <c r="O245" i="1"/>
  <c r="O233" i="1"/>
  <c r="O221" i="1"/>
  <c r="O209" i="1"/>
  <c r="O197" i="1"/>
  <c r="O185" i="1"/>
  <c r="O173" i="1"/>
  <c r="O161" i="1"/>
  <c r="O149" i="1"/>
  <c r="O137" i="1"/>
  <c r="O125" i="1"/>
  <c r="O113" i="1"/>
  <c r="O101" i="1"/>
  <c r="O89" i="1"/>
  <c r="O65" i="1"/>
  <c r="O53" i="1"/>
  <c r="O41" i="1"/>
  <c r="O5" i="1"/>
  <c r="N445" i="1"/>
  <c r="N433" i="1"/>
  <c r="N421" i="1"/>
  <c r="N409" i="1"/>
  <c r="N397" i="1"/>
  <c r="O358" i="1"/>
  <c r="O226" i="1"/>
  <c r="O118" i="1"/>
  <c r="N385" i="1"/>
  <c r="N313" i="1"/>
  <c r="N246" i="1"/>
  <c r="N198" i="1"/>
  <c r="N157" i="1"/>
  <c r="N133" i="1"/>
  <c r="N112" i="1"/>
  <c r="N98" i="1"/>
  <c r="N86" i="1"/>
  <c r="N74" i="1"/>
  <c r="N62" i="1"/>
  <c r="N50" i="1"/>
  <c r="N14" i="1"/>
  <c r="N2" i="1"/>
  <c r="J451" i="1"/>
  <c r="J448" i="1"/>
  <c r="J445" i="1"/>
  <c r="J442" i="1"/>
  <c r="J439" i="1"/>
  <c r="J436" i="1"/>
  <c r="J433" i="1"/>
  <c r="J430" i="1"/>
  <c r="J427" i="1"/>
  <c r="J424" i="1"/>
  <c r="J421" i="1"/>
  <c r="J418" i="1"/>
  <c r="J415" i="1"/>
  <c r="J412" i="1"/>
  <c r="J409" i="1"/>
  <c r="J406" i="1"/>
  <c r="J403" i="1"/>
  <c r="J400" i="1"/>
  <c r="J397" i="1"/>
  <c r="J394" i="1"/>
  <c r="J391" i="1"/>
  <c r="J388" i="1"/>
  <c r="J385" i="1"/>
  <c r="J382" i="1"/>
  <c r="J379" i="1"/>
  <c r="J376" i="1"/>
  <c r="J373" i="1"/>
  <c r="J370" i="1"/>
  <c r="J367" i="1"/>
  <c r="J364" i="1"/>
  <c r="J361" i="1"/>
  <c r="J358" i="1"/>
  <c r="J355" i="1"/>
  <c r="J352" i="1"/>
  <c r="J349" i="1"/>
  <c r="J346" i="1"/>
  <c r="J343" i="1"/>
  <c r="J340" i="1"/>
  <c r="J337" i="1"/>
  <c r="J334" i="1"/>
  <c r="J331" i="1"/>
  <c r="J328" i="1"/>
  <c r="J325" i="1"/>
  <c r="J322" i="1"/>
  <c r="J319" i="1"/>
  <c r="J316" i="1"/>
  <c r="J313" i="1"/>
  <c r="J310" i="1"/>
  <c r="J307" i="1"/>
  <c r="J304" i="1"/>
  <c r="J301" i="1"/>
  <c r="J298" i="1"/>
  <c r="J295" i="1"/>
  <c r="J292" i="1"/>
  <c r="J289" i="1"/>
  <c r="J286" i="1"/>
  <c r="J283" i="1"/>
  <c r="J280" i="1"/>
  <c r="J277" i="1"/>
  <c r="J274" i="1"/>
  <c r="J271" i="1"/>
  <c r="J268" i="1"/>
  <c r="J265" i="1"/>
  <c r="J262" i="1"/>
  <c r="J259" i="1"/>
  <c r="J256" i="1"/>
  <c r="J253" i="1"/>
  <c r="J250" i="1"/>
  <c r="J247" i="1"/>
  <c r="J244" i="1"/>
  <c r="J241" i="1"/>
  <c r="O346" i="1"/>
  <c r="O214" i="1"/>
  <c r="O106" i="1"/>
  <c r="O70" i="1"/>
  <c r="N378" i="1"/>
  <c r="N306" i="1"/>
  <c r="N241" i="1"/>
  <c r="N193" i="1"/>
  <c r="N156" i="1"/>
  <c r="N132" i="1"/>
  <c r="N110" i="1"/>
  <c r="N97" i="1"/>
  <c r="N85" i="1"/>
  <c r="N73" i="1"/>
  <c r="N61" i="1"/>
  <c r="N49" i="1"/>
  <c r="N13" i="1"/>
  <c r="M453" i="1"/>
  <c r="M450" i="1"/>
  <c r="M447" i="1"/>
  <c r="M444" i="1"/>
  <c r="M441" i="1"/>
  <c r="M438" i="1"/>
  <c r="M435" i="1"/>
  <c r="M432" i="1"/>
  <c r="M429" i="1"/>
  <c r="M426" i="1"/>
  <c r="M423" i="1"/>
  <c r="M420" i="1"/>
  <c r="M417" i="1"/>
  <c r="M414" i="1"/>
  <c r="M411" i="1"/>
  <c r="M408" i="1"/>
  <c r="M405" i="1"/>
  <c r="M402" i="1"/>
  <c r="M399" i="1"/>
  <c r="M396" i="1"/>
  <c r="M393" i="1"/>
  <c r="M390" i="1"/>
  <c r="M387" i="1"/>
  <c r="M384" i="1"/>
  <c r="M381" i="1"/>
  <c r="M378" i="1"/>
  <c r="M375" i="1"/>
  <c r="M372" i="1"/>
  <c r="M369" i="1"/>
  <c r="M366" i="1"/>
  <c r="M363" i="1"/>
  <c r="M360" i="1"/>
  <c r="M357" i="1"/>
  <c r="M354" i="1"/>
  <c r="M351" i="1"/>
  <c r="M348" i="1"/>
  <c r="M345" i="1"/>
  <c r="M342" i="1"/>
  <c r="M339" i="1"/>
  <c r="M336" i="1"/>
  <c r="M333" i="1"/>
  <c r="M330" i="1"/>
  <c r="M327" i="1"/>
  <c r="M324" i="1"/>
  <c r="M321" i="1"/>
  <c r="M318" i="1"/>
  <c r="M315" i="1"/>
  <c r="M312" i="1"/>
  <c r="M309" i="1"/>
  <c r="M306" i="1"/>
  <c r="M303" i="1"/>
  <c r="M300" i="1"/>
  <c r="M297" i="1"/>
  <c r="M294" i="1"/>
  <c r="M291" i="1"/>
  <c r="M288" i="1"/>
  <c r="M285" i="1"/>
  <c r="M282" i="1"/>
  <c r="M279" i="1"/>
  <c r="M276" i="1"/>
  <c r="M273" i="1"/>
  <c r="M270" i="1"/>
  <c r="M267" i="1"/>
  <c r="M264" i="1"/>
  <c r="O334" i="1"/>
  <c r="O202" i="1"/>
  <c r="O94" i="1"/>
  <c r="O58" i="1"/>
  <c r="N373" i="1"/>
  <c r="N301" i="1"/>
  <c r="N188" i="1"/>
  <c r="N152" i="1"/>
  <c r="N128" i="1"/>
  <c r="N109" i="1"/>
  <c r="N96" i="1"/>
  <c r="N72" i="1"/>
  <c r="N60" i="1"/>
  <c r="N48" i="1"/>
  <c r="N12" i="1"/>
  <c r="L453" i="1"/>
  <c r="L450" i="1"/>
  <c r="L447" i="1"/>
  <c r="L444" i="1"/>
  <c r="L441" i="1"/>
  <c r="L438" i="1"/>
  <c r="L435" i="1"/>
  <c r="L432" i="1"/>
  <c r="L429" i="1"/>
  <c r="L426" i="1"/>
  <c r="L423" i="1"/>
  <c r="L420" i="1"/>
  <c r="L417" i="1"/>
  <c r="L414" i="1"/>
  <c r="L411" i="1"/>
  <c r="L408" i="1"/>
  <c r="L405" i="1"/>
  <c r="L402" i="1"/>
  <c r="L399" i="1"/>
  <c r="L396" i="1"/>
  <c r="L393" i="1"/>
  <c r="L390" i="1"/>
  <c r="L387" i="1"/>
  <c r="L384" i="1"/>
  <c r="L381" i="1"/>
  <c r="L378" i="1"/>
  <c r="L375" i="1"/>
  <c r="L372" i="1"/>
  <c r="L369" i="1"/>
  <c r="L366" i="1"/>
  <c r="L363" i="1"/>
  <c r="L360" i="1"/>
  <c r="L357" i="1"/>
  <c r="L354" i="1"/>
  <c r="L351" i="1"/>
  <c r="L348" i="1"/>
  <c r="L345" i="1"/>
  <c r="L342" i="1"/>
  <c r="L339" i="1"/>
  <c r="L336" i="1"/>
  <c r="L333" i="1"/>
  <c r="L330" i="1"/>
  <c r="L327" i="1"/>
  <c r="L324" i="1"/>
  <c r="L321" i="1"/>
  <c r="L318" i="1"/>
  <c r="L315" i="1"/>
  <c r="L312" i="1"/>
  <c r="L309" i="1"/>
  <c r="L306" i="1"/>
  <c r="L303" i="1"/>
  <c r="L300" i="1"/>
  <c r="L297" i="1"/>
  <c r="L294" i="1"/>
  <c r="L291" i="1"/>
  <c r="L288" i="1"/>
  <c r="L285" i="1"/>
  <c r="L282" i="1"/>
  <c r="L279" i="1"/>
  <c r="L276" i="1"/>
  <c r="L273" i="1"/>
  <c r="L270" i="1"/>
  <c r="L267" i="1"/>
  <c r="L264" i="1"/>
  <c r="L261" i="1"/>
  <c r="L258" i="1"/>
  <c r="O322" i="1"/>
  <c r="O190" i="1"/>
  <c r="O46" i="1"/>
  <c r="N366" i="1"/>
  <c r="N294" i="1"/>
  <c r="N234" i="1"/>
  <c r="N186" i="1"/>
  <c r="N150" i="1"/>
  <c r="N126" i="1"/>
  <c r="N108" i="1"/>
  <c r="N95" i="1"/>
  <c r="N71" i="1"/>
  <c r="N59" i="1"/>
  <c r="N47" i="1"/>
  <c r="N11" i="1"/>
  <c r="K453" i="1"/>
  <c r="K450" i="1"/>
  <c r="K447" i="1"/>
  <c r="K444" i="1"/>
  <c r="K441" i="1"/>
  <c r="K438" i="1"/>
  <c r="K435" i="1"/>
  <c r="K432" i="1"/>
  <c r="K429" i="1"/>
  <c r="K426" i="1"/>
  <c r="K423" i="1"/>
  <c r="K420" i="1"/>
  <c r="K417" i="1"/>
  <c r="K414" i="1"/>
  <c r="K411" i="1"/>
  <c r="K408" i="1"/>
  <c r="K405" i="1"/>
  <c r="K402" i="1"/>
  <c r="K399" i="1"/>
  <c r="K396" i="1"/>
  <c r="K393" i="1"/>
  <c r="K390" i="1"/>
  <c r="K387" i="1"/>
  <c r="K384" i="1"/>
  <c r="K381" i="1"/>
  <c r="K378" i="1"/>
  <c r="K375" i="1"/>
  <c r="K372" i="1"/>
  <c r="K369" i="1"/>
  <c r="K366" i="1"/>
  <c r="K363" i="1"/>
  <c r="K360" i="1"/>
  <c r="K357" i="1"/>
  <c r="K354" i="1"/>
  <c r="K351" i="1"/>
  <c r="K348" i="1"/>
  <c r="K345" i="1"/>
  <c r="K342" i="1"/>
  <c r="K339" i="1"/>
  <c r="K336" i="1"/>
  <c r="K333" i="1"/>
  <c r="K330" i="1"/>
  <c r="K327" i="1"/>
  <c r="K324" i="1"/>
  <c r="K321" i="1"/>
  <c r="K318" i="1"/>
  <c r="K315" i="1"/>
  <c r="K312" i="1"/>
  <c r="K309" i="1"/>
  <c r="K306" i="1"/>
  <c r="K303" i="1"/>
  <c r="K300" i="1"/>
  <c r="K297" i="1"/>
  <c r="K294" i="1"/>
  <c r="K291" i="1"/>
  <c r="K288" i="1"/>
  <c r="K285" i="1"/>
  <c r="K282" i="1"/>
  <c r="K279" i="1"/>
  <c r="K276" i="1"/>
  <c r="K273" i="1"/>
  <c r="K270" i="1"/>
  <c r="K267" i="1"/>
  <c r="K264" i="1"/>
  <c r="K261" i="1"/>
  <c r="K258" i="1"/>
  <c r="K255" i="1"/>
  <c r="K252" i="1"/>
  <c r="K249" i="1"/>
  <c r="K246" i="1"/>
  <c r="O310" i="1"/>
  <c r="O178" i="1"/>
  <c r="N361" i="1"/>
  <c r="N289" i="1"/>
  <c r="N229" i="1"/>
  <c r="N181" i="1"/>
  <c r="N149" i="1"/>
  <c r="N125" i="1"/>
  <c r="N106" i="1"/>
  <c r="N94" i="1"/>
  <c r="N70" i="1"/>
  <c r="N58" i="1"/>
  <c r="N46" i="1"/>
  <c r="N10" i="1"/>
  <c r="J453" i="1"/>
  <c r="J450" i="1"/>
  <c r="J447" i="1"/>
  <c r="J444" i="1"/>
  <c r="J441" i="1"/>
  <c r="J438" i="1"/>
  <c r="J435" i="1"/>
  <c r="J432" i="1"/>
  <c r="J429" i="1"/>
  <c r="J426" i="1"/>
  <c r="J423" i="1"/>
  <c r="J420" i="1"/>
  <c r="J417" i="1"/>
  <c r="J414" i="1"/>
  <c r="J411" i="1"/>
  <c r="J408" i="1"/>
  <c r="J405" i="1"/>
  <c r="J402" i="1"/>
  <c r="J399" i="1"/>
  <c r="J396" i="1"/>
  <c r="J393" i="1"/>
  <c r="J390" i="1"/>
  <c r="J387" i="1"/>
  <c r="J384" i="1"/>
  <c r="J381" i="1"/>
  <c r="J378" i="1"/>
  <c r="J375" i="1"/>
  <c r="J372" i="1"/>
  <c r="J369" i="1"/>
  <c r="J366" i="1"/>
  <c r="J363" i="1"/>
  <c r="J360" i="1"/>
  <c r="J357" i="1"/>
  <c r="J354" i="1"/>
  <c r="J351" i="1"/>
  <c r="J348" i="1"/>
  <c r="J345" i="1"/>
  <c r="J342" i="1"/>
  <c r="J339" i="1"/>
  <c r="J336" i="1"/>
  <c r="J333" i="1"/>
  <c r="J330" i="1"/>
  <c r="J327" i="1"/>
  <c r="J324" i="1"/>
  <c r="J321" i="1"/>
  <c r="J318" i="1"/>
  <c r="J315" i="1"/>
  <c r="J312" i="1"/>
  <c r="J309" i="1"/>
  <c r="J306" i="1"/>
  <c r="J303" i="1"/>
  <c r="J300" i="1"/>
  <c r="J297" i="1"/>
  <c r="J294" i="1"/>
  <c r="J291" i="1"/>
  <c r="J288" i="1"/>
  <c r="J285" i="1"/>
  <c r="J282" i="1"/>
  <c r="J279" i="1"/>
  <c r="J276" i="1"/>
  <c r="J273" i="1"/>
  <c r="J270" i="1"/>
  <c r="J267" i="1"/>
  <c r="J264" i="1"/>
  <c r="J261" i="1"/>
  <c r="J258" i="1"/>
  <c r="O298" i="1"/>
  <c r="O166" i="1"/>
  <c r="O10" i="1"/>
  <c r="N354" i="1"/>
  <c r="N282" i="1"/>
  <c r="N224" i="1"/>
  <c r="N180" i="1"/>
  <c r="N124" i="1"/>
  <c r="N105" i="1"/>
  <c r="N93" i="1"/>
  <c r="N69" i="1"/>
  <c r="N57" i="1"/>
  <c r="N45" i="1"/>
  <c r="N9" i="1"/>
  <c r="M452" i="1"/>
  <c r="M449" i="1"/>
  <c r="M446" i="1"/>
  <c r="M443" i="1"/>
  <c r="M440" i="1"/>
  <c r="M437" i="1"/>
  <c r="M434" i="1"/>
  <c r="M431" i="1"/>
  <c r="M428" i="1"/>
  <c r="M425" i="1"/>
  <c r="M422" i="1"/>
  <c r="M419" i="1"/>
  <c r="M416" i="1"/>
  <c r="M413" i="1"/>
  <c r="M410" i="1"/>
  <c r="M407" i="1"/>
  <c r="M404" i="1"/>
  <c r="M401" i="1"/>
  <c r="M398" i="1"/>
  <c r="M395" i="1"/>
  <c r="M392" i="1"/>
  <c r="M389" i="1"/>
  <c r="M386" i="1"/>
  <c r="M383" i="1"/>
  <c r="M380" i="1"/>
  <c r="M377" i="1"/>
  <c r="M374" i="1"/>
  <c r="M371" i="1"/>
  <c r="M368" i="1"/>
  <c r="M365" i="1"/>
  <c r="M362" i="1"/>
  <c r="M359" i="1"/>
  <c r="M356" i="1"/>
  <c r="M353" i="1"/>
  <c r="M350" i="1"/>
  <c r="M347" i="1"/>
  <c r="M344" i="1"/>
  <c r="M341" i="1"/>
  <c r="M338" i="1"/>
  <c r="M335" i="1"/>
  <c r="M332" i="1"/>
  <c r="M329" i="1"/>
  <c r="M326" i="1"/>
  <c r="M323" i="1"/>
  <c r="M320" i="1"/>
  <c r="M317" i="1"/>
  <c r="M314" i="1"/>
  <c r="M311" i="1"/>
  <c r="M308" i="1"/>
  <c r="M305" i="1"/>
  <c r="M302" i="1"/>
  <c r="M299" i="1"/>
  <c r="M296" i="1"/>
  <c r="M293" i="1"/>
  <c r="M290" i="1"/>
  <c r="M287" i="1"/>
  <c r="M284" i="1"/>
  <c r="M281" i="1"/>
  <c r="M278" i="1"/>
  <c r="M275" i="1"/>
  <c r="M272" i="1"/>
  <c r="M269" i="1"/>
  <c r="M266" i="1"/>
  <c r="M263" i="1"/>
  <c r="M260" i="1"/>
  <c r="O286" i="1"/>
  <c r="O154" i="1"/>
  <c r="N450" i="1"/>
  <c r="N349" i="1"/>
  <c r="N277" i="1"/>
  <c r="N222" i="1"/>
  <c r="N176" i="1"/>
  <c r="N121" i="1"/>
  <c r="N104" i="1"/>
  <c r="N92" i="1"/>
  <c r="N68" i="1"/>
  <c r="N56" i="1"/>
  <c r="N44" i="1"/>
  <c r="N8" i="1"/>
  <c r="L452" i="1"/>
  <c r="L449" i="1"/>
  <c r="L446" i="1"/>
  <c r="L443" i="1"/>
  <c r="L440" i="1"/>
  <c r="L437" i="1"/>
  <c r="L434" i="1"/>
  <c r="L431" i="1"/>
  <c r="L428" i="1"/>
  <c r="L425" i="1"/>
  <c r="L422" i="1"/>
  <c r="L419" i="1"/>
  <c r="L416" i="1"/>
  <c r="L413" i="1"/>
  <c r="L410" i="1"/>
  <c r="L407" i="1"/>
  <c r="L404" i="1"/>
  <c r="L401" i="1"/>
  <c r="L398" i="1"/>
  <c r="L395" i="1"/>
  <c r="L392" i="1"/>
  <c r="L389" i="1"/>
  <c r="L386" i="1"/>
  <c r="L383" i="1"/>
  <c r="L380" i="1"/>
  <c r="L377" i="1"/>
  <c r="L374" i="1"/>
  <c r="L371" i="1"/>
  <c r="L368" i="1"/>
  <c r="L365" i="1"/>
  <c r="L362" i="1"/>
  <c r="L359" i="1"/>
  <c r="L356" i="1"/>
  <c r="L353" i="1"/>
  <c r="L350" i="1"/>
  <c r="L347" i="1"/>
  <c r="L344" i="1"/>
  <c r="L341" i="1"/>
  <c r="L338" i="1"/>
  <c r="L335" i="1"/>
  <c r="L332" i="1"/>
  <c r="L329" i="1"/>
  <c r="L326" i="1"/>
  <c r="L323" i="1"/>
  <c r="L320" i="1"/>
  <c r="L317" i="1"/>
  <c r="L314" i="1"/>
  <c r="L311" i="1"/>
  <c r="L308" i="1"/>
  <c r="L305" i="1"/>
  <c r="L302" i="1"/>
  <c r="L299" i="1"/>
  <c r="L296" i="1"/>
  <c r="L293" i="1"/>
  <c r="L290" i="1"/>
  <c r="L287" i="1"/>
  <c r="L284" i="1"/>
  <c r="L281" i="1"/>
  <c r="L278" i="1"/>
  <c r="L275" i="1"/>
  <c r="L272" i="1"/>
  <c r="L269" i="1"/>
  <c r="L266" i="1"/>
  <c r="L263" i="1"/>
  <c r="L260" i="1"/>
  <c r="L257" i="1"/>
  <c r="O262" i="1"/>
  <c r="N426" i="1"/>
  <c r="N337" i="1"/>
  <c r="N265" i="1"/>
  <c r="N212" i="1"/>
  <c r="N169" i="1"/>
  <c r="N117" i="1"/>
  <c r="N102" i="1"/>
  <c r="N90" i="1"/>
  <c r="N66" i="1"/>
  <c r="N54" i="1"/>
  <c r="N42" i="1"/>
  <c r="N6" i="1"/>
  <c r="J452" i="1"/>
  <c r="J449" i="1"/>
  <c r="J446" i="1"/>
  <c r="J443" i="1"/>
  <c r="J440" i="1"/>
  <c r="J437" i="1"/>
  <c r="J434" i="1"/>
  <c r="J431" i="1"/>
  <c r="J428" i="1"/>
  <c r="J425" i="1"/>
  <c r="J422" i="1"/>
  <c r="J419" i="1"/>
  <c r="J416" i="1"/>
  <c r="J413" i="1"/>
  <c r="J410" i="1"/>
  <c r="J407" i="1"/>
  <c r="J404" i="1"/>
  <c r="J401" i="1"/>
  <c r="J398" i="1"/>
  <c r="J395" i="1"/>
  <c r="J392" i="1"/>
  <c r="J389" i="1"/>
  <c r="J386" i="1"/>
  <c r="J383" i="1"/>
  <c r="J380" i="1"/>
  <c r="J377" i="1"/>
  <c r="J374" i="1"/>
  <c r="J371" i="1"/>
  <c r="J368" i="1"/>
  <c r="J365" i="1"/>
  <c r="J362" i="1"/>
  <c r="J359" i="1"/>
  <c r="J356" i="1"/>
  <c r="J353" i="1"/>
  <c r="J350" i="1"/>
  <c r="J347" i="1"/>
  <c r="J344" i="1"/>
  <c r="J341" i="1"/>
  <c r="J338" i="1"/>
  <c r="J335" i="1"/>
  <c r="J332" i="1"/>
  <c r="J329" i="1"/>
  <c r="J326" i="1"/>
  <c r="J323" i="1"/>
  <c r="J320" i="1"/>
  <c r="J317" i="1"/>
  <c r="J314" i="1"/>
  <c r="J311" i="1"/>
  <c r="J308" i="1"/>
  <c r="J305" i="1"/>
  <c r="J302" i="1"/>
  <c r="J299" i="1"/>
  <c r="J296" i="1"/>
  <c r="J293" i="1"/>
  <c r="J290" i="1"/>
  <c r="J287" i="1"/>
  <c r="J284" i="1"/>
  <c r="J281" i="1"/>
  <c r="J278" i="1"/>
  <c r="J275" i="1"/>
  <c r="J272" i="1"/>
  <c r="J269" i="1"/>
  <c r="J266" i="1"/>
  <c r="J263" i="1"/>
  <c r="J260" i="1"/>
  <c r="J257" i="1"/>
  <c r="J254" i="1"/>
  <c r="J251" i="1"/>
  <c r="J248" i="1"/>
  <c r="O250" i="1"/>
  <c r="N414" i="1"/>
  <c r="N330" i="1"/>
  <c r="N258" i="1"/>
  <c r="N210" i="1"/>
  <c r="N168" i="1"/>
  <c r="N140" i="1"/>
  <c r="N116" i="1"/>
  <c r="N101" i="1"/>
  <c r="N89" i="1"/>
  <c r="N65" i="1"/>
  <c r="N53" i="1"/>
  <c r="N41" i="1"/>
  <c r="N5" i="1"/>
  <c r="M451" i="1"/>
  <c r="M448" i="1"/>
  <c r="M445" i="1"/>
  <c r="M442" i="1"/>
  <c r="M439" i="1"/>
  <c r="M436" i="1"/>
  <c r="M433" i="1"/>
  <c r="M430" i="1"/>
  <c r="M427" i="1"/>
  <c r="M424" i="1"/>
  <c r="M421" i="1"/>
  <c r="M418" i="1"/>
  <c r="M415" i="1"/>
  <c r="M412" i="1"/>
  <c r="M409" i="1"/>
  <c r="M406" i="1"/>
  <c r="M403" i="1"/>
  <c r="M400" i="1"/>
  <c r="M397" i="1"/>
  <c r="M394" i="1"/>
  <c r="M391" i="1"/>
  <c r="M388" i="1"/>
  <c r="M385" i="1"/>
  <c r="M382" i="1"/>
  <c r="M379" i="1"/>
  <c r="M376" i="1"/>
  <c r="M373" i="1"/>
  <c r="M370" i="1"/>
  <c r="M367" i="1"/>
  <c r="M364" i="1"/>
  <c r="M361" i="1"/>
  <c r="M358" i="1"/>
  <c r="M355" i="1"/>
  <c r="M352" i="1"/>
  <c r="M349" i="1"/>
  <c r="M346" i="1"/>
  <c r="M343" i="1"/>
  <c r="M340" i="1"/>
  <c r="M337" i="1"/>
  <c r="M334" i="1"/>
  <c r="M331" i="1"/>
  <c r="M328" i="1"/>
  <c r="M325" i="1"/>
  <c r="M322" i="1"/>
  <c r="M319" i="1"/>
  <c r="M316" i="1"/>
  <c r="M313" i="1"/>
  <c r="M310" i="1"/>
  <c r="M307" i="1"/>
  <c r="M304" i="1"/>
  <c r="M301" i="1"/>
  <c r="M298" i="1"/>
  <c r="M295" i="1"/>
  <c r="M292" i="1"/>
  <c r="M289" i="1"/>
  <c r="M286" i="1"/>
  <c r="M283" i="1"/>
  <c r="M280" i="1"/>
  <c r="M277" i="1"/>
  <c r="M274" i="1"/>
  <c r="M271" i="1"/>
  <c r="M268" i="1"/>
  <c r="M265" i="1"/>
  <c r="M262" i="1"/>
  <c r="M259" i="1"/>
  <c r="M256" i="1"/>
  <c r="M253" i="1"/>
  <c r="M250" i="1"/>
  <c r="M247" i="1"/>
  <c r="M244" i="1"/>
  <c r="M241" i="1"/>
  <c r="O238" i="1"/>
  <c r="N402" i="1"/>
  <c r="N325" i="1"/>
  <c r="N253" i="1"/>
  <c r="N205" i="1"/>
  <c r="N164" i="1"/>
  <c r="N138" i="1"/>
  <c r="N114" i="1"/>
  <c r="N100" i="1"/>
  <c r="N88" i="1"/>
  <c r="N64" i="1"/>
  <c r="N52" i="1"/>
  <c r="N40" i="1"/>
  <c r="N4" i="1"/>
  <c r="L451" i="1"/>
  <c r="L448" i="1"/>
  <c r="L445" i="1"/>
  <c r="L442" i="1"/>
  <c r="L439" i="1"/>
  <c r="L436" i="1"/>
  <c r="L433" i="1"/>
  <c r="L430" i="1"/>
  <c r="L427" i="1"/>
  <c r="L424" i="1"/>
  <c r="L421" i="1"/>
  <c r="L418" i="1"/>
  <c r="L415" i="1"/>
  <c r="L412" i="1"/>
  <c r="L409" i="1"/>
  <c r="L406" i="1"/>
  <c r="L403" i="1"/>
  <c r="L400" i="1"/>
  <c r="L397" i="1"/>
  <c r="L394" i="1"/>
  <c r="L391" i="1"/>
  <c r="L388" i="1"/>
  <c r="L385" i="1"/>
  <c r="L382" i="1"/>
  <c r="L379" i="1"/>
  <c r="L376" i="1"/>
  <c r="L373" i="1"/>
  <c r="L370" i="1"/>
  <c r="L367" i="1"/>
  <c r="L364" i="1"/>
  <c r="L361" i="1"/>
  <c r="L358" i="1"/>
  <c r="L355" i="1"/>
  <c r="L352" i="1"/>
  <c r="L349" i="1"/>
  <c r="L346" i="1"/>
  <c r="L343" i="1"/>
  <c r="L340" i="1"/>
  <c r="L337" i="1"/>
  <c r="L334" i="1"/>
  <c r="L331" i="1"/>
  <c r="L328" i="1"/>
  <c r="L325" i="1"/>
  <c r="L322" i="1"/>
  <c r="L319" i="1"/>
  <c r="L316" i="1"/>
  <c r="L313" i="1"/>
  <c r="L310" i="1"/>
  <c r="L307" i="1"/>
  <c r="L304" i="1"/>
  <c r="L301" i="1"/>
  <c r="L298" i="1"/>
  <c r="L295" i="1"/>
  <c r="L292" i="1"/>
  <c r="L289" i="1"/>
  <c r="L286" i="1"/>
  <c r="L283" i="1"/>
  <c r="L280" i="1"/>
  <c r="L277" i="1"/>
  <c r="L274" i="1"/>
  <c r="L271" i="1"/>
  <c r="L268" i="1"/>
  <c r="L265" i="1"/>
  <c r="L262" i="1"/>
  <c r="L259" i="1"/>
  <c r="L256" i="1"/>
  <c r="L253" i="1"/>
  <c r="L250" i="1"/>
  <c r="L247" i="1"/>
  <c r="L244" i="1"/>
  <c r="L241" i="1"/>
  <c r="L238" i="1"/>
  <c r="O130" i="1"/>
  <c r="N390" i="1"/>
  <c r="N318" i="1"/>
  <c r="N248" i="1"/>
  <c r="N200" i="1"/>
  <c r="N162" i="1"/>
  <c r="N137" i="1"/>
  <c r="N113" i="1"/>
  <c r="N99" i="1"/>
  <c r="N87" i="1"/>
  <c r="N63" i="1"/>
  <c r="N51" i="1"/>
  <c r="N3" i="1"/>
  <c r="K451" i="1"/>
  <c r="K448" i="1"/>
  <c r="K445" i="1"/>
  <c r="K442" i="1"/>
  <c r="K439" i="1"/>
  <c r="K436" i="1"/>
  <c r="K433" i="1"/>
  <c r="K430" i="1"/>
  <c r="K427" i="1"/>
  <c r="K424" i="1"/>
  <c r="K421" i="1"/>
  <c r="K418" i="1"/>
  <c r="K415" i="1"/>
  <c r="K412" i="1"/>
  <c r="K409" i="1"/>
  <c r="K406" i="1"/>
  <c r="K403" i="1"/>
  <c r="K400" i="1"/>
  <c r="K397" i="1"/>
  <c r="K394" i="1"/>
  <c r="K391" i="1"/>
  <c r="K388" i="1"/>
  <c r="K385" i="1"/>
  <c r="K382" i="1"/>
  <c r="K379" i="1"/>
  <c r="K376" i="1"/>
  <c r="K373" i="1"/>
  <c r="K370" i="1"/>
  <c r="K367" i="1"/>
  <c r="K364" i="1"/>
  <c r="K361" i="1"/>
  <c r="K358" i="1"/>
  <c r="K355" i="1"/>
  <c r="K352" i="1"/>
  <c r="K349" i="1"/>
  <c r="K346" i="1"/>
  <c r="K343" i="1"/>
  <c r="K340" i="1"/>
  <c r="K337" i="1"/>
  <c r="K334" i="1"/>
  <c r="K331" i="1"/>
  <c r="K328" i="1"/>
  <c r="K325" i="1"/>
  <c r="K322" i="1"/>
  <c r="K319" i="1"/>
  <c r="K316" i="1"/>
  <c r="K313" i="1"/>
  <c r="K310" i="1"/>
  <c r="K307" i="1"/>
  <c r="K304" i="1"/>
  <c r="K301" i="1"/>
  <c r="K298" i="1"/>
  <c r="K295" i="1"/>
  <c r="K292" i="1"/>
  <c r="K289" i="1"/>
  <c r="K286" i="1"/>
  <c r="K283" i="1"/>
  <c r="K280" i="1"/>
  <c r="K277" i="1"/>
  <c r="K274" i="1"/>
  <c r="K271" i="1"/>
  <c r="K268" i="1"/>
  <c r="K265" i="1"/>
  <c r="K262" i="1"/>
  <c r="K259" i="1"/>
  <c r="K256" i="1"/>
  <c r="K253" i="1"/>
  <c r="K250" i="1"/>
  <c r="K247" i="1"/>
  <c r="K244" i="1"/>
  <c r="K241" i="1"/>
  <c r="K238" i="1"/>
  <c r="O274" i="1"/>
  <c r="K443" i="1"/>
  <c r="K407" i="1"/>
  <c r="K371" i="1"/>
  <c r="K335" i="1"/>
  <c r="K299" i="1"/>
  <c r="K263" i="1"/>
  <c r="M252" i="1"/>
  <c r="M246" i="1"/>
  <c r="L242" i="1"/>
  <c r="J238" i="1"/>
  <c r="J235" i="1"/>
  <c r="J232" i="1"/>
  <c r="J229" i="1"/>
  <c r="J226" i="1"/>
  <c r="J223" i="1"/>
  <c r="J220" i="1"/>
  <c r="J217" i="1"/>
  <c r="J214" i="1"/>
  <c r="J211" i="1"/>
  <c r="J208" i="1"/>
  <c r="J205" i="1"/>
  <c r="J202" i="1"/>
  <c r="J199" i="1"/>
  <c r="J196" i="1"/>
  <c r="J193" i="1"/>
  <c r="J190" i="1"/>
  <c r="J187" i="1"/>
  <c r="J184" i="1"/>
  <c r="J181" i="1"/>
  <c r="J178" i="1"/>
  <c r="J175" i="1"/>
  <c r="J172" i="1"/>
  <c r="J169" i="1"/>
  <c r="J166" i="1"/>
  <c r="J163" i="1"/>
  <c r="J160" i="1"/>
  <c r="J157" i="1"/>
  <c r="J154" i="1"/>
  <c r="J151" i="1"/>
  <c r="J148" i="1"/>
  <c r="J139" i="1"/>
  <c r="J136" i="1"/>
  <c r="J133" i="1"/>
  <c r="J130" i="1"/>
  <c r="J127" i="1"/>
  <c r="J124" i="1"/>
  <c r="J121" i="1"/>
  <c r="J118" i="1"/>
  <c r="J115" i="1"/>
  <c r="J112" i="1"/>
  <c r="J109" i="1"/>
  <c r="J106" i="1"/>
  <c r="J103" i="1"/>
  <c r="J100" i="1"/>
  <c r="J97" i="1"/>
  <c r="J94" i="1"/>
  <c r="J91" i="1"/>
  <c r="J88" i="1"/>
  <c r="J85" i="1"/>
  <c r="J73" i="1"/>
  <c r="J70" i="1"/>
  <c r="J67" i="1"/>
  <c r="J64" i="1"/>
  <c r="J61" i="1"/>
  <c r="J58" i="1"/>
  <c r="J55" i="1"/>
  <c r="J52" i="1"/>
  <c r="J49" i="1"/>
  <c r="J46" i="1"/>
  <c r="J43" i="1"/>
  <c r="J40" i="1"/>
  <c r="J13" i="1"/>
  <c r="J10" i="1"/>
  <c r="J7" i="1"/>
  <c r="J4" i="1"/>
  <c r="G452" i="1"/>
  <c r="G446" i="1"/>
  <c r="G440" i="1"/>
  <c r="G434" i="1"/>
  <c r="G428" i="1"/>
  <c r="K440" i="1"/>
  <c r="K404" i="1"/>
  <c r="K368" i="1"/>
  <c r="K332" i="1"/>
  <c r="K296" i="1"/>
  <c r="M261" i="1"/>
  <c r="L252" i="1"/>
  <c r="L246" i="1"/>
  <c r="K242" i="1"/>
  <c r="M237" i="1"/>
  <c r="M234" i="1"/>
  <c r="M231" i="1"/>
  <c r="M228" i="1"/>
  <c r="M225" i="1"/>
  <c r="M222" i="1"/>
  <c r="M219" i="1"/>
  <c r="M216" i="1"/>
  <c r="M213" i="1"/>
  <c r="M210" i="1"/>
  <c r="M207" i="1"/>
  <c r="M204" i="1"/>
  <c r="M201" i="1"/>
  <c r="M198" i="1"/>
  <c r="M195" i="1"/>
  <c r="M192" i="1"/>
  <c r="M189" i="1"/>
  <c r="M186" i="1"/>
  <c r="M183" i="1"/>
  <c r="M180" i="1"/>
  <c r="M177" i="1"/>
  <c r="M174" i="1"/>
  <c r="M171" i="1"/>
  <c r="M168" i="1"/>
  <c r="M165" i="1"/>
  <c r="M162" i="1"/>
  <c r="M159" i="1"/>
  <c r="M156" i="1"/>
  <c r="M153" i="1"/>
  <c r="M150" i="1"/>
  <c r="M147" i="1"/>
  <c r="M141" i="1"/>
  <c r="M138" i="1"/>
  <c r="M135" i="1"/>
  <c r="M132" i="1"/>
  <c r="M129" i="1"/>
  <c r="M126" i="1"/>
  <c r="M123" i="1"/>
  <c r="M120" i="1"/>
  <c r="M117" i="1"/>
  <c r="M114" i="1"/>
  <c r="M111" i="1"/>
  <c r="M108" i="1"/>
  <c r="M105" i="1"/>
  <c r="M102" i="1"/>
  <c r="M99" i="1"/>
  <c r="M96" i="1"/>
  <c r="M93" i="1"/>
  <c r="M90" i="1"/>
  <c r="M87" i="1"/>
  <c r="M72" i="1"/>
  <c r="M69" i="1"/>
  <c r="M66" i="1"/>
  <c r="M63" i="1"/>
  <c r="M60" i="1"/>
  <c r="M57" i="1"/>
  <c r="M54" i="1"/>
  <c r="M51" i="1"/>
  <c r="M48" i="1"/>
  <c r="M45" i="1"/>
  <c r="M42" i="1"/>
  <c r="M12" i="1"/>
  <c r="M9" i="1"/>
  <c r="M6" i="1"/>
  <c r="M3" i="1"/>
  <c r="H451" i="1"/>
  <c r="H445" i="1"/>
  <c r="H439" i="1"/>
  <c r="H433" i="1"/>
  <c r="H427" i="1"/>
  <c r="H421" i="1"/>
  <c r="H415" i="1"/>
  <c r="H409" i="1"/>
  <c r="H403" i="1"/>
  <c r="H397" i="1"/>
  <c r="H391" i="1"/>
  <c r="K437" i="1"/>
  <c r="K401" i="1"/>
  <c r="K365" i="1"/>
  <c r="K329" i="1"/>
  <c r="K293" i="1"/>
  <c r="K260" i="1"/>
  <c r="J252" i="1"/>
  <c r="J246" i="1"/>
  <c r="J242" i="1"/>
  <c r="L237" i="1"/>
  <c r="L234" i="1"/>
  <c r="L231" i="1"/>
  <c r="L228" i="1"/>
  <c r="L225" i="1"/>
  <c r="L222" i="1"/>
  <c r="L219" i="1"/>
  <c r="L216" i="1"/>
  <c r="L213" i="1"/>
  <c r="L210" i="1"/>
  <c r="L207" i="1"/>
  <c r="L204" i="1"/>
  <c r="L201" i="1"/>
  <c r="L198" i="1"/>
  <c r="L195" i="1"/>
  <c r="L192" i="1"/>
  <c r="L189" i="1"/>
  <c r="L186" i="1"/>
  <c r="L183" i="1"/>
  <c r="L180" i="1"/>
  <c r="L177" i="1"/>
  <c r="L174" i="1"/>
  <c r="L171" i="1"/>
  <c r="L168" i="1"/>
  <c r="L165" i="1"/>
  <c r="L162" i="1"/>
  <c r="L159" i="1"/>
  <c r="L156" i="1"/>
  <c r="L153" i="1"/>
  <c r="L150" i="1"/>
  <c r="L147" i="1"/>
  <c r="L141" i="1"/>
  <c r="L138" i="1"/>
  <c r="L135" i="1"/>
  <c r="L132" i="1"/>
  <c r="L129" i="1"/>
  <c r="L126" i="1"/>
  <c r="L123" i="1"/>
  <c r="L120" i="1"/>
  <c r="L117" i="1"/>
  <c r="L114" i="1"/>
  <c r="L111" i="1"/>
  <c r="L108" i="1"/>
  <c r="L105" i="1"/>
  <c r="L102" i="1"/>
  <c r="L99" i="1"/>
  <c r="L96" i="1"/>
  <c r="L93" i="1"/>
  <c r="L90" i="1"/>
  <c r="L87" i="1"/>
  <c r="L72" i="1"/>
  <c r="L69" i="1"/>
  <c r="L66" i="1"/>
  <c r="L63" i="1"/>
  <c r="L60" i="1"/>
  <c r="L57" i="1"/>
  <c r="L54" i="1"/>
  <c r="L51" i="1"/>
  <c r="L48" i="1"/>
  <c r="L45" i="1"/>
  <c r="L42" i="1"/>
  <c r="L12" i="1"/>
  <c r="L9" i="1"/>
  <c r="L6" i="1"/>
  <c r="L3" i="1"/>
  <c r="G451" i="1"/>
  <c r="G445" i="1"/>
  <c r="G439" i="1"/>
  <c r="G433" i="1"/>
  <c r="G427" i="1"/>
  <c r="G421" i="1"/>
  <c r="G415" i="1"/>
  <c r="N120" i="1"/>
  <c r="K434" i="1"/>
  <c r="K398" i="1"/>
  <c r="K362" i="1"/>
  <c r="K326" i="1"/>
  <c r="K290" i="1"/>
  <c r="M258" i="1"/>
  <c r="M251" i="1"/>
  <c r="M245" i="1"/>
  <c r="M240" i="1"/>
  <c r="K237" i="1"/>
  <c r="K234" i="1"/>
  <c r="K231" i="1"/>
  <c r="K228" i="1"/>
  <c r="K225" i="1"/>
  <c r="K222" i="1"/>
  <c r="K219" i="1"/>
  <c r="K216" i="1"/>
  <c r="K213" i="1"/>
  <c r="K210" i="1"/>
  <c r="K207" i="1"/>
  <c r="K204" i="1"/>
  <c r="K201" i="1"/>
  <c r="K198" i="1"/>
  <c r="K195" i="1"/>
  <c r="K192" i="1"/>
  <c r="K189" i="1"/>
  <c r="K186" i="1"/>
  <c r="K183" i="1"/>
  <c r="K180" i="1"/>
  <c r="K177" i="1"/>
  <c r="K174" i="1"/>
  <c r="K171" i="1"/>
  <c r="K168" i="1"/>
  <c r="K165" i="1"/>
  <c r="K162" i="1"/>
  <c r="K159" i="1"/>
  <c r="K156" i="1"/>
  <c r="K153" i="1"/>
  <c r="K150" i="1"/>
  <c r="K147" i="1"/>
  <c r="K141" i="1"/>
  <c r="K138" i="1"/>
  <c r="K135" i="1"/>
  <c r="K132" i="1"/>
  <c r="K129" i="1"/>
  <c r="K126" i="1"/>
  <c r="K123" i="1"/>
  <c r="K120" i="1"/>
  <c r="K117" i="1"/>
  <c r="K114" i="1"/>
  <c r="K111" i="1"/>
  <c r="K108" i="1"/>
  <c r="K105" i="1"/>
  <c r="K102" i="1"/>
  <c r="K99" i="1"/>
  <c r="K96" i="1"/>
  <c r="K93" i="1"/>
  <c r="K90" i="1"/>
  <c r="K87" i="1"/>
  <c r="K72" i="1"/>
  <c r="K69" i="1"/>
  <c r="K66" i="1"/>
  <c r="K63" i="1"/>
  <c r="K60" i="1"/>
  <c r="K57" i="1"/>
  <c r="K54" i="1"/>
  <c r="K51" i="1"/>
  <c r="K48" i="1"/>
  <c r="K45" i="1"/>
  <c r="K42" i="1"/>
  <c r="K12" i="1"/>
  <c r="K9" i="1"/>
  <c r="K6" i="1"/>
  <c r="K3" i="1"/>
  <c r="H450" i="1"/>
  <c r="H444" i="1"/>
  <c r="H438" i="1"/>
  <c r="H432" i="1"/>
  <c r="N103" i="1"/>
  <c r="N67" i="1"/>
  <c r="K431" i="1"/>
  <c r="K395" i="1"/>
  <c r="K359" i="1"/>
  <c r="K323" i="1"/>
  <c r="K287" i="1"/>
  <c r="M257" i="1"/>
  <c r="L251" i="1"/>
  <c r="L245" i="1"/>
  <c r="L240" i="1"/>
  <c r="J237" i="1"/>
  <c r="J234" i="1"/>
  <c r="J231" i="1"/>
  <c r="J228" i="1"/>
  <c r="J225" i="1"/>
  <c r="J222" i="1"/>
  <c r="J219" i="1"/>
  <c r="J216" i="1"/>
  <c r="J213" i="1"/>
  <c r="J210" i="1"/>
  <c r="J207" i="1"/>
  <c r="J204" i="1"/>
  <c r="J201" i="1"/>
  <c r="J198" i="1"/>
  <c r="J195" i="1"/>
  <c r="J192" i="1"/>
  <c r="J189" i="1"/>
  <c r="J186" i="1"/>
  <c r="J183" i="1"/>
  <c r="J180" i="1"/>
  <c r="J177" i="1"/>
  <c r="J174" i="1"/>
  <c r="J171" i="1"/>
  <c r="J168" i="1"/>
  <c r="J165" i="1"/>
  <c r="J162" i="1"/>
  <c r="J159" i="1"/>
  <c r="J156" i="1"/>
  <c r="J153" i="1"/>
  <c r="J150" i="1"/>
  <c r="J147" i="1"/>
  <c r="J141" i="1"/>
  <c r="J138" i="1"/>
  <c r="J135" i="1"/>
  <c r="J132" i="1"/>
  <c r="J129" i="1"/>
  <c r="J126" i="1"/>
  <c r="J123" i="1"/>
  <c r="J120" i="1"/>
  <c r="J117" i="1"/>
  <c r="J114" i="1"/>
  <c r="J111" i="1"/>
  <c r="J108" i="1"/>
  <c r="J105" i="1"/>
  <c r="J102" i="1"/>
  <c r="J99" i="1"/>
  <c r="J96" i="1"/>
  <c r="J93" i="1"/>
  <c r="J90" i="1"/>
  <c r="J87" i="1"/>
  <c r="J72" i="1"/>
  <c r="J69" i="1"/>
  <c r="J66" i="1"/>
  <c r="J63" i="1"/>
  <c r="J60" i="1"/>
  <c r="J57" i="1"/>
  <c r="J54" i="1"/>
  <c r="J51" i="1"/>
  <c r="J48" i="1"/>
  <c r="J45" i="1"/>
  <c r="J42" i="1"/>
  <c r="J12" i="1"/>
  <c r="J9" i="1"/>
  <c r="J6" i="1"/>
  <c r="J3" i="1"/>
  <c r="G450" i="1"/>
  <c r="G444" i="1"/>
  <c r="G438" i="1"/>
  <c r="N438" i="1"/>
  <c r="N91" i="1"/>
  <c r="N55" i="1"/>
  <c r="K428" i="1"/>
  <c r="K392" i="1"/>
  <c r="K356" i="1"/>
  <c r="K320" i="1"/>
  <c r="K284" i="1"/>
  <c r="K257" i="1"/>
  <c r="K251" i="1"/>
  <c r="K245" i="1"/>
  <c r="K240" i="1"/>
  <c r="M233" i="1"/>
  <c r="M230" i="1"/>
  <c r="M227" i="1"/>
  <c r="M224" i="1"/>
  <c r="M221" i="1"/>
  <c r="M218" i="1"/>
  <c r="M215" i="1"/>
  <c r="M212" i="1"/>
  <c r="M209" i="1"/>
  <c r="M206" i="1"/>
  <c r="M203" i="1"/>
  <c r="M200" i="1"/>
  <c r="M197" i="1"/>
  <c r="M194" i="1"/>
  <c r="M191" i="1"/>
  <c r="M188" i="1"/>
  <c r="M185" i="1"/>
  <c r="M182" i="1"/>
  <c r="M179" i="1"/>
  <c r="M176" i="1"/>
  <c r="M173" i="1"/>
  <c r="M170" i="1"/>
  <c r="M167" i="1"/>
  <c r="M164" i="1"/>
  <c r="M161" i="1"/>
  <c r="M158" i="1"/>
  <c r="M155" i="1"/>
  <c r="M152" i="1"/>
  <c r="M149" i="1"/>
  <c r="M146" i="1"/>
  <c r="M140" i="1"/>
  <c r="M137" i="1"/>
  <c r="M134" i="1"/>
  <c r="M131" i="1"/>
  <c r="M128" i="1"/>
  <c r="M125" i="1"/>
  <c r="M122" i="1"/>
  <c r="M119" i="1"/>
  <c r="M116" i="1"/>
  <c r="M113" i="1"/>
  <c r="M110" i="1"/>
  <c r="M107" i="1"/>
  <c r="M104" i="1"/>
  <c r="M101" i="1"/>
  <c r="M98" i="1"/>
  <c r="M95" i="1"/>
  <c r="M92" i="1"/>
  <c r="M89" i="1"/>
  <c r="M86" i="1"/>
  <c r="M74" i="1"/>
  <c r="M71" i="1"/>
  <c r="M68" i="1"/>
  <c r="M65" i="1"/>
  <c r="M62" i="1"/>
  <c r="M59" i="1"/>
  <c r="M56" i="1"/>
  <c r="M53" i="1"/>
  <c r="M50" i="1"/>
  <c r="M47" i="1"/>
  <c r="M44" i="1"/>
  <c r="M41" i="1"/>
  <c r="N7" i="1"/>
  <c r="K419" i="1"/>
  <c r="K383" i="1"/>
  <c r="K347" i="1"/>
  <c r="K311" i="1"/>
  <c r="K275" i="1"/>
  <c r="J255" i="1"/>
  <c r="J249" i="1"/>
  <c r="L243" i="1"/>
  <c r="L239" i="1"/>
  <c r="J233" i="1"/>
  <c r="J230" i="1"/>
  <c r="J227" i="1"/>
  <c r="J224" i="1"/>
  <c r="J221" i="1"/>
  <c r="J218" i="1"/>
  <c r="J215" i="1"/>
  <c r="J212" i="1"/>
  <c r="J209" i="1"/>
  <c r="J206" i="1"/>
  <c r="J203" i="1"/>
  <c r="J200" i="1"/>
  <c r="J197" i="1"/>
  <c r="J194" i="1"/>
  <c r="J191" i="1"/>
  <c r="J188" i="1"/>
  <c r="J185" i="1"/>
  <c r="J182" i="1"/>
  <c r="J179" i="1"/>
  <c r="J176" i="1"/>
  <c r="J173" i="1"/>
  <c r="J170" i="1"/>
  <c r="J167" i="1"/>
  <c r="J164" i="1"/>
  <c r="J161" i="1"/>
  <c r="J158" i="1"/>
  <c r="J155" i="1"/>
  <c r="J152" i="1"/>
  <c r="J149" i="1"/>
  <c r="J146" i="1"/>
  <c r="J140" i="1"/>
  <c r="J137" i="1"/>
  <c r="J134" i="1"/>
  <c r="J131" i="1"/>
  <c r="J128" i="1"/>
  <c r="J125" i="1"/>
  <c r="J122" i="1"/>
  <c r="J119" i="1"/>
  <c r="J116" i="1"/>
  <c r="J113" i="1"/>
  <c r="J110" i="1"/>
  <c r="J107" i="1"/>
  <c r="J104" i="1"/>
  <c r="J101" i="1"/>
  <c r="J98" i="1"/>
  <c r="J95" i="1"/>
  <c r="J92" i="1"/>
  <c r="J89" i="1"/>
  <c r="J86" i="1"/>
  <c r="J74" i="1"/>
  <c r="J71" i="1"/>
  <c r="J68" i="1"/>
  <c r="J65" i="1"/>
  <c r="J62" i="1"/>
  <c r="J59" i="1"/>
  <c r="J56" i="1"/>
  <c r="J53" i="1"/>
  <c r="J50" i="1"/>
  <c r="J47" i="1"/>
  <c r="J44" i="1"/>
  <c r="J41" i="1"/>
  <c r="J14" i="1"/>
  <c r="J11" i="1"/>
  <c r="J8" i="1"/>
  <c r="J5" i="1"/>
  <c r="J2" i="1"/>
  <c r="G448" i="1"/>
  <c r="G442" i="1"/>
  <c r="G436" i="1"/>
  <c r="G430" i="1"/>
  <c r="G424" i="1"/>
  <c r="N217" i="1"/>
  <c r="K452" i="1"/>
  <c r="K416" i="1"/>
  <c r="K380" i="1"/>
  <c r="K344" i="1"/>
  <c r="K308" i="1"/>
  <c r="K272" i="1"/>
  <c r="M254" i="1"/>
  <c r="M248" i="1"/>
  <c r="K243" i="1"/>
  <c r="K239" i="1"/>
  <c r="M235" i="1"/>
  <c r="M232" i="1"/>
  <c r="M229" i="1"/>
  <c r="M226" i="1"/>
  <c r="M223" i="1"/>
  <c r="M220" i="1"/>
  <c r="M217" i="1"/>
  <c r="M214" i="1"/>
  <c r="M211" i="1"/>
  <c r="M208" i="1"/>
  <c r="M205" i="1"/>
  <c r="M202" i="1"/>
  <c r="M199" i="1"/>
  <c r="M196" i="1"/>
  <c r="M193" i="1"/>
  <c r="M190" i="1"/>
  <c r="M187" i="1"/>
  <c r="M184" i="1"/>
  <c r="M181" i="1"/>
  <c r="M178" i="1"/>
  <c r="M175" i="1"/>
  <c r="M172" i="1"/>
  <c r="M169" i="1"/>
  <c r="M166" i="1"/>
  <c r="M163" i="1"/>
  <c r="M160" i="1"/>
  <c r="M157" i="1"/>
  <c r="M154" i="1"/>
  <c r="M151" i="1"/>
  <c r="M148" i="1"/>
  <c r="M139" i="1"/>
  <c r="M136" i="1"/>
  <c r="M133" i="1"/>
  <c r="M130" i="1"/>
  <c r="M127" i="1"/>
  <c r="M124" i="1"/>
  <c r="M121" i="1"/>
  <c r="M118" i="1"/>
  <c r="M115" i="1"/>
  <c r="M112" i="1"/>
  <c r="M109" i="1"/>
  <c r="M106" i="1"/>
  <c r="M103" i="1"/>
  <c r="M100" i="1"/>
  <c r="M97" i="1"/>
  <c r="M94" i="1"/>
  <c r="M91" i="1"/>
  <c r="M88" i="1"/>
  <c r="M85" i="1"/>
  <c r="M73" i="1"/>
  <c r="M70" i="1"/>
  <c r="M67" i="1"/>
  <c r="M64" i="1"/>
  <c r="M61" i="1"/>
  <c r="M58" i="1"/>
  <c r="M55" i="1"/>
  <c r="M52" i="1"/>
  <c r="M49" i="1"/>
  <c r="M46" i="1"/>
  <c r="M43" i="1"/>
  <c r="M40" i="1"/>
  <c r="M13" i="1"/>
  <c r="M10" i="1"/>
  <c r="M7" i="1"/>
  <c r="M4" i="1"/>
  <c r="H453" i="1"/>
  <c r="H447" i="1"/>
  <c r="H441" i="1"/>
  <c r="H435" i="1"/>
  <c r="H429" i="1"/>
  <c r="H423" i="1"/>
  <c r="H417" i="1"/>
  <c r="N174" i="1"/>
  <c r="K449" i="1"/>
  <c r="K413" i="1"/>
  <c r="K377" i="1"/>
  <c r="K341" i="1"/>
  <c r="K305" i="1"/>
  <c r="K269" i="1"/>
  <c r="L254" i="1"/>
  <c r="L248" i="1"/>
  <c r="J243" i="1"/>
  <c r="J239" i="1"/>
  <c r="L235" i="1"/>
  <c r="L232" i="1"/>
  <c r="L229" i="1"/>
  <c r="L226" i="1"/>
  <c r="L223" i="1"/>
  <c r="L220" i="1"/>
  <c r="L217" i="1"/>
  <c r="L214" i="1"/>
  <c r="L211" i="1"/>
  <c r="L208" i="1"/>
  <c r="L205" i="1"/>
  <c r="L202" i="1"/>
  <c r="L199" i="1"/>
  <c r="L196" i="1"/>
  <c r="L193" i="1"/>
  <c r="L190" i="1"/>
  <c r="L187" i="1"/>
  <c r="L184" i="1"/>
  <c r="L181" i="1"/>
  <c r="L178" i="1"/>
  <c r="L175" i="1"/>
  <c r="L172" i="1"/>
  <c r="L169" i="1"/>
  <c r="L166" i="1"/>
  <c r="L163" i="1"/>
  <c r="L160" i="1"/>
  <c r="L157" i="1"/>
  <c r="L154" i="1"/>
  <c r="L151" i="1"/>
  <c r="L148" i="1"/>
  <c r="L139" i="1"/>
  <c r="L136" i="1"/>
  <c r="L133" i="1"/>
  <c r="L130" i="1"/>
  <c r="L127" i="1"/>
  <c r="L124" i="1"/>
  <c r="L121" i="1"/>
  <c r="L118" i="1"/>
  <c r="L115" i="1"/>
  <c r="L112" i="1"/>
  <c r="L109" i="1"/>
  <c r="L106" i="1"/>
  <c r="L103" i="1"/>
  <c r="L100" i="1"/>
  <c r="L97" i="1"/>
  <c r="L94" i="1"/>
  <c r="L91" i="1"/>
  <c r="L88" i="1"/>
  <c r="L85" i="1"/>
  <c r="L73" i="1"/>
  <c r="L70" i="1"/>
  <c r="L67" i="1"/>
  <c r="L64" i="1"/>
  <c r="L61" i="1"/>
  <c r="L58" i="1"/>
  <c r="L55" i="1"/>
  <c r="L52" i="1"/>
  <c r="L49" i="1"/>
  <c r="L46" i="1"/>
  <c r="L43" i="1"/>
  <c r="L40" i="1"/>
  <c r="L13" i="1"/>
  <c r="L10" i="1"/>
  <c r="L7" i="1"/>
  <c r="L4" i="1"/>
  <c r="G453" i="1"/>
  <c r="G447" i="1"/>
  <c r="G441" i="1"/>
  <c r="G435" i="1"/>
  <c r="G429" i="1"/>
  <c r="G423" i="1"/>
  <c r="G417" i="1"/>
  <c r="G411" i="1"/>
  <c r="G405" i="1"/>
  <c r="G399" i="1"/>
  <c r="K446" i="1"/>
  <c r="K410" i="1"/>
  <c r="K374" i="1"/>
  <c r="K338" i="1"/>
  <c r="K302" i="1"/>
  <c r="K266" i="1"/>
  <c r="K254" i="1"/>
  <c r="K248" i="1"/>
  <c r="M242" i="1"/>
  <c r="M238" i="1"/>
  <c r="K235" i="1"/>
  <c r="K232" i="1"/>
  <c r="K229" i="1"/>
  <c r="K226" i="1"/>
  <c r="K223" i="1"/>
  <c r="K220" i="1"/>
  <c r="K217" i="1"/>
  <c r="K214" i="1"/>
  <c r="K211" i="1"/>
  <c r="K208" i="1"/>
  <c r="K205" i="1"/>
  <c r="K202" i="1"/>
  <c r="K199" i="1"/>
  <c r="K196" i="1"/>
  <c r="K193" i="1"/>
  <c r="K190" i="1"/>
  <c r="K187" i="1"/>
  <c r="K184" i="1"/>
  <c r="K181" i="1"/>
  <c r="K178" i="1"/>
  <c r="K175" i="1"/>
  <c r="K172" i="1"/>
  <c r="K169" i="1"/>
  <c r="K166" i="1"/>
  <c r="K163" i="1"/>
  <c r="K160" i="1"/>
  <c r="K157" i="1"/>
  <c r="K154" i="1"/>
  <c r="K151" i="1"/>
  <c r="K148" i="1"/>
  <c r="K139" i="1"/>
  <c r="K136" i="1"/>
  <c r="K133" i="1"/>
  <c r="K130" i="1"/>
  <c r="K127" i="1"/>
  <c r="K124" i="1"/>
  <c r="K121" i="1"/>
  <c r="K118" i="1"/>
  <c r="K115" i="1"/>
  <c r="K112" i="1"/>
  <c r="K109" i="1"/>
  <c r="K106" i="1"/>
  <c r="K103" i="1"/>
  <c r="K100" i="1"/>
  <c r="K97" i="1"/>
  <c r="K94" i="1"/>
  <c r="K91" i="1"/>
  <c r="K88" i="1"/>
  <c r="K85" i="1"/>
  <c r="K73" i="1"/>
  <c r="K70" i="1"/>
  <c r="K67" i="1"/>
  <c r="K64" i="1"/>
  <c r="K61" i="1"/>
  <c r="K58" i="1"/>
  <c r="K55" i="1"/>
  <c r="K52" i="1"/>
  <c r="K49" i="1"/>
  <c r="K46" i="1"/>
  <c r="K43" i="1"/>
  <c r="K40" i="1"/>
  <c r="K13" i="1"/>
  <c r="K10" i="1"/>
  <c r="K7" i="1"/>
  <c r="K4" i="1"/>
  <c r="H452" i="1"/>
  <c r="H446" i="1"/>
  <c r="H440" i="1"/>
  <c r="H434" i="1"/>
  <c r="H428" i="1"/>
  <c r="H422" i="1"/>
  <c r="H416" i="1"/>
  <c r="H410" i="1"/>
  <c r="H404" i="1"/>
  <c r="H398" i="1"/>
  <c r="K422" i="1"/>
  <c r="L249" i="1"/>
  <c r="K230" i="1"/>
  <c r="K212" i="1"/>
  <c r="K194" i="1"/>
  <c r="K176" i="1"/>
  <c r="K158" i="1"/>
  <c r="K125" i="1"/>
  <c r="K107" i="1"/>
  <c r="K89" i="1"/>
  <c r="K68" i="1"/>
  <c r="K50" i="1"/>
  <c r="L14" i="1"/>
  <c r="L2" i="1"/>
  <c r="H431" i="1"/>
  <c r="G419" i="1"/>
  <c r="G409" i="1"/>
  <c r="H401" i="1"/>
  <c r="G394" i="1"/>
  <c r="H387" i="1"/>
  <c r="H381" i="1"/>
  <c r="H375" i="1"/>
  <c r="H369" i="1"/>
  <c r="H363" i="1"/>
  <c r="H357" i="1"/>
  <c r="H351" i="1"/>
  <c r="H345" i="1"/>
  <c r="H339" i="1"/>
  <c r="H333" i="1"/>
  <c r="H327" i="1"/>
  <c r="H321" i="1"/>
  <c r="H315" i="1"/>
  <c r="H309" i="1"/>
  <c r="H303" i="1"/>
  <c r="H297" i="1"/>
  <c r="H291" i="1"/>
  <c r="H285" i="1"/>
  <c r="H279" i="1"/>
  <c r="H273" i="1"/>
  <c r="H267" i="1"/>
  <c r="H261" i="1"/>
  <c r="H255" i="1"/>
  <c r="H249" i="1"/>
  <c r="H243" i="1"/>
  <c r="H237" i="1"/>
  <c r="H231" i="1"/>
  <c r="H225" i="1"/>
  <c r="H219" i="1"/>
  <c r="H213" i="1"/>
  <c r="H207" i="1"/>
  <c r="H201" i="1"/>
  <c r="H195" i="1"/>
  <c r="H189" i="1"/>
  <c r="H183" i="1"/>
  <c r="H177" i="1"/>
  <c r="H171" i="1"/>
  <c r="H165" i="1"/>
  <c r="H159" i="1"/>
  <c r="H153" i="1"/>
  <c r="H147" i="1"/>
  <c r="H141" i="1"/>
  <c r="H135" i="1"/>
  <c r="H129" i="1"/>
  <c r="H123" i="1"/>
  <c r="H117" i="1"/>
  <c r="H111" i="1"/>
  <c r="H105" i="1"/>
  <c r="H99" i="1"/>
  <c r="H93" i="1"/>
  <c r="H87" i="1"/>
  <c r="H69" i="1"/>
  <c r="H63" i="1"/>
  <c r="K389" i="1"/>
  <c r="J245" i="1"/>
  <c r="L227" i="1"/>
  <c r="L209" i="1"/>
  <c r="L191" i="1"/>
  <c r="L173" i="1"/>
  <c r="L155" i="1"/>
  <c r="L140" i="1"/>
  <c r="L122" i="1"/>
  <c r="L104" i="1"/>
  <c r="L86" i="1"/>
  <c r="L65" i="1"/>
  <c r="L47" i="1"/>
  <c r="K14" i="1"/>
  <c r="K2" i="1"/>
  <c r="G431" i="1"/>
  <c r="H418" i="1"/>
  <c r="H408" i="1"/>
  <c r="G401" i="1"/>
  <c r="H393" i="1"/>
  <c r="G387" i="1"/>
  <c r="G381" i="1"/>
  <c r="G375" i="1"/>
  <c r="G369" i="1"/>
  <c r="G363" i="1"/>
  <c r="G357" i="1"/>
  <c r="G351" i="1"/>
  <c r="G345" i="1"/>
  <c r="G339" i="1"/>
  <c r="G333" i="1"/>
  <c r="G327" i="1"/>
  <c r="G321" i="1"/>
  <c r="G315" i="1"/>
  <c r="G309" i="1"/>
  <c r="G303" i="1"/>
  <c r="G297" i="1"/>
  <c r="G291" i="1"/>
  <c r="G285" i="1"/>
  <c r="G279" i="1"/>
  <c r="G273" i="1"/>
  <c r="G267" i="1"/>
  <c r="G261" i="1"/>
  <c r="G255" i="1"/>
  <c r="G249" i="1"/>
  <c r="G243" i="1"/>
  <c r="G237" i="1"/>
  <c r="G231" i="1"/>
  <c r="G225" i="1"/>
  <c r="G219" i="1"/>
  <c r="G213" i="1"/>
  <c r="G207" i="1"/>
  <c r="G201" i="1"/>
  <c r="G195" i="1"/>
  <c r="G189" i="1"/>
  <c r="G183" i="1"/>
  <c r="G177" i="1"/>
  <c r="G171" i="1"/>
  <c r="G165" i="1"/>
  <c r="G159" i="1"/>
  <c r="G153" i="1"/>
  <c r="G147" i="1"/>
  <c r="G141" i="1"/>
  <c r="G135" i="1"/>
  <c r="G129" i="1"/>
  <c r="G123" i="1"/>
  <c r="G117" i="1"/>
  <c r="G111" i="1"/>
  <c r="G105" i="1"/>
  <c r="G99" i="1"/>
  <c r="G93" i="1"/>
  <c r="G87" i="1"/>
  <c r="G69" i="1"/>
  <c r="G63" i="1"/>
  <c r="G57" i="1"/>
  <c r="G51" i="1"/>
  <c r="G45" i="1"/>
  <c r="G9" i="1"/>
  <c r="G3" i="1"/>
  <c r="K386" i="1"/>
  <c r="M243" i="1"/>
  <c r="K227" i="1"/>
  <c r="K209" i="1"/>
  <c r="K191" i="1"/>
  <c r="K173" i="1"/>
  <c r="K155" i="1"/>
  <c r="K140" i="1"/>
  <c r="K122" i="1"/>
  <c r="K104" i="1"/>
  <c r="K86" i="1"/>
  <c r="K65" i="1"/>
  <c r="K47" i="1"/>
  <c r="M11" i="1"/>
  <c r="H449" i="1"/>
  <c r="H430" i="1"/>
  <c r="G418" i="1"/>
  <c r="G408" i="1"/>
  <c r="H400" i="1"/>
  <c r="G393" i="1"/>
  <c r="H386" i="1"/>
  <c r="H380" i="1"/>
  <c r="H374" i="1"/>
  <c r="H368" i="1"/>
  <c r="H362" i="1"/>
  <c r="H356" i="1"/>
  <c r="H350" i="1"/>
  <c r="H344" i="1"/>
  <c r="H338" i="1"/>
  <c r="H332" i="1"/>
  <c r="H326" i="1"/>
  <c r="H320" i="1"/>
  <c r="H314" i="1"/>
  <c r="H308" i="1"/>
  <c r="H302" i="1"/>
  <c r="H296" i="1"/>
  <c r="H290" i="1"/>
  <c r="H284" i="1"/>
  <c r="H278" i="1"/>
  <c r="H272" i="1"/>
  <c r="H266" i="1"/>
  <c r="H260" i="1"/>
  <c r="H254" i="1"/>
  <c r="H248" i="1"/>
  <c r="H242" i="1"/>
  <c r="H230" i="1"/>
  <c r="H224" i="1"/>
  <c r="H218" i="1"/>
  <c r="H212" i="1"/>
  <c r="H206" i="1"/>
  <c r="H200" i="1"/>
  <c r="H194" i="1"/>
  <c r="H188" i="1"/>
  <c r="H182" i="1"/>
  <c r="H176" i="1"/>
  <c r="H170" i="1"/>
  <c r="H164" i="1"/>
  <c r="H158" i="1"/>
  <c r="H152" i="1"/>
  <c r="H146" i="1"/>
  <c r="H140" i="1"/>
  <c r="H134" i="1"/>
  <c r="H128" i="1"/>
  <c r="H122" i="1"/>
  <c r="H116" i="1"/>
  <c r="H110" i="1"/>
  <c r="H104" i="1"/>
  <c r="H98" i="1"/>
  <c r="H92" i="1"/>
  <c r="H86" i="1"/>
  <c r="H74" i="1"/>
  <c r="H68" i="1"/>
  <c r="H62" i="1"/>
  <c r="H56" i="1"/>
  <c r="H50" i="1"/>
  <c r="H44" i="1"/>
  <c r="H14" i="1"/>
  <c r="H8" i="1"/>
  <c r="H2" i="1"/>
  <c r="K353" i="1"/>
  <c r="J240" i="1"/>
  <c r="L224" i="1"/>
  <c r="L206" i="1"/>
  <c r="L188" i="1"/>
  <c r="L170" i="1"/>
  <c r="L152" i="1"/>
  <c r="L137" i="1"/>
  <c r="L119" i="1"/>
  <c r="L101" i="1"/>
  <c r="L62" i="1"/>
  <c r="L44" i="1"/>
  <c r="L11" i="1"/>
  <c r="G449" i="1"/>
  <c r="H426" i="1"/>
  <c r="G416" i="1"/>
  <c r="H407" i="1"/>
  <c r="G400" i="1"/>
  <c r="H392" i="1"/>
  <c r="G386" i="1"/>
  <c r="G380" i="1"/>
  <c r="G374" i="1"/>
  <c r="G368" i="1"/>
  <c r="G362" i="1"/>
  <c r="G356" i="1"/>
  <c r="G350" i="1"/>
  <c r="G344" i="1"/>
  <c r="G338" i="1"/>
  <c r="G332" i="1"/>
  <c r="G326" i="1"/>
  <c r="G320" i="1"/>
  <c r="G314" i="1"/>
  <c r="G308" i="1"/>
  <c r="G302" i="1"/>
  <c r="G296" i="1"/>
  <c r="G290" i="1"/>
  <c r="G284" i="1"/>
  <c r="G278" i="1"/>
  <c r="G272" i="1"/>
  <c r="G266" i="1"/>
  <c r="G260" i="1"/>
  <c r="G254" i="1"/>
  <c r="G248" i="1"/>
  <c r="G242" i="1"/>
  <c r="G230" i="1"/>
  <c r="G224" i="1"/>
  <c r="G218" i="1"/>
  <c r="G212" i="1"/>
  <c r="G206" i="1"/>
  <c r="G200" i="1"/>
  <c r="G194" i="1"/>
  <c r="G188" i="1"/>
  <c r="G182" i="1"/>
  <c r="G176" i="1"/>
  <c r="G170" i="1"/>
  <c r="G164" i="1"/>
  <c r="G158" i="1"/>
  <c r="G152" i="1"/>
  <c r="G146" i="1"/>
  <c r="G140" i="1"/>
  <c r="G134" i="1"/>
  <c r="G128" i="1"/>
  <c r="G122" i="1"/>
  <c r="G116" i="1"/>
  <c r="G110" i="1"/>
  <c r="G104" i="1"/>
  <c r="G98" i="1"/>
  <c r="G92" i="1"/>
  <c r="G86" i="1"/>
  <c r="G74" i="1"/>
  <c r="G68" i="1"/>
  <c r="G62" i="1"/>
  <c r="G56" i="1"/>
  <c r="G50" i="1"/>
  <c r="G44" i="1"/>
  <c r="G14" i="1"/>
  <c r="G8" i="1"/>
  <c r="G2" i="1"/>
  <c r="N342" i="1"/>
  <c r="K350" i="1"/>
  <c r="M239" i="1"/>
  <c r="K224" i="1"/>
  <c r="K206" i="1"/>
  <c r="K188" i="1"/>
  <c r="K170" i="1"/>
  <c r="K152" i="1"/>
  <c r="K137" i="1"/>
  <c r="K119" i="1"/>
  <c r="K101" i="1"/>
  <c r="K62" i="1"/>
  <c r="K44" i="1"/>
  <c r="K11" i="1"/>
  <c r="H448" i="1"/>
  <c r="G426" i="1"/>
  <c r="H414" i="1"/>
  <c r="G407" i="1"/>
  <c r="H399" i="1"/>
  <c r="G392" i="1"/>
  <c r="H385" i="1"/>
  <c r="H379" i="1"/>
  <c r="H373" i="1"/>
  <c r="H367" i="1"/>
  <c r="H361" i="1"/>
  <c r="H355" i="1"/>
  <c r="H349" i="1"/>
  <c r="H343" i="1"/>
  <c r="H337" i="1"/>
  <c r="H331" i="1"/>
  <c r="H325" i="1"/>
  <c r="H319" i="1"/>
  <c r="H313" i="1"/>
  <c r="H307" i="1"/>
  <c r="H301" i="1"/>
  <c r="H295" i="1"/>
  <c r="H289" i="1"/>
  <c r="H283" i="1"/>
  <c r="H277" i="1"/>
  <c r="H271" i="1"/>
  <c r="H265" i="1"/>
  <c r="H259" i="1"/>
  <c r="H253" i="1"/>
  <c r="H247" i="1"/>
  <c r="H241" i="1"/>
  <c r="H235" i="1"/>
  <c r="H229" i="1"/>
  <c r="H223" i="1"/>
  <c r="H217" i="1"/>
  <c r="H211" i="1"/>
  <c r="H205" i="1"/>
  <c r="H199" i="1"/>
  <c r="H193" i="1"/>
  <c r="H187" i="1"/>
  <c r="H181" i="1"/>
  <c r="H175" i="1"/>
  <c r="H169" i="1"/>
  <c r="H163" i="1"/>
  <c r="H157" i="1"/>
  <c r="H151" i="1"/>
  <c r="H139" i="1"/>
  <c r="H133" i="1"/>
  <c r="H127" i="1"/>
  <c r="H121" i="1"/>
  <c r="H115" i="1"/>
  <c r="H109" i="1"/>
  <c r="H103" i="1"/>
  <c r="H97" i="1"/>
  <c r="H91" i="1"/>
  <c r="H85" i="1"/>
  <c r="H73" i="1"/>
  <c r="H67" i="1"/>
  <c r="H61" i="1"/>
  <c r="H55" i="1"/>
  <c r="H49" i="1"/>
  <c r="H43" i="1"/>
  <c r="H13" i="1"/>
  <c r="H7" i="1"/>
  <c r="N270" i="1"/>
  <c r="K317" i="1"/>
  <c r="L221" i="1"/>
  <c r="L203" i="1"/>
  <c r="L185" i="1"/>
  <c r="L167" i="1"/>
  <c r="L149" i="1"/>
  <c r="L134" i="1"/>
  <c r="L116" i="1"/>
  <c r="L98" i="1"/>
  <c r="L59" i="1"/>
  <c r="L41" i="1"/>
  <c r="M8" i="1"/>
  <c r="H443" i="1"/>
  <c r="H425" i="1"/>
  <c r="G414" i="1"/>
  <c r="H406" i="1"/>
  <c r="G398" i="1"/>
  <c r="G391" i="1"/>
  <c r="G385" i="1"/>
  <c r="G379" i="1"/>
  <c r="G373" i="1"/>
  <c r="G367" i="1"/>
  <c r="G361" i="1"/>
  <c r="G355" i="1"/>
  <c r="G349" i="1"/>
  <c r="G343" i="1"/>
  <c r="G337" i="1"/>
  <c r="G331" i="1"/>
  <c r="G325" i="1"/>
  <c r="G319" i="1"/>
  <c r="G313" i="1"/>
  <c r="G307" i="1"/>
  <c r="G301" i="1"/>
  <c r="G295" i="1"/>
  <c r="G289" i="1"/>
  <c r="G283" i="1"/>
  <c r="G277" i="1"/>
  <c r="G271" i="1"/>
  <c r="G265" i="1"/>
  <c r="G259" i="1"/>
  <c r="G253" i="1"/>
  <c r="G247" i="1"/>
  <c r="G241" i="1"/>
  <c r="G235" i="1"/>
  <c r="G229" i="1"/>
  <c r="G223" i="1"/>
  <c r="G217" i="1"/>
  <c r="G211" i="1"/>
  <c r="G205" i="1"/>
  <c r="G199" i="1"/>
  <c r="G193" i="1"/>
  <c r="G187" i="1"/>
  <c r="G181" i="1"/>
  <c r="G175" i="1"/>
  <c r="G169" i="1"/>
  <c r="G163" i="1"/>
  <c r="G157" i="1"/>
  <c r="G151" i="1"/>
  <c r="G139" i="1"/>
  <c r="G133" i="1"/>
  <c r="G127" i="1"/>
  <c r="G121" i="1"/>
  <c r="G115" i="1"/>
  <c r="G109" i="1"/>
  <c r="G103" i="1"/>
  <c r="G97" i="1"/>
  <c r="G91" i="1"/>
  <c r="G85" i="1"/>
  <c r="G73" i="1"/>
  <c r="G67" i="1"/>
  <c r="G61" i="1"/>
  <c r="G55" i="1"/>
  <c r="G49" i="1"/>
  <c r="G43" i="1"/>
  <c r="G13" i="1"/>
  <c r="G7" i="1"/>
  <c r="K314" i="1"/>
  <c r="K221" i="1"/>
  <c r="K203" i="1"/>
  <c r="K185" i="1"/>
  <c r="K167" i="1"/>
  <c r="K149" i="1"/>
  <c r="K134" i="1"/>
  <c r="K116" i="1"/>
  <c r="K98" i="1"/>
  <c r="K59" i="1"/>
  <c r="K41" i="1"/>
  <c r="L8" i="1"/>
  <c r="G443" i="1"/>
  <c r="G425" i="1"/>
  <c r="H413" i="1"/>
  <c r="G406" i="1"/>
  <c r="G397" i="1"/>
  <c r="H390" i="1"/>
  <c r="H384" i="1"/>
  <c r="H378" i="1"/>
  <c r="H372" i="1"/>
  <c r="H366" i="1"/>
  <c r="H360" i="1"/>
  <c r="H354" i="1"/>
  <c r="H348" i="1"/>
  <c r="H342" i="1"/>
  <c r="H336" i="1"/>
  <c r="H330" i="1"/>
  <c r="H324" i="1"/>
  <c r="H318" i="1"/>
  <c r="H312" i="1"/>
  <c r="H306" i="1"/>
  <c r="H300" i="1"/>
  <c r="H294" i="1"/>
  <c r="H288" i="1"/>
  <c r="H282" i="1"/>
  <c r="H276" i="1"/>
  <c r="H270" i="1"/>
  <c r="H264" i="1"/>
  <c r="H258" i="1"/>
  <c r="H252" i="1"/>
  <c r="H246" i="1"/>
  <c r="H240" i="1"/>
  <c r="H234" i="1"/>
  <c r="H228" i="1"/>
  <c r="H222" i="1"/>
  <c r="H216" i="1"/>
  <c r="H210" i="1"/>
  <c r="H204" i="1"/>
  <c r="H198" i="1"/>
  <c r="H192" i="1"/>
  <c r="H186" i="1"/>
  <c r="H180" i="1"/>
  <c r="H174" i="1"/>
  <c r="H168" i="1"/>
  <c r="H162" i="1"/>
  <c r="H156" i="1"/>
  <c r="H150" i="1"/>
  <c r="H138" i="1"/>
  <c r="H132" i="1"/>
  <c r="H126" i="1"/>
  <c r="H120" i="1"/>
  <c r="H114" i="1"/>
  <c r="H108" i="1"/>
  <c r="H102" i="1"/>
  <c r="H96" i="1"/>
  <c r="H90" i="1"/>
  <c r="H72" i="1"/>
  <c r="H66" i="1"/>
  <c r="H60" i="1"/>
  <c r="H54" i="1"/>
  <c r="H48" i="1"/>
  <c r="H42" i="1"/>
  <c r="H12" i="1"/>
  <c r="H6" i="1"/>
  <c r="K281" i="1"/>
  <c r="L218" i="1"/>
  <c r="L200" i="1"/>
  <c r="L182" i="1"/>
  <c r="L164" i="1"/>
  <c r="L146" i="1"/>
  <c r="L131" i="1"/>
  <c r="L113" i="1"/>
  <c r="L95" i="1"/>
  <c r="L74" i="1"/>
  <c r="L56" i="1"/>
  <c r="K8" i="1"/>
  <c r="H442" i="1"/>
  <c r="H424" i="1"/>
  <c r="G413" i="1"/>
  <c r="H405" i="1"/>
  <c r="H396" i="1"/>
  <c r="G390" i="1"/>
  <c r="G384" i="1"/>
  <c r="G378" i="1"/>
  <c r="G372" i="1"/>
  <c r="G366" i="1"/>
  <c r="G360" i="1"/>
  <c r="G354" i="1"/>
  <c r="G348" i="1"/>
  <c r="G342" i="1"/>
  <c r="G336" i="1"/>
  <c r="G330" i="1"/>
  <c r="G324" i="1"/>
  <c r="G318" i="1"/>
  <c r="G312" i="1"/>
  <c r="G306" i="1"/>
  <c r="G300" i="1"/>
  <c r="G294" i="1"/>
  <c r="G288" i="1"/>
  <c r="G282" i="1"/>
  <c r="G276" i="1"/>
  <c r="G270" i="1"/>
  <c r="G264" i="1"/>
  <c r="G258" i="1"/>
  <c r="G252" i="1"/>
  <c r="G246" i="1"/>
  <c r="G240" i="1"/>
  <c r="G234" i="1"/>
  <c r="G228" i="1"/>
  <c r="G222" i="1"/>
  <c r="G216" i="1"/>
  <c r="G210" i="1"/>
  <c r="G204" i="1"/>
  <c r="G198" i="1"/>
  <c r="G192" i="1"/>
  <c r="G186" i="1"/>
  <c r="G180" i="1"/>
  <c r="G174" i="1"/>
  <c r="G168" i="1"/>
  <c r="G162" i="1"/>
  <c r="G156" i="1"/>
  <c r="G150" i="1"/>
  <c r="G138" i="1"/>
  <c r="G132" i="1"/>
  <c r="G126" i="1"/>
  <c r="G120" i="1"/>
  <c r="G114" i="1"/>
  <c r="G108" i="1"/>
  <c r="G102" i="1"/>
  <c r="G96" i="1"/>
  <c r="G90" i="1"/>
  <c r="G72" i="1"/>
  <c r="G66" i="1"/>
  <c r="G60" i="1"/>
  <c r="G54" i="1"/>
  <c r="G48" i="1"/>
  <c r="G42" i="1"/>
  <c r="G12" i="1"/>
  <c r="G6" i="1"/>
  <c r="K278" i="1"/>
  <c r="K218" i="1"/>
  <c r="K200" i="1"/>
  <c r="K182" i="1"/>
  <c r="K164" i="1"/>
  <c r="K146" i="1"/>
  <c r="K131" i="1"/>
  <c r="K113" i="1"/>
  <c r="K95" i="1"/>
  <c r="K74" i="1"/>
  <c r="K56" i="1"/>
  <c r="M5" i="1"/>
  <c r="H437" i="1"/>
  <c r="G422" i="1"/>
  <c r="H412" i="1"/>
  <c r="G404" i="1"/>
  <c r="G396" i="1"/>
  <c r="H389" i="1"/>
  <c r="H383" i="1"/>
  <c r="H377" i="1"/>
  <c r="H371" i="1"/>
  <c r="H365" i="1"/>
  <c r="H359" i="1"/>
  <c r="H353" i="1"/>
  <c r="H347" i="1"/>
  <c r="H341" i="1"/>
  <c r="H335" i="1"/>
  <c r="H329" i="1"/>
  <c r="H323" i="1"/>
  <c r="H317" i="1"/>
  <c r="H311" i="1"/>
  <c r="H305" i="1"/>
  <c r="H299" i="1"/>
  <c r="H293" i="1"/>
  <c r="H287" i="1"/>
  <c r="H281" i="1"/>
  <c r="H275" i="1"/>
  <c r="H269" i="1"/>
  <c r="H263" i="1"/>
  <c r="H257" i="1"/>
  <c r="H251" i="1"/>
  <c r="H245" i="1"/>
  <c r="H239" i="1"/>
  <c r="H233" i="1"/>
  <c r="H227" i="1"/>
  <c r="H221" i="1"/>
  <c r="H215" i="1"/>
  <c r="H209" i="1"/>
  <c r="H203" i="1"/>
  <c r="H197" i="1"/>
  <c r="H191" i="1"/>
  <c r="H185" i="1"/>
  <c r="H179" i="1"/>
  <c r="H173" i="1"/>
  <c r="H167" i="1"/>
  <c r="H161" i="1"/>
  <c r="H155" i="1"/>
  <c r="H149" i="1"/>
  <c r="H137" i="1"/>
  <c r="H131" i="1"/>
  <c r="H125" i="1"/>
  <c r="H119" i="1"/>
  <c r="H113" i="1"/>
  <c r="H107" i="1"/>
  <c r="H101" i="1"/>
  <c r="H95" i="1"/>
  <c r="H89" i="1"/>
  <c r="H71" i="1"/>
  <c r="H65" i="1"/>
  <c r="H59" i="1"/>
  <c r="H53" i="1"/>
  <c r="H47" i="1"/>
  <c r="H41" i="1"/>
  <c r="H11" i="1"/>
  <c r="H5" i="1"/>
  <c r="N43" i="1"/>
  <c r="M255" i="1"/>
  <c r="L233" i="1"/>
  <c r="L215" i="1"/>
  <c r="L197" i="1"/>
  <c r="L179" i="1"/>
  <c r="L161" i="1"/>
  <c r="L128" i="1"/>
  <c r="L110" i="1"/>
  <c r="L92" i="1"/>
  <c r="L71" i="1"/>
  <c r="L53" i="1"/>
  <c r="L5" i="1"/>
  <c r="G437" i="1"/>
  <c r="H420" i="1"/>
  <c r="G412" i="1"/>
  <c r="G403" i="1"/>
  <c r="H395" i="1"/>
  <c r="G389" i="1"/>
  <c r="G383" i="1"/>
  <c r="G377" i="1"/>
  <c r="G371" i="1"/>
  <c r="G365" i="1"/>
  <c r="G359" i="1"/>
  <c r="G353" i="1"/>
  <c r="G347" i="1"/>
  <c r="G341" i="1"/>
  <c r="G335" i="1"/>
  <c r="G329" i="1"/>
  <c r="G323" i="1"/>
  <c r="G317" i="1"/>
  <c r="G311" i="1"/>
  <c r="G305" i="1"/>
  <c r="G299" i="1"/>
  <c r="G293" i="1"/>
  <c r="G287" i="1"/>
  <c r="G281" i="1"/>
  <c r="G275" i="1"/>
  <c r="G269" i="1"/>
  <c r="G263" i="1"/>
  <c r="G257" i="1"/>
  <c r="G251" i="1"/>
  <c r="G245" i="1"/>
  <c r="G239" i="1"/>
  <c r="G233" i="1"/>
  <c r="G227" i="1"/>
  <c r="G221" i="1"/>
  <c r="G215" i="1"/>
  <c r="G209" i="1"/>
  <c r="G203" i="1"/>
  <c r="G197" i="1"/>
  <c r="G191" i="1"/>
  <c r="G185" i="1"/>
  <c r="G179" i="1"/>
  <c r="G173" i="1"/>
  <c r="G167" i="1"/>
  <c r="G161" i="1"/>
  <c r="G155" i="1"/>
  <c r="G149" i="1"/>
  <c r="G137" i="1"/>
  <c r="G131" i="1"/>
  <c r="G125" i="1"/>
  <c r="G119" i="1"/>
  <c r="G113" i="1"/>
  <c r="G107" i="1"/>
  <c r="G101" i="1"/>
  <c r="G95" i="1"/>
  <c r="G89" i="1"/>
  <c r="G71" i="1"/>
  <c r="G65" i="1"/>
  <c r="G59" i="1"/>
  <c r="G53" i="1"/>
  <c r="G47" i="1"/>
  <c r="G41" i="1"/>
  <c r="G11" i="1"/>
  <c r="G5" i="1"/>
  <c r="L255" i="1"/>
  <c r="K233" i="1"/>
  <c r="K215" i="1"/>
  <c r="K197" i="1"/>
  <c r="K179" i="1"/>
  <c r="K161" i="1"/>
  <c r="K128" i="1"/>
  <c r="K110" i="1"/>
  <c r="K92" i="1"/>
  <c r="K71" i="1"/>
  <c r="K53" i="1"/>
  <c r="K5" i="1"/>
  <c r="H436" i="1"/>
  <c r="G420" i="1"/>
  <c r="H411" i="1"/>
  <c r="H402" i="1"/>
  <c r="G395" i="1"/>
  <c r="H388" i="1"/>
  <c r="H382" i="1"/>
  <c r="H376" i="1"/>
  <c r="H370" i="1"/>
  <c r="H364" i="1"/>
  <c r="H358" i="1"/>
  <c r="H352" i="1"/>
  <c r="H346" i="1"/>
  <c r="H340" i="1"/>
  <c r="H334" i="1"/>
  <c r="H328" i="1"/>
  <c r="H322" i="1"/>
  <c r="H316" i="1"/>
  <c r="H310" i="1"/>
  <c r="H304" i="1"/>
  <c r="H298" i="1"/>
  <c r="H292" i="1"/>
  <c r="H286" i="1"/>
  <c r="H280" i="1"/>
  <c r="H274" i="1"/>
  <c r="H268" i="1"/>
  <c r="H262" i="1"/>
  <c r="H256" i="1"/>
  <c r="H250" i="1"/>
  <c r="H244" i="1"/>
  <c r="H238" i="1"/>
  <c r="H232" i="1"/>
  <c r="H226" i="1"/>
  <c r="K425" i="1"/>
  <c r="M249" i="1"/>
  <c r="L230" i="1"/>
  <c r="L212" i="1"/>
  <c r="L194" i="1"/>
  <c r="L176" i="1"/>
  <c r="L158" i="1"/>
  <c r="L125" i="1"/>
  <c r="L107" i="1"/>
  <c r="L89" i="1"/>
  <c r="L68" i="1"/>
  <c r="L50" i="1"/>
  <c r="M14" i="1"/>
  <c r="M2" i="1"/>
  <c r="G432" i="1"/>
  <c r="H419" i="1"/>
  <c r="G410" i="1"/>
  <c r="G402" i="1"/>
  <c r="H394" i="1"/>
  <c r="G388" i="1"/>
  <c r="G382" i="1"/>
  <c r="G376" i="1"/>
  <c r="G370" i="1"/>
  <c r="G364" i="1"/>
  <c r="G358" i="1"/>
  <c r="G352" i="1"/>
  <c r="G346" i="1"/>
  <c r="G340" i="1"/>
  <c r="G334" i="1"/>
  <c r="G328" i="1"/>
  <c r="G322" i="1"/>
  <c r="G316" i="1"/>
  <c r="G310" i="1"/>
  <c r="G304" i="1"/>
  <c r="G298" i="1"/>
  <c r="G292" i="1"/>
  <c r="G286" i="1"/>
  <c r="G280" i="1"/>
  <c r="G274" i="1"/>
  <c r="G268" i="1"/>
  <c r="G262" i="1"/>
  <c r="G256" i="1"/>
  <c r="G250" i="1"/>
  <c r="G244" i="1"/>
  <c r="G238" i="1"/>
  <c r="G232" i="1"/>
  <c r="G226" i="1"/>
  <c r="G220" i="1"/>
  <c r="G214" i="1"/>
  <c r="G208" i="1"/>
  <c r="G202" i="1"/>
  <c r="G196" i="1"/>
  <c r="G190" i="1"/>
  <c r="G184" i="1"/>
  <c r="G178" i="1"/>
  <c r="G172" i="1"/>
  <c r="G166" i="1"/>
  <c r="G160" i="1"/>
  <c r="G154" i="1"/>
  <c r="G148" i="1"/>
  <c r="G136" i="1"/>
  <c r="G130" i="1"/>
  <c r="G124" i="1"/>
  <c r="G118" i="1"/>
  <c r="G112" i="1"/>
  <c r="G106" i="1"/>
  <c r="G100" i="1"/>
  <c r="G94" i="1"/>
  <c r="G88" i="1"/>
  <c r="G70" i="1"/>
  <c r="G64" i="1"/>
  <c r="G58" i="1"/>
  <c r="I58" i="1" s="1"/>
  <c r="G52" i="1"/>
  <c r="G46" i="1"/>
  <c r="G40" i="1"/>
  <c r="G10" i="1"/>
  <c r="G4" i="1"/>
  <c r="H28" i="1"/>
  <c r="I28" i="1" s="1"/>
  <c r="H88" i="1"/>
  <c r="H208" i="1"/>
  <c r="H3" i="1"/>
  <c r="H94" i="1"/>
  <c r="H214" i="1"/>
  <c r="H84" i="1"/>
  <c r="I84" i="1" s="1"/>
  <c r="H36" i="1"/>
  <c r="I36" i="1" s="1"/>
  <c r="H24" i="1"/>
  <c r="I24" i="1" s="1"/>
  <c r="H75" i="1"/>
  <c r="I75" i="1" s="1"/>
  <c r="H38" i="1"/>
  <c r="I38" i="1" s="1"/>
  <c r="H26" i="1"/>
  <c r="I26" i="1" s="1"/>
  <c r="H236" i="1"/>
  <c r="I236" i="1" s="1"/>
  <c r="H4" i="1"/>
  <c r="H39" i="1"/>
  <c r="I39" i="1" s="1"/>
  <c r="H100" i="1"/>
  <c r="H148" i="1"/>
  <c r="H220" i="1"/>
  <c r="H17" i="1"/>
  <c r="I17" i="1" s="1"/>
  <c r="H31" i="1"/>
  <c r="I31" i="1" s="1"/>
  <c r="H19" i="1"/>
  <c r="I19" i="1" s="1"/>
  <c r="H78" i="1"/>
  <c r="I78" i="1" s="1"/>
  <c r="H80" i="1"/>
  <c r="I80" i="1" s="1"/>
  <c r="H23" i="1"/>
  <c r="I23" i="1" s="1"/>
  <c r="H9" i="1"/>
  <c r="H40" i="1"/>
  <c r="H106" i="1"/>
  <c r="H154" i="1"/>
  <c r="I37" i="1"/>
  <c r="I76" i="1"/>
  <c r="I35" i="1"/>
  <c r="I83" i="1"/>
  <c r="I21" i="1"/>
  <c r="I22" i="1"/>
  <c r="O911" i="2"/>
  <c r="S919" i="2"/>
  <c r="O923" i="2"/>
  <c r="S190" i="2"/>
  <c r="O194" i="2"/>
  <c r="S202" i="2"/>
  <c r="S909" i="2"/>
  <c r="O913" i="2"/>
  <c r="S921" i="2"/>
  <c r="O925" i="2"/>
  <c r="O184" i="2"/>
  <c r="S192" i="2"/>
  <c r="O196" i="2"/>
  <c r="S204" i="2"/>
  <c r="O922" i="2"/>
  <c r="O193" i="2"/>
  <c r="O188" i="2"/>
  <c r="O200" i="2"/>
  <c r="O912" i="2"/>
  <c r="O924" i="2"/>
  <c r="I124" i="1" l="1"/>
  <c r="I202" i="1"/>
  <c r="I136" i="1"/>
  <c r="I435" i="1"/>
  <c r="I323" i="1"/>
  <c r="I400" i="1"/>
  <c r="I322" i="1"/>
  <c r="I245" i="1"/>
  <c r="I280" i="1"/>
  <c r="I352" i="1"/>
  <c r="I176" i="1"/>
  <c r="I254" i="1"/>
  <c r="I255" i="1"/>
  <c r="I327" i="1"/>
  <c r="I160" i="1"/>
  <c r="I102" i="1"/>
  <c r="I211" i="1"/>
  <c r="I399" i="1"/>
  <c r="I109" i="1"/>
  <c r="I155" i="1"/>
  <c r="I171" i="1"/>
  <c r="I226" i="1"/>
  <c r="I51" i="1"/>
  <c r="I378" i="1"/>
  <c r="I116" i="1"/>
  <c r="I14" i="1"/>
  <c r="I180" i="1"/>
  <c r="I347" i="1"/>
  <c r="I384" i="1"/>
  <c r="I42" i="1"/>
  <c r="I416" i="1"/>
  <c r="I443" i="1"/>
  <c r="I394" i="1"/>
  <c r="I311" i="1"/>
  <c r="I346" i="1"/>
  <c r="I249" i="1"/>
  <c r="I195" i="1"/>
  <c r="I167" i="1"/>
  <c r="I310" i="1"/>
  <c r="I250" i="1"/>
  <c r="I114" i="1"/>
  <c r="I264" i="1"/>
  <c r="I413" i="1"/>
  <c r="I223" i="1"/>
  <c r="I173" i="1"/>
  <c r="I69" i="1"/>
  <c r="I153" i="1"/>
  <c r="I225" i="1"/>
  <c r="I297" i="1"/>
  <c r="I369" i="1"/>
  <c r="I157" i="1"/>
  <c r="I438" i="1"/>
  <c r="I397" i="1"/>
  <c r="I340" i="1"/>
  <c r="I282" i="1"/>
  <c r="I11" i="1"/>
  <c r="I303" i="1"/>
  <c r="I266" i="1"/>
  <c r="I9" i="1"/>
  <c r="I123" i="1"/>
  <c r="I432" i="1"/>
  <c r="I366" i="1"/>
  <c r="I411" i="1"/>
  <c r="I126" i="1"/>
  <c r="I442" i="1"/>
  <c r="I375" i="1"/>
  <c r="I154" i="1"/>
  <c r="I110" i="1"/>
  <c r="I53" i="1"/>
  <c r="I137" i="1"/>
  <c r="I215" i="1"/>
  <c r="I287" i="1"/>
  <c r="I359" i="1"/>
  <c r="I96" i="1"/>
  <c r="I174" i="1"/>
  <c r="I49" i="1"/>
  <c r="I317" i="1"/>
  <c r="I152" i="1"/>
  <c r="I50" i="1"/>
  <c r="I278" i="1"/>
  <c r="I350" i="1"/>
  <c r="I449" i="1"/>
  <c r="I242" i="1"/>
  <c r="I61" i="1"/>
  <c r="I106" i="1"/>
  <c r="I447" i="1"/>
  <c r="I418" i="1"/>
  <c r="I87" i="1"/>
  <c r="I403" i="1"/>
  <c r="I237" i="1"/>
  <c r="I430" i="1"/>
  <c r="I391" i="1"/>
  <c r="I10" i="1"/>
  <c r="I118" i="1"/>
  <c r="I196" i="1"/>
  <c r="I268" i="1"/>
  <c r="I274" i="1"/>
  <c r="I107" i="1"/>
  <c r="I185" i="1"/>
  <c r="I257" i="1"/>
  <c r="I329" i="1"/>
  <c r="I233" i="1"/>
  <c r="I377" i="1"/>
  <c r="I54" i="1"/>
  <c r="I138" i="1"/>
  <c r="I216" i="1"/>
  <c r="I288" i="1"/>
  <c r="I120" i="1"/>
  <c r="I270" i="1"/>
  <c r="I342" i="1"/>
  <c r="I425" i="1"/>
  <c r="I221" i="1"/>
  <c r="I97" i="1"/>
  <c r="I175" i="1"/>
  <c r="I247" i="1"/>
  <c r="I319" i="1"/>
  <c r="I217" i="1"/>
  <c r="I98" i="1"/>
  <c r="I170" i="1"/>
  <c r="I248" i="1"/>
  <c r="I320" i="1"/>
  <c r="I105" i="1"/>
  <c r="I177" i="1"/>
  <c r="I321" i="1"/>
  <c r="I393" i="1"/>
  <c r="I417" i="1"/>
  <c r="I284" i="1"/>
  <c r="I93" i="1"/>
  <c r="I168" i="1"/>
  <c r="I427" i="1"/>
  <c r="I452" i="1"/>
  <c r="I331" i="1"/>
  <c r="I444" i="1"/>
  <c r="I94" i="1"/>
  <c r="I181" i="1"/>
  <c r="I325" i="1"/>
  <c r="I208" i="1"/>
  <c r="I269" i="1"/>
  <c r="I66" i="1"/>
  <c r="I73" i="1"/>
  <c r="I301" i="1"/>
  <c r="I3" i="1"/>
  <c r="I117" i="1"/>
  <c r="I261" i="1"/>
  <c r="I333" i="1"/>
  <c r="I448" i="1"/>
  <c r="I398" i="1"/>
  <c r="I111" i="1"/>
  <c r="I162" i="1"/>
  <c r="I306" i="1"/>
  <c r="I253" i="1"/>
  <c r="I2" i="1"/>
  <c r="I132" i="1"/>
  <c r="I72" i="1"/>
  <c r="I234" i="1"/>
  <c r="I224" i="1"/>
  <c r="I374" i="1"/>
  <c r="I178" i="1"/>
  <c r="I404" i="1"/>
  <c r="I43" i="1"/>
  <c r="I121" i="1"/>
  <c r="I199" i="1"/>
  <c r="I271" i="1"/>
  <c r="I343" i="1"/>
  <c r="I241" i="1"/>
  <c r="I64" i="1"/>
  <c r="I246" i="1"/>
  <c r="I318" i="1"/>
  <c r="I390" i="1"/>
  <c r="I277" i="1"/>
  <c r="I349" i="1"/>
  <c r="I128" i="1"/>
  <c r="I135" i="1"/>
  <c r="I207" i="1"/>
  <c r="I279" i="1"/>
  <c r="I351" i="1"/>
  <c r="I368" i="1"/>
  <c r="I166" i="1"/>
  <c r="I238" i="1"/>
  <c r="I316" i="1"/>
  <c r="I388" i="1"/>
  <c r="I161" i="1"/>
  <c r="I299" i="1"/>
  <c r="I41" i="1"/>
  <c r="I186" i="1"/>
  <c r="I330" i="1"/>
  <c r="I187" i="1"/>
  <c r="I407" i="1"/>
  <c r="I389" i="1"/>
  <c r="I357" i="1"/>
  <c r="I112" i="1"/>
  <c r="I440" i="1"/>
  <c r="I57" i="1"/>
  <c r="I283" i="1"/>
  <c r="I355" i="1"/>
  <c r="I252" i="1"/>
  <c r="I70" i="1"/>
  <c r="I165" i="1"/>
  <c r="I127" i="1"/>
  <c r="I198" i="1"/>
  <c r="I229" i="1"/>
  <c r="I436" i="1"/>
  <c r="I200" i="1"/>
  <c r="I67" i="1"/>
  <c r="I295" i="1"/>
  <c r="I367" i="1"/>
  <c r="I408" i="1"/>
  <c r="I405" i="1"/>
  <c r="I244" i="1"/>
  <c r="I305" i="1"/>
  <c r="I151" i="1"/>
  <c r="I113" i="1"/>
  <c r="I326" i="1"/>
  <c r="I183" i="1"/>
  <c r="I260" i="1"/>
  <c r="I130" i="1"/>
  <c r="I332" i="1"/>
  <c r="I68" i="1"/>
  <c r="I439" i="1"/>
  <c r="I5" i="1"/>
  <c r="I335" i="1"/>
  <c r="I401" i="1"/>
  <c r="I172" i="1"/>
  <c r="I46" i="1"/>
  <c r="I182" i="1"/>
  <c r="I189" i="1"/>
  <c r="I337" i="1"/>
  <c r="I191" i="1"/>
  <c r="I412" i="1"/>
  <c r="I386" i="1"/>
  <c r="I228" i="1"/>
  <c r="I7" i="1"/>
  <c r="I259" i="1"/>
  <c r="I429" i="1"/>
  <c r="I131" i="1"/>
  <c r="I240" i="1"/>
  <c r="I122" i="1"/>
  <c r="I423" i="1"/>
  <c r="I205" i="1"/>
  <c r="I108" i="1"/>
  <c r="I315" i="1"/>
  <c r="I387" i="1"/>
  <c r="I285" i="1"/>
  <c r="I4" i="1"/>
  <c r="I372" i="1"/>
  <c r="I392" i="1"/>
  <c r="I362" i="1"/>
  <c r="I147" i="1"/>
  <c r="I291" i="1"/>
  <c r="I363" i="1"/>
  <c r="I434" i="1"/>
  <c r="I184" i="1"/>
  <c r="I328" i="1"/>
  <c r="I334" i="1"/>
  <c r="I95" i="1"/>
  <c r="I74" i="1"/>
  <c r="I276" i="1"/>
  <c r="I86" i="1"/>
  <c r="I380" i="1"/>
  <c r="I309" i="1"/>
  <c r="I159" i="1"/>
  <c r="I89" i="1"/>
  <c r="I40" i="1"/>
  <c r="I415" i="1"/>
  <c r="I256" i="1"/>
  <c r="I402" i="1"/>
  <c r="I149" i="1"/>
  <c r="I293" i="1"/>
  <c r="I204" i="1"/>
  <c r="I348" i="1"/>
  <c r="I406" i="1"/>
  <c r="I85" i="1"/>
  <c r="I163" i="1"/>
  <c r="I235" i="1"/>
  <c r="I307" i="1"/>
  <c r="I379" i="1"/>
  <c r="I158" i="1"/>
  <c r="I381" i="1"/>
  <c r="I231" i="1"/>
  <c r="I424" i="1"/>
  <c r="I450" i="1"/>
  <c r="I12" i="1"/>
  <c r="I373" i="1"/>
  <c r="I286" i="1"/>
  <c r="I71" i="1"/>
  <c r="I125" i="1"/>
  <c r="I275" i="1"/>
  <c r="I437" i="1"/>
  <c r="I101" i="1"/>
  <c r="I13" i="1"/>
  <c r="I193" i="1"/>
  <c r="I339" i="1"/>
  <c r="I409" i="1"/>
  <c r="I55" i="1"/>
  <c r="I100" i="1"/>
  <c r="I445" i="1"/>
  <c r="I296" i="1"/>
  <c r="I376" i="1"/>
  <c r="I52" i="1"/>
  <c r="I214" i="1"/>
  <c r="I358" i="1"/>
  <c r="I203" i="1"/>
  <c r="I179" i="1"/>
  <c r="I396" i="1"/>
  <c r="I164" i="1"/>
  <c r="I360" i="1"/>
  <c r="I115" i="1"/>
  <c r="I265" i="1"/>
  <c r="I414" i="1"/>
  <c r="I119" i="1"/>
  <c r="I188" i="1"/>
  <c r="I338" i="1"/>
  <c r="I267" i="1"/>
  <c r="I148" i="1"/>
  <c r="I220" i="1"/>
  <c r="I292" i="1"/>
  <c r="I364" i="1"/>
  <c r="I298" i="1"/>
  <c r="I370" i="1"/>
  <c r="I47" i="1"/>
  <c r="I209" i="1"/>
  <c r="I281" i="1"/>
  <c r="I353" i="1"/>
  <c r="I90" i="1"/>
  <c r="I312" i="1"/>
  <c r="I60" i="1"/>
  <c r="I150" i="1"/>
  <c r="I222" i="1"/>
  <c r="I59" i="1"/>
  <c r="I169" i="1"/>
  <c r="I44" i="1"/>
  <c r="I194" i="1"/>
  <c r="I272" i="1"/>
  <c r="I344" i="1"/>
  <c r="I426" i="1"/>
  <c r="I230" i="1"/>
  <c r="I104" i="1"/>
  <c r="I45" i="1"/>
  <c r="I129" i="1"/>
  <c r="I201" i="1"/>
  <c r="I273" i="1"/>
  <c r="I345" i="1"/>
  <c r="I431" i="1"/>
  <c r="I419" i="1"/>
  <c r="I212" i="1"/>
  <c r="I103" i="1"/>
  <c r="I139" i="1"/>
  <c r="I302" i="1"/>
  <c r="I441" i="1"/>
  <c r="I308" i="1"/>
  <c r="I383" i="1"/>
  <c r="I428" i="1"/>
  <c r="I141" i="1"/>
  <c r="I290" i="1"/>
  <c r="I451" i="1"/>
  <c r="I365" i="1"/>
  <c r="I232" i="1"/>
  <c r="I304" i="1"/>
  <c r="I197" i="1"/>
  <c r="I422" i="1"/>
  <c r="I218" i="1"/>
  <c r="I324" i="1"/>
  <c r="I133" i="1"/>
  <c r="I56" i="1"/>
  <c r="I134" i="1"/>
  <c r="I206" i="1"/>
  <c r="I140" i="1"/>
  <c r="I213" i="1"/>
  <c r="I341" i="1"/>
  <c r="I63" i="1"/>
  <c r="I361" i="1"/>
  <c r="I258" i="1"/>
  <c r="I289" i="1"/>
  <c r="I294" i="1"/>
  <c r="I190" i="1"/>
  <c r="I262" i="1"/>
  <c r="I410" i="1"/>
  <c r="I420" i="1"/>
  <c r="I65" i="1"/>
  <c r="I371" i="1"/>
  <c r="I48" i="1"/>
  <c r="I210" i="1"/>
  <c r="I354" i="1"/>
  <c r="I8" i="1"/>
  <c r="I6" i="1"/>
  <c r="I192" i="1"/>
  <c r="I336" i="1"/>
  <c r="I91" i="1"/>
  <c r="I313" i="1"/>
  <c r="I385" i="1"/>
  <c r="I92" i="1"/>
  <c r="I314" i="1"/>
  <c r="I227" i="1"/>
  <c r="I243" i="1"/>
  <c r="I88" i="1"/>
  <c r="I239" i="1"/>
  <c r="I395" i="1"/>
  <c r="I421" i="1"/>
  <c r="I446" i="1"/>
  <c r="I453" i="1"/>
  <c r="I219" i="1"/>
  <c r="I146" i="1"/>
  <c r="I356" i="1"/>
  <c r="I382" i="1"/>
  <c r="I62" i="1"/>
  <c r="I251" i="1"/>
  <c r="I99" i="1"/>
  <c r="I433" i="1"/>
  <c r="I263" i="1"/>
  <c r="I156" i="1"/>
  <c r="I300" i="1"/>
</calcChain>
</file>

<file path=xl/sharedStrings.xml><?xml version="1.0" encoding="utf-8"?>
<sst xmlns="http://schemas.openxmlformats.org/spreadsheetml/2006/main" count="42128" uniqueCount="4950">
  <si>
    <t>Order#</t>
  </si>
  <si>
    <t>Account</t>
  </si>
  <si>
    <t>Name</t>
  </si>
  <si>
    <t>Branch</t>
  </si>
  <si>
    <t>SKU</t>
  </si>
  <si>
    <t>Quantity</t>
  </si>
  <si>
    <t>TAYLNGVJ1614</t>
  </si>
  <si>
    <t>IPEKD168S</t>
  </si>
  <si>
    <t>TAYLTG1610CL5</t>
  </si>
  <si>
    <t>TAYLTG1614CL5</t>
  </si>
  <si>
    <t>TAYLTG1615CL5</t>
  </si>
  <si>
    <t>TAYLTG168CL5</t>
  </si>
  <si>
    <t>TAYLTG169CL5</t>
  </si>
  <si>
    <t>TAYVJ146</t>
  </si>
  <si>
    <t>TAYLNGVJ168</t>
  </si>
  <si>
    <t>TAYLNGVJ1616</t>
  </si>
  <si>
    <t>IPE268S</t>
  </si>
  <si>
    <t>CMKD1410MS</t>
  </si>
  <si>
    <t>CMKD1411MS</t>
  </si>
  <si>
    <t>CMKD1413MS</t>
  </si>
  <si>
    <t>CMKD1414MS</t>
  </si>
  <si>
    <t>CMKD1415MS</t>
  </si>
  <si>
    <t>CMKD1416MS</t>
  </si>
  <si>
    <t>CMKD1417MS</t>
  </si>
  <si>
    <t>CMKD1418MS</t>
  </si>
  <si>
    <t>CMKD146MS</t>
  </si>
  <si>
    <t>CMKD147MS</t>
  </si>
  <si>
    <t>CMKD1419MS</t>
  </si>
  <si>
    <t>CMKD1420MS</t>
  </si>
  <si>
    <t>CMKD148MS</t>
  </si>
  <si>
    <t>CMKD149MS</t>
  </si>
  <si>
    <t>TAYLVJ168</t>
  </si>
  <si>
    <t>TAYLVJ169</t>
  </si>
  <si>
    <t>TAYLVJ1610</t>
  </si>
  <si>
    <t>TAYLVJ1614</t>
  </si>
  <si>
    <t>GPKD54616S</t>
  </si>
  <si>
    <t>GPKD54618S</t>
  </si>
  <si>
    <t>TA5468SSEM</t>
  </si>
  <si>
    <t>TA5469SSEM</t>
  </si>
  <si>
    <t>TA54610SSEM</t>
  </si>
  <si>
    <t>TAYLVJ164</t>
  </si>
  <si>
    <t>TAYLVJ166</t>
  </si>
  <si>
    <t>TAYLVJ1616</t>
  </si>
  <si>
    <t>TCRNGOPX167</t>
  </si>
  <si>
    <t>TCRNGOPX1610</t>
  </si>
  <si>
    <t>TCRNGOPX1616</t>
  </si>
  <si>
    <t>TCRNGOPX1612</t>
  </si>
  <si>
    <t>TCRNGOPX1613</t>
  </si>
  <si>
    <t>IPEKD54414S</t>
  </si>
  <si>
    <t>TAYLNGVJ1610</t>
  </si>
  <si>
    <t>TAYLNGVJ1611</t>
  </si>
  <si>
    <t>TCRNGOPX1611</t>
  </si>
  <si>
    <t>IPEKD54610S</t>
  </si>
  <si>
    <t>IPE6612S</t>
  </si>
  <si>
    <t>IPE6614S</t>
  </si>
  <si>
    <t>IPE246S</t>
  </si>
  <si>
    <t>IPE21012S</t>
  </si>
  <si>
    <t>IPE21020S</t>
  </si>
  <si>
    <t>CMKD5468S</t>
  </si>
  <si>
    <t>CMKD54610S</t>
  </si>
  <si>
    <t>CMKD54612S</t>
  </si>
  <si>
    <t>CMKD54614S</t>
  </si>
  <si>
    <t>CMKD54618S</t>
  </si>
  <si>
    <t>CMKD1412MS</t>
  </si>
  <si>
    <t>CMKD1421MS</t>
  </si>
  <si>
    <t>CMKD1422MS</t>
  </si>
  <si>
    <t>TCRNGWB1516</t>
  </si>
  <si>
    <t>TAYDVJ1610</t>
  </si>
  <si>
    <t>TAYDVJ1614</t>
  </si>
  <si>
    <t>TAYVJ1410</t>
  </si>
  <si>
    <t>TAYVJ149</t>
  </si>
  <si>
    <t>TPVJ1610S</t>
  </si>
  <si>
    <t>TPVJ1611S</t>
  </si>
  <si>
    <t>TPVJ1612S</t>
  </si>
  <si>
    <t>TPVJ1613S</t>
  </si>
  <si>
    <t>TPVJ1614S</t>
  </si>
  <si>
    <t>TPVJ1615S</t>
  </si>
  <si>
    <t>TPVJ1617S</t>
  </si>
  <si>
    <t>TPVJ169S</t>
  </si>
  <si>
    <t>TA5466SSEM</t>
  </si>
  <si>
    <t>TA5467SSEM</t>
  </si>
  <si>
    <t>TCRSOPX54614</t>
  </si>
  <si>
    <t>TCRBNG1614</t>
  </si>
  <si>
    <t>TAYDVJ1611</t>
  </si>
  <si>
    <t>TAYDVJ1613</t>
  </si>
  <si>
    <t>TAYDVJ1615</t>
  </si>
  <si>
    <t>TAYVJ1415</t>
  </si>
  <si>
    <t>TAYVJ1416</t>
  </si>
  <si>
    <t>WAKDTGVJ1610</t>
  </si>
  <si>
    <t>WAKDTGVJ1612</t>
  </si>
  <si>
    <t>TAYDVJ168</t>
  </si>
  <si>
    <t>NXPLTRIMTE</t>
  </si>
  <si>
    <t>TCRBNG1616</t>
  </si>
  <si>
    <t>TCRSOPX1616</t>
  </si>
  <si>
    <t>TCRSOPX1618</t>
  </si>
  <si>
    <t>TAYLNGVJ164</t>
  </si>
  <si>
    <t>TAYLNGVJ166</t>
  </si>
  <si>
    <t>TAYLNGVJ167</t>
  </si>
  <si>
    <t>TAYLVJ167</t>
  </si>
  <si>
    <t>TAYLVJ1611</t>
  </si>
  <si>
    <t>TAYLVJ1615</t>
  </si>
  <si>
    <t>TAYLVJ1617</t>
  </si>
  <si>
    <t>TAYL269S</t>
  </si>
  <si>
    <t>TAYL2610S</t>
  </si>
  <si>
    <t>IPE2618S</t>
  </si>
  <si>
    <t>TCRSOPX167</t>
  </si>
  <si>
    <t>TCRSOPX169</t>
  </si>
  <si>
    <t>TCRSOPX1610</t>
  </si>
  <si>
    <t>TCRSOPX1612</t>
  </si>
  <si>
    <t>TCRSOPX1614</t>
  </si>
  <si>
    <t>TAYVJ1414</t>
  </si>
  <si>
    <t>CMKD165S</t>
  </si>
  <si>
    <t>CMKD169S</t>
  </si>
  <si>
    <t>CMKD1613MS</t>
  </si>
  <si>
    <t>CMKD1617S</t>
  </si>
  <si>
    <t>TAYLNGVJ1612</t>
  </si>
  <si>
    <t>IPEKD1410S</t>
  </si>
  <si>
    <t>IPEKD1412S</t>
  </si>
  <si>
    <t>IPEKD1418S</t>
  </si>
  <si>
    <t>TCRNGOPX1614</t>
  </si>
  <si>
    <t>TCRNGOPX1618</t>
  </si>
  <si>
    <t>IPEBTILE2424</t>
  </si>
  <si>
    <t>TAYLNGVJ1613</t>
  </si>
  <si>
    <t>CMTILE2424</t>
  </si>
  <si>
    <t>IPE2212S</t>
  </si>
  <si>
    <t>IPE2218S</t>
  </si>
  <si>
    <t>IPE2410S</t>
  </si>
  <si>
    <t>IPE2414S</t>
  </si>
  <si>
    <t>IPE2610S</t>
  </si>
  <si>
    <t>IPE3814S</t>
  </si>
  <si>
    <t>IPE3818S</t>
  </si>
  <si>
    <t>IPEKD164S</t>
  </si>
  <si>
    <t>IPEKD166S</t>
  </si>
  <si>
    <t>IPEKD5466G</t>
  </si>
  <si>
    <t>NXCLES16</t>
  </si>
  <si>
    <t>NXCLRF16</t>
  </si>
  <si>
    <t>NXPCLIPE18</t>
  </si>
  <si>
    <t>TAYVJ147</t>
  </si>
  <si>
    <t>TPVJ58413S</t>
  </si>
  <si>
    <t>IPEKD541214S</t>
  </si>
  <si>
    <t>TAYLNGVJ169</t>
  </si>
  <si>
    <t>TPNGVJ1610</t>
  </si>
  <si>
    <t>TPNGVJ1611</t>
  </si>
  <si>
    <t>TPNGVJ1612</t>
  </si>
  <si>
    <t>TPNGVJ1613</t>
  </si>
  <si>
    <t>TPNGVJ1614</t>
  </si>
  <si>
    <t>TPNGVJ1615</t>
  </si>
  <si>
    <t>TPNGVJ165</t>
  </si>
  <si>
    <t>TPNGVJ168</t>
  </si>
  <si>
    <t>TPNGVJ169</t>
  </si>
  <si>
    <t>TPVJ165S</t>
  </si>
  <si>
    <t>TPVJ166S</t>
  </si>
  <si>
    <t>TPVJ167S</t>
  </si>
  <si>
    <t>TPVJ168S</t>
  </si>
  <si>
    <t>TPNGVJ1617</t>
  </si>
  <si>
    <t>TAYLNGVJ165</t>
  </si>
  <si>
    <t>IPE2612S</t>
  </si>
  <si>
    <t>TAYL166S</t>
  </si>
  <si>
    <t>TAYL167S</t>
  </si>
  <si>
    <t>TAYL168S</t>
  </si>
  <si>
    <t>TAYL169S</t>
  </si>
  <si>
    <t>TAYL1610S</t>
  </si>
  <si>
    <t>TAYL1613S</t>
  </si>
  <si>
    <t>TAYL1614S</t>
  </si>
  <si>
    <t>TAYL1615S</t>
  </si>
  <si>
    <t>TAYL1616S</t>
  </si>
  <si>
    <t>IPE4410S</t>
  </si>
  <si>
    <t>CMKD2114512S</t>
  </si>
  <si>
    <t>TSPRUCE1814S</t>
  </si>
  <si>
    <t>TAYLNGVJ1615</t>
  </si>
  <si>
    <t>TAYLTG167CL5</t>
  </si>
  <si>
    <t>TAYLTG1612CL5</t>
  </si>
  <si>
    <t>NXCLBB16</t>
  </si>
  <si>
    <t>TAYJPLL11016</t>
  </si>
  <si>
    <t>TAYJPLL11017</t>
  </si>
  <si>
    <t>TAYL1611S</t>
  </si>
  <si>
    <t>TAYL1612S</t>
  </si>
  <si>
    <t>TAYL164S</t>
  </si>
  <si>
    <t>TAYJPLLVJNG1614</t>
  </si>
  <si>
    <t>TAYCNGVJ1614</t>
  </si>
  <si>
    <t>TAYCNGVJ168</t>
  </si>
  <si>
    <t>IPEKD1810S</t>
  </si>
  <si>
    <t>IPEKD1812S</t>
  </si>
  <si>
    <t>IPEKD1816S</t>
  </si>
  <si>
    <t>IPE248S</t>
  </si>
  <si>
    <t>IPE2614S</t>
  </si>
  <si>
    <t>TAYJPLL11010</t>
  </si>
  <si>
    <t>TAYJPLL11011</t>
  </si>
  <si>
    <t>TAYJPLL11014</t>
  </si>
  <si>
    <t>IPE2418S</t>
  </si>
  <si>
    <t>IPE2420S</t>
  </si>
  <si>
    <t>TAYLVJ1613</t>
  </si>
  <si>
    <t>TAYLVJ1618</t>
  </si>
  <si>
    <t>TAYL165S</t>
  </si>
  <si>
    <t>TAY5447S</t>
  </si>
  <si>
    <t>TAY5449S</t>
  </si>
  <si>
    <t>TAY54411S</t>
  </si>
  <si>
    <t>IPEKD54614S</t>
  </si>
  <si>
    <t>IPEKD54612S</t>
  </si>
  <si>
    <t>IPEKD54616S</t>
  </si>
  <si>
    <t>IPEKD54620S</t>
  </si>
  <si>
    <t>IPEKD5468TK</t>
  </si>
  <si>
    <t>IPEKD54610TK</t>
  </si>
  <si>
    <t>IPEKD1612S</t>
  </si>
  <si>
    <t>IPEKD1616S</t>
  </si>
  <si>
    <t>IPEKD54618S</t>
  </si>
  <si>
    <t>IPEKD54612G</t>
  </si>
  <si>
    <t>IPEKD54616G</t>
  </si>
  <si>
    <t>IPEKD54618G</t>
  </si>
  <si>
    <t>TCRNGOPX1615</t>
  </si>
  <si>
    <t>TCRNGOPX169</t>
  </si>
  <si>
    <t>TPNGVJ167</t>
  </si>
  <si>
    <t>TPVJ58412S</t>
  </si>
  <si>
    <t>TPVJ58414S</t>
  </si>
  <si>
    <t>TPVJ58415S</t>
  </si>
  <si>
    <t>IPEKD1610S</t>
  </si>
  <si>
    <t>IPEKD1614S</t>
  </si>
  <si>
    <t>IPEKD1618S</t>
  </si>
  <si>
    <t>IPEKD1620S</t>
  </si>
  <si>
    <t>IPEKD1622S</t>
  </si>
  <si>
    <t>TAYLTG1611CL5</t>
  </si>
  <si>
    <t>TAYLTG1613CL5</t>
  </si>
  <si>
    <t>TA166SSEM</t>
  </si>
  <si>
    <t>TA167SSEM</t>
  </si>
  <si>
    <t>TA168SSEM</t>
  </si>
  <si>
    <t>TA169SSEM</t>
  </si>
  <si>
    <t>TA1610SSEM</t>
  </si>
  <si>
    <t>TA1611SSEM</t>
  </si>
  <si>
    <t>TA1613SSEM</t>
  </si>
  <si>
    <t>GPKD1610S</t>
  </si>
  <si>
    <t>GPKD1611S</t>
  </si>
  <si>
    <t>GPKD1613S</t>
  </si>
  <si>
    <t>GPKD1615S</t>
  </si>
  <si>
    <t>GPKD168S</t>
  </si>
  <si>
    <t>TCRNGOPX164</t>
  </si>
  <si>
    <t>IPEKD5468S</t>
  </si>
  <si>
    <t>IPEKD5468G</t>
  </si>
  <si>
    <t>IPEKD54610G</t>
  </si>
  <si>
    <t>IPEKD54614G</t>
  </si>
  <si>
    <t>IPEKD54620G</t>
  </si>
  <si>
    <t>IPEKD54622G</t>
  </si>
  <si>
    <t>CMKD1610MS</t>
  </si>
  <si>
    <t>CMKD1612MS</t>
  </si>
  <si>
    <t>CMKD1614MS</t>
  </si>
  <si>
    <t>CMKD1616MS</t>
  </si>
  <si>
    <t>CMKD1618MS</t>
  </si>
  <si>
    <t>CMKD1620MS</t>
  </si>
  <si>
    <t>TAYJPLLVJNG1611</t>
  </si>
  <si>
    <t>TAYJPLLVJNG1612</t>
  </si>
  <si>
    <t>TAYJPLLVJNG1613</t>
  </si>
  <si>
    <t>NXPCLIPE16</t>
  </si>
  <si>
    <t>NXCLPN16</t>
  </si>
  <si>
    <t>NXCLFACH16</t>
  </si>
  <si>
    <t>NXCLFADB16</t>
  </si>
  <si>
    <t>NXCLFAGR16</t>
  </si>
  <si>
    <t>NXCLFALB16</t>
  </si>
  <si>
    <t>NXPCLTE16</t>
  </si>
  <si>
    <t>IPE4414S</t>
  </si>
  <si>
    <t>CMKD168MS</t>
  </si>
  <si>
    <t>TAYJPLLVJNG1616</t>
  </si>
  <si>
    <t>TAYDVJ1612</t>
  </si>
  <si>
    <t>IPE3616S</t>
  </si>
  <si>
    <t>Family</t>
  </si>
  <si>
    <t>Group</t>
  </si>
  <si>
    <t>Subgroup</t>
  </si>
  <si>
    <t>Type</t>
  </si>
  <si>
    <t>Description</t>
  </si>
  <si>
    <t>Specie</t>
  </si>
  <si>
    <t>Model</t>
  </si>
  <si>
    <t>Finish</t>
  </si>
  <si>
    <t>Size</t>
  </si>
  <si>
    <t>Length</t>
  </si>
  <si>
    <t>Lenght (m)</t>
  </si>
  <si>
    <t>Thick (mm)</t>
  </si>
  <si>
    <t>Width (mm)</t>
  </si>
  <si>
    <t>Conv L (pol)</t>
  </si>
  <si>
    <t>Conv T (pol)</t>
  </si>
  <si>
    <t>Conv W (pol)</t>
  </si>
  <si>
    <t>Conv m3xLF</t>
  </si>
  <si>
    <t>Conv PcxM3</t>
  </si>
  <si>
    <t>Description Code</t>
  </si>
  <si>
    <t>Accoya</t>
  </si>
  <si>
    <t>Accoya 4/4x6</t>
  </si>
  <si>
    <t>Long</t>
  </si>
  <si>
    <t>Acetylated</t>
  </si>
  <si>
    <t>ARPRS44610</t>
  </si>
  <si>
    <t>Maximo Accoya Rough Sawn 4/4x6</t>
  </si>
  <si>
    <t>Maximo Accoya</t>
  </si>
  <si>
    <t>Rough Sawn</t>
  </si>
  <si>
    <t>-</t>
  </si>
  <si>
    <t>4/4x6</t>
  </si>
  <si>
    <t>ARPRS44611</t>
  </si>
  <si>
    <t>ARPRS44612</t>
  </si>
  <si>
    <t>ARPRS44613</t>
  </si>
  <si>
    <t>ARPRS44614</t>
  </si>
  <si>
    <t>ARPRS44615</t>
  </si>
  <si>
    <t>ARPRS44616</t>
  </si>
  <si>
    <t>ARPRS4468</t>
  </si>
  <si>
    <t>ARPRS4469</t>
  </si>
  <si>
    <t>ARPRS54610</t>
  </si>
  <si>
    <t>Maximo Accoya Rough Sawn 5/4x6</t>
  </si>
  <si>
    <t>5/4x6</t>
  </si>
  <si>
    <t>ARPRS54611</t>
  </si>
  <si>
    <t>ARPRS54612</t>
  </si>
  <si>
    <t>ARPRS54613</t>
  </si>
  <si>
    <t>ARPRS54614</t>
  </si>
  <si>
    <t>ARPRS54615</t>
  </si>
  <si>
    <t>ARPRS54616</t>
  </si>
  <si>
    <t>ARPRS5468</t>
  </si>
  <si>
    <t>ARPRS5469</t>
  </si>
  <si>
    <t>ARPRSCG44610</t>
  </si>
  <si>
    <t>Maximo Accoya Rough Sawn Grey 4/4x6</t>
  </si>
  <si>
    <t>Grey</t>
  </si>
  <si>
    <t>ARPRSCG44611</t>
  </si>
  <si>
    <t>ARPRSCG44612</t>
  </si>
  <si>
    <t>ARPRSCG44613</t>
  </si>
  <si>
    <t>ARPRSCG44614</t>
  </si>
  <si>
    <t>ARPRSCG44615</t>
  </si>
  <si>
    <t>ARPRSCG44616</t>
  </si>
  <si>
    <t>ARPRSCG4468</t>
  </si>
  <si>
    <t>ARPRSCG4469</t>
  </si>
  <si>
    <t>Accoya 5/4x6</t>
  </si>
  <si>
    <t>ARPCBI54610G</t>
  </si>
  <si>
    <t>Maximo Accoya Grooved Brown Ipe (Coated) 5/4x6</t>
  </si>
  <si>
    <t>Grooved</t>
  </si>
  <si>
    <t>Brown Ipe (Coated)</t>
  </si>
  <si>
    <t>ARPCBI54611G</t>
  </si>
  <si>
    <t>ARPCBI54612G</t>
  </si>
  <si>
    <t>ARPCBI54613G</t>
  </si>
  <si>
    <t>ARPCBI54614G</t>
  </si>
  <si>
    <t>ARPCBI54615G</t>
  </si>
  <si>
    <t>ARPCBI54616G</t>
  </si>
  <si>
    <t>ARPCBI54617G</t>
  </si>
  <si>
    <t>ARPCBI54618G</t>
  </si>
  <si>
    <t>ARPCBI54619G</t>
  </si>
  <si>
    <t>ARPCBI54620G</t>
  </si>
  <si>
    <t>ARPCBI54621G</t>
  </si>
  <si>
    <t>ARPCBI54622G</t>
  </si>
  <si>
    <t>ARPCBI5468G</t>
  </si>
  <si>
    <t>ARPCBI5469G</t>
  </si>
  <si>
    <t>Accoya 1x6</t>
  </si>
  <si>
    <t>ARPSG1610G</t>
  </si>
  <si>
    <t>Maximo Accoya Grooved Slate Grey 1x6</t>
  </si>
  <si>
    <t>Slate Grey</t>
  </si>
  <si>
    <t>1x6</t>
  </si>
  <si>
    <t>ARPSG1611G</t>
  </si>
  <si>
    <t>ARPSG1612G</t>
  </si>
  <si>
    <t>ARPSG1613G</t>
  </si>
  <si>
    <t>ARPSG1614G</t>
  </si>
  <si>
    <t>ARPSG1615G</t>
  </si>
  <si>
    <t>ARPSG1616G</t>
  </si>
  <si>
    <t>ARPSG1617G</t>
  </si>
  <si>
    <t>ARPSG1618G</t>
  </si>
  <si>
    <t>ARPSG1619G</t>
  </si>
  <si>
    <t>ARPSG1620G</t>
  </si>
  <si>
    <t>ARPSG168G</t>
  </si>
  <si>
    <t>ARPSG169G</t>
  </si>
  <si>
    <t>ARPSG54610G</t>
  </si>
  <si>
    <t>Maximo Accoya Grooved Slate Grey 5/4x6</t>
  </si>
  <si>
    <t>ARPSG54611G</t>
  </si>
  <si>
    <t>ARPSG54612G</t>
  </si>
  <si>
    <t>ARPSG54613G</t>
  </si>
  <si>
    <t>ARPSG54614G</t>
  </si>
  <si>
    <t>ARPSG54615G</t>
  </si>
  <si>
    <t>ARPSG54616G</t>
  </si>
  <si>
    <t>ARPSG54617G</t>
  </si>
  <si>
    <t>ARPSG54618G</t>
  </si>
  <si>
    <t>ARPSG54619G</t>
  </si>
  <si>
    <t>ARPSG54620G</t>
  </si>
  <si>
    <t>ARPSG5468G</t>
  </si>
  <si>
    <t>ARPSG5469G</t>
  </si>
  <si>
    <t>ARP1610</t>
  </si>
  <si>
    <t>Maximo Accoya S4S E4E 1x6</t>
  </si>
  <si>
    <t>S4S E4E</t>
  </si>
  <si>
    <t>ARP1611</t>
  </si>
  <si>
    <t>ARP1612</t>
  </si>
  <si>
    <t>ARP1613</t>
  </si>
  <si>
    <t>ARP1614</t>
  </si>
  <si>
    <t>ARP1615</t>
  </si>
  <si>
    <t>ARP1616</t>
  </si>
  <si>
    <t>ARP168</t>
  </si>
  <si>
    <t>ARP169</t>
  </si>
  <si>
    <t>ARP54610</t>
  </si>
  <si>
    <t>Maximo Accoya S4S E4E 5/4x6</t>
  </si>
  <si>
    <t>ARP54611</t>
  </si>
  <si>
    <t>ARP54612</t>
  </si>
  <si>
    <t>ARP54613</t>
  </si>
  <si>
    <t>ARP54614</t>
  </si>
  <si>
    <t>ARP54615</t>
  </si>
  <si>
    <t>ARP54616</t>
  </si>
  <si>
    <t>ARP5468</t>
  </si>
  <si>
    <t>ARP5469</t>
  </si>
  <si>
    <t>ARPCBI54610S</t>
  </si>
  <si>
    <t>Maximo Accoya S4S E4E Brown Ipe (Coated) 5/4x6</t>
  </si>
  <si>
    <t>ARPCBI54611S</t>
  </si>
  <si>
    <t>ARPCBI54612S</t>
  </si>
  <si>
    <t>ARPCBI54613S</t>
  </si>
  <si>
    <t>ARPCBI54614S</t>
  </si>
  <si>
    <t>ARPCBI54615S</t>
  </si>
  <si>
    <t>ARPCBI54616S</t>
  </si>
  <si>
    <t>ARPCBI54617S</t>
  </si>
  <si>
    <t>ARPCBI54618S</t>
  </si>
  <si>
    <t>ARPCBI54619S</t>
  </si>
  <si>
    <t>ARPCBI54620S</t>
  </si>
  <si>
    <t>ARPCBI54621S</t>
  </si>
  <si>
    <t>ARPCBI54622S</t>
  </si>
  <si>
    <t>ARPCBI5468S</t>
  </si>
  <si>
    <t>ARPCBI5469S</t>
  </si>
  <si>
    <t>ARPSG1610S</t>
  </si>
  <si>
    <t>Maximo Accoya S4S E4E Slate Grey 1x6</t>
  </si>
  <si>
    <t>ARPSG1611S</t>
  </si>
  <si>
    <t>ARPSG1612S</t>
  </si>
  <si>
    <t>ARPSG1613S</t>
  </si>
  <si>
    <t>ARPSG1614S</t>
  </si>
  <si>
    <t>ARPSG1615S</t>
  </si>
  <si>
    <t>ARPSG1616S</t>
  </si>
  <si>
    <t>ARPSG1617S</t>
  </si>
  <si>
    <t>ARPSG1618S</t>
  </si>
  <si>
    <t>ARPSG1619S</t>
  </si>
  <si>
    <t>ARPSG1620S</t>
  </si>
  <si>
    <t>ARPSG168S</t>
  </si>
  <si>
    <t>ARPSG169S</t>
  </si>
  <si>
    <t>ARPSG54610S</t>
  </si>
  <si>
    <t>Maximo Accoya S4S E4E Slate Grey 5/4x6</t>
  </si>
  <si>
    <t>ARPSG54611S</t>
  </si>
  <si>
    <t>ARPSG54612S</t>
  </si>
  <si>
    <t>ARPSG54613S</t>
  </si>
  <si>
    <t>ARPSG54614S</t>
  </si>
  <si>
    <t>ARPSG54615S</t>
  </si>
  <si>
    <t>ARPSG54616S</t>
  </si>
  <si>
    <t>ARPSG54617S</t>
  </si>
  <si>
    <t>ARPSG54618S</t>
  </si>
  <si>
    <t>ARPSG54619S</t>
  </si>
  <si>
    <t>ARPSG54620S</t>
  </si>
  <si>
    <t>ARPSG5468S</t>
  </si>
  <si>
    <t>ARPSG5469S</t>
  </si>
  <si>
    <t>Angelim</t>
  </si>
  <si>
    <t>Angelim 1.5x6</t>
  </si>
  <si>
    <t>Hardwoods</t>
  </si>
  <si>
    <t>AGKD64610RS</t>
  </si>
  <si>
    <t>Angelim Pedra Rough Sawn 1.5x6</t>
  </si>
  <si>
    <t>Angelim Pedra</t>
  </si>
  <si>
    <t>1.5x6</t>
  </si>
  <si>
    <t>AGKD64611RS</t>
  </si>
  <si>
    <t>AGKD64612RS</t>
  </si>
  <si>
    <t>AGKD64613RS</t>
  </si>
  <si>
    <t>AGKD64614RS</t>
  </si>
  <si>
    <t>AGKD64615RS</t>
  </si>
  <si>
    <t>AGKD64616RS</t>
  </si>
  <si>
    <t>AGKD64617RS</t>
  </si>
  <si>
    <t>AGKD64618RS</t>
  </si>
  <si>
    <t>AGKD64619RS</t>
  </si>
  <si>
    <t>AGKD64620RS</t>
  </si>
  <si>
    <t>AGKD64621RS</t>
  </si>
  <si>
    <t>AGKD64622RS</t>
  </si>
  <si>
    <t>Angelim 1.5x8</t>
  </si>
  <si>
    <t>AGKD64810RS</t>
  </si>
  <si>
    <t>Angelim Pedra Rough Sawn 1.5x8</t>
  </si>
  <si>
    <t>1.5x8</t>
  </si>
  <si>
    <t>AGKD64811RS</t>
  </si>
  <si>
    <t>AGKD64812RS</t>
  </si>
  <si>
    <t>AGKD64813RS</t>
  </si>
  <si>
    <t>AGKD64814RS</t>
  </si>
  <si>
    <t>AGKD64815RS</t>
  </si>
  <si>
    <t>AGKD64816RS</t>
  </si>
  <si>
    <t>AGKD64817RS</t>
  </si>
  <si>
    <t>AGKD64818RS</t>
  </si>
  <si>
    <t>AGKD64819RS</t>
  </si>
  <si>
    <t>AGKD64820RS</t>
  </si>
  <si>
    <t>AGKD64821RS</t>
  </si>
  <si>
    <t>AGKD64822RS</t>
  </si>
  <si>
    <t>AGKD6489RS</t>
  </si>
  <si>
    <t>Angelim 2x6 A</t>
  </si>
  <si>
    <t>AGKD84610RS</t>
  </si>
  <si>
    <t>Angelim Pedra Rough Sawn 2x6 A</t>
  </si>
  <si>
    <t>2x6 A</t>
  </si>
  <si>
    <t>AGKD84611RS</t>
  </si>
  <si>
    <t>AGKD84612RS</t>
  </si>
  <si>
    <t>AGKD84613RS</t>
  </si>
  <si>
    <t>AGKD84614RS</t>
  </si>
  <si>
    <t>AGKD84615RS</t>
  </si>
  <si>
    <t>AGKD84616RS</t>
  </si>
  <si>
    <t>AGKD84617RS</t>
  </si>
  <si>
    <t>AGKD84618RS</t>
  </si>
  <si>
    <t>AGKD84619RS</t>
  </si>
  <si>
    <t>AGKD84620RS</t>
  </si>
  <si>
    <t>AGKD84621RS</t>
  </si>
  <si>
    <t>AGKD84622RS</t>
  </si>
  <si>
    <t>AGKD84623RS</t>
  </si>
  <si>
    <t>Angelim 2x8 A</t>
  </si>
  <si>
    <t>AGKD84810RS</t>
  </si>
  <si>
    <t>Angelim Pedra Rough Sawn 2x8 A</t>
  </si>
  <si>
    <t>2x8 A</t>
  </si>
  <si>
    <t>AGKD84811RS</t>
  </si>
  <si>
    <t>AGKD84812RS</t>
  </si>
  <si>
    <t>AGKD84813RS</t>
  </si>
  <si>
    <t>AGKD84814RS</t>
  </si>
  <si>
    <t>AGKD84815RS</t>
  </si>
  <si>
    <t>AGKD84816RS</t>
  </si>
  <si>
    <t>AGKD84817RS</t>
  </si>
  <si>
    <t>AGKD84818RS</t>
  </si>
  <si>
    <t>AGKD84819RS</t>
  </si>
  <si>
    <t>AGKD84820RS</t>
  </si>
  <si>
    <t>AGKD84821RS</t>
  </si>
  <si>
    <t>AGKD84822RS</t>
  </si>
  <si>
    <t>AGKD84823RS</t>
  </si>
  <si>
    <t>Angelim 43x68</t>
  </si>
  <si>
    <t>AGKD436810S</t>
  </si>
  <si>
    <t>Angelim Pedra S4S E4E 43x68</t>
  </si>
  <si>
    <t>43x68</t>
  </si>
  <si>
    <t>AGKD436811S</t>
  </si>
  <si>
    <t>AGKD436812S</t>
  </si>
  <si>
    <t>AGKD436813S</t>
  </si>
  <si>
    <t>AGKD436814S</t>
  </si>
  <si>
    <t>AGKD436815S</t>
  </si>
  <si>
    <t>AGKD436816S</t>
  </si>
  <si>
    <t>AGKD436817S</t>
  </si>
  <si>
    <t>AGKD436818S</t>
  </si>
  <si>
    <t>AGKD436819S</t>
  </si>
  <si>
    <t>AGKD436820S</t>
  </si>
  <si>
    <t>AGKD436821S</t>
  </si>
  <si>
    <t>AGKD436822S</t>
  </si>
  <si>
    <t>AGKD436823S</t>
  </si>
  <si>
    <t>AGKD436824S</t>
  </si>
  <si>
    <t>Short</t>
  </si>
  <si>
    <t>AGKD43684S</t>
  </si>
  <si>
    <t>AGKD43685S</t>
  </si>
  <si>
    <t>AGKD43686S</t>
  </si>
  <si>
    <t>AGKD43687S</t>
  </si>
  <si>
    <t>AGKD43688S</t>
  </si>
  <si>
    <t>AGKD43689S</t>
  </si>
  <si>
    <t>Cumaru</t>
  </si>
  <si>
    <t>Cumaru 5/4x6</t>
  </si>
  <si>
    <t>CMKD54610G</t>
  </si>
  <si>
    <t>Cumaru Grooved 5/4x6</t>
  </si>
  <si>
    <t>CMKD54611G</t>
  </si>
  <si>
    <t>CMKD54612G</t>
  </si>
  <si>
    <t>CMKD54613G</t>
  </si>
  <si>
    <t>CMKD54614G</t>
  </si>
  <si>
    <t>CMKD54615G</t>
  </si>
  <si>
    <t>CMKD54616G</t>
  </si>
  <si>
    <t>CMKD54617G</t>
  </si>
  <si>
    <t>CMKD54618G</t>
  </si>
  <si>
    <t>CMKD54619G</t>
  </si>
  <si>
    <t>CMKD54620G</t>
  </si>
  <si>
    <t>CMKD54621G</t>
  </si>
  <si>
    <t>CMKD54622G</t>
  </si>
  <si>
    <t>CMKD54623G</t>
  </si>
  <si>
    <t>CMKD54624G</t>
  </si>
  <si>
    <t>CMKD5463G</t>
  </si>
  <si>
    <t>CMKD5464G</t>
  </si>
  <si>
    <t>CMKD5465G</t>
  </si>
  <si>
    <t>CMKD5466G</t>
  </si>
  <si>
    <t>CMKD5467G</t>
  </si>
  <si>
    <t>CMKD5468G</t>
  </si>
  <si>
    <t>CMKD5469G</t>
  </si>
  <si>
    <t>CMRS54610S</t>
  </si>
  <si>
    <t>Cumaru Rough Sawn 5/4x6</t>
  </si>
  <si>
    <t>CMRS54611S</t>
  </si>
  <si>
    <t>CMRS54612S</t>
  </si>
  <si>
    <t>CMRS54613S</t>
  </si>
  <si>
    <t>CMRS54614S</t>
  </si>
  <si>
    <t>CMRS54615S</t>
  </si>
  <si>
    <t>CMRS54616S</t>
  </si>
  <si>
    <t>CMRS54617S</t>
  </si>
  <si>
    <t>CMRS54618S</t>
  </si>
  <si>
    <t>CMRS54619S</t>
  </si>
  <si>
    <t>CMRS54620S</t>
  </si>
  <si>
    <t>CMRS54621S</t>
  </si>
  <si>
    <t>CMRS54622S</t>
  </si>
  <si>
    <t>CMRS54623S</t>
  </si>
  <si>
    <t>CMRS54624S</t>
  </si>
  <si>
    <t>CMRS5463S</t>
  </si>
  <si>
    <t>CMRS5464S</t>
  </si>
  <si>
    <t>CMRS5465S</t>
  </si>
  <si>
    <t>CMRS5466S</t>
  </si>
  <si>
    <t>CMRS5467S</t>
  </si>
  <si>
    <t>CMRS5468S</t>
  </si>
  <si>
    <t>CMRS5469S</t>
  </si>
  <si>
    <t>Cumaru 1x3</t>
  </si>
  <si>
    <t>CMKD1310S</t>
  </si>
  <si>
    <t>Cumaru S4S E4E 1x3</t>
  </si>
  <si>
    <t>1x3</t>
  </si>
  <si>
    <t>CMKD1311S</t>
  </si>
  <si>
    <t>CMKD1312S</t>
  </si>
  <si>
    <t>CMKD1313S</t>
  </si>
  <si>
    <t>CMKD1314S</t>
  </si>
  <si>
    <t>CMKD1315S</t>
  </si>
  <si>
    <t>CMKD1316S</t>
  </si>
  <si>
    <t>CMKD1317S</t>
  </si>
  <si>
    <t>CMKD1318S</t>
  </si>
  <si>
    <t>CMKD1319S</t>
  </si>
  <si>
    <t>CMKD1320S</t>
  </si>
  <si>
    <t>CMKD1321S</t>
  </si>
  <si>
    <t>CMKD1322S</t>
  </si>
  <si>
    <t>CMKD1323S</t>
  </si>
  <si>
    <t>CMKD1324S</t>
  </si>
  <si>
    <t>CMKD133S</t>
  </si>
  <si>
    <t>CMKD134S</t>
  </si>
  <si>
    <t>CMKD135S</t>
  </si>
  <si>
    <t>CMKD136S</t>
  </si>
  <si>
    <t>CMKD137S</t>
  </si>
  <si>
    <t>CMKD138S</t>
  </si>
  <si>
    <t>CMKD139S</t>
  </si>
  <si>
    <t>Cumaru 1x4 Plus</t>
  </si>
  <si>
    <t>Cumaru S4S E4E 1x4 Plus</t>
  </si>
  <si>
    <t>1x4 Plus</t>
  </si>
  <si>
    <t>CMKD143MS</t>
  </si>
  <si>
    <t>CMKD144MS</t>
  </si>
  <si>
    <t>CMKD145MS</t>
  </si>
  <si>
    <t>Cumaru 1x4</t>
  </si>
  <si>
    <t>CMKD1410S</t>
  </si>
  <si>
    <t>Cumaru S4S E4E 1x4</t>
  </si>
  <si>
    <t>1x4</t>
  </si>
  <si>
    <t>CMKD1411S</t>
  </si>
  <si>
    <t>CMKD1412S</t>
  </si>
  <si>
    <t>CMKD1413S</t>
  </si>
  <si>
    <t>CMKD1414S</t>
  </si>
  <si>
    <t>CMKD1415S</t>
  </si>
  <si>
    <t>CMKD1416S</t>
  </si>
  <si>
    <t>CMKD1417S</t>
  </si>
  <si>
    <t>CMKD1418S</t>
  </si>
  <si>
    <t>CMKD1419S</t>
  </si>
  <si>
    <t>CMKD1420S</t>
  </si>
  <si>
    <t>CMKD1421S</t>
  </si>
  <si>
    <t>CMKD1422S</t>
  </si>
  <si>
    <t>CMKD1423S</t>
  </si>
  <si>
    <t>CMKD1424S</t>
  </si>
  <si>
    <t>CMKD143S</t>
  </si>
  <si>
    <t>CMKD144S</t>
  </si>
  <si>
    <t>CMKD145S</t>
  </si>
  <si>
    <t>CMKD146S</t>
  </si>
  <si>
    <t>CMKD147S</t>
  </si>
  <si>
    <t>CMKD148S</t>
  </si>
  <si>
    <t>CMKD149S</t>
  </si>
  <si>
    <t>Cumaru 1x6 Plus</t>
  </si>
  <si>
    <t>Cumaru S4S E4E 1x6 Plus</t>
  </si>
  <si>
    <t>1x6 Plus</t>
  </si>
  <si>
    <t>CMKD1611MS</t>
  </si>
  <si>
    <t>CMKD1615MS</t>
  </si>
  <si>
    <t>CMKD1617MS</t>
  </si>
  <si>
    <t>CMKD1619MS</t>
  </si>
  <si>
    <t>CMKD163MS</t>
  </si>
  <si>
    <t>CMKD164MS</t>
  </si>
  <si>
    <t>CMKD165MS</t>
  </si>
  <si>
    <t>CMKD166MS</t>
  </si>
  <si>
    <t>CMKD167MS</t>
  </si>
  <si>
    <t>CMKD169MS</t>
  </si>
  <si>
    <t>Cumaru 1x6</t>
  </si>
  <si>
    <t>CMKD1610S</t>
  </si>
  <si>
    <t>Cumaru S4S E4E 1x6</t>
  </si>
  <si>
    <t>CMKD1611S</t>
  </si>
  <si>
    <t>CMKD1612S</t>
  </si>
  <si>
    <t>CMKD1613S</t>
  </si>
  <si>
    <t>CMKD1614S</t>
  </si>
  <si>
    <t>CMKD1615S</t>
  </si>
  <si>
    <t>CMKD1616S</t>
  </si>
  <si>
    <t>CMKD1618S</t>
  </si>
  <si>
    <t>CMKD1619S</t>
  </si>
  <si>
    <t>CMKD1620S</t>
  </si>
  <si>
    <t>CMKD1621S</t>
  </si>
  <si>
    <t>CMKD1622S</t>
  </si>
  <si>
    <t>CMKD1623S</t>
  </si>
  <si>
    <t>CMKD1624S</t>
  </si>
  <si>
    <t>CMKD163S</t>
  </si>
  <si>
    <t>CMKD164S</t>
  </si>
  <si>
    <t>CMKD166S</t>
  </si>
  <si>
    <t>CMKD167S</t>
  </si>
  <si>
    <t>CMKD168S</t>
  </si>
  <si>
    <t>Cumaru 1x8</t>
  </si>
  <si>
    <t>CMKD1810S</t>
  </si>
  <si>
    <t>Cumaru S4S E4E 1x8</t>
  </si>
  <si>
    <t>1x8</t>
  </si>
  <si>
    <t>CMKD1811S</t>
  </si>
  <si>
    <t>CMKD1812S</t>
  </si>
  <si>
    <t>CMKD1813S</t>
  </si>
  <si>
    <t>CMKD1814S</t>
  </si>
  <si>
    <t>CMKD1815S</t>
  </si>
  <si>
    <t>CMKD1816S</t>
  </si>
  <si>
    <t>CMKD1817S</t>
  </si>
  <si>
    <t>CMKD1818S</t>
  </si>
  <si>
    <t>CMKD1819S</t>
  </si>
  <si>
    <t>CMKD1820S</t>
  </si>
  <si>
    <t>CMKD1821S</t>
  </si>
  <si>
    <t>CMKD1822S</t>
  </si>
  <si>
    <t>CMKD1823S</t>
  </si>
  <si>
    <t>CMKD1824S</t>
  </si>
  <si>
    <t>CMKD183S</t>
  </si>
  <si>
    <t>CMKD184S</t>
  </si>
  <si>
    <t>CMKD185S</t>
  </si>
  <si>
    <t>CMKD186S</t>
  </si>
  <si>
    <t>CMKD187S</t>
  </si>
  <si>
    <t>CMKD188S</t>
  </si>
  <si>
    <t>CMKD189S</t>
  </si>
  <si>
    <t>Cumaru 21x145</t>
  </si>
  <si>
    <t>CMKD2114510S</t>
  </si>
  <si>
    <t>Cumaru S4S E4E 21x145</t>
  </si>
  <si>
    <t>21x145</t>
  </si>
  <si>
    <t>CMKD2114511S</t>
  </si>
  <si>
    <t>CMKD2114513S</t>
  </si>
  <si>
    <t>CMKD2114514S</t>
  </si>
  <si>
    <t>CMKD2114515S</t>
  </si>
  <si>
    <t>CMKD2114516S</t>
  </si>
  <si>
    <t>CMKD2114517S</t>
  </si>
  <si>
    <t>CMKD2114518S</t>
  </si>
  <si>
    <t>CMKD2114519S</t>
  </si>
  <si>
    <t>CMKD2114520S</t>
  </si>
  <si>
    <t>CMKD211456S</t>
  </si>
  <si>
    <t>CMKD211457S</t>
  </si>
  <si>
    <t>CMKD211458S</t>
  </si>
  <si>
    <t>CMKD211459S</t>
  </si>
  <si>
    <t>Cumaru 2x10</t>
  </si>
  <si>
    <t>CMKD21010S</t>
  </si>
  <si>
    <t>Cumaru S4S E4E 2x10</t>
  </si>
  <si>
    <t>2x10</t>
  </si>
  <si>
    <t>CMKD21011S</t>
  </si>
  <si>
    <t>CMKD21012S</t>
  </si>
  <si>
    <t>CMKD21013S</t>
  </si>
  <si>
    <t>CMKD21014S</t>
  </si>
  <si>
    <t>CMKD21015S</t>
  </si>
  <si>
    <t>CMKD21016S</t>
  </si>
  <si>
    <t>CMKD21017S</t>
  </si>
  <si>
    <t>CMKD21018S</t>
  </si>
  <si>
    <t>CMKD21019S</t>
  </si>
  <si>
    <t>CMKD21020S</t>
  </si>
  <si>
    <t>CMKD21021S</t>
  </si>
  <si>
    <t>CMKD21022S</t>
  </si>
  <si>
    <t>CMKD21023S</t>
  </si>
  <si>
    <t>CMKD21024S</t>
  </si>
  <si>
    <t>CMKD2103S</t>
  </si>
  <si>
    <t>CMKD2104S</t>
  </si>
  <si>
    <t>CMKD2105S</t>
  </si>
  <si>
    <t>CMKD2106S</t>
  </si>
  <si>
    <t>CMKD2107S</t>
  </si>
  <si>
    <t>CMKD2108S</t>
  </si>
  <si>
    <t>CMKD2109S</t>
  </si>
  <si>
    <t>Cumaru 2x12</t>
  </si>
  <si>
    <t>CMKD21210S</t>
  </si>
  <si>
    <t>Cumaru S4S E4E 2x12</t>
  </si>
  <si>
    <t>2x12</t>
  </si>
  <si>
    <t>CMKD21211S</t>
  </si>
  <si>
    <t>CMKD21212S</t>
  </si>
  <si>
    <t>CMKD21213S</t>
  </si>
  <si>
    <t>CMKD21214S</t>
  </si>
  <si>
    <t>CMKD21215S</t>
  </si>
  <si>
    <t>CMKD21216S</t>
  </si>
  <si>
    <t>CMKD21217S</t>
  </si>
  <si>
    <t>CMKD21218S</t>
  </si>
  <si>
    <t>CMKD21219S</t>
  </si>
  <si>
    <t>CMKD21220S</t>
  </si>
  <si>
    <t>CMKD21221S</t>
  </si>
  <si>
    <t>CMKD21222S</t>
  </si>
  <si>
    <t>CMKD21223S</t>
  </si>
  <si>
    <t>CMKD21224S</t>
  </si>
  <si>
    <t>CMKD2123S</t>
  </si>
  <si>
    <t>CMKD2124S</t>
  </si>
  <si>
    <t>CMKD2125S</t>
  </si>
  <si>
    <t>CMKD2126S</t>
  </si>
  <si>
    <t>CMKD2127S</t>
  </si>
  <si>
    <t>CMKD2128S</t>
  </si>
  <si>
    <t>CMKD2129S</t>
  </si>
  <si>
    <t>Cumaru 2x2</t>
  </si>
  <si>
    <t>CMKD2210S</t>
  </si>
  <si>
    <t>Cumaru S4S E4E 2x2</t>
  </si>
  <si>
    <t>2x2</t>
  </si>
  <si>
    <t>CMKD2211S</t>
  </si>
  <si>
    <t>CMKD2212S</t>
  </si>
  <si>
    <t>CMKD2213S</t>
  </si>
  <si>
    <t>CMKD2214S</t>
  </si>
  <si>
    <t>CMKD2215S</t>
  </si>
  <si>
    <t>CMKD2216S</t>
  </si>
  <si>
    <t>CMKD2217S</t>
  </si>
  <si>
    <t>CMKD2218S</t>
  </si>
  <si>
    <t>CMKD2219S</t>
  </si>
  <si>
    <t>CMKD2220S</t>
  </si>
  <si>
    <t>CMKD2221S</t>
  </si>
  <si>
    <t>CMKD2222S</t>
  </si>
  <si>
    <t>CMKD2223S</t>
  </si>
  <si>
    <t>CMKD2224S</t>
  </si>
  <si>
    <t>CMKD223S</t>
  </si>
  <si>
    <t>CMKD224S</t>
  </si>
  <si>
    <t>CMKD225S</t>
  </si>
  <si>
    <t>CMKD226S</t>
  </si>
  <si>
    <t>CMKD227S</t>
  </si>
  <si>
    <t>CMKD228S</t>
  </si>
  <si>
    <t>CMKD229S</t>
  </si>
  <si>
    <t>Cumaru 2x3</t>
  </si>
  <si>
    <t>CMKD2310S</t>
  </si>
  <si>
    <t>Cumaru S4S E4E 2x3</t>
  </si>
  <si>
    <t>2x3</t>
  </si>
  <si>
    <t>CMKD2312S</t>
  </si>
  <si>
    <t>CMKD236S</t>
  </si>
  <si>
    <t>CMKD238S</t>
  </si>
  <si>
    <t>Cumaru 2x4</t>
  </si>
  <si>
    <t>CMKD2410S</t>
  </si>
  <si>
    <t>Cumaru S4S E4E 2x4</t>
  </si>
  <si>
    <t>2x4</t>
  </si>
  <si>
    <t>CMKD2411S</t>
  </si>
  <si>
    <t>CMKD2412S</t>
  </si>
  <si>
    <t>CMKD2413S</t>
  </si>
  <si>
    <t>CMKD2414S</t>
  </si>
  <si>
    <t>CMKD2415S</t>
  </si>
  <si>
    <t>CMKD2416S</t>
  </si>
  <si>
    <t>CMKD2417S</t>
  </si>
  <si>
    <t>CMKD2418S</t>
  </si>
  <si>
    <t>CMKD2419S</t>
  </si>
  <si>
    <t>CMKD2420S</t>
  </si>
  <si>
    <t>CMKD2421S</t>
  </si>
  <si>
    <t>CMKD2422S</t>
  </si>
  <si>
    <t>CMKD2423S</t>
  </si>
  <si>
    <t>CMKD2424S</t>
  </si>
  <si>
    <t>CMKD243S</t>
  </si>
  <si>
    <t>CMKD244S</t>
  </si>
  <si>
    <t>CMKD245S</t>
  </si>
  <si>
    <t>CMKD246S</t>
  </si>
  <si>
    <t>CMKD247S</t>
  </si>
  <si>
    <t>CMKD248S</t>
  </si>
  <si>
    <t>CMKD249S</t>
  </si>
  <si>
    <t>Cumaru 2x6</t>
  </si>
  <si>
    <t>CMKD2610S</t>
  </si>
  <si>
    <t>Cumaru S4S E4E 2x6</t>
  </si>
  <si>
    <t>2x6</t>
  </si>
  <si>
    <t>CMKD2611S</t>
  </si>
  <si>
    <t>CMKD2612S</t>
  </si>
  <si>
    <t>CMKD2613S</t>
  </si>
  <si>
    <t>CMKD2614S</t>
  </si>
  <si>
    <t>CMKD2615S</t>
  </si>
  <si>
    <t>CMKD2616S</t>
  </si>
  <si>
    <t>CMKD2617S</t>
  </si>
  <si>
    <t>CMKD2618S</t>
  </si>
  <si>
    <t>CMKD2619S</t>
  </si>
  <si>
    <t>CMKD2620S</t>
  </si>
  <si>
    <t>CMKD2621S</t>
  </si>
  <si>
    <t>CMKD2622S</t>
  </si>
  <si>
    <t>CMKD2623S</t>
  </si>
  <si>
    <t>CMKD2624S</t>
  </si>
  <si>
    <t>CMKD263S</t>
  </si>
  <si>
    <t>CMKD264S</t>
  </si>
  <si>
    <t>CMKD265S</t>
  </si>
  <si>
    <t>CMKD266S</t>
  </si>
  <si>
    <t>CMKD267S</t>
  </si>
  <si>
    <t>CMKD268S</t>
  </si>
  <si>
    <t>CMKD269S</t>
  </si>
  <si>
    <t>Cumaru 2x8</t>
  </si>
  <si>
    <t>CMKD2810S</t>
  </si>
  <si>
    <t>Cumaru S4S E4E 2x8</t>
  </si>
  <si>
    <t>2x8</t>
  </si>
  <si>
    <t>CMKD2811S</t>
  </si>
  <si>
    <t>CMKD2812S</t>
  </si>
  <si>
    <t>CMKD2813S</t>
  </si>
  <si>
    <t>CMKD2814S</t>
  </si>
  <si>
    <t>CMKD2815S</t>
  </si>
  <si>
    <t>CMKD2816S</t>
  </si>
  <si>
    <t>CMKD2817S</t>
  </si>
  <si>
    <t>CMKD2818S</t>
  </si>
  <si>
    <t>CMKD2819S</t>
  </si>
  <si>
    <t>CMKD2820S</t>
  </si>
  <si>
    <t>CMKD2821S</t>
  </si>
  <si>
    <t>CMKD2822S</t>
  </si>
  <si>
    <t>CMKD2823S</t>
  </si>
  <si>
    <t>CMKD2824S</t>
  </si>
  <si>
    <t>CMKD283S</t>
  </si>
  <si>
    <t>CMKD284S</t>
  </si>
  <si>
    <t>CMKD285S</t>
  </si>
  <si>
    <t>CMKD286S</t>
  </si>
  <si>
    <t>CMKD287S</t>
  </si>
  <si>
    <t>CMKD288S</t>
  </si>
  <si>
    <t>CMKD289S</t>
  </si>
  <si>
    <t>Cumaru 3x10</t>
  </si>
  <si>
    <t>CM31010S</t>
  </si>
  <si>
    <t>Cumaru S4S E4E 3x10</t>
  </si>
  <si>
    <t>3x10</t>
  </si>
  <si>
    <t>CM31011S</t>
  </si>
  <si>
    <t>CM31012S</t>
  </si>
  <si>
    <t>CM31013S</t>
  </si>
  <si>
    <t>CM31014S</t>
  </si>
  <si>
    <t>CM31015S</t>
  </si>
  <si>
    <t>CM31016S</t>
  </si>
  <si>
    <t>CM31017S</t>
  </si>
  <si>
    <t>CM31018S</t>
  </si>
  <si>
    <t>CM31019S</t>
  </si>
  <si>
    <t>CM31020S</t>
  </si>
  <si>
    <t>CM31021S</t>
  </si>
  <si>
    <t>CM31022S</t>
  </si>
  <si>
    <t>CM3103S</t>
  </si>
  <si>
    <t>CM3104S</t>
  </si>
  <si>
    <t>CM3105S</t>
  </si>
  <si>
    <t>CM3106S</t>
  </si>
  <si>
    <t>CM3107S</t>
  </si>
  <si>
    <t>CM3108S</t>
  </si>
  <si>
    <t>CM3109S</t>
  </si>
  <si>
    <t>Cumaru 3x12</t>
  </si>
  <si>
    <t>CM31210S</t>
  </si>
  <si>
    <t>Cumaru S4S E4E 3x12</t>
  </si>
  <si>
    <t>3x12</t>
  </si>
  <si>
    <t>CMKD31210S</t>
  </si>
  <si>
    <t>CM31211S</t>
  </si>
  <si>
    <t>CMKD31211S</t>
  </si>
  <si>
    <t>CM31212S</t>
  </si>
  <si>
    <t>CMKD31212S</t>
  </si>
  <si>
    <t>CM31213S</t>
  </si>
  <si>
    <t>CMKD31213S</t>
  </si>
  <si>
    <t>CM31214S</t>
  </si>
  <si>
    <t>CMKD31214S</t>
  </si>
  <si>
    <t>CM31215S</t>
  </si>
  <si>
    <t>CMKD31215S</t>
  </si>
  <si>
    <t>CM31216S</t>
  </si>
  <si>
    <t>CMKD31216S</t>
  </si>
  <si>
    <t>CM31217S</t>
  </si>
  <si>
    <t>CMKD31217S</t>
  </si>
  <si>
    <t>CM31218S</t>
  </si>
  <si>
    <t>CMKD31218S</t>
  </si>
  <si>
    <t>CM31219S</t>
  </si>
  <si>
    <t>CMKD31219S</t>
  </si>
  <si>
    <t>CM31220S</t>
  </si>
  <si>
    <t>CMKD31220S</t>
  </si>
  <si>
    <t>CM31221S</t>
  </si>
  <si>
    <t>CMKD31221S</t>
  </si>
  <si>
    <t>CM31222S</t>
  </si>
  <si>
    <t>CMKD31222S</t>
  </si>
  <si>
    <t>CM3123S</t>
  </si>
  <si>
    <t>CMKD3123S</t>
  </si>
  <si>
    <t>CM3124S</t>
  </si>
  <si>
    <t>CMKD3124S</t>
  </si>
  <si>
    <t>CM3125S</t>
  </si>
  <si>
    <t>CMKD3125S</t>
  </si>
  <si>
    <t>CM3126S</t>
  </si>
  <si>
    <t>CMKD3126S</t>
  </si>
  <si>
    <t>CM3127S</t>
  </si>
  <si>
    <t>CMKD3127S</t>
  </si>
  <si>
    <t>CM3128S</t>
  </si>
  <si>
    <t>CMKD3128S</t>
  </si>
  <si>
    <t>CM3129S</t>
  </si>
  <si>
    <t>CMKD3129S</t>
  </si>
  <si>
    <t>Cumaru 3x6</t>
  </si>
  <si>
    <t>CM3610S</t>
  </si>
  <si>
    <t>Cumaru S4S E4E 3x6</t>
  </si>
  <si>
    <t>3x6</t>
  </si>
  <si>
    <t>CM3611S</t>
  </si>
  <si>
    <t>CM3612S</t>
  </si>
  <si>
    <t>CM3613S</t>
  </si>
  <si>
    <t>CM3614S</t>
  </si>
  <si>
    <t>CM3615S</t>
  </si>
  <si>
    <t>CM3616S</t>
  </si>
  <si>
    <t>CM3617S</t>
  </si>
  <si>
    <t>CM3618S</t>
  </si>
  <si>
    <t>CM3619S</t>
  </si>
  <si>
    <t>CM3620S</t>
  </si>
  <si>
    <t>CM3621S</t>
  </si>
  <si>
    <t>CM3622S</t>
  </si>
  <si>
    <t>CM363S</t>
  </si>
  <si>
    <t>CM364S</t>
  </si>
  <si>
    <t>CM365S</t>
  </si>
  <si>
    <t>CM366S</t>
  </si>
  <si>
    <t>CM367S</t>
  </si>
  <si>
    <t>CM368S</t>
  </si>
  <si>
    <t>CM369S</t>
  </si>
  <si>
    <t>Cumaru 3x8</t>
  </si>
  <si>
    <t>CM3810S</t>
  </si>
  <si>
    <t>Cumaru S4S E4E 3x8</t>
  </si>
  <si>
    <t>3x8</t>
  </si>
  <si>
    <t>CMKD3810S</t>
  </si>
  <si>
    <t>CM3811S</t>
  </si>
  <si>
    <t>CMKD3811S</t>
  </si>
  <si>
    <t>CM3812S</t>
  </si>
  <si>
    <t>CMKD3812S</t>
  </si>
  <si>
    <t>CM3813S</t>
  </si>
  <si>
    <t>CMKD3813S</t>
  </si>
  <si>
    <t>CM3814S</t>
  </si>
  <si>
    <t>CMKD3814S</t>
  </si>
  <si>
    <t>CM3815S</t>
  </si>
  <si>
    <t>CMKD3815S</t>
  </si>
  <si>
    <t>CM3816S</t>
  </si>
  <si>
    <t>CMKD3816S</t>
  </si>
  <si>
    <t>CM3817S</t>
  </si>
  <si>
    <t>CMKD3817S</t>
  </si>
  <si>
    <t>CM3818S</t>
  </si>
  <si>
    <t>CMKD3818S</t>
  </si>
  <si>
    <t>CM3819S</t>
  </si>
  <si>
    <t>CMKD3819S</t>
  </si>
  <si>
    <t>CM3820S</t>
  </si>
  <si>
    <t>CMKD3820S</t>
  </si>
  <si>
    <t>CM3821S</t>
  </si>
  <si>
    <t>CMKD3821S</t>
  </si>
  <si>
    <t>CM3822S</t>
  </si>
  <si>
    <t>CMKD3822S</t>
  </si>
  <si>
    <t>CM383S</t>
  </si>
  <si>
    <t>CMKD383S</t>
  </si>
  <si>
    <t>CM384S</t>
  </si>
  <si>
    <t>CMKD384S</t>
  </si>
  <si>
    <t>CM385S</t>
  </si>
  <si>
    <t>CMKD385S</t>
  </si>
  <si>
    <t>CM386S</t>
  </si>
  <si>
    <t>CMKD386S</t>
  </si>
  <si>
    <t>CM387S</t>
  </si>
  <si>
    <t>CMKD387S</t>
  </si>
  <si>
    <t>CM388S</t>
  </si>
  <si>
    <t>CMKD388S</t>
  </si>
  <si>
    <t>CM389S</t>
  </si>
  <si>
    <t>CMKD389S</t>
  </si>
  <si>
    <t>Cumaru 3x9</t>
  </si>
  <si>
    <t>CM3912S</t>
  </si>
  <si>
    <t>Cumaru S4S E4E 3x9</t>
  </si>
  <si>
    <t>3x9</t>
  </si>
  <si>
    <t>Cumaru 4x12</t>
  </si>
  <si>
    <t>Cumaru S4S E4E 4x12</t>
  </si>
  <si>
    <t>4x12</t>
  </si>
  <si>
    <t>Cumaru 4x4</t>
  </si>
  <si>
    <t>CM4410S</t>
  </si>
  <si>
    <t>Cumaru S4S E4E 4x4</t>
  </si>
  <si>
    <t>4x4</t>
  </si>
  <si>
    <t>CM4411S</t>
  </si>
  <si>
    <t>CM4412S</t>
  </si>
  <si>
    <t>CM4413S</t>
  </si>
  <si>
    <t>CM4414S</t>
  </si>
  <si>
    <t>CM4415S</t>
  </si>
  <si>
    <t>CM4416S</t>
  </si>
  <si>
    <t>CM4417S</t>
  </si>
  <si>
    <t>CM4418S</t>
  </si>
  <si>
    <t>CM4419S</t>
  </si>
  <si>
    <t>CM4420S</t>
  </si>
  <si>
    <t>CM4421S</t>
  </si>
  <si>
    <t>CM4422S</t>
  </si>
  <si>
    <t>CM443S</t>
  </si>
  <si>
    <t>CM444S</t>
  </si>
  <si>
    <t>CM445S</t>
  </si>
  <si>
    <t>CM446S</t>
  </si>
  <si>
    <t>CM447S</t>
  </si>
  <si>
    <t>CM448S</t>
  </si>
  <si>
    <t>CM449S</t>
  </si>
  <si>
    <t>Cumaru 4x8</t>
  </si>
  <si>
    <t>CM4810S</t>
  </si>
  <si>
    <t>Cumaru S4S E4E 4x8</t>
  </si>
  <si>
    <t>4x8</t>
  </si>
  <si>
    <t>CM4811S</t>
  </si>
  <si>
    <t>CM4812S</t>
  </si>
  <si>
    <t>CM4813S</t>
  </si>
  <si>
    <t>CM4814S</t>
  </si>
  <si>
    <t>CM4815S</t>
  </si>
  <si>
    <t>CM4816S</t>
  </si>
  <si>
    <t>CM4817S</t>
  </si>
  <si>
    <t>CM4818S</t>
  </si>
  <si>
    <t>CM4819S</t>
  </si>
  <si>
    <t>CM4820S</t>
  </si>
  <si>
    <t>CM4821S</t>
  </si>
  <si>
    <t>CM4822S</t>
  </si>
  <si>
    <t>CM4823S</t>
  </si>
  <si>
    <t>CM4824S</t>
  </si>
  <si>
    <t>CM483S</t>
  </si>
  <si>
    <t>CM484S</t>
  </si>
  <si>
    <t>CM485S</t>
  </si>
  <si>
    <t>CM486S</t>
  </si>
  <si>
    <t>CM487S</t>
  </si>
  <si>
    <t>CM488S</t>
  </si>
  <si>
    <t>CM489S</t>
  </si>
  <si>
    <t>Cumaru 5/4x10</t>
  </si>
  <si>
    <t>CMKD541010S</t>
  </si>
  <si>
    <t>Cumaru S4S E4E 5/4x10</t>
  </si>
  <si>
    <t>5/4x10</t>
  </si>
  <si>
    <t>CMKD541011S</t>
  </si>
  <si>
    <t>CMKD541012S</t>
  </si>
  <si>
    <t>CMKD541013S</t>
  </si>
  <si>
    <t>CMKD541014S</t>
  </si>
  <si>
    <t>CMKD541015S</t>
  </si>
  <si>
    <t>CMKD541016S</t>
  </si>
  <si>
    <t>CMKD541017S</t>
  </si>
  <si>
    <t>CMKD541018S</t>
  </si>
  <si>
    <t>CMKD541019S</t>
  </si>
  <si>
    <t>CMKD541020S</t>
  </si>
  <si>
    <t>CMKD541021S</t>
  </si>
  <si>
    <t>CMKD541022S</t>
  </si>
  <si>
    <t>CMKD541023S</t>
  </si>
  <si>
    <t>CMKD541024S</t>
  </si>
  <si>
    <t>CMKD54103S</t>
  </si>
  <si>
    <t>CMKD54104S</t>
  </si>
  <si>
    <t>CMKD54105S</t>
  </si>
  <si>
    <t>CMKD54106S</t>
  </si>
  <si>
    <t>CMKD54107S</t>
  </si>
  <si>
    <t>CMKD54108S</t>
  </si>
  <si>
    <t>CMKD54109S</t>
  </si>
  <si>
    <t>Cumaru 5/4x12</t>
  </si>
  <si>
    <t>CMKD541210S</t>
  </si>
  <si>
    <t>Cumaru S4S E4E 5/4x12</t>
  </si>
  <si>
    <t>5/4x12</t>
  </si>
  <si>
    <t>CMKD541211S</t>
  </si>
  <si>
    <t>CMKD541212S</t>
  </si>
  <si>
    <t>CMKD541213S</t>
  </si>
  <si>
    <t>CMKD541214S</t>
  </si>
  <si>
    <t>CMKD541215S</t>
  </si>
  <si>
    <t>CMKD541216S</t>
  </si>
  <si>
    <t>CMKD541217S</t>
  </si>
  <si>
    <t>CMKD541218S</t>
  </si>
  <si>
    <t>CMKD541219S</t>
  </si>
  <si>
    <t>CMKD541220S</t>
  </si>
  <si>
    <t>CMKD541221S</t>
  </si>
  <si>
    <t>CMKD541222S</t>
  </si>
  <si>
    <t>CMKD541223S</t>
  </si>
  <si>
    <t>CMKD541224S</t>
  </si>
  <si>
    <t>CMKD54123S</t>
  </si>
  <si>
    <t>CMKD54124S</t>
  </si>
  <si>
    <t>CMKD54125S</t>
  </si>
  <si>
    <t>CMKD54126S</t>
  </si>
  <si>
    <t>CMKD54127S</t>
  </si>
  <si>
    <t>CMKD54128S</t>
  </si>
  <si>
    <t>CMKD54129S</t>
  </si>
  <si>
    <t>Cumaru S4S E4E 5/4x6</t>
  </si>
  <si>
    <t>CMKD54611S</t>
  </si>
  <si>
    <t>CMKD54613S</t>
  </si>
  <si>
    <t>CMKD54615S</t>
  </si>
  <si>
    <t>CMKD54616S</t>
  </si>
  <si>
    <t>CMKD54617S</t>
  </si>
  <si>
    <t>CMKD54619S</t>
  </si>
  <si>
    <t>CMKD54620S</t>
  </si>
  <si>
    <t>CMKD54621S</t>
  </si>
  <si>
    <t>CMKD54622S</t>
  </si>
  <si>
    <t>CMKD54623S</t>
  </si>
  <si>
    <t>CMKD54624S</t>
  </si>
  <si>
    <t>CMKD5463S</t>
  </si>
  <si>
    <t>CMKD5464S</t>
  </si>
  <si>
    <t>CMKD5465S</t>
  </si>
  <si>
    <t>CMKD5466S</t>
  </si>
  <si>
    <t>CMKD5467S</t>
  </si>
  <si>
    <t>CMKD5469S</t>
  </si>
  <si>
    <t>Cumaru 5/4x8</t>
  </si>
  <si>
    <t>CMKD54810S</t>
  </si>
  <si>
    <t>Cumaru S4S E4E 5/4x8</t>
  </si>
  <si>
    <t>5/4x8</t>
  </si>
  <si>
    <t>CMKD54811S</t>
  </si>
  <si>
    <t>CMKD54812S</t>
  </si>
  <si>
    <t>CMKD54813S</t>
  </si>
  <si>
    <t>CMKD54814S</t>
  </si>
  <si>
    <t>CMKD54815S</t>
  </si>
  <si>
    <t>CMKD54816S</t>
  </si>
  <si>
    <t>CMKD54817S</t>
  </si>
  <si>
    <t>CMKD54818S</t>
  </si>
  <si>
    <t>CMKD54819S</t>
  </si>
  <si>
    <t>CMKD54820S</t>
  </si>
  <si>
    <t>CMKD54821S</t>
  </si>
  <si>
    <t>CMKD54822S</t>
  </si>
  <si>
    <t>CMKD54823S</t>
  </si>
  <si>
    <t>CMKD54824S</t>
  </si>
  <si>
    <t>CMKD5483S</t>
  </si>
  <si>
    <t>CMKD5484S</t>
  </si>
  <si>
    <t>CMKD5485S</t>
  </si>
  <si>
    <t>CMKD5486S</t>
  </si>
  <si>
    <t>CMKD5487S</t>
  </si>
  <si>
    <t>CMKD5488S</t>
  </si>
  <si>
    <t>CMKD5489S</t>
  </si>
  <si>
    <t>Cumaru 50x140</t>
  </si>
  <si>
    <t>CM5014014S</t>
  </si>
  <si>
    <t>Cumaru S4S E4E 50x140</t>
  </si>
  <si>
    <t>50x140</t>
  </si>
  <si>
    <t>Cumaru 6x12</t>
  </si>
  <si>
    <t>CM61210S</t>
  </si>
  <si>
    <t>Cumaru S4S E4E 6x12</t>
  </si>
  <si>
    <t>6x12</t>
  </si>
  <si>
    <t>CM61211S</t>
  </si>
  <si>
    <t>CM61212S</t>
  </si>
  <si>
    <t>CM61213S</t>
  </si>
  <si>
    <t>CM61214S</t>
  </si>
  <si>
    <t>CM61215S</t>
  </si>
  <si>
    <t>CM61216S</t>
  </si>
  <si>
    <t>CM61217S</t>
  </si>
  <si>
    <t>CM61218S</t>
  </si>
  <si>
    <t>CM61219S</t>
  </si>
  <si>
    <t>CM61220S</t>
  </si>
  <si>
    <t>CM61221S</t>
  </si>
  <si>
    <t>CM61222S</t>
  </si>
  <si>
    <t>CM61223S</t>
  </si>
  <si>
    <t>CM61224S</t>
  </si>
  <si>
    <t>CM6123S</t>
  </si>
  <si>
    <t>CM6124S</t>
  </si>
  <si>
    <t>CM6125S</t>
  </si>
  <si>
    <t>CM6126S</t>
  </si>
  <si>
    <t>CM6127S</t>
  </si>
  <si>
    <t>CM6128S</t>
  </si>
  <si>
    <t>CM6129S</t>
  </si>
  <si>
    <t>Cumaru 6x6</t>
  </si>
  <si>
    <t>CM6610S</t>
  </si>
  <si>
    <t>Cumaru S4S E4E 6x6</t>
  </si>
  <si>
    <t>6x6</t>
  </si>
  <si>
    <t>CM6611S</t>
  </si>
  <si>
    <t>CM6612S</t>
  </si>
  <si>
    <t>CM6613S</t>
  </si>
  <si>
    <t>CM6614S</t>
  </si>
  <si>
    <t>CM6615S</t>
  </si>
  <si>
    <t>CM6616S</t>
  </si>
  <si>
    <t>CM6617S</t>
  </si>
  <si>
    <t>CM6618S</t>
  </si>
  <si>
    <t>CM6619S</t>
  </si>
  <si>
    <t>CM6620S</t>
  </si>
  <si>
    <t>CM6621S</t>
  </si>
  <si>
    <t>CM6622S</t>
  </si>
  <si>
    <t>CM663S</t>
  </si>
  <si>
    <t>CM664S</t>
  </si>
  <si>
    <t>CM665S</t>
  </si>
  <si>
    <t>CM666S</t>
  </si>
  <si>
    <t>CM667S</t>
  </si>
  <si>
    <t>CM668S</t>
  </si>
  <si>
    <t>CM669S</t>
  </si>
  <si>
    <t>Cumaru 6x8</t>
  </si>
  <si>
    <t>CM6810S</t>
  </si>
  <si>
    <t>Cumaru S4S E4E 6x8</t>
  </si>
  <si>
    <t>6x8</t>
  </si>
  <si>
    <t>CM6811S</t>
  </si>
  <si>
    <t>CM6812S</t>
  </si>
  <si>
    <t>CM6813S</t>
  </si>
  <si>
    <t>CM6814S</t>
  </si>
  <si>
    <t>CM6815S</t>
  </si>
  <si>
    <t>CM6816S</t>
  </si>
  <si>
    <t>CM6817S</t>
  </si>
  <si>
    <t>CM6818S</t>
  </si>
  <si>
    <t>CM6819S</t>
  </si>
  <si>
    <t>CM6820S</t>
  </si>
  <si>
    <t>CM6821S</t>
  </si>
  <si>
    <t>CM6822S</t>
  </si>
  <si>
    <t>CM6823S</t>
  </si>
  <si>
    <t>CM6824S</t>
  </si>
  <si>
    <t>CM683S</t>
  </si>
  <si>
    <t>CM684S</t>
  </si>
  <si>
    <t>CM685S</t>
  </si>
  <si>
    <t>CM686S</t>
  </si>
  <si>
    <t>CM687S</t>
  </si>
  <si>
    <t>CM688S</t>
  </si>
  <si>
    <t>CM689S</t>
  </si>
  <si>
    <t>Cumaru 8x8</t>
  </si>
  <si>
    <t>CM8810S</t>
  </si>
  <si>
    <t>Cumaru S4S E4E 8x8</t>
  </si>
  <si>
    <t>8x8</t>
  </si>
  <si>
    <t>CM8811S</t>
  </si>
  <si>
    <t>CM8812S</t>
  </si>
  <si>
    <t>CM8813S</t>
  </si>
  <si>
    <t>CM8814S</t>
  </si>
  <si>
    <t>CM8815S</t>
  </si>
  <si>
    <t>CM8816S</t>
  </si>
  <si>
    <t>CM8817S</t>
  </si>
  <si>
    <t>CM8818S</t>
  </si>
  <si>
    <t>CM8819S</t>
  </si>
  <si>
    <t>CM8820S</t>
  </si>
  <si>
    <t>CM8821S</t>
  </si>
  <si>
    <t>CM8822S</t>
  </si>
  <si>
    <t>CM883S</t>
  </si>
  <si>
    <t>CM884S</t>
  </si>
  <si>
    <t>CM885S</t>
  </si>
  <si>
    <t>CM886S</t>
  </si>
  <si>
    <t>CM887S</t>
  </si>
  <si>
    <t>CM888S</t>
  </si>
  <si>
    <t>CM889S</t>
  </si>
  <si>
    <t>MN743029-004</t>
  </si>
  <si>
    <t>Cumaru T&amp;G V-Joint 2 sides 1x6</t>
  </si>
  <si>
    <t>T&amp;G V-Joint 2 sides</t>
  </si>
  <si>
    <t>MN743029-002</t>
  </si>
  <si>
    <t>MN743029-003</t>
  </si>
  <si>
    <t>MN743029-000</t>
  </si>
  <si>
    <t>MN743029-001</t>
  </si>
  <si>
    <t>Cumaru 24x24</t>
  </si>
  <si>
    <t>Tiles</t>
  </si>
  <si>
    <t>Cumaru Tiles 24x24</t>
  </si>
  <si>
    <t>24x24</t>
  </si>
  <si>
    <t>Cumaru 24x48</t>
  </si>
  <si>
    <t>CMTILE2448</t>
  </si>
  <si>
    <t>Cumaru Tiles 24x48</t>
  </si>
  <si>
    <t>24x48</t>
  </si>
  <si>
    <t>Garapa</t>
  </si>
  <si>
    <t>Garapa 1x6 Plus</t>
  </si>
  <si>
    <t>GPKD54610MS</t>
  </si>
  <si>
    <t>Garapa S4S E4E 1x6 Plus</t>
  </si>
  <si>
    <t>GPKD54611MS</t>
  </si>
  <si>
    <t>GPKD54612MS</t>
  </si>
  <si>
    <t>GPKD54613MS</t>
  </si>
  <si>
    <t>GPKD54614MS</t>
  </si>
  <si>
    <t>GPKD54615MS</t>
  </si>
  <si>
    <t>GPKD54616MS</t>
  </si>
  <si>
    <t>GPKD54617MS</t>
  </si>
  <si>
    <t>GPKD54618MS</t>
  </si>
  <si>
    <t>GPKD54619MS</t>
  </si>
  <si>
    <t>GPKD54620MS</t>
  </si>
  <si>
    <t>GPKD54621MS</t>
  </si>
  <si>
    <t>GPKD54622MS</t>
  </si>
  <si>
    <t>GPKD5463MS</t>
  </si>
  <si>
    <t>GPKD5464MS</t>
  </si>
  <si>
    <t>GPKD5465MS</t>
  </si>
  <si>
    <t>GPKD5466MS</t>
  </si>
  <si>
    <t>GPKD5467MS</t>
  </si>
  <si>
    <t>GPKD5468MS</t>
  </si>
  <si>
    <t>GPKD5469MS</t>
  </si>
  <si>
    <t>Garapa 1x6</t>
  </si>
  <si>
    <t>Garapa S4S E4E 1x6</t>
  </si>
  <si>
    <t>GPKD1612S</t>
  </si>
  <si>
    <t>GPKD1614S</t>
  </si>
  <si>
    <t>GPKD1616S</t>
  </si>
  <si>
    <t>GPKD1617S</t>
  </si>
  <si>
    <t>GPKD1618S</t>
  </si>
  <si>
    <t>GPKD1619S</t>
  </si>
  <si>
    <t>GPKD1620S</t>
  </si>
  <si>
    <t>GPKD163S</t>
  </si>
  <si>
    <t>GPKD164S</t>
  </si>
  <si>
    <t>GPKD165S</t>
  </si>
  <si>
    <t>GPKD166S</t>
  </si>
  <si>
    <t>GPKD167S</t>
  </si>
  <si>
    <t>GPKD169S</t>
  </si>
  <si>
    <t>Garapa 5/4x6</t>
  </si>
  <si>
    <t>GPKD54610S</t>
  </si>
  <si>
    <t>Garapa S4S E4E 5/4x6</t>
  </si>
  <si>
    <t>GPKD54611S</t>
  </si>
  <si>
    <t>GPKD54612S</t>
  </si>
  <si>
    <t>GPKD54613S</t>
  </si>
  <si>
    <t>GPKD54614S</t>
  </si>
  <si>
    <t>GPKD54615S</t>
  </si>
  <si>
    <t>GPKD54617S</t>
  </si>
  <si>
    <t>GPKD54619S</t>
  </si>
  <si>
    <t>GPKD54620S</t>
  </si>
  <si>
    <t>GPKD54621S</t>
  </si>
  <si>
    <t>GPKD54622S</t>
  </si>
  <si>
    <t>GPKD5463S</t>
  </si>
  <si>
    <t>GPKD5464S</t>
  </si>
  <si>
    <t>GPKD5465S</t>
  </si>
  <si>
    <t>GPKD5466S</t>
  </si>
  <si>
    <t>GPKD5467S</t>
  </si>
  <si>
    <t>GPKD5468S</t>
  </si>
  <si>
    <t>GPKD5469S</t>
  </si>
  <si>
    <t>GPKDCBI1610S</t>
  </si>
  <si>
    <t>Garapa S4S E4E Brown Ipe (Coated) 1x6</t>
  </si>
  <si>
    <t>GPKDCBI1611S</t>
  </si>
  <si>
    <t>GPKDCBI1612S</t>
  </si>
  <si>
    <t>GPKDCBI1613S</t>
  </si>
  <si>
    <t>GPKDCBI1614S</t>
  </si>
  <si>
    <t>GPKDCBI1615S</t>
  </si>
  <si>
    <t>GPKDCBI1616S</t>
  </si>
  <si>
    <t>GPKDCBI1617S</t>
  </si>
  <si>
    <t>GPKDCBI1618S</t>
  </si>
  <si>
    <t>GPKDCBI1619S</t>
  </si>
  <si>
    <t>GPKDCBI1620S</t>
  </si>
  <si>
    <t>GPKDCBI163S</t>
  </si>
  <si>
    <t>GPKDCBI164S</t>
  </si>
  <si>
    <t>GPKDCBI165S</t>
  </si>
  <si>
    <t>GPKDCBI166S</t>
  </si>
  <si>
    <t>GPKDCBI167S</t>
  </si>
  <si>
    <t>GPKDCBI168S</t>
  </si>
  <si>
    <t>GPKDCBI169S</t>
  </si>
  <si>
    <t>Garapa 24x24</t>
  </si>
  <si>
    <t>GPTILE2424</t>
  </si>
  <si>
    <t>Garapa Tiles 24x24</t>
  </si>
  <si>
    <t>Wood Furniture</t>
  </si>
  <si>
    <t>Large Bracket</t>
  </si>
  <si>
    <t>SO743084-000</t>
  </si>
  <si>
    <t>Garapa Wood Furniture</t>
  </si>
  <si>
    <t>Small Bracket</t>
  </si>
  <si>
    <t>SO743084-001</t>
  </si>
  <si>
    <t>Medium Bracket</t>
  </si>
  <si>
    <t>SO743084-002</t>
  </si>
  <si>
    <t>Ipe</t>
  </si>
  <si>
    <t>Ipe 5/4x6</t>
  </si>
  <si>
    <t>Random Lenght</t>
  </si>
  <si>
    <t>IPEKD546RLG</t>
  </si>
  <si>
    <t>Ipe Grooved Random Lenght 5/4x6</t>
  </si>
  <si>
    <t>Ipe 1x10</t>
  </si>
  <si>
    <t>IPEKD11010S</t>
  </si>
  <si>
    <t>Ipe S4S E4E 1x10</t>
  </si>
  <si>
    <t>1x10</t>
  </si>
  <si>
    <t>IPEKD11011S</t>
  </si>
  <si>
    <t>IPEKD11012S</t>
  </si>
  <si>
    <t>IPEKD11013S</t>
  </si>
  <si>
    <t>IPEKD11014S</t>
  </si>
  <si>
    <t>IPEKD11015S</t>
  </si>
  <si>
    <t>IPEKD11016S</t>
  </si>
  <si>
    <t>IPEKD11017S</t>
  </si>
  <si>
    <t>IPEKD11018S</t>
  </si>
  <si>
    <t>IPEKD11019S</t>
  </si>
  <si>
    <t>IPEKD11020S</t>
  </si>
  <si>
    <t>IPEKD11021S</t>
  </si>
  <si>
    <t>IPEKD11022S</t>
  </si>
  <si>
    <t>IPEKD1103S</t>
  </si>
  <si>
    <t>IPEKD1104S</t>
  </si>
  <si>
    <t>IPEKD1105S</t>
  </si>
  <si>
    <t>IPEKD1106S</t>
  </si>
  <si>
    <t>IPEKD1107S</t>
  </si>
  <si>
    <t>IPEKD1108S</t>
  </si>
  <si>
    <t>IPEKD1109S</t>
  </si>
  <si>
    <t>Ipe 1x12</t>
  </si>
  <si>
    <t>IPEKD11210S</t>
  </si>
  <si>
    <t>Ipe S4S E4E 1x12</t>
  </si>
  <si>
    <t>1x12</t>
  </si>
  <si>
    <t>IPEKD11211S</t>
  </si>
  <si>
    <t>IPEKD11212S</t>
  </si>
  <si>
    <t>IPEKD11213S</t>
  </si>
  <si>
    <t>IPEKD11214S</t>
  </si>
  <si>
    <t>IPEKD11215S</t>
  </si>
  <si>
    <t>IPEKD11216S</t>
  </si>
  <si>
    <t>IPEKD11217S</t>
  </si>
  <si>
    <t>IPEKD11218S</t>
  </si>
  <si>
    <t>IPEKD11219S</t>
  </si>
  <si>
    <t>IPEKD11220S</t>
  </si>
  <si>
    <t>IPEKD11221S</t>
  </si>
  <si>
    <t>IPEKD11222S</t>
  </si>
  <si>
    <t>IPEKD1123S</t>
  </si>
  <si>
    <t>IPEKD1124S</t>
  </si>
  <si>
    <t>IPEKD1125S</t>
  </si>
  <si>
    <t>IPEKD1126S</t>
  </si>
  <si>
    <t>IPEKD1127S</t>
  </si>
  <si>
    <t>IPEKD1128S</t>
  </si>
  <si>
    <t>IPEKD1129S</t>
  </si>
  <si>
    <t>Ipe 1x2</t>
  </si>
  <si>
    <t>IPEKD1210S</t>
  </si>
  <si>
    <t>Ipe S4S E4E 1x2</t>
  </si>
  <si>
    <t>1x2</t>
  </si>
  <si>
    <t>IPEKD1211S</t>
  </si>
  <si>
    <t>IPEKD1212S</t>
  </si>
  <si>
    <t>IPEKD1213S</t>
  </si>
  <si>
    <t>IPEKD1214S</t>
  </si>
  <si>
    <t>IPEKD1215S</t>
  </si>
  <si>
    <t>IPEKD1216S</t>
  </si>
  <si>
    <t>IPEKD1217S</t>
  </si>
  <si>
    <t>IPEKD1218S</t>
  </si>
  <si>
    <t>IPEKD1219S</t>
  </si>
  <si>
    <t>IPEKD1220S</t>
  </si>
  <si>
    <t>IPEKD1221S</t>
  </si>
  <si>
    <t>IPEKD1222S</t>
  </si>
  <si>
    <t>IPEKD123S</t>
  </si>
  <si>
    <t>IPEKD124S</t>
  </si>
  <si>
    <t>IPEKD125S</t>
  </si>
  <si>
    <t>IPEKD126S</t>
  </si>
  <si>
    <t>IPEKD127S</t>
  </si>
  <si>
    <t>IPEKD128S</t>
  </si>
  <si>
    <t>IPEKD129S</t>
  </si>
  <si>
    <t>Ipe 1x3</t>
  </si>
  <si>
    <t>IPEKD1310S</t>
  </si>
  <si>
    <t>Ipe S4S E4E 1x3</t>
  </si>
  <si>
    <t>IPEKD1311S</t>
  </si>
  <si>
    <t>IPEKD1312S</t>
  </si>
  <si>
    <t>IPEKD1313S</t>
  </si>
  <si>
    <t>IPEKD1314S</t>
  </si>
  <si>
    <t>IPEKD1315S</t>
  </si>
  <si>
    <t>IPEKD1316S</t>
  </si>
  <si>
    <t>IPEKD1317S</t>
  </si>
  <si>
    <t>IPEKD1318S</t>
  </si>
  <si>
    <t>IPEKD1319S</t>
  </si>
  <si>
    <t>IPEKD1320S</t>
  </si>
  <si>
    <t>IPEKD1321S</t>
  </si>
  <si>
    <t>IPEKD1322S</t>
  </si>
  <si>
    <t>IPEKD133S</t>
  </si>
  <si>
    <t>IPEKD134S</t>
  </si>
  <si>
    <t>IPEKD135S</t>
  </si>
  <si>
    <t>IPEKD136S</t>
  </si>
  <si>
    <t>IPEKD137S</t>
  </si>
  <si>
    <t>IPEKD138S</t>
  </si>
  <si>
    <t>IPEKD139S</t>
  </si>
  <si>
    <t>Ipe 1x4</t>
  </si>
  <si>
    <t>Ipe S4S E4E 1x4</t>
  </si>
  <si>
    <t>IPEKD1411S</t>
  </si>
  <si>
    <t>IPEKD1413S</t>
  </si>
  <si>
    <t>IPEKD1414S</t>
  </si>
  <si>
    <t>IPEKD1415S</t>
  </si>
  <si>
    <t>IPEKD1416S</t>
  </si>
  <si>
    <t>IPEKD1417S</t>
  </si>
  <si>
    <t>IPEKD1419S</t>
  </si>
  <si>
    <t>IPEKD1420S</t>
  </si>
  <si>
    <t>IPEKD1421S</t>
  </si>
  <si>
    <t>IPEKD1422S</t>
  </si>
  <si>
    <t>IPEKD143S</t>
  </si>
  <si>
    <t>IPEKD144S</t>
  </si>
  <si>
    <t>IPEKD145S</t>
  </si>
  <si>
    <t>IPEKD146S</t>
  </si>
  <si>
    <t>IPEKD147S</t>
  </si>
  <si>
    <t>IPEKD148S</t>
  </si>
  <si>
    <t>IPEKD149S</t>
  </si>
  <si>
    <t>Ipe 1x6 Plus</t>
  </si>
  <si>
    <t>IPEP1610S</t>
  </si>
  <si>
    <t>Ipe S4S E4E 1x6 Plus</t>
  </si>
  <si>
    <t>IPEP1611S</t>
  </si>
  <si>
    <t>IPEP1612S</t>
  </si>
  <si>
    <t>IPEP1613S</t>
  </si>
  <si>
    <t>IPEP1614S</t>
  </si>
  <si>
    <t>IPEP1615S</t>
  </si>
  <si>
    <t>IPEP1616S</t>
  </si>
  <si>
    <t>IPEP1617S</t>
  </si>
  <si>
    <t>IPEP1618S</t>
  </si>
  <si>
    <t>IPEP1619S</t>
  </si>
  <si>
    <t>IPEP1620S</t>
  </si>
  <si>
    <t>IPEP1621S</t>
  </si>
  <si>
    <t>IPEP1622S</t>
  </si>
  <si>
    <t>IPEP1623S</t>
  </si>
  <si>
    <t>IPEP1624S</t>
  </si>
  <si>
    <t>IPEP163S</t>
  </si>
  <si>
    <t>IPEP164S</t>
  </si>
  <si>
    <t>IPEP165S</t>
  </si>
  <si>
    <t>IPEP166S</t>
  </si>
  <si>
    <t>IPEP167S</t>
  </si>
  <si>
    <t>IPEP168S</t>
  </si>
  <si>
    <t>IPEP169S</t>
  </si>
  <si>
    <t>Ipe 1x6</t>
  </si>
  <si>
    <t>Ipe S4S E4E 1x6</t>
  </si>
  <si>
    <t>IPEKD1611S</t>
  </si>
  <si>
    <t>IPEKD1613S</t>
  </si>
  <si>
    <t>IPEKD1615S</t>
  </si>
  <si>
    <t>IPEKD1617S</t>
  </si>
  <si>
    <t>IPEKD1619S</t>
  </si>
  <si>
    <t>IPEKD1621S</t>
  </si>
  <si>
    <t>IPEKD163S</t>
  </si>
  <si>
    <t>IPEKD165S</t>
  </si>
  <si>
    <t>IPEKD167S</t>
  </si>
  <si>
    <t>IPEKD169S</t>
  </si>
  <si>
    <t>Ipe 1x8</t>
  </si>
  <si>
    <t>Ipe S4S E4E 1x8</t>
  </si>
  <si>
    <t>IPEKD1811S</t>
  </si>
  <si>
    <t>IPEKD1813S</t>
  </si>
  <si>
    <t>IPEKD1814S</t>
  </si>
  <si>
    <t>IPEKD1815S</t>
  </si>
  <si>
    <t>IPEKD1817S</t>
  </si>
  <si>
    <t>IPEKD1818S</t>
  </si>
  <si>
    <t>IPEKD1819S</t>
  </si>
  <si>
    <t>IPEKD1820S</t>
  </si>
  <si>
    <t>IPEKD1821S</t>
  </si>
  <si>
    <t>IPEKD1822S</t>
  </si>
  <si>
    <t>IPEKD183S</t>
  </si>
  <si>
    <t>IPEKD184S</t>
  </si>
  <si>
    <t>IPEKD185S</t>
  </si>
  <si>
    <t>IPEKD186S</t>
  </si>
  <si>
    <t>IPEKD187S</t>
  </si>
  <si>
    <t>IPEKD188S</t>
  </si>
  <si>
    <t>IPEKD189S</t>
  </si>
  <si>
    <t>Ipe 2x10</t>
  </si>
  <si>
    <t>IPE21010S</t>
  </si>
  <si>
    <t>Ipe S4S E4E 2x10</t>
  </si>
  <si>
    <t>IPE21011S</t>
  </si>
  <si>
    <t>IPE21013S</t>
  </si>
  <si>
    <t>IPE21014S</t>
  </si>
  <si>
    <t>IPE21015S</t>
  </si>
  <si>
    <t>IPE21016S</t>
  </si>
  <si>
    <t>IPE21017S</t>
  </si>
  <si>
    <t>IPE21018S</t>
  </si>
  <si>
    <t>IPE21019S</t>
  </si>
  <si>
    <t>IPE21021S</t>
  </si>
  <si>
    <t>IPE21022S</t>
  </si>
  <si>
    <t>IPE2103S</t>
  </si>
  <si>
    <t>IPE2104S</t>
  </si>
  <si>
    <t>IPE2105S</t>
  </si>
  <si>
    <t>IPE2106S</t>
  </si>
  <si>
    <t>IPE2107S</t>
  </si>
  <si>
    <t>IPE2108S</t>
  </si>
  <si>
    <t>IPE2109S</t>
  </si>
  <si>
    <t>Ipe 2x12</t>
  </si>
  <si>
    <t>IPE21210S</t>
  </si>
  <si>
    <t>Ipe S4S E4E 2x12</t>
  </si>
  <si>
    <t>IPE21211S</t>
  </si>
  <si>
    <t>IPE21212S</t>
  </si>
  <si>
    <t>IPE21213S</t>
  </si>
  <si>
    <t>IPE21214S</t>
  </si>
  <si>
    <t>IPE21215S</t>
  </si>
  <si>
    <t>IPE21216S</t>
  </si>
  <si>
    <t>IPE21217S</t>
  </si>
  <si>
    <t>IPE21218S</t>
  </si>
  <si>
    <t>IPE21219S</t>
  </si>
  <si>
    <t>IPE21220S</t>
  </si>
  <si>
    <t>IPE21221S</t>
  </si>
  <si>
    <t>IPE21222S</t>
  </si>
  <si>
    <t>IPE21224S</t>
  </si>
  <si>
    <t>IPE2123S</t>
  </si>
  <si>
    <t>IPE2124S</t>
  </si>
  <si>
    <t>IPE2125S</t>
  </si>
  <si>
    <t>IPE2126S</t>
  </si>
  <si>
    <t>IPE2127S</t>
  </si>
  <si>
    <t>IPE2128S</t>
  </si>
  <si>
    <t>IPE2129S</t>
  </si>
  <si>
    <t>Ipe 2x2</t>
  </si>
  <si>
    <t>IPE2210S</t>
  </si>
  <si>
    <t>Ipe S4S E4E 2x2</t>
  </si>
  <si>
    <t>IPE2211S</t>
  </si>
  <si>
    <t>IPE2213S</t>
  </si>
  <si>
    <t>IPE2214S</t>
  </si>
  <si>
    <t>IPE2215S</t>
  </si>
  <si>
    <t>IPE2216S</t>
  </si>
  <si>
    <t>IPE2217S</t>
  </si>
  <si>
    <t>IPE2219S</t>
  </si>
  <si>
    <t>IPE2220S</t>
  </si>
  <si>
    <t>IPE2221S</t>
  </si>
  <si>
    <t>IPE2222S</t>
  </si>
  <si>
    <t>IPE223S</t>
  </si>
  <si>
    <t>IPE224S</t>
  </si>
  <si>
    <t>IPE225S</t>
  </si>
  <si>
    <t>IPE226S</t>
  </si>
  <si>
    <t>IPE227S</t>
  </si>
  <si>
    <t>IPE228S</t>
  </si>
  <si>
    <t>IPE229S</t>
  </si>
  <si>
    <t>Ipe 2x4</t>
  </si>
  <si>
    <t>Ipe S4S E4E 2x4</t>
  </si>
  <si>
    <t>IPEKD2410S</t>
  </si>
  <si>
    <t>IPE2411S</t>
  </si>
  <si>
    <t>IPEKD2411S</t>
  </si>
  <si>
    <t>IPE2412S</t>
  </si>
  <si>
    <t>IPEKD2412S</t>
  </si>
  <si>
    <t>IPE2413S</t>
  </si>
  <si>
    <t>IPEKD2413S</t>
  </si>
  <si>
    <t>IPEKD2414S</t>
  </si>
  <si>
    <t>IPE2415S</t>
  </si>
  <si>
    <t>IPEKD2415S</t>
  </si>
  <si>
    <t>IPE2416S</t>
  </si>
  <si>
    <t>IPEKD2416S</t>
  </si>
  <si>
    <t>IPE2417S</t>
  </si>
  <si>
    <t>IPEKD2417S</t>
  </si>
  <si>
    <t>IPEKD2418S</t>
  </si>
  <si>
    <t>IPE2419S</t>
  </si>
  <si>
    <t>IPEKD2419S</t>
  </si>
  <si>
    <t>IPEKD2420S</t>
  </si>
  <si>
    <t>IPE2421S</t>
  </si>
  <si>
    <t>IPEKD2421S</t>
  </si>
  <si>
    <t>IPE2422S</t>
  </si>
  <si>
    <t>IPEKD2422S</t>
  </si>
  <si>
    <t>IPE243S</t>
  </si>
  <si>
    <t>IPEKD243S</t>
  </si>
  <si>
    <t>IPE244S</t>
  </si>
  <si>
    <t>IPEKD244S</t>
  </si>
  <si>
    <t>IPE245S</t>
  </si>
  <si>
    <t>IPEKD245S</t>
  </si>
  <si>
    <t>IPEKD246S</t>
  </si>
  <si>
    <t>IPE247S</t>
  </si>
  <si>
    <t>IPEKD247S</t>
  </si>
  <si>
    <t>IPEKD248S</t>
  </si>
  <si>
    <t>IPE249S</t>
  </si>
  <si>
    <t>IPEKD249S</t>
  </si>
  <si>
    <t>Ipe 2x6</t>
  </si>
  <si>
    <t>Ipe S4S E4E 2x6</t>
  </si>
  <si>
    <t>IPEKD2610S</t>
  </si>
  <si>
    <t>IPE2611S</t>
  </si>
  <si>
    <t>IPEKD2611S</t>
  </si>
  <si>
    <t>IPEKD2612S</t>
  </si>
  <si>
    <t>IPE2613S</t>
  </si>
  <si>
    <t>IPEKD2613S</t>
  </si>
  <si>
    <t>IPEKD2614S</t>
  </si>
  <si>
    <t>IPE2615S</t>
  </si>
  <si>
    <t>IPEKD2615S</t>
  </si>
  <si>
    <t>IPE2616S</t>
  </si>
  <si>
    <t>IPEKD2616S</t>
  </si>
  <si>
    <t>IPE2617S</t>
  </si>
  <si>
    <t>IPEKD2617S</t>
  </si>
  <si>
    <t>IPEKD2618S</t>
  </si>
  <si>
    <t>IPE2619S</t>
  </si>
  <si>
    <t>IPEKD2619S</t>
  </si>
  <si>
    <t>IPE2620S</t>
  </si>
  <si>
    <t>IPEKD2620S</t>
  </si>
  <si>
    <t>IPE2621S</t>
  </si>
  <si>
    <t>IPEKD2621S</t>
  </si>
  <si>
    <t>IPE2622S</t>
  </si>
  <si>
    <t>IPEKD2622S</t>
  </si>
  <si>
    <t>IPE263S</t>
  </si>
  <si>
    <t>IPEKD263S</t>
  </si>
  <si>
    <t>IPE264S</t>
  </si>
  <si>
    <t>IPEKD264S</t>
  </si>
  <si>
    <t>IPE265S</t>
  </si>
  <si>
    <t>IPEKD265S</t>
  </si>
  <si>
    <t>IPE266S</t>
  </si>
  <si>
    <t>IPEKD266S</t>
  </si>
  <si>
    <t>IPE267S</t>
  </si>
  <si>
    <t>IPEKD267S</t>
  </si>
  <si>
    <t>IPEKD268S</t>
  </si>
  <si>
    <t>IPE269S</t>
  </si>
  <si>
    <t>IPEKD269S</t>
  </si>
  <si>
    <t>Ipe 2x8</t>
  </si>
  <si>
    <t>IPE2810S</t>
  </si>
  <si>
    <t>Ipe S4S E4E 2x8</t>
  </si>
  <si>
    <t>IPE2811S</t>
  </si>
  <si>
    <t>IPE2812S</t>
  </si>
  <si>
    <t>IPE2813S</t>
  </si>
  <si>
    <t>IPE2814S</t>
  </si>
  <si>
    <t>IPE2815S</t>
  </si>
  <si>
    <t>IPE2816S</t>
  </si>
  <si>
    <t>IPE2817S</t>
  </si>
  <si>
    <t>IPE2818S</t>
  </si>
  <si>
    <t>IPE2819S</t>
  </si>
  <si>
    <t>IPE2820S</t>
  </si>
  <si>
    <t>IPE2821S</t>
  </si>
  <si>
    <t>IPE2822S</t>
  </si>
  <si>
    <t>IPE283S</t>
  </si>
  <si>
    <t>IPE284S</t>
  </si>
  <si>
    <t>IPE285S</t>
  </si>
  <si>
    <t>IPE286S</t>
  </si>
  <si>
    <t>IPE287S</t>
  </si>
  <si>
    <t>IPE288S</t>
  </si>
  <si>
    <t>IPE289S</t>
  </si>
  <si>
    <t>Ipe 3x10</t>
  </si>
  <si>
    <t>IPE31010S</t>
  </si>
  <si>
    <t>Ipe S4S E4E 3x10</t>
  </si>
  <si>
    <t>IPE31011S</t>
  </si>
  <si>
    <t>IPE31012S</t>
  </si>
  <si>
    <t>IPE31013S</t>
  </si>
  <si>
    <t>IPE31014S</t>
  </si>
  <si>
    <t>IPE31015S</t>
  </si>
  <si>
    <t>IPE31016S</t>
  </si>
  <si>
    <t>IPE31017S</t>
  </si>
  <si>
    <t>IPE31018S</t>
  </si>
  <si>
    <t>IPE31019S</t>
  </si>
  <si>
    <t>IPE31020S</t>
  </si>
  <si>
    <t>IPE31021S</t>
  </si>
  <si>
    <t>IPE31022S</t>
  </si>
  <si>
    <t>IPE3103S</t>
  </si>
  <si>
    <t>IPE3104S</t>
  </si>
  <si>
    <t>IPE3105S</t>
  </si>
  <si>
    <t>IPE3106S</t>
  </si>
  <si>
    <t>IPE3107S</t>
  </si>
  <si>
    <t>IPE3108S</t>
  </si>
  <si>
    <t>IPE3109S</t>
  </si>
  <si>
    <t>Ipe 3x12</t>
  </si>
  <si>
    <t>IPE31210S</t>
  </si>
  <si>
    <t>Ipe S4S E4E 3x12</t>
  </si>
  <si>
    <t>IPE31211S</t>
  </si>
  <si>
    <t>IPE31212S</t>
  </si>
  <si>
    <t>IPE31213S</t>
  </si>
  <si>
    <t>IPE31214S</t>
  </si>
  <si>
    <t>IPE31215S</t>
  </si>
  <si>
    <t>IPE31216S</t>
  </si>
  <si>
    <t>IPE31217S</t>
  </si>
  <si>
    <t>IPE31218S</t>
  </si>
  <si>
    <t>IPE31219S</t>
  </si>
  <si>
    <t>IPE31220S</t>
  </si>
  <si>
    <t>IPE31221S</t>
  </si>
  <si>
    <t>IPE31222S</t>
  </si>
  <si>
    <t>IPE3123S</t>
  </si>
  <si>
    <t>IPE3124S</t>
  </si>
  <si>
    <t>IPE3125S</t>
  </si>
  <si>
    <t>IPE3126S</t>
  </si>
  <si>
    <t>IPE3127S</t>
  </si>
  <si>
    <t>IPE3128S</t>
  </si>
  <si>
    <t>IPE3129S</t>
  </si>
  <si>
    <t>Ipe 3x3</t>
  </si>
  <si>
    <t>IPE3318S</t>
  </si>
  <si>
    <t>Ipe S4S E4E 3x3</t>
  </si>
  <si>
    <t>3x3</t>
  </si>
  <si>
    <t>Ipe 3x6</t>
  </si>
  <si>
    <t>IPE3610S</t>
  </si>
  <si>
    <t>Ipe S4S E4E 3x6</t>
  </si>
  <si>
    <t>IPE3611S</t>
  </si>
  <si>
    <t>IPE3612S</t>
  </si>
  <si>
    <t>IPE3613S</t>
  </si>
  <si>
    <t>IPE3614S</t>
  </si>
  <si>
    <t>IPE3615S</t>
  </si>
  <si>
    <t>IPE3617S</t>
  </si>
  <si>
    <t>IPE3618S</t>
  </si>
  <si>
    <t>IPE3619S</t>
  </si>
  <si>
    <t>IPE3620S</t>
  </si>
  <si>
    <t>IPE3621S</t>
  </si>
  <si>
    <t>IPE3622S</t>
  </si>
  <si>
    <t>IPE363S</t>
  </si>
  <si>
    <t>IPE364S</t>
  </si>
  <si>
    <t>IPE365S</t>
  </si>
  <si>
    <t>IPE366S</t>
  </si>
  <si>
    <t>IPE367S</t>
  </si>
  <si>
    <t>IPE368S</t>
  </si>
  <si>
    <t>IPE369S</t>
  </si>
  <si>
    <t>Ipe 3x8</t>
  </si>
  <si>
    <t>IPE3810S</t>
  </si>
  <si>
    <t>Ipe S4S E4E 3x8</t>
  </si>
  <si>
    <t>IPE3811S</t>
  </si>
  <si>
    <t>IPE3812S</t>
  </si>
  <si>
    <t>IPE3813S</t>
  </si>
  <si>
    <t>IPE3815S</t>
  </si>
  <si>
    <t>IPE3816S</t>
  </si>
  <si>
    <t>IPE3817S</t>
  </si>
  <si>
    <t>IPE3819S</t>
  </si>
  <si>
    <t>IPE3820S</t>
  </si>
  <si>
    <t>IPE3821S</t>
  </si>
  <si>
    <t>IPE3822S</t>
  </si>
  <si>
    <t>IPE383S</t>
  </si>
  <si>
    <t>IPE384S</t>
  </si>
  <si>
    <t>IPE385S</t>
  </si>
  <si>
    <t>IPE386S</t>
  </si>
  <si>
    <t>IPE387S</t>
  </si>
  <si>
    <t>IPE388S</t>
  </si>
  <si>
    <t>IPE389S</t>
  </si>
  <si>
    <t>Ipe 4x10</t>
  </si>
  <si>
    <t>IPE41010S</t>
  </si>
  <si>
    <t>Ipe S4S E4E 4x10</t>
  </si>
  <si>
    <t>4x10</t>
  </si>
  <si>
    <t>IPE41011S</t>
  </si>
  <si>
    <t>IPE41012S</t>
  </si>
  <si>
    <t>IPE41013S</t>
  </si>
  <si>
    <t>IPE41014S</t>
  </si>
  <si>
    <t>IPE41015S</t>
  </si>
  <si>
    <t>IPE41016S</t>
  </si>
  <si>
    <t>IPE41017S</t>
  </si>
  <si>
    <t>IPE41018S</t>
  </si>
  <si>
    <t>IPE41019S</t>
  </si>
  <si>
    <t>IPE41020S</t>
  </si>
  <si>
    <t>IPE41021S</t>
  </si>
  <si>
    <t>IPE41022S</t>
  </si>
  <si>
    <t>IPE4103S</t>
  </si>
  <si>
    <t>IPE4104S</t>
  </si>
  <si>
    <t>IPE4105S</t>
  </si>
  <si>
    <t>IPE4106S</t>
  </si>
  <si>
    <t>IPE4107S</t>
  </si>
  <si>
    <t>IPE4108S</t>
  </si>
  <si>
    <t>IPE4109S</t>
  </si>
  <si>
    <t>Ipe 4x12</t>
  </si>
  <si>
    <t>IPE41210S</t>
  </si>
  <si>
    <t>Ipe S4S E4E 4x12</t>
  </si>
  <si>
    <t>IPE41211S</t>
  </si>
  <si>
    <t>IPE41212S</t>
  </si>
  <si>
    <t>IPE41213S</t>
  </si>
  <si>
    <t>IPE41214S</t>
  </si>
  <si>
    <t>IPE41215S</t>
  </si>
  <si>
    <t>IPE41216S</t>
  </si>
  <si>
    <t>IPE41217S</t>
  </si>
  <si>
    <t>IPE41218S</t>
  </si>
  <si>
    <t>IPE41219S</t>
  </si>
  <si>
    <t>IPE41220S</t>
  </si>
  <si>
    <t>IPE41221S</t>
  </si>
  <si>
    <t>IPE41222S</t>
  </si>
  <si>
    <t>IPE4123S</t>
  </si>
  <si>
    <t>IPE4124S</t>
  </si>
  <si>
    <t>IPE4125S</t>
  </si>
  <si>
    <t>IPE4126S</t>
  </si>
  <si>
    <t>IPE4127S</t>
  </si>
  <si>
    <t>IPE4128S</t>
  </si>
  <si>
    <t>IPE4129S</t>
  </si>
  <si>
    <t>Ipe 4x4</t>
  </si>
  <si>
    <t>Ipe S4S E4E 4x4</t>
  </si>
  <si>
    <t>IPE4411S</t>
  </si>
  <si>
    <t>IPE4412S</t>
  </si>
  <si>
    <t>IPE4413S</t>
  </si>
  <si>
    <t>IPE4415S</t>
  </si>
  <si>
    <t>IPE4416S</t>
  </si>
  <si>
    <t>IPE4417S</t>
  </si>
  <si>
    <t>IPE4418S</t>
  </si>
  <si>
    <t>IPE4419S</t>
  </si>
  <si>
    <t>IPE4420S</t>
  </si>
  <si>
    <t>IPE4421S</t>
  </si>
  <si>
    <t>IPE4422S</t>
  </si>
  <si>
    <t>IPE443S</t>
  </si>
  <si>
    <t>IPE444S</t>
  </si>
  <si>
    <t>IPE445S</t>
  </si>
  <si>
    <t>IPE446S</t>
  </si>
  <si>
    <t>IPE447S</t>
  </si>
  <si>
    <t>IPE448S</t>
  </si>
  <si>
    <t>IPE449S</t>
  </si>
  <si>
    <t>Ipe 4x6</t>
  </si>
  <si>
    <t>IPE4610S</t>
  </si>
  <si>
    <t>Ipe S4S E4E 4x6</t>
  </si>
  <si>
    <t>4x6</t>
  </si>
  <si>
    <t>IPE4611S</t>
  </si>
  <si>
    <t>IPE4612S</t>
  </si>
  <si>
    <t>IPE4613S</t>
  </si>
  <si>
    <t>IPE4614S</t>
  </si>
  <si>
    <t>IPE4615S</t>
  </si>
  <si>
    <t>IPE4616S</t>
  </si>
  <si>
    <t>IPE4617S</t>
  </si>
  <si>
    <t>IPE4618S</t>
  </si>
  <si>
    <t>IPE4619S</t>
  </si>
  <si>
    <t>IPE462S</t>
  </si>
  <si>
    <t>IPE4620S</t>
  </si>
  <si>
    <t>IPE4621S</t>
  </si>
  <si>
    <t>IPE4622S</t>
  </si>
  <si>
    <t>IPE463S</t>
  </si>
  <si>
    <t>IPE464S</t>
  </si>
  <si>
    <t>IPE465S</t>
  </si>
  <si>
    <t>IPE466S</t>
  </si>
  <si>
    <t>IPE467S</t>
  </si>
  <si>
    <t>IPE468S</t>
  </si>
  <si>
    <t>IPE469S</t>
  </si>
  <si>
    <t>Ipe 4x8</t>
  </si>
  <si>
    <t>IPE4810S</t>
  </si>
  <si>
    <t>Ipe S4S E4E 4x8</t>
  </si>
  <si>
    <t>IPE4811S</t>
  </si>
  <si>
    <t>IPE4812S</t>
  </si>
  <si>
    <t>IPE4813S</t>
  </si>
  <si>
    <t>IPE4814S</t>
  </si>
  <si>
    <t>IPE4815S</t>
  </si>
  <si>
    <t>IPE4816S</t>
  </si>
  <si>
    <t>IPE4817S</t>
  </si>
  <si>
    <t>IPE4818S</t>
  </si>
  <si>
    <t>IPE4819S</t>
  </si>
  <si>
    <t>IPE4820S</t>
  </si>
  <si>
    <t>IPE4821S</t>
  </si>
  <si>
    <t>IPE4822S</t>
  </si>
  <si>
    <t>IPE483S</t>
  </si>
  <si>
    <t>IPE484S</t>
  </si>
  <si>
    <t>IPE485S</t>
  </si>
  <si>
    <t>IPE486S</t>
  </si>
  <si>
    <t>IPE487S</t>
  </si>
  <si>
    <t>IPE488S</t>
  </si>
  <si>
    <t>IPE489S</t>
  </si>
  <si>
    <t>Ipe 5/4x10</t>
  </si>
  <si>
    <t>IPEKD541010S</t>
  </si>
  <si>
    <t>Ipe S4S E4E 5/4x10</t>
  </si>
  <si>
    <t>IPEKD541011S</t>
  </si>
  <si>
    <t>IPEKD541012S</t>
  </si>
  <si>
    <t>IPEKD541013S</t>
  </si>
  <si>
    <t>IPEKD541014S</t>
  </si>
  <si>
    <t>IPEKD541015S</t>
  </si>
  <si>
    <t>IPEKD541016S</t>
  </si>
  <si>
    <t>IPEKD541017S</t>
  </si>
  <si>
    <t>IPEKD541018S</t>
  </si>
  <si>
    <t>IPEKD541019S</t>
  </si>
  <si>
    <t>IPEKD541020S</t>
  </si>
  <si>
    <t>IPEKD541021S</t>
  </si>
  <si>
    <t>IPEKD541022S</t>
  </si>
  <si>
    <t>IPEKD541023S</t>
  </si>
  <si>
    <t>IPEKD541024S</t>
  </si>
  <si>
    <t>IPEKD54103S</t>
  </si>
  <si>
    <t>IPEKD54104S</t>
  </si>
  <si>
    <t>IPEKD54105S</t>
  </si>
  <si>
    <t>IPEKD54106S</t>
  </si>
  <si>
    <t>IPEKD54107S</t>
  </si>
  <si>
    <t>IPEKD54108S</t>
  </si>
  <si>
    <t>IPEKD54109S</t>
  </si>
  <si>
    <t>Ipe 5/4x12</t>
  </si>
  <si>
    <t>IPE541210S</t>
  </si>
  <si>
    <t>Ipe S4S E4E 5/4x12</t>
  </si>
  <si>
    <t>IPEKD541210S</t>
  </si>
  <si>
    <t>IPE541211S</t>
  </si>
  <si>
    <t>IPEKD541211S</t>
  </si>
  <si>
    <t>IPE541212S</t>
  </si>
  <si>
    <t>IPEKD541212S</t>
  </si>
  <si>
    <t>IPE541213S</t>
  </si>
  <si>
    <t>IPEKD541213S</t>
  </si>
  <si>
    <t>IPE541214S</t>
  </si>
  <si>
    <t>IPE541215S</t>
  </si>
  <si>
    <t>IPEKD541215S</t>
  </si>
  <si>
    <t>IPE541216S</t>
  </si>
  <si>
    <t>IPEKD541216S</t>
  </si>
  <si>
    <t>IPE541217S</t>
  </si>
  <si>
    <t>IPEKD541217S</t>
  </si>
  <si>
    <t>IPE541218S</t>
  </si>
  <si>
    <t>IPEKD541218S</t>
  </si>
  <si>
    <t>IPE541219S</t>
  </si>
  <si>
    <t>IPEKD541219S</t>
  </si>
  <si>
    <t>IPE541220S</t>
  </si>
  <si>
    <t>IPEKD541220S</t>
  </si>
  <si>
    <t>IPE541221S</t>
  </si>
  <si>
    <t>IPEKD541221S</t>
  </si>
  <si>
    <t>IPE541222S</t>
  </si>
  <si>
    <t>IPEKD541222S</t>
  </si>
  <si>
    <t>IPE54123S</t>
  </si>
  <si>
    <t>IPEKD54123S</t>
  </si>
  <si>
    <t>IPE54124S</t>
  </si>
  <si>
    <t>IPEKD54124S</t>
  </si>
  <si>
    <t>IPE54125S</t>
  </si>
  <si>
    <t>IPEKD54125S</t>
  </si>
  <si>
    <t>IPE54126S</t>
  </si>
  <si>
    <t>IPEKD54126S</t>
  </si>
  <si>
    <t>IPE54127S</t>
  </si>
  <si>
    <t>IPEKD54127S</t>
  </si>
  <si>
    <t>IPE54128S</t>
  </si>
  <si>
    <t>IPEKD54128S</t>
  </si>
  <si>
    <t>IPE54129S</t>
  </si>
  <si>
    <t>IPEKD54129S</t>
  </si>
  <si>
    <t>Ipe 5/4x3</t>
  </si>
  <si>
    <t>IPEKD54310S</t>
  </si>
  <si>
    <t>Ipe S4S E4E 5/4x3</t>
  </si>
  <si>
    <t>5/4x3</t>
  </si>
  <si>
    <t>IPEKD54311S</t>
  </si>
  <si>
    <t>IPEKD54312S</t>
  </si>
  <si>
    <t>IPEKD54313S</t>
  </si>
  <si>
    <t>IPEKD54314S</t>
  </si>
  <si>
    <t>IPEKD54315S</t>
  </si>
  <si>
    <t>IPEKD54316S</t>
  </si>
  <si>
    <t>IPEKD54317S</t>
  </si>
  <si>
    <t>IPEKD54318S</t>
  </si>
  <si>
    <t>IPEKD54319S</t>
  </si>
  <si>
    <t>IPEKD54320S</t>
  </si>
  <si>
    <t>IPEKD5433S</t>
  </si>
  <si>
    <t>IPEKD5434S</t>
  </si>
  <si>
    <t>IPEKD5435S</t>
  </si>
  <si>
    <t>IPEKD5436S</t>
  </si>
  <si>
    <t>IPEKD5437S</t>
  </si>
  <si>
    <t>IPEKD5438S</t>
  </si>
  <si>
    <t>IPEKD5439S</t>
  </si>
  <si>
    <t>Ipe 5/4x4</t>
  </si>
  <si>
    <t>IPEKD54410S</t>
  </si>
  <si>
    <t>Ipe S4S E4E 5/4x4</t>
  </si>
  <si>
    <t>5/4x4</t>
  </si>
  <si>
    <t>IPEKD54410G</t>
  </si>
  <si>
    <t>Ipe Grooved 5/4x4</t>
  </si>
  <si>
    <t>IPEKD54411S</t>
  </si>
  <si>
    <t>IPEKD54411G</t>
  </si>
  <si>
    <t>IPEKD54412S</t>
  </si>
  <si>
    <t>IPEKD54412G</t>
  </si>
  <si>
    <t>IPEKD54413S</t>
  </si>
  <si>
    <t>IPEKD54413G</t>
  </si>
  <si>
    <t>IPEKD54414G</t>
  </si>
  <si>
    <t>IPEKD54415S</t>
  </si>
  <si>
    <t>IPEKD54415G</t>
  </si>
  <si>
    <t>IPEKD54416S</t>
  </si>
  <si>
    <t>IPEKD54416G</t>
  </si>
  <si>
    <t>IPEKD54417S</t>
  </si>
  <si>
    <t>IPEKD54417G</t>
  </si>
  <si>
    <t>IPEKD54418S</t>
  </si>
  <si>
    <t>IPEKD54418G</t>
  </si>
  <si>
    <t>IPEKD54419S</t>
  </si>
  <si>
    <t>IPEKD54419G</t>
  </si>
  <si>
    <t>IPEKD54420S</t>
  </si>
  <si>
    <t>IPEKD54420G</t>
  </si>
  <si>
    <t>IPEKD54421S</t>
  </si>
  <si>
    <t>IPEKD54421G</t>
  </si>
  <si>
    <t>IPEKD54422S</t>
  </si>
  <si>
    <t>IPEKD54422G</t>
  </si>
  <si>
    <t>IPEKD5443S</t>
  </si>
  <si>
    <t>IPEKD5443G</t>
  </si>
  <si>
    <t>IPEKD5444S</t>
  </si>
  <si>
    <t>IPEKD5444G</t>
  </si>
  <si>
    <t>IPEKD5445S</t>
  </si>
  <si>
    <t>IPEKD5445G</t>
  </si>
  <si>
    <t>IPEKD5446S</t>
  </si>
  <si>
    <t>IPEKD5446G</t>
  </si>
  <si>
    <t>IPEKD5447S</t>
  </si>
  <si>
    <t>IPEKD5447G</t>
  </si>
  <si>
    <t>IPEKD5448S</t>
  </si>
  <si>
    <t>IPEKD5448G</t>
  </si>
  <si>
    <t>IPEKD5449S</t>
  </si>
  <si>
    <t>IPEKD5449G</t>
  </si>
  <si>
    <t>Ipe S4S E4E 5/4x6</t>
  </si>
  <si>
    <t>Ipe Grooved 5/4x6</t>
  </si>
  <si>
    <t>IPEKDCG54610S</t>
  </si>
  <si>
    <t>Ipe S4S E4E - Grade B 5/4x6</t>
  </si>
  <si>
    <t>S4S E4E - Grade B</t>
  </si>
  <si>
    <t>Ipe 7/8x6</t>
  </si>
  <si>
    <t>Ipe S4S E4E - TK 23 7/8x6</t>
  </si>
  <si>
    <t>S4S E4E - TK 23</t>
  </si>
  <si>
    <t>7/8x6</t>
  </si>
  <si>
    <t>IPEKD54611S</t>
  </si>
  <si>
    <t>IPEKD54611G</t>
  </si>
  <si>
    <t>IPEKDCG54611S</t>
  </si>
  <si>
    <t>IPEKD54611TK</t>
  </si>
  <si>
    <t>IPEKDCG54612S</t>
  </si>
  <si>
    <t>IPEKD54612TK</t>
  </si>
  <si>
    <t>IPEKD54613S</t>
  </si>
  <si>
    <t>IPEKD54613G</t>
  </si>
  <si>
    <t>IPEKDCG54613S</t>
  </si>
  <si>
    <t>IPEKD54613TK</t>
  </si>
  <si>
    <t>IPEKDCG54614S</t>
  </si>
  <si>
    <t>IPEKD54614TK</t>
  </si>
  <si>
    <t>IPEKD54615S</t>
  </si>
  <si>
    <t>IPEKD54615G</t>
  </si>
  <si>
    <t>IPEKDCG54615S</t>
  </si>
  <si>
    <t>IPEKD54615TK</t>
  </si>
  <si>
    <t>IPEKDCG54616S</t>
  </si>
  <si>
    <t>IPEKD54616TK</t>
  </si>
  <si>
    <t>IPEKD54617S</t>
  </si>
  <si>
    <t>IPEKD54617G</t>
  </si>
  <si>
    <t>IPEKDCG54617S</t>
  </si>
  <si>
    <t>IPEKD54617TK</t>
  </si>
  <si>
    <t>IPEKDCG54618S</t>
  </si>
  <si>
    <t>IPEKD54618TK</t>
  </si>
  <si>
    <t>IPEKD54619S</t>
  </si>
  <si>
    <t>IPEKD54619G</t>
  </si>
  <si>
    <t>IPEKDCG54619S</t>
  </si>
  <si>
    <t>IPEKD54619TK</t>
  </si>
  <si>
    <t>IPEKDCG54620S</t>
  </si>
  <si>
    <t>IPEKD54620TK</t>
  </si>
  <si>
    <t>IPEKD54621S</t>
  </si>
  <si>
    <t>IPEKD54621G</t>
  </si>
  <si>
    <t>IPEKDCG54621S</t>
  </si>
  <si>
    <t>IPEKD54621TK</t>
  </si>
  <si>
    <t>IPEKD54622S</t>
  </si>
  <si>
    <t>IPEKDCG54622S</t>
  </si>
  <si>
    <t>IPEKD54622TK</t>
  </si>
  <si>
    <t>IPEKD5463S</t>
  </si>
  <si>
    <t>IPEKD5463G</t>
  </si>
  <si>
    <t>IPEKDCG5463S</t>
  </si>
  <si>
    <t>IPEKD5463TK</t>
  </si>
  <si>
    <t>IPEKD5464S</t>
  </si>
  <si>
    <t>IPEKD5464G</t>
  </si>
  <si>
    <t>IPEKDCG5464S</t>
  </si>
  <si>
    <t>IPEKD5464TK</t>
  </si>
  <si>
    <t>IPEKD5465S</t>
  </si>
  <si>
    <t>IPEKD5465G</t>
  </si>
  <si>
    <t>IPEKDCG5465S</t>
  </si>
  <si>
    <t>IPEKD5465TK</t>
  </si>
  <si>
    <t>IPEKD5466S</t>
  </si>
  <si>
    <t>IPEKDCG5466S</t>
  </si>
  <si>
    <t>IPEKD5466TK</t>
  </si>
  <si>
    <t>IPEKD5467S</t>
  </si>
  <si>
    <t>IPEKD5467G</t>
  </si>
  <si>
    <t>IPEKDCG5467S</t>
  </si>
  <si>
    <t>IPEKD5467TK</t>
  </si>
  <si>
    <t>IPEKDCG5468S</t>
  </si>
  <si>
    <t>IPEKD5469S</t>
  </si>
  <si>
    <t>IPEKD5469G</t>
  </si>
  <si>
    <t>IPEKDCG5469S</t>
  </si>
  <si>
    <t>IPEKD5469TK</t>
  </si>
  <si>
    <t>Ipe 5/4x8</t>
  </si>
  <si>
    <t>IPEKD54810S</t>
  </si>
  <si>
    <t>Ipe S4S E4E 5/4x8</t>
  </si>
  <si>
    <t>IPEKD54811S</t>
  </si>
  <si>
    <t>IPEKD54812S</t>
  </si>
  <si>
    <t>IPEKD54813S</t>
  </si>
  <si>
    <t>IPEKD54814S</t>
  </si>
  <si>
    <t>IPEKD54815S</t>
  </si>
  <si>
    <t>IPEKD54816S</t>
  </si>
  <si>
    <t>IPEKD54817S</t>
  </si>
  <si>
    <t>IPEKD54818S</t>
  </si>
  <si>
    <t>IPEKD54819S</t>
  </si>
  <si>
    <t>IPEKD54820S</t>
  </si>
  <si>
    <t>IPEKD54821S</t>
  </si>
  <si>
    <t>IPEKD54822S</t>
  </si>
  <si>
    <t>IPEKD54823S</t>
  </si>
  <si>
    <t>IPEKD54824S</t>
  </si>
  <si>
    <t>IPEKD5483S</t>
  </si>
  <si>
    <t>IPEKD5484S</t>
  </si>
  <si>
    <t>IPEKD5485S</t>
  </si>
  <si>
    <t>IPEKD5486S</t>
  </si>
  <si>
    <t>IPEKD5487S</t>
  </si>
  <si>
    <t>IPEKD5488S</t>
  </si>
  <si>
    <t>IPEKD5489S</t>
  </si>
  <si>
    <t>Ipe 6x12</t>
  </si>
  <si>
    <t>IPE61210S</t>
  </si>
  <si>
    <t>Ipe S4S E4E 6x12</t>
  </si>
  <si>
    <t>IPE61211S</t>
  </si>
  <si>
    <t>IPE61212S</t>
  </si>
  <si>
    <t>IPE61213S</t>
  </si>
  <si>
    <t>IPE61214S</t>
  </si>
  <si>
    <t>IPE61215S</t>
  </si>
  <si>
    <t>IPE61216S</t>
  </si>
  <si>
    <t>IPE61217S</t>
  </si>
  <si>
    <t>IPE61218S</t>
  </si>
  <si>
    <t>IPE61219S</t>
  </si>
  <si>
    <t>IPE61220S</t>
  </si>
  <si>
    <t>IPE61221S</t>
  </si>
  <si>
    <t>IPE61222S</t>
  </si>
  <si>
    <t>IPE6123S</t>
  </si>
  <si>
    <t>IPE6124S</t>
  </si>
  <si>
    <t>IPE6125S</t>
  </si>
  <si>
    <t>IPE6126S</t>
  </si>
  <si>
    <t>IPE6127S</t>
  </si>
  <si>
    <t>IPE6128S</t>
  </si>
  <si>
    <t>IPE6129S</t>
  </si>
  <si>
    <t>Ipe 6x6</t>
  </si>
  <si>
    <t>IPE6610S</t>
  </si>
  <si>
    <t>Ipe S4S E4E 6x6</t>
  </si>
  <si>
    <t>IPE6611S</t>
  </si>
  <si>
    <t>IPE6613S</t>
  </si>
  <si>
    <t>IPE6615S</t>
  </si>
  <si>
    <t>IPE6616S</t>
  </si>
  <si>
    <t>IPE6617S</t>
  </si>
  <si>
    <t>IPE6618S</t>
  </si>
  <si>
    <t>IPE6619S</t>
  </si>
  <si>
    <t>IPE6620S</t>
  </si>
  <si>
    <t>IPE6621S</t>
  </si>
  <si>
    <t>IPE6622S</t>
  </si>
  <si>
    <t>IPE663S</t>
  </si>
  <si>
    <t>IPE664S</t>
  </si>
  <si>
    <t>IPE665S</t>
  </si>
  <si>
    <t>IPE666S</t>
  </si>
  <si>
    <t>IPE667S</t>
  </si>
  <si>
    <t>IPE668S</t>
  </si>
  <si>
    <t>IPE669S</t>
  </si>
  <si>
    <t>Ipe 6x8</t>
  </si>
  <si>
    <t>IPE6810S</t>
  </si>
  <si>
    <t>Ipe S4S E4E 6x8</t>
  </si>
  <si>
    <t>IPE6811S</t>
  </si>
  <si>
    <t>IPE6812S</t>
  </si>
  <si>
    <t>IPE6813S</t>
  </si>
  <si>
    <t>IPE6814S</t>
  </si>
  <si>
    <t>IPE6815S</t>
  </si>
  <si>
    <t>IPE6816S</t>
  </si>
  <si>
    <t>IPE6817S</t>
  </si>
  <si>
    <t>IPE6818S</t>
  </si>
  <si>
    <t>IPE6819S</t>
  </si>
  <si>
    <t>IPE6820S</t>
  </si>
  <si>
    <t>IPE6821S</t>
  </si>
  <si>
    <t>IPE6822S</t>
  </si>
  <si>
    <t>IPE683S</t>
  </si>
  <si>
    <t>IPE684S</t>
  </si>
  <si>
    <t>IPE685S</t>
  </si>
  <si>
    <t>IPE686S</t>
  </si>
  <si>
    <t>IPE687S</t>
  </si>
  <si>
    <t>IPE688S</t>
  </si>
  <si>
    <t>IPE689S</t>
  </si>
  <si>
    <t>Ipe 8x8</t>
  </si>
  <si>
    <t>IPE8810S</t>
  </si>
  <si>
    <t>Ipe S4S E4E 8x8</t>
  </si>
  <si>
    <t>IPE8811S</t>
  </si>
  <si>
    <t>IPE8812S</t>
  </si>
  <si>
    <t>IPE8813S</t>
  </si>
  <si>
    <t>IPE8814S</t>
  </si>
  <si>
    <t>IPE8815S</t>
  </si>
  <si>
    <t>IPE8816S</t>
  </si>
  <si>
    <t>IPE8817S</t>
  </si>
  <si>
    <t>IPE8818S</t>
  </si>
  <si>
    <t>IPE8819S</t>
  </si>
  <si>
    <t>IPE8820S</t>
  </si>
  <si>
    <t>IPE8821S</t>
  </si>
  <si>
    <t>IPE8822S</t>
  </si>
  <si>
    <t>IPE883S</t>
  </si>
  <si>
    <t>IPE884S</t>
  </si>
  <si>
    <t>IPE885S</t>
  </si>
  <si>
    <t>IPE886S</t>
  </si>
  <si>
    <t>IPE887S</t>
  </si>
  <si>
    <t>IPE888S</t>
  </si>
  <si>
    <t>IPE889S</t>
  </si>
  <si>
    <t>IPEKD16RLS</t>
  </si>
  <si>
    <t>Ipe S4S E4E Random Lenght 1x6</t>
  </si>
  <si>
    <t>IPETGVJ214RLS</t>
  </si>
  <si>
    <t>Ipe T&amp;G V-Joint 2 sides Random Lenght 1x4</t>
  </si>
  <si>
    <t>Ipe 12x12</t>
  </si>
  <si>
    <t>IPETILE1212S</t>
  </si>
  <si>
    <t>Ipe Tiles 12x12</t>
  </si>
  <si>
    <t>12x12</t>
  </si>
  <si>
    <t>Ipe 24x24</t>
  </si>
  <si>
    <t>IPETILE2424</t>
  </si>
  <si>
    <t>Ipe Tiles 24x24</t>
  </si>
  <si>
    <t>Ipe 24x48</t>
  </si>
  <si>
    <t>IPETILE2448</t>
  </si>
  <si>
    <t>Ipe Tiles 24x48</t>
  </si>
  <si>
    <t>Ipe 24x72</t>
  </si>
  <si>
    <t>IPETILE2472</t>
  </si>
  <si>
    <t>Ipe Tiles 24x72</t>
  </si>
  <si>
    <t>24x72</t>
  </si>
  <si>
    <t>Ipe 24x96</t>
  </si>
  <si>
    <t>IPETILE2496</t>
  </si>
  <si>
    <t>Ipe Tiles 24x96</t>
  </si>
  <si>
    <t>24x96</t>
  </si>
  <si>
    <t>IpeB</t>
  </si>
  <si>
    <t>IpeB 24x24</t>
  </si>
  <si>
    <t>IpeB Tiles 24x24</t>
  </si>
  <si>
    <t>Itauba</t>
  </si>
  <si>
    <t>Itauba 1x6</t>
  </si>
  <si>
    <t>ITKD1610S</t>
  </si>
  <si>
    <t>Itauba S4S E4E 1x6</t>
  </si>
  <si>
    <t>ITKD1612S</t>
  </si>
  <si>
    <t>ITKD1614S</t>
  </si>
  <si>
    <t>ITKD1616S</t>
  </si>
  <si>
    <t>ITKD1618S</t>
  </si>
  <si>
    <t>ITKD1620S</t>
  </si>
  <si>
    <t>ITKD1622S</t>
  </si>
  <si>
    <t>ITKD168S</t>
  </si>
  <si>
    <t>Itauba 1x8</t>
  </si>
  <si>
    <t>ITKD1810S</t>
  </si>
  <si>
    <t>Itauba S4S E4E 1x8</t>
  </si>
  <si>
    <t>ITKD1812S</t>
  </si>
  <si>
    <t>ITKD1814S</t>
  </si>
  <si>
    <t>ITKD1816S</t>
  </si>
  <si>
    <t>ITKD1818S</t>
  </si>
  <si>
    <t>ITKD1820S</t>
  </si>
  <si>
    <t>ITKD1822S</t>
  </si>
  <si>
    <t>ITKD188S</t>
  </si>
  <si>
    <t>Itauba 21x145</t>
  </si>
  <si>
    <t>ITKD2114510S</t>
  </si>
  <si>
    <t>Itauba S4S E4E 21x145</t>
  </si>
  <si>
    <t>ITKD2114511S</t>
  </si>
  <si>
    <t>ITKD2114512S</t>
  </si>
  <si>
    <t>ITKD2114513S</t>
  </si>
  <si>
    <t>ITKD2114514S</t>
  </si>
  <si>
    <t>ITKD2114515S</t>
  </si>
  <si>
    <t>ITKD2114516S</t>
  </si>
  <si>
    <t>ITKD2114517S</t>
  </si>
  <si>
    <t>ITKD2114518S</t>
  </si>
  <si>
    <t>ITKD2114519S</t>
  </si>
  <si>
    <t>ITKD2114520S</t>
  </si>
  <si>
    <t>ITKD211456S</t>
  </si>
  <si>
    <t>ITKD211457S</t>
  </si>
  <si>
    <t>ITKD211458S</t>
  </si>
  <si>
    <t>ITKD211459S</t>
  </si>
  <si>
    <t>Itauba 12x105</t>
  </si>
  <si>
    <t>ITKD12105RLS</t>
  </si>
  <si>
    <t>Itauba S4S E4E Random Lenght 12x105</t>
  </si>
  <si>
    <t>12x105</t>
  </si>
  <si>
    <t>Itauba 20x105</t>
  </si>
  <si>
    <t>ITKD20105RLS</t>
  </si>
  <si>
    <t>Itauba S4S E4E Random Lenght 20x105</t>
  </si>
  <si>
    <t>20x105</t>
  </si>
  <si>
    <t>Itauba 24x24</t>
  </si>
  <si>
    <t>ITTILE2424</t>
  </si>
  <si>
    <t>Itauba Tiles 24x24</t>
  </si>
  <si>
    <t>Massaranduba</t>
  </si>
  <si>
    <t>Massaranduba 1x10</t>
  </si>
  <si>
    <t>BWKD11010S</t>
  </si>
  <si>
    <t>Massaranduba Bullet Wood S4S E4E 1x10</t>
  </si>
  <si>
    <t>Massaranduba Bullet Wood</t>
  </si>
  <si>
    <t>BWKD11011S</t>
  </si>
  <si>
    <t>BWKD11012S</t>
  </si>
  <si>
    <t>BWKD11013S</t>
  </si>
  <si>
    <t>BWKD11014S</t>
  </si>
  <si>
    <t>BWKD11015S</t>
  </si>
  <si>
    <t>BWKD11016S</t>
  </si>
  <si>
    <t>BWKD11017S</t>
  </si>
  <si>
    <t>BWKD11018S</t>
  </si>
  <si>
    <t>BWKD11019S</t>
  </si>
  <si>
    <t>BWKD11020S</t>
  </si>
  <si>
    <t>BWKD11021S</t>
  </si>
  <si>
    <t>BWKD11022S</t>
  </si>
  <si>
    <t>BWKD1108S</t>
  </si>
  <si>
    <t>BWKD1109S</t>
  </si>
  <si>
    <t>Massaranduba 1x12</t>
  </si>
  <si>
    <t>BWKD11210S</t>
  </si>
  <si>
    <t>Massaranduba Bullet Wood S4S E4E 1x12</t>
  </si>
  <si>
    <t>BWKD11211S</t>
  </si>
  <si>
    <t>BWKD11212S</t>
  </si>
  <si>
    <t>BWKD11213S</t>
  </si>
  <si>
    <t>BWKD11214S</t>
  </si>
  <si>
    <t>BWKD11215S</t>
  </si>
  <si>
    <t>BWKD11216S</t>
  </si>
  <si>
    <t>BWKD11217S</t>
  </si>
  <si>
    <t>BWKD11218S</t>
  </si>
  <si>
    <t>BWKD11219S</t>
  </si>
  <si>
    <t>BWKD11220S</t>
  </si>
  <si>
    <t>BWKD11221S</t>
  </si>
  <si>
    <t>BWKD11222S</t>
  </si>
  <si>
    <t>BWKD1128S</t>
  </si>
  <si>
    <t>BWKD1129S</t>
  </si>
  <si>
    <t>Massaranduba 1x4</t>
  </si>
  <si>
    <t>BWKD1410S</t>
  </si>
  <si>
    <t>Massaranduba Bullet Wood S4S E4E 1x4</t>
  </si>
  <si>
    <t>BWKD1411S</t>
  </si>
  <si>
    <t>BWKD1412S</t>
  </si>
  <si>
    <t>BWKD1413S</t>
  </si>
  <si>
    <t>BWKD1414S</t>
  </si>
  <si>
    <t>BWKD1415S</t>
  </si>
  <si>
    <t>BWKD1416S</t>
  </si>
  <si>
    <t>BWKD1417S</t>
  </si>
  <si>
    <t>BWKD1418S</t>
  </si>
  <si>
    <t>BWKD1419S</t>
  </si>
  <si>
    <t>BWKD1420S</t>
  </si>
  <si>
    <t>BWKD1422S</t>
  </si>
  <si>
    <t>BWKD148S</t>
  </si>
  <si>
    <t>BWKD149S</t>
  </si>
  <si>
    <t>Massaranduba 1x6</t>
  </si>
  <si>
    <t>Massaranduba Bullet Wood S4S E4E 1x6</t>
  </si>
  <si>
    <t>Massaranduba 1x8</t>
  </si>
  <si>
    <t>BWKD1810S</t>
  </si>
  <si>
    <t>Massaranduba Bullet Wood S4S E4E 1x8</t>
  </si>
  <si>
    <t>BWKD1811S</t>
  </si>
  <si>
    <t>BWKD1812S</t>
  </si>
  <si>
    <t>BWKD1813S</t>
  </si>
  <si>
    <t>BWKD1814S</t>
  </si>
  <si>
    <t>BWKD1815S</t>
  </si>
  <si>
    <t>BWKD1816S</t>
  </si>
  <si>
    <t>BWKD1817S</t>
  </si>
  <si>
    <t>BWKD1818S</t>
  </si>
  <si>
    <t>BWKD1819S</t>
  </si>
  <si>
    <t>BWKD1820S</t>
  </si>
  <si>
    <t>BWKD1821S</t>
  </si>
  <si>
    <t>BWKD1822S</t>
  </si>
  <si>
    <t>BWKD188S</t>
  </si>
  <si>
    <t>BWKD189S</t>
  </si>
  <si>
    <t>Massaranduba 2x2</t>
  </si>
  <si>
    <t>BWKD2210S</t>
  </si>
  <si>
    <t>Massaranduba Bullet Wood S4S E4E 2x2</t>
  </si>
  <si>
    <t>BWKD2211S</t>
  </si>
  <si>
    <t>BWKD2212S</t>
  </si>
  <si>
    <t>BWKD2213S</t>
  </si>
  <si>
    <t>BWKD2214S</t>
  </si>
  <si>
    <t>BWKD2215S</t>
  </si>
  <si>
    <t>BWKD2216S</t>
  </si>
  <si>
    <t>BWKD2217S</t>
  </si>
  <si>
    <t>BWKD2218S</t>
  </si>
  <si>
    <t>BWKD2219S</t>
  </si>
  <si>
    <t>BWKD2220S</t>
  </si>
  <si>
    <t>BWKD2221S</t>
  </si>
  <si>
    <t>BWKD2222S</t>
  </si>
  <si>
    <t>BWKD223S</t>
  </si>
  <si>
    <t>BWKD224S</t>
  </si>
  <si>
    <t>BWKD225S</t>
  </si>
  <si>
    <t>BWKD226S</t>
  </si>
  <si>
    <t>BWKD227S</t>
  </si>
  <si>
    <t>BWKD228S</t>
  </si>
  <si>
    <t>BWKD229S</t>
  </si>
  <si>
    <t>Massaranduba 2x4</t>
  </si>
  <si>
    <t>BWKD2410S</t>
  </si>
  <si>
    <t>Massaranduba Bullet Wood S4S E4E 2x4</t>
  </si>
  <si>
    <t>BWKD2411S</t>
  </si>
  <si>
    <t>BWKD2412S</t>
  </si>
  <si>
    <t>BWKD2413S</t>
  </si>
  <si>
    <t>BWKD2414S</t>
  </si>
  <si>
    <t>BWKD2415S</t>
  </si>
  <si>
    <t>BWKD2416S</t>
  </si>
  <si>
    <t>BWKD2417S</t>
  </si>
  <si>
    <t>BWKD2418S</t>
  </si>
  <si>
    <t>BWKD2419S</t>
  </si>
  <si>
    <t>BWKD2420S</t>
  </si>
  <si>
    <t>BWKD2421S</t>
  </si>
  <si>
    <t>BWKD2422S</t>
  </si>
  <si>
    <t>BWKD243S</t>
  </si>
  <si>
    <t>BWKD244S</t>
  </si>
  <si>
    <t>BWKD245S</t>
  </si>
  <si>
    <t>BWKD246S</t>
  </si>
  <si>
    <t>BWKD247S</t>
  </si>
  <si>
    <t>BWKD248S</t>
  </si>
  <si>
    <t>BWKD249S</t>
  </si>
  <si>
    <t>Massaranduba 2x6</t>
  </si>
  <si>
    <t>BW2610S</t>
  </si>
  <si>
    <t>Massaranduba Bullet Wood S4S E4E 2x6</t>
  </si>
  <si>
    <t>BW2611S</t>
  </si>
  <si>
    <t>BW2612S</t>
  </si>
  <si>
    <t>BW2613S</t>
  </si>
  <si>
    <t>BW2614S</t>
  </si>
  <si>
    <t>BW2615S</t>
  </si>
  <si>
    <t>BW2616S</t>
  </si>
  <si>
    <t>BW2617S</t>
  </si>
  <si>
    <t>BW2618S</t>
  </si>
  <si>
    <t>BW2619S</t>
  </si>
  <si>
    <t>BW2620S</t>
  </si>
  <si>
    <t>BW2621S</t>
  </si>
  <si>
    <t>BW2622S</t>
  </si>
  <si>
    <t>BW263S</t>
  </si>
  <si>
    <t>BW264S</t>
  </si>
  <si>
    <t>BW265S</t>
  </si>
  <si>
    <t>BW266S</t>
  </si>
  <si>
    <t>BW267S</t>
  </si>
  <si>
    <t>BW268S</t>
  </si>
  <si>
    <t>BW269S</t>
  </si>
  <si>
    <t>Massaranduba 4x4</t>
  </si>
  <si>
    <t>BW4410S</t>
  </si>
  <si>
    <t>Massaranduba Bullet Wood S4S E4E 4x4</t>
  </si>
  <si>
    <t>BW4412S</t>
  </si>
  <si>
    <t>BW4414S</t>
  </si>
  <si>
    <t>BW4416S</t>
  </si>
  <si>
    <t>BW4418S</t>
  </si>
  <si>
    <t>BW4420S</t>
  </si>
  <si>
    <t>BW4422S</t>
  </si>
  <si>
    <t>BW448S</t>
  </si>
  <si>
    <t>Massaranduba 5/4x4</t>
  </si>
  <si>
    <t>BWKD54410S</t>
  </si>
  <si>
    <t>Massaranduba Bullet Wood S4S E4E 5/4x4</t>
  </si>
  <si>
    <t>BWKD54412S</t>
  </si>
  <si>
    <t>BWKD54414S</t>
  </si>
  <si>
    <t>BWKD54416S</t>
  </si>
  <si>
    <t>BWKD54418S</t>
  </si>
  <si>
    <t>BWKD54420S</t>
  </si>
  <si>
    <t>BWKD54422S</t>
  </si>
  <si>
    <t>BWKD5448S</t>
  </si>
  <si>
    <t>Massaranduba 5/4x6</t>
  </si>
  <si>
    <t>BWKD54610S</t>
  </si>
  <si>
    <t>Massaranduba Bullet Wood S4S E4E 5/4x6</t>
  </si>
  <si>
    <t>BWKD54611S</t>
  </si>
  <si>
    <t>BWKD54612S</t>
  </si>
  <si>
    <t>BWKD54613S</t>
  </si>
  <si>
    <t>BWKD54614S</t>
  </si>
  <si>
    <t>BWKD54615S</t>
  </si>
  <si>
    <t>BWKD54616S</t>
  </si>
  <si>
    <t>BWKD54617S</t>
  </si>
  <si>
    <t>BWKD54618S</t>
  </si>
  <si>
    <t>BWKD54619S</t>
  </si>
  <si>
    <t>BWKD54620S</t>
  </si>
  <si>
    <t>BWKD54621S</t>
  </si>
  <si>
    <t>BWKD54622S</t>
  </si>
  <si>
    <t>BWKD5463S</t>
  </si>
  <si>
    <t>BWKD5464S</t>
  </si>
  <si>
    <t>BWKD5465S</t>
  </si>
  <si>
    <t>BWKD5466S</t>
  </si>
  <si>
    <t>BWKD5467S</t>
  </si>
  <si>
    <t>BWKD5468S</t>
  </si>
  <si>
    <t>BWKD5469S</t>
  </si>
  <si>
    <t>Massaranduba 6x6</t>
  </si>
  <si>
    <t>BW6610S</t>
  </si>
  <si>
    <t>Massaranduba Bullet Wood S4S E4E 6x6</t>
  </si>
  <si>
    <t>BW6611S</t>
  </si>
  <si>
    <t>BW6612S</t>
  </si>
  <si>
    <t>BW6613S</t>
  </si>
  <si>
    <t>BW6614S</t>
  </si>
  <si>
    <t>BW6615S</t>
  </si>
  <si>
    <t>BW6616S</t>
  </si>
  <si>
    <t>BW6617S</t>
  </si>
  <si>
    <t>BW6618S</t>
  </si>
  <si>
    <t>BW6619S</t>
  </si>
  <si>
    <t>BW6620S</t>
  </si>
  <si>
    <t>BW6621S</t>
  </si>
  <si>
    <t>BW6622S</t>
  </si>
  <si>
    <t>BW663S</t>
  </si>
  <si>
    <t>BW664S</t>
  </si>
  <si>
    <t>BW665S</t>
  </si>
  <si>
    <t>BW666S</t>
  </si>
  <si>
    <t>BW667S</t>
  </si>
  <si>
    <t>BW668S</t>
  </si>
  <si>
    <t>BW669S</t>
  </si>
  <si>
    <t>Massaranduba 12x100</t>
  </si>
  <si>
    <t>BWKD12100RLS</t>
  </si>
  <si>
    <t>Massaranduba S4S E4E Random Lenght 12x100</t>
  </si>
  <si>
    <t>12x100</t>
  </si>
  <si>
    <t>Massaranduba 20x105</t>
  </si>
  <si>
    <t>BWKD20105RLS</t>
  </si>
  <si>
    <t>Massaranduba S4S E4E Random Lenght 20x105</t>
  </si>
  <si>
    <t>Massaranduba 30x105</t>
  </si>
  <si>
    <t>BWKD30105RLS</t>
  </si>
  <si>
    <t>Massaranduba S4S E4E Random Lenght 30x105</t>
  </si>
  <si>
    <t>30x105</t>
  </si>
  <si>
    <t>Massaranduba 30x150</t>
  </si>
  <si>
    <t>BWKD30150RLS</t>
  </si>
  <si>
    <t>Massaranduba S4S E4E Random Lenght 30x150</t>
  </si>
  <si>
    <t>30x150</t>
  </si>
  <si>
    <t>Sucupira</t>
  </si>
  <si>
    <t>Sucupira 5/4x6</t>
  </si>
  <si>
    <t>SPCLLOKD546RLS</t>
  </si>
  <si>
    <t>Sucupira S4S E4E Random Lenght 5/4x6</t>
  </si>
  <si>
    <t>Tigerwood</t>
  </si>
  <si>
    <t>Tigerwood 1x4</t>
  </si>
  <si>
    <t>TGKD1410S</t>
  </si>
  <si>
    <t>Tigerwood S4S E4E 1x4</t>
  </si>
  <si>
    <t>TGKD1412S</t>
  </si>
  <si>
    <t>TGKD1414S</t>
  </si>
  <si>
    <t>TGKD1416S</t>
  </si>
  <si>
    <t>TGKD1418S</t>
  </si>
  <si>
    <t>TGKD1420S</t>
  </si>
  <si>
    <t>TGKD1422S</t>
  </si>
  <si>
    <t>TGKD144S</t>
  </si>
  <si>
    <t>TGKD145S</t>
  </si>
  <si>
    <t>TGKD146S</t>
  </si>
  <si>
    <t>TGKD147S</t>
  </si>
  <si>
    <t>TGKD148S</t>
  </si>
  <si>
    <t>Tigerwood 1x6</t>
  </si>
  <si>
    <t>TGKD1610S</t>
  </si>
  <si>
    <t>Tigerwood S4S E4E 1x6</t>
  </si>
  <si>
    <t>TGKD1612S</t>
  </si>
  <si>
    <t>TGKD1614S</t>
  </si>
  <si>
    <t>TGKD1616S</t>
  </si>
  <si>
    <t>TGKD1618S</t>
  </si>
  <si>
    <t>TGKD1620S</t>
  </si>
  <si>
    <t>TGKD1622S</t>
  </si>
  <si>
    <t>TGKD164S</t>
  </si>
  <si>
    <t>TGKD165S</t>
  </si>
  <si>
    <t>TGKD166S</t>
  </si>
  <si>
    <t>TGKD168S</t>
  </si>
  <si>
    <t>Architecture</t>
  </si>
  <si>
    <t>London</t>
  </si>
  <si>
    <t>Norx</t>
  </si>
  <si>
    <t>Big Ben London Collection Profile 1x8</t>
  </si>
  <si>
    <t>Big Ben</t>
  </si>
  <si>
    <t>Profile</t>
  </si>
  <si>
    <t>Los Angeles</t>
  </si>
  <si>
    <t>NXCLBK16</t>
  </si>
  <si>
    <t>Brooklyn New York Collection Profile 1x6</t>
  </si>
  <si>
    <t>Brooklyn</t>
  </si>
  <si>
    <t>New York</t>
  </si>
  <si>
    <t>NXCLBK8</t>
  </si>
  <si>
    <t>L Trim 2x2</t>
  </si>
  <si>
    <t>NXCLTRIMBL</t>
  </si>
  <si>
    <t>Charcoal Architecture Collection L Trim 2x2</t>
  </si>
  <si>
    <t>Charcoal</t>
  </si>
  <si>
    <t>L Trim</t>
  </si>
  <si>
    <t>NXCLCTRIMBB</t>
  </si>
  <si>
    <t>Charcoal London Collection Corner Trim 1.5x3.9</t>
  </si>
  <si>
    <t>Corner Trim</t>
  </si>
  <si>
    <t>1.5x3.9</t>
  </si>
  <si>
    <t>Rome</t>
  </si>
  <si>
    <t>NXCLCTRIMNV</t>
  </si>
  <si>
    <t>Charcoal Rome Collection Corner Trim 1.5x3</t>
  </si>
  <si>
    <t>1.5x3</t>
  </si>
  <si>
    <t>NXCLCM16</t>
  </si>
  <si>
    <t>Colosseum Rome Collection Profile 1x7</t>
  </si>
  <si>
    <t>Colosseum</t>
  </si>
  <si>
    <t>1x7</t>
  </si>
  <si>
    <t>Rio</t>
  </si>
  <si>
    <t>Profile 1x6</t>
  </si>
  <si>
    <t>NXCP12GR</t>
  </si>
  <si>
    <t>Copacabana Rio Collection Grooved 1x6</t>
  </si>
  <si>
    <t>Copacabana</t>
  </si>
  <si>
    <t>NXCP16GR</t>
  </si>
  <si>
    <t>NXCP20GR</t>
  </si>
  <si>
    <t>NXCP12SQ</t>
  </si>
  <si>
    <t>Copacabana Rio Collection Square 1x6</t>
  </si>
  <si>
    <t>Square</t>
  </si>
  <si>
    <t>NXCP16SQ</t>
  </si>
  <si>
    <t>NXCP20SQ</t>
  </si>
  <si>
    <t>NXCLTRIMDB</t>
  </si>
  <si>
    <t>Dark Brown Architecture Collection L Trim 2x2</t>
  </si>
  <si>
    <t>Dark Brown</t>
  </si>
  <si>
    <t>NXCLCTRIMHP</t>
  </si>
  <si>
    <t>Dark Brown London Collection Corner Trim 1.5x3.9</t>
  </si>
  <si>
    <t>NXCLCTRIMES</t>
  </si>
  <si>
    <t>Dark Brown New York Collection Corner Trim 1x1</t>
  </si>
  <si>
    <t>1x1</t>
  </si>
  <si>
    <t>NXCLCTRIMPN</t>
  </si>
  <si>
    <t>Dark Brown Rome Collection Corner Trim 1.5x3</t>
  </si>
  <si>
    <t>Composite</t>
  </si>
  <si>
    <t>Eco Duo</t>
  </si>
  <si>
    <t>EDGC1516SQ</t>
  </si>
  <si>
    <t>Deck With Texture Gray Deck 1.25" x 5.5"</t>
  </si>
  <si>
    <t>Deck With Texture Gray</t>
  </si>
  <si>
    <t>Deck</t>
  </si>
  <si>
    <t>1.25x5.5</t>
  </si>
  <si>
    <t>EDGC1612GR</t>
  </si>
  <si>
    <t>Deck With Texture Gray Deck 1.25" x 6"</t>
  </si>
  <si>
    <t>1.25x6</t>
  </si>
  <si>
    <t>EDGC1616GR</t>
  </si>
  <si>
    <t>DECKTIPE12</t>
  </si>
  <si>
    <t>Deck With Texture Ipe Deck 1.25" x 6"</t>
  </si>
  <si>
    <t>Deck With Texture Ipe</t>
  </si>
  <si>
    <t>DECKTIPE16</t>
  </si>
  <si>
    <t>Performance 1</t>
  </si>
  <si>
    <t>Corner Trim 1.5x3</t>
  </si>
  <si>
    <t>NXPCTRIMEB</t>
  </si>
  <si>
    <t>Ebony Performance Corner Trim 1.5x3</t>
  </si>
  <si>
    <t>Ebony</t>
  </si>
  <si>
    <t>Performance 2</t>
  </si>
  <si>
    <t>NX2PCTRIMEB17</t>
  </si>
  <si>
    <t>Corner Trim 1.5x3.9</t>
  </si>
  <si>
    <t>NXPCTRIMEB18</t>
  </si>
  <si>
    <t>Ebony Performance Corner Trim 1.5x3.9</t>
  </si>
  <si>
    <t>NX2PCTRIMEB18</t>
  </si>
  <si>
    <t>NXPLTRIMEB</t>
  </si>
  <si>
    <t>Ebony Performance L Trim 2x2</t>
  </si>
  <si>
    <t>NX2PLTRIMEB</t>
  </si>
  <si>
    <t>NXPCLEB16</t>
  </si>
  <si>
    <t>Ebony Performance Profile 1x6</t>
  </si>
  <si>
    <t>Profile 1x7</t>
  </si>
  <si>
    <t>NX2PCLEB17</t>
  </si>
  <si>
    <t>Ebony Performance Profile 1x7</t>
  </si>
  <si>
    <t>Profile 1x8</t>
  </si>
  <si>
    <t>NXPCLEB18</t>
  </si>
  <si>
    <t>Ebony Performance Profile 1x8</t>
  </si>
  <si>
    <t>NX2PCLEB18</t>
  </si>
  <si>
    <t>NX2PCLEB187</t>
  </si>
  <si>
    <t>Plywood</t>
  </si>
  <si>
    <t>WPB</t>
  </si>
  <si>
    <t>EPPLYWOOD34</t>
  </si>
  <si>
    <t>Elliots Pine Plywood 3/4x4x8'</t>
  </si>
  <si>
    <t>Elliots Pine</t>
  </si>
  <si>
    <t>3/4x4</t>
  </si>
  <si>
    <t>EPPLYWOOD58</t>
  </si>
  <si>
    <t>Elliots Pine Plywood 5/4x4x8'</t>
  </si>
  <si>
    <t>Empire State New York Collection Profile 1x6</t>
  </si>
  <si>
    <t>Empire State</t>
  </si>
  <si>
    <t>NXCLES8</t>
  </si>
  <si>
    <t>Fascia</t>
  </si>
  <si>
    <t>Fascia Charcoal Fascia Collection Profile 1x6</t>
  </si>
  <si>
    <t>Fascia Charcoal</t>
  </si>
  <si>
    <t>Fascia Dark Brown Fascia Collection Profile 1x6</t>
  </si>
  <si>
    <t>Fascia Dark Brown</t>
  </si>
  <si>
    <t>Fascia Gray Fascia Collection Profile 1x6</t>
  </si>
  <si>
    <t>Fascia Gray</t>
  </si>
  <si>
    <t>Fascia Light Brown Fascia Collection Profile 1x6</t>
  </si>
  <si>
    <t>Fascia Light Brown</t>
  </si>
  <si>
    <t>NXCLTRIMG</t>
  </si>
  <si>
    <t>Gray Architecture Collection L Trim 2x2</t>
  </si>
  <si>
    <t>Gray</t>
  </si>
  <si>
    <t>EDGEWPGRAY</t>
  </si>
  <si>
    <t>Gray Edge Finishinf 6x6</t>
  </si>
  <si>
    <t>Edge Finishinf</t>
  </si>
  <si>
    <t>EDGEGRAY</t>
  </si>
  <si>
    <t>NXCLCTRIMOX</t>
  </si>
  <si>
    <t>Gray London Collection Corner Trim 1.5x3.9</t>
  </si>
  <si>
    <t>NXCLCTRIMRF</t>
  </si>
  <si>
    <t>Gray New York Collection Corner Trim 1x1</t>
  </si>
  <si>
    <t>NXCLCTRIMTV</t>
  </si>
  <si>
    <t>Gray Rome Collection Corner Trim 1.5x3</t>
  </si>
  <si>
    <t>NXPCTRIMHI</t>
  </si>
  <si>
    <t>Hickory Performance Corner Trim 1.5x3</t>
  </si>
  <si>
    <t>Hickory</t>
  </si>
  <si>
    <t>NX2PCTRIMHI17</t>
  </si>
  <si>
    <t>NXPCTRIMHI18</t>
  </si>
  <si>
    <t>Hickory Performance Corner Trim 1.5x3.9</t>
  </si>
  <si>
    <t>NX2PCTRIMHI18</t>
  </si>
  <si>
    <t>NXPLTRIMHI</t>
  </si>
  <si>
    <t>Hickory Performance L Trim 2x2</t>
  </si>
  <si>
    <t>NX2PLTRIMHI</t>
  </si>
  <si>
    <t>NXPCLHI16</t>
  </si>
  <si>
    <t>Hickory Performance Profile 1x6</t>
  </si>
  <si>
    <t>NX2PCLHI17</t>
  </si>
  <si>
    <t>Hickory Performance Profile 1x7</t>
  </si>
  <si>
    <t>NXPCLHI18</t>
  </si>
  <si>
    <t>Hickory Performance Profile 1x8</t>
  </si>
  <si>
    <t>NX2PCLHI18</t>
  </si>
  <si>
    <t>NXCLHW16</t>
  </si>
  <si>
    <t>Hollywood Los Angeles Collection Profile 1x6</t>
  </si>
  <si>
    <t>Hollywood</t>
  </si>
  <si>
    <t>NXCLHP16</t>
  </si>
  <si>
    <t>Hyde Park London Collection Profile 1x8</t>
  </si>
  <si>
    <t>Hyde Park</t>
  </si>
  <si>
    <t>NXIP12GR</t>
  </si>
  <si>
    <t>Ipanema Rio Collection Grooved 1x6</t>
  </si>
  <si>
    <t>Ipanema</t>
  </si>
  <si>
    <t>NXIP16GR</t>
  </si>
  <si>
    <t>NXIP20GR</t>
  </si>
  <si>
    <t>NXIP12SQ</t>
  </si>
  <si>
    <t>Ipanema Rio Collection Square 1x6</t>
  </si>
  <si>
    <t>NXIP16SQ</t>
  </si>
  <si>
    <t>NXIP20SQ</t>
  </si>
  <si>
    <t>BDTXIPE</t>
  </si>
  <si>
    <t>Ipe Board 1.25" x 5.5"</t>
  </si>
  <si>
    <t>Board</t>
  </si>
  <si>
    <t>EDGEWPIPE</t>
  </si>
  <si>
    <t>COLUMNIPE558</t>
  </si>
  <si>
    <t>Ipe Column 5"x5"</t>
  </si>
  <si>
    <t>Column</t>
  </si>
  <si>
    <t>5x5</t>
  </si>
  <si>
    <t>COLUMNCIPE558</t>
  </si>
  <si>
    <t>Ipe Column Cover 5"x5"</t>
  </si>
  <si>
    <t>Column Cover</t>
  </si>
  <si>
    <t>FFNSHINGIPE</t>
  </si>
  <si>
    <t>Ipe Fence Finishing 2.5"x3.5"</t>
  </si>
  <si>
    <t>Fence Finishing</t>
  </si>
  <si>
    <t>2.5x3.5</t>
  </si>
  <si>
    <t>FT&amp;JIPE</t>
  </si>
  <si>
    <t>Ipe Fence Tongue and Grooved 3"x7"</t>
  </si>
  <si>
    <t>Fence Tongue and Grooved</t>
  </si>
  <si>
    <t>3x7</t>
  </si>
  <si>
    <t>FLOORFIPE</t>
  </si>
  <si>
    <t>Ipe Floor Fitting 1.5"x9"</t>
  </si>
  <si>
    <t>Floor Fitting</t>
  </si>
  <si>
    <t>1.5x9</t>
  </si>
  <si>
    <t>NXPCTRIMIPE</t>
  </si>
  <si>
    <t>Ipe Performance Corner Trim 1.5x3</t>
  </si>
  <si>
    <t>NX2PCTRIMIPE17</t>
  </si>
  <si>
    <t>NXPCTRIMIPE18</t>
  </si>
  <si>
    <t>Ipe Performance Corner Trim 1.5x3.9</t>
  </si>
  <si>
    <t>NX2PCTRIMIPE18</t>
  </si>
  <si>
    <t>NXPCTRIMIP18</t>
  </si>
  <si>
    <t>Corner Trim 3x3</t>
  </si>
  <si>
    <t>NXPCTRIMIP</t>
  </si>
  <si>
    <t>Ipe Performance Corner Trim 3x3</t>
  </si>
  <si>
    <t>NXPLTRIMCE</t>
  </si>
  <si>
    <t>Cedar</t>
  </si>
  <si>
    <t>NXCTRIMCE</t>
  </si>
  <si>
    <t>NXPLTRIMIP</t>
  </si>
  <si>
    <t>Ipe Performance L Trim 2x2</t>
  </si>
  <si>
    <t>NX2PLTRIMIP</t>
  </si>
  <si>
    <t>Ipe Performance Profile 1x6</t>
  </si>
  <si>
    <t>NX2PCLIPE17</t>
  </si>
  <si>
    <t>Ipe Performance Profile 1x7</t>
  </si>
  <si>
    <t>Ipe Performance Profile 1x8</t>
  </si>
  <si>
    <t>NX2PCLIPE18</t>
  </si>
  <si>
    <t>NXLB12GR</t>
  </si>
  <si>
    <t>Leblon Rio Collection Grooved 1x6</t>
  </si>
  <si>
    <t>Leblon</t>
  </si>
  <si>
    <t>NXLB16GR</t>
  </si>
  <si>
    <t>NXLB20GR</t>
  </si>
  <si>
    <t>NXLBRISER</t>
  </si>
  <si>
    <t>Leblon Rio Collection Riser 1x6</t>
  </si>
  <si>
    <t>Riser</t>
  </si>
  <si>
    <t>NXLB16SQ</t>
  </si>
  <si>
    <t>Leblon Rio Collection Square 1x6</t>
  </si>
  <si>
    <t>NXCLTRIMLB</t>
  </si>
  <si>
    <t>Light Brown Architecture Collection L Trim 2x2</t>
  </si>
  <si>
    <t>Light Brown</t>
  </si>
  <si>
    <t>NXCTRIMLB</t>
  </si>
  <si>
    <t>NXCLCTRIMMF</t>
  </si>
  <si>
    <t>Light Brown London Collection Corner Trim 1.5x3.9</t>
  </si>
  <si>
    <t>NXCLCTRIMBR</t>
  </si>
  <si>
    <t>Light Brown New York Collection Corner Trim 1x1</t>
  </si>
  <si>
    <t>NXCLCTRIMCM</t>
  </si>
  <si>
    <t>Light Brown Rome Collection Corner Trim 1.5x3</t>
  </si>
  <si>
    <t>NXCLMF16</t>
  </si>
  <si>
    <t>Mayfair London Collection Profile 1x8</t>
  </si>
  <si>
    <t>Mayfair</t>
  </si>
  <si>
    <t>NXCLNV16</t>
  </si>
  <si>
    <t>Navona Rome Collection Profile 1x7</t>
  </si>
  <si>
    <t>Navona</t>
  </si>
  <si>
    <t>BDTXOAK</t>
  </si>
  <si>
    <t>Oak Board With Texture 1.25"x5.5"</t>
  </si>
  <si>
    <t>Oak</t>
  </si>
  <si>
    <t>Board With Texture</t>
  </si>
  <si>
    <t>COLUMNCOAK558</t>
  </si>
  <si>
    <t>Oak Column 5"x5"</t>
  </si>
  <si>
    <t>EDGEWPOAK</t>
  </si>
  <si>
    <t>Oak Edge Finishinf 6x6</t>
  </si>
  <si>
    <t>FFNSHINGOAK</t>
  </si>
  <si>
    <t>Oak Fence Finishing 2.5"x3.5"</t>
  </si>
  <si>
    <t>FT&amp;JOAK</t>
  </si>
  <si>
    <t>Oak Fence Tongue and Grooved 3"x7"</t>
  </si>
  <si>
    <t>FLOORFOAK</t>
  </si>
  <si>
    <t>Oak Floor Fitting 1.5"x9"</t>
  </si>
  <si>
    <t>NXCLOX16</t>
  </si>
  <si>
    <t>Oxford London Collection Profile 1x8</t>
  </si>
  <si>
    <t>Oxford</t>
  </si>
  <si>
    <t>Pantheon Rome Collection Profile 1x7</t>
  </si>
  <si>
    <t>Pantheon</t>
  </si>
  <si>
    <t>Rockefeller New York Collection Profile 1x6</t>
  </si>
  <si>
    <t>Rockefeller</t>
  </si>
  <si>
    <t>NXCLSM16</t>
  </si>
  <si>
    <t>Santa Monica Los Angeles Collection Profile 1x6</t>
  </si>
  <si>
    <t>Santa Monica</t>
  </si>
  <si>
    <t>Screws</t>
  </si>
  <si>
    <t>NXCLCNYCLIP50</t>
  </si>
  <si>
    <t>Steel Clip and 40mm Screw Box</t>
  </si>
  <si>
    <t>Steel Clip and 40mm Screw</t>
  </si>
  <si>
    <t>Box</t>
  </si>
  <si>
    <t>NXSSSCREWS-250</t>
  </si>
  <si>
    <t>NXCLNYCLIP</t>
  </si>
  <si>
    <t>NXCLCNYCLIP175</t>
  </si>
  <si>
    <t>NXCLCNYCLIP180</t>
  </si>
  <si>
    <t>Clip</t>
  </si>
  <si>
    <t>NXCLIPHW</t>
  </si>
  <si>
    <t>Steel Starter Clip Box</t>
  </si>
  <si>
    <t>Steel Starter Clip</t>
  </si>
  <si>
    <t>NXCLNYCLIP50</t>
  </si>
  <si>
    <t>NXSSCLIP</t>
  </si>
  <si>
    <t>NXCLNYCLIP175</t>
  </si>
  <si>
    <t>NXCLNYCLIP180</t>
  </si>
  <si>
    <t>NXPCTRIMTE</t>
  </si>
  <si>
    <t>Teak Performance Corner Trim 1.5x3</t>
  </si>
  <si>
    <t>Teak</t>
  </si>
  <si>
    <t>NX2PCTRIMTE17</t>
  </si>
  <si>
    <t>NXPCTRIMTE18</t>
  </si>
  <si>
    <t>Teak Performance Corner Trim 1.5x3.9</t>
  </si>
  <si>
    <t>NX2PCTRIMTE18</t>
  </si>
  <si>
    <t>Teak Performance L Trim 2x2</t>
  </si>
  <si>
    <t>NX2PLTRIMTE</t>
  </si>
  <si>
    <t>Teak Performance Profile 1x6</t>
  </si>
  <si>
    <t>NXPCLTE17</t>
  </si>
  <si>
    <t>Teak Performance Profile 1x7</t>
  </si>
  <si>
    <t>NX2PCLTE17</t>
  </si>
  <si>
    <t>NXPCLTE18</t>
  </si>
  <si>
    <t>Teak Performance Profile 1x8</t>
  </si>
  <si>
    <t>NX2PCLTE18</t>
  </si>
  <si>
    <t>NXPCTRIMTG</t>
  </si>
  <si>
    <t>Tigerwood Performance Corner Trim 1.5x3</t>
  </si>
  <si>
    <t>NX2PCTRIMTG17</t>
  </si>
  <si>
    <t>NXPCTRIMTG18</t>
  </si>
  <si>
    <t>Tigerwood Performance Corner Trim 1.5x3.9</t>
  </si>
  <si>
    <t>NX2PCTRIMTG18</t>
  </si>
  <si>
    <t>NXPLTRIMTG</t>
  </si>
  <si>
    <t>Tigerwood Performance L Trim 2x2</t>
  </si>
  <si>
    <t>NX2PLTRIMTG</t>
  </si>
  <si>
    <t>NXPCLTG16</t>
  </si>
  <si>
    <t>Tigerwood Performance Profile 1x6</t>
  </si>
  <si>
    <t>NXPCLTG17</t>
  </si>
  <si>
    <t>Tigerwood Performance Profile 1x7</t>
  </si>
  <si>
    <t>NX2PCLTG17</t>
  </si>
  <si>
    <t>NXPCLTG18</t>
  </si>
  <si>
    <t>Tigerwood Performance Profile 1x8</t>
  </si>
  <si>
    <t>NX2PCLTG18</t>
  </si>
  <si>
    <t>NXCLTV16</t>
  </si>
  <si>
    <t>Trevi Rome Collection Profile 1x7</t>
  </si>
  <si>
    <t>Trevi</t>
  </si>
  <si>
    <t>Paris</t>
  </si>
  <si>
    <t>NXTPRISER</t>
  </si>
  <si>
    <t>Triomphe Paris Collection Riser 1x6</t>
  </si>
  <si>
    <t>Triomphe</t>
  </si>
  <si>
    <t>NXCLVE16</t>
  </si>
  <si>
    <t>Venice Los Angeles Collection Profile 1x6</t>
  </si>
  <si>
    <t>Venice</t>
  </si>
  <si>
    <t>Profile 23x140</t>
  </si>
  <si>
    <t>NXWH58616</t>
  </si>
  <si>
    <t>White Performance Profile 23x140</t>
  </si>
  <si>
    <t>White</t>
  </si>
  <si>
    <t>23x140</t>
  </si>
  <si>
    <t>Services</t>
  </si>
  <si>
    <t>Expense Recovery</t>
  </si>
  <si>
    <t>Other</t>
  </si>
  <si>
    <t>RS-001</t>
  </si>
  <si>
    <t>RS-002</t>
  </si>
  <si>
    <t>SO745560-000</t>
  </si>
  <si>
    <t>SO714980-000</t>
  </si>
  <si>
    <t>SO714986-000</t>
  </si>
  <si>
    <t>SO719383-000</t>
  </si>
  <si>
    <t>SO758758-000</t>
  </si>
  <si>
    <t>SO766241-000</t>
  </si>
  <si>
    <t>SO762516-000</t>
  </si>
  <si>
    <t>Freight</t>
  </si>
  <si>
    <t>FRT-001</t>
  </si>
  <si>
    <t>Freight Services</t>
  </si>
  <si>
    <t>FRT-002</t>
  </si>
  <si>
    <t>FRT-003</t>
  </si>
  <si>
    <t>Marketing</t>
  </si>
  <si>
    <t>MKT-001</t>
  </si>
  <si>
    <t>Marketing Services</t>
  </si>
  <si>
    <t>MKT-002</t>
  </si>
  <si>
    <t>MKT-003</t>
  </si>
  <si>
    <t>MKT-004</t>
  </si>
  <si>
    <t>MKT-005</t>
  </si>
  <si>
    <t>MKT-006</t>
  </si>
  <si>
    <t>MKT-007</t>
  </si>
  <si>
    <t>MKT-008</t>
  </si>
  <si>
    <t>MKT-009</t>
  </si>
  <si>
    <t>MKT-010</t>
  </si>
  <si>
    <t>MKT-011</t>
  </si>
  <si>
    <t>MKT-012</t>
  </si>
  <si>
    <t>MKT-013</t>
  </si>
  <si>
    <t>MKT-014</t>
  </si>
  <si>
    <t>SO703767-000</t>
  </si>
  <si>
    <t>SO703787-000</t>
  </si>
  <si>
    <t>SO706877-000</t>
  </si>
  <si>
    <t>SO712090-000</t>
  </si>
  <si>
    <t>SO727952-000</t>
  </si>
  <si>
    <t>MKT-015</t>
  </si>
  <si>
    <t>MKT-016</t>
  </si>
  <si>
    <t>MKT-017</t>
  </si>
  <si>
    <t>SO752802-000</t>
  </si>
  <si>
    <t>Milling</t>
  </si>
  <si>
    <t>SO751902-000</t>
  </si>
  <si>
    <t>SO751904-000</t>
  </si>
  <si>
    <t>MN711852-000</t>
  </si>
  <si>
    <t>MN726576-000</t>
  </si>
  <si>
    <t>Painting</t>
  </si>
  <si>
    <t>SO735639-000</t>
  </si>
  <si>
    <t>SO757825-000</t>
  </si>
  <si>
    <t>Refund</t>
  </si>
  <si>
    <t>RF-001</t>
  </si>
  <si>
    <t>Refund Services</t>
  </si>
  <si>
    <t>RF-002</t>
  </si>
  <si>
    <t>RF-003</t>
  </si>
  <si>
    <t>RF-004</t>
  </si>
  <si>
    <t>Samples</t>
  </si>
  <si>
    <t>SMP-001</t>
  </si>
  <si>
    <t>Showroom</t>
  </si>
  <si>
    <t>SWR-001</t>
  </si>
  <si>
    <t>Saicos</t>
  </si>
  <si>
    <t>Saicos 0,125ml</t>
  </si>
  <si>
    <t>Oil</t>
  </si>
  <si>
    <t>SAIBAASHN125ML</t>
  </si>
  <si>
    <t>Ash Natural Bel Air H2O Garden And Cladding Transparent</t>
  </si>
  <si>
    <t>Ash Natural</t>
  </si>
  <si>
    <t>Bel Air H2O Garden And Cladding</t>
  </si>
  <si>
    <t>Transparent</t>
  </si>
  <si>
    <t>0,125ml</t>
  </si>
  <si>
    <t>Saicos 2,5L</t>
  </si>
  <si>
    <t>SAIBAASHN2L</t>
  </si>
  <si>
    <t>2,5L</t>
  </si>
  <si>
    <t>Saicos 10L</t>
  </si>
  <si>
    <t>SAIBAASHN10L</t>
  </si>
  <si>
    <t>10L</t>
  </si>
  <si>
    <t>Saicos 0,750ml</t>
  </si>
  <si>
    <t>SAIBAASHN750ML</t>
  </si>
  <si>
    <t>0,750ml</t>
  </si>
  <si>
    <t>SAIBAAYOUSNAT2L</t>
  </si>
  <si>
    <t>Ayous Natural Bel Air H2O Garden And Cladding Transparent</t>
  </si>
  <si>
    <t>Ayous Natural</t>
  </si>
  <si>
    <t>SAIBAAYOUSNAT10L</t>
  </si>
  <si>
    <t>SAIBAAYOUSN125ML</t>
  </si>
  <si>
    <t>SAIBAAYOUSN750ML</t>
  </si>
  <si>
    <t>SAIBABANG125ML</t>
  </si>
  <si>
    <t>Bangkirai Bel Air H2O Garden And Cladding Transparent</t>
  </si>
  <si>
    <t>Bangkirai</t>
  </si>
  <si>
    <t>SAIBABANG750ML</t>
  </si>
  <si>
    <t>SAIBABANG10L</t>
  </si>
  <si>
    <t>SAIBABANG2L</t>
  </si>
  <si>
    <t>SAISWOBANG2L</t>
  </si>
  <si>
    <t>Bangkirai Special Wood Oil</t>
  </si>
  <si>
    <t>Special Wood Oil</t>
  </si>
  <si>
    <t>SAISWOBANG10L</t>
  </si>
  <si>
    <t>SAISWOBANG125ML</t>
  </si>
  <si>
    <t>SAISWOBANG750ML</t>
  </si>
  <si>
    <t>SAIBACOLORL125ML</t>
  </si>
  <si>
    <t>Conditioner Bel Air H2O Garden And Cladding Transparent</t>
  </si>
  <si>
    <t>Conditioner</t>
  </si>
  <si>
    <t>SAIBACOLORL750ML</t>
  </si>
  <si>
    <t>SAIBACOLORLESS2L</t>
  </si>
  <si>
    <t>SAIBACOLORLES10L</t>
  </si>
  <si>
    <t>SAISWOCLESS2L</t>
  </si>
  <si>
    <t>Conditioner Special Wood Oil</t>
  </si>
  <si>
    <t>SAISWOCLESS10L</t>
  </si>
  <si>
    <t>SAISWOCL125ML</t>
  </si>
  <si>
    <t>SAISWOCL750ML</t>
  </si>
  <si>
    <t>SAISWOCL2L</t>
  </si>
  <si>
    <t>SAISWOCL10L</t>
  </si>
  <si>
    <t>SAIBAODB125ML</t>
  </si>
  <si>
    <t>Deep Black Bel Air H2O Garden And Cladding Opaque</t>
  </si>
  <si>
    <t>Deep Black</t>
  </si>
  <si>
    <t>Opaque</t>
  </si>
  <si>
    <t>SAIBAODB750ML</t>
  </si>
  <si>
    <t>SAIBAODB10L</t>
  </si>
  <si>
    <t>SAIBAODB2L</t>
  </si>
  <si>
    <t>SAIBAEBON125ML</t>
  </si>
  <si>
    <t>Ebony Bel Air H2O Garden And Cladding Transparent</t>
  </si>
  <si>
    <t>SAIBAEBON750ML</t>
  </si>
  <si>
    <t>SAIBAEBON2L</t>
  </si>
  <si>
    <t>SAIBAEBON10L</t>
  </si>
  <si>
    <t>Saicos 4,55L</t>
  </si>
  <si>
    <t>Sealant</t>
  </si>
  <si>
    <t>SAIEMTMATTCL4L</t>
  </si>
  <si>
    <t>Ecoline MultiTop Matt Colourless Water based Sealant</t>
  </si>
  <si>
    <t>Ecoline MultiTop</t>
  </si>
  <si>
    <t>Matt Colourless</t>
  </si>
  <si>
    <t>Water based Sealant</t>
  </si>
  <si>
    <t>4,55L</t>
  </si>
  <si>
    <t>Saicos 0,450ml</t>
  </si>
  <si>
    <t>SAIEMTPBLA450ML</t>
  </si>
  <si>
    <t>Ecoline MultiTop Pitch Black Water based Sealant</t>
  </si>
  <si>
    <t>Pitch Black</t>
  </si>
  <si>
    <t>0,450ml</t>
  </si>
  <si>
    <t>SAIBAOAK125ML</t>
  </si>
  <si>
    <t>Oak Bel Air H2O Garden And Cladding Transparent</t>
  </si>
  <si>
    <t>SAIBAOAK750ML</t>
  </si>
  <si>
    <t>SAIBAOAK2L</t>
  </si>
  <si>
    <t>SAIBAOAK10L</t>
  </si>
  <si>
    <t>SAIBAPEARLG10L</t>
  </si>
  <si>
    <t>Pearl Grey Bel Air H2O Garden And Cladding Transparent</t>
  </si>
  <si>
    <t>Pearl Grey</t>
  </si>
  <si>
    <t>SAIBAPEARLG2L</t>
  </si>
  <si>
    <t>SAIBAPEARLG125ML</t>
  </si>
  <si>
    <t>SAIBAPEARLG750ML</t>
  </si>
  <si>
    <t>SAIBAPEARLW2L</t>
  </si>
  <si>
    <t>Pearl White Bel Air H2O Garden And Cladding Transparent</t>
  </si>
  <si>
    <t>Pearl White</t>
  </si>
  <si>
    <t>SAIBAPEARLW10L</t>
  </si>
  <si>
    <t>SAIBAPEARLW125ML</t>
  </si>
  <si>
    <t>SAIBAPEARLW750ML</t>
  </si>
  <si>
    <t>SAIBARADN125ML</t>
  </si>
  <si>
    <t>Radiata Natural Bel Air H2O Garden And Cladding Transparent</t>
  </si>
  <si>
    <t>Radiata Natural</t>
  </si>
  <si>
    <t>SAIBARADN2L</t>
  </si>
  <si>
    <t>SAIBARADN10L</t>
  </si>
  <si>
    <t>SAIBARADN750ML</t>
  </si>
  <si>
    <t>Flat Brush 100 mm</t>
  </si>
  <si>
    <t>Flat Brush</t>
  </si>
  <si>
    <t>SAIFLABRSH100</t>
  </si>
  <si>
    <t>Saicos 100 mm Flat Brush For Water &amp; Oil</t>
  </si>
  <si>
    <t>For Water &amp; Oil</t>
  </si>
  <si>
    <t>100 mm</t>
  </si>
  <si>
    <t>Flat Brush 150 mm</t>
  </si>
  <si>
    <t>SAIFLOBRSH150</t>
  </si>
  <si>
    <t>Saicos 150 mm Flat Brush For Water &amp; Oil</t>
  </si>
  <si>
    <t>150 mm</t>
  </si>
  <si>
    <t>Flat Brush 210 mm</t>
  </si>
  <si>
    <t>SAIFLOBRSH210</t>
  </si>
  <si>
    <t>Saicos 210 mm Flat Brush For Water &amp; Oil</t>
  </si>
  <si>
    <t>210 mm</t>
  </si>
  <si>
    <t>Flat Brush 30 mm</t>
  </si>
  <si>
    <t>SAIFLABRSH30</t>
  </si>
  <si>
    <t>Saicos 30 mm Flat Brush For Water &amp; Oil</t>
  </si>
  <si>
    <t>30 mm</t>
  </si>
  <si>
    <t>Flat Brush 50 mm</t>
  </si>
  <si>
    <t>SAIFLABRSH50</t>
  </si>
  <si>
    <t>Saicos 50 mm Flat Brush For Water &amp; Oil</t>
  </si>
  <si>
    <t>50 mm</t>
  </si>
  <si>
    <t>Flat Brush 60 mm</t>
  </si>
  <si>
    <t>SAIFLABRSH60</t>
  </si>
  <si>
    <t>Saicos 60 mm Flat Brush For Water &amp; Oil</t>
  </si>
  <si>
    <t>60 mm</t>
  </si>
  <si>
    <t>SAIPHWXOIL125ML</t>
  </si>
  <si>
    <t>Sattin Matt Premium Hardwax Oil</t>
  </si>
  <si>
    <t>Sattin Matt</t>
  </si>
  <si>
    <t>Premium Hardwax Oil</t>
  </si>
  <si>
    <t>SAIPHWXOIL750ML</t>
  </si>
  <si>
    <t>SAIPHWXOIL2L</t>
  </si>
  <si>
    <t>SAIPHWXOIL10L</t>
  </si>
  <si>
    <t>SAIBASN10L</t>
  </si>
  <si>
    <t>Scandinavian Natural Bel Air H2O Garden And Cladding Transparent</t>
  </si>
  <si>
    <t>Scandinavian Natural</t>
  </si>
  <si>
    <t>SAIBASN2L</t>
  </si>
  <si>
    <t>SAIBASN125ML</t>
  </si>
  <si>
    <t>SAIBASN750ML</t>
  </si>
  <si>
    <t>SAIECOSGREY125ML</t>
  </si>
  <si>
    <t>Silver Grey Ecoline Oil Ground Coat</t>
  </si>
  <si>
    <t>Silver Grey</t>
  </si>
  <si>
    <t>Ecoline Oil Ground Coat</t>
  </si>
  <si>
    <t>SAIECOSGREY750ML</t>
  </si>
  <si>
    <t>SAIECOSGREY2L</t>
  </si>
  <si>
    <t>SAIECOSGREY10L</t>
  </si>
  <si>
    <t>SAISWOTWT125ML</t>
  </si>
  <si>
    <t>Taupe Special Wood Oil</t>
  </si>
  <si>
    <t>Taupe</t>
  </si>
  <si>
    <t>SAISWOTWT750ML</t>
  </si>
  <si>
    <t>SAISWOTWT10L</t>
  </si>
  <si>
    <t>SAIBATEAK125ML</t>
  </si>
  <si>
    <t>Teak Bel Air H2O Garden And Cladding Transparent</t>
  </si>
  <si>
    <t>SAIBATEAK750ML</t>
  </si>
  <si>
    <t>SAIBATEAK2L</t>
  </si>
  <si>
    <t>SAIBATEAK10L</t>
  </si>
  <si>
    <t>SAISWOTT125ML</t>
  </si>
  <si>
    <t>Teak Special Wood Oil</t>
  </si>
  <si>
    <t>SAISWOTT750ML</t>
  </si>
  <si>
    <t>SAISWOTT2L</t>
  </si>
  <si>
    <t>SAISWOTT10L</t>
  </si>
  <si>
    <t>SAISWOTWT2L</t>
  </si>
  <si>
    <t>Thermowood Special Wood Oil</t>
  </si>
  <si>
    <t>Thermowood</t>
  </si>
  <si>
    <t>SAIBAWAL125ML</t>
  </si>
  <si>
    <t>Walnut Bel Air H2O Garden And Cladding Transparent</t>
  </si>
  <si>
    <t>Walnut</t>
  </si>
  <si>
    <t>SAIBAWAL750ML</t>
  </si>
  <si>
    <t>SAIBAWAL2L</t>
  </si>
  <si>
    <t>SAIBAWAL10L</t>
  </si>
  <si>
    <t>SAIBAWO125ML</t>
  </si>
  <si>
    <t>White Oak Bel Air H2O Garden And Cladding Transparent</t>
  </si>
  <si>
    <t>White Oak</t>
  </si>
  <si>
    <t>SAIBAWO750ML</t>
  </si>
  <si>
    <t>SAIBAWO2L</t>
  </si>
  <si>
    <t>SAIBAWO10L</t>
  </si>
  <si>
    <t>SAIBAWOP125ML</t>
  </si>
  <si>
    <t>White Opaque Bel Air H2O Garden And Cladding Transparent</t>
  </si>
  <si>
    <t>White Opaque</t>
  </si>
  <si>
    <t>SAIBAWOP750ML</t>
  </si>
  <si>
    <t>SAIBAWOP2L</t>
  </si>
  <si>
    <t>SAIBAWOP10L</t>
  </si>
  <si>
    <t>Ash</t>
  </si>
  <si>
    <t>Ash 1x6 Plus</t>
  </si>
  <si>
    <t>TW Milling</t>
  </si>
  <si>
    <t>MN704239-004</t>
  </si>
  <si>
    <t>Maximo Thermo Ash Profile #2 Random Lenght 1x6 Plus</t>
  </si>
  <si>
    <t>Maximo Thermo Ash</t>
  </si>
  <si>
    <t>Profile #2</t>
  </si>
  <si>
    <t>MN704239-003</t>
  </si>
  <si>
    <t>Maximo Thermo Ash Rondo Random Lenght 1x6 Plus</t>
  </si>
  <si>
    <t>Rondo</t>
  </si>
  <si>
    <t>Ayous</t>
  </si>
  <si>
    <t>Ayous 2x6</t>
  </si>
  <si>
    <t>MN704239-001</t>
  </si>
  <si>
    <t>Maximo Thermo Ayous Elevato Trio Random Lenght 2x6</t>
  </si>
  <si>
    <t>Maximo Thermo Ayous</t>
  </si>
  <si>
    <t>Elevato Trio</t>
  </si>
  <si>
    <t>MN704239-002</t>
  </si>
  <si>
    <t>Ayous 1x6</t>
  </si>
  <si>
    <t>MN704239-000</t>
  </si>
  <si>
    <t>Maximo Thermo Ayous Rondo Random Lenght 1x6</t>
  </si>
  <si>
    <t>Ironthermo</t>
  </si>
  <si>
    <t>Ironthermo 1x6</t>
  </si>
  <si>
    <t>IRT1610S</t>
  </si>
  <si>
    <t>Ironthermo S4S E4E 1x6</t>
  </si>
  <si>
    <t>IRT1611S</t>
  </si>
  <si>
    <t>IRT1612S</t>
  </si>
  <si>
    <t>IRT1613S</t>
  </si>
  <si>
    <t>IRT1614S</t>
  </si>
  <si>
    <t>IRT1615S</t>
  </si>
  <si>
    <t>IRT1616S</t>
  </si>
  <si>
    <t>IRT1617S</t>
  </si>
  <si>
    <t>IRT1618S</t>
  </si>
  <si>
    <t>IRT1619S</t>
  </si>
  <si>
    <t>IRT1620S</t>
  </si>
  <si>
    <t>IRT164S</t>
  </si>
  <si>
    <t>IRT165S</t>
  </si>
  <si>
    <t>IRT166S</t>
  </si>
  <si>
    <t>IRT167S</t>
  </si>
  <si>
    <t>IRT168S</t>
  </si>
  <si>
    <t>IRT169S</t>
  </si>
  <si>
    <t>Ash 1x5 1/4</t>
  </si>
  <si>
    <t>TA1510SSEM</t>
  </si>
  <si>
    <t>Maximo Thermo Ash S4S E4E End Match 1x5 1/4</t>
  </si>
  <si>
    <t>S4S E4E End Match</t>
  </si>
  <si>
    <t>1x5 1/4</t>
  </si>
  <si>
    <t>TA1511SSEM</t>
  </si>
  <si>
    <t>TA1512SSEM</t>
  </si>
  <si>
    <t>TA1513SSEM</t>
  </si>
  <si>
    <t>TA1514SSEM</t>
  </si>
  <si>
    <t>TA1515SSEM</t>
  </si>
  <si>
    <t>TA1516SSEM</t>
  </si>
  <si>
    <t>TA1517SSEM</t>
  </si>
  <si>
    <t>TA1518SSEM</t>
  </si>
  <si>
    <t>TA154SSEM</t>
  </si>
  <si>
    <t>TA155SSEM</t>
  </si>
  <si>
    <t>TA156SSEM</t>
  </si>
  <si>
    <t>TA157SSEM</t>
  </si>
  <si>
    <t>TA158SSEM</t>
  </si>
  <si>
    <t>TA159SSEM</t>
  </si>
  <si>
    <t>Maximo Thermo Ash S4S E4E End Match 1x6 Plus</t>
  </si>
  <si>
    <t>TA1612SSEM</t>
  </si>
  <si>
    <t>TA1614SSEM</t>
  </si>
  <si>
    <t>TA1615SSEM</t>
  </si>
  <si>
    <t>TA1616SSEM</t>
  </si>
  <si>
    <t>TA1617SSEM</t>
  </si>
  <si>
    <t>TA1618SSEM</t>
  </si>
  <si>
    <t>TA164SSEM</t>
  </si>
  <si>
    <t>TA165SSEM</t>
  </si>
  <si>
    <t>Ash 5/4x5 1/4</t>
  </si>
  <si>
    <t>TA54510SSEM</t>
  </si>
  <si>
    <t>Maximo Thermo Ash S4S E4E End Match 5/4x5 1/4</t>
  </si>
  <si>
    <t>5/4x5 1/4</t>
  </si>
  <si>
    <t>TA54511SSEM</t>
  </si>
  <si>
    <t>TA54512SSEM</t>
  </si>
  <si>
    <t>TA54513SSEM</t>
  </si>
  <si>
    <t>TA54514SSEM</t>
  </si>
  <si>
    <t>TA54515SSEM</t>
  </si>
  <si>
    <t>TA54516SSEM</t>
  </si>
  <si>
    <t>TA54517SSEM</t>
  </si>
  <si>
    <t>TA54518SSEM</t>
  </si>
  <si>
    <t>TA5454SSEM</t>
  </si>
  <si>
    <t>TA5455SSEM</t>
  </si>
  <si>
    <t>TA5456SSEM</t>
  </si>
  <si>
    <t>TA5457SSEM</t>
  </si>
  <si>
    <t>TA5458SSEM</t>
  </si>
  <si>
    <t>TA5459SSEM</t>
  </si>
  <si>
    <t>Ash 5/4x6</t>
  </si>
  <si>
    <t>Maximo Thermo Ash S4S E4E End Match 5/4x6</t>
  </si>
  <si>
    <t>TA54611SSEM</t>
  </si>
  <si>
    <t>TA54612SSEM</t>
  </si>
  <si>
    <t>TA54613SSEM</t>
  </si>
  <si>
    <t>TA54614SSEM</t>
  </si>
  <si>
    <t>TA54615SSEM</t>
  </si>
  <si>
    <t>TA54616SSEM</t>
  </si>
  <si>
    <t>TA54617SSEM</t>
  </si>
  <si>
    <t>TA54618SSEM</t>
  </si>
  <si>
    <t>TA5464SSEM</t>
  </si>
  <si>
    <t>TA5465SSEM</t>
  </si>
  <si>
    <t>Ash 1x10</t>
  </si>
  <si>
    <t>TA11010S</t>
  </si>
  <si>
    <t>Maximo Thermo Ash S4S E4E 1x10</t>
  </si>
  <si>
    <t>TA11011S</t>
  </si>
  <si>
    <t>TA11012S</t>
  </si>
  <si>
    <t>TA11013S</t>
  </si>
  <si>
    <t>TA11014S</t>
  </si>
  <si>
    <t>TA11015S</t>
  </si>
  <si>
    <t>TA11016S</t>
  </si>
  <si>
    <t>TA11017S</t>
  </si>
  <si>
    <t>TA11018S</t>
  </si>
  <si>
    <t>TA1104S</t>
  </si>
  <si>
    <t>TA1105S</t>
  </si>
  <si>
    <t>TA1106S</t>
  </si>
  <si>
    <t>TA1107S</t>
  </si>
  <si>
    <t>TA1108S</t>
  </si>
  <si>
    <t>TA1109S</t>
  </si>
  <si>
    <t>Ash 1x6</t>
  </si>
  <si>
    <t>TA1610S</t>
  </si>
  <si>
    <t>Maximo Thermo Ash S4S E4E 1x6</t>
  </si>
  <si>
    <t>TA1611S</t>
  </si>
  <si>
    <t>TA1612S</t>
  </si>
  <si>
    <t>TA1613S</t>
  </si>
  <si>
    <t>TA1614S</t>
  </si>
  <si>
    <t>TA1615S</t>
  </si>
  <si>
    <t>TA1616S</t>
  </si>
  <si>
    <t>TA1617S</t>
  </si>
  <si>
    <t>TA1618S</t>
  </si>
  <si>
    <t>TA164S</t>
  </si>
  <si>
    <t>TA165S</t>
  </si>
  <si>
    <t>TA166S</t>
  </si>
  <si>
    <t>TA167S</t>
  </si>
  <si>
    <t>TA168S</t>
  </si>
  <si>
    <t>TA169S</t>
  </si>
  <si>
    <t>Ash 1x8</t>
  </si>
  <si>
    <t>TA1810S</t>
  </si>
  <si>
    <t>Maximo Thermo Ash S4S E4E 1x8</t>
  </si>
  <si>
    <t>TA1811S</t>
  </si>
  <si>
    <t>TA1812S</t>
  </si>
  <si>
    <t>TA1813S</t>
  </si>
  <si>
    <t>TA1814S</t>
  </si>
  <si>
    <t>TA1815S</t>
  </si>
  <si>
    <t>TA1816S</t>
  </si>
  <si>
    <t>TA1817S</t>
  </si>
  <si>
    <t>TA1818S</t>
  </si>
  <si>
    <t>TA184S</t>
  </si>
  <si>
    <t>TA185S</t>
  </si>
  <si>
    <t>TA186S</t>
  </si>
  <si>
    <t>TA187S</t>
  </si>
  <si>
    <t>TA188S</t>
  </si>
  <si>
    <t>TA189S</t>
  </si>
  <si>
    <t>Ash 2x2</t>
  </si>
  <si>
    <t>TA2210S</t>
  </si>
  <si>
    <t>Maximo Thermo Ash S4S E4E 2x2</t>
  </si>
  <si>
    <t>TA2211S</t>
  </si>
  <si>
    <t>TA2212S</t>
  </si>
  <si>
    <t>TA2213S</t>
  </si>
  <si>
    <t>TA2214S</t>
  </si>
  <si>
    <t>TA2215S</t>
  </si>
  <si>
    <t>TA2216S</t>
  </si>
  <si>
    <t>TA2217S</t>
  </si>
  <si>
    <t>TA2218S</t>
  </si>
  <si>
    <t>TA223S</t>
  </si>
  <si>
    <t>TA224S</t>
  </si>
  <si>
    <t>TA225S</t>
  </si>
  <si>
    <t>TA226S</t>
  </si>
  <si>
    <t>TA227S</t>
  </si>
  <si>
    <t>TA228S</t>
  </si>
  <si>
    <t>TA229S</t>
  </si>
  <si>
    <t>Ash 2x4</t>
  </si>
  <si>
    <t>TA2410S</t>
  </si>
  <si>
    <t>Maximo Thermo Ash S4S E4E 2x4</t>
  </si>
  <si>
    <t>TA2411S</t>
  </si>
  <si>
    <t>TA2412S</t>
  </si>
  <si>
    <t>TA2413S</t>
  </si>
  <si>
    <t>TA2414S</t>
  </si>
  <si>
    <t>TA2415S</t>
  </si>
  <si>
    <t>TA2416S</t>
  </si>
  <si>
    <t>TA2417S</t>
  </si>
  <si>
    <t>TA2418S</t>
  </si>
  <si>
    <t>TA244S</t>
  </si>
  <si>
    <t>TA245S</t>
  </si>
  <si>
    <t>TA246S</t>
  </si>
  <si>
    <t>TA247S</t>
  </si>
  <si>
    <t>TA248S</t>
  </si>
  <si>
    <t>TA249S</t>
  </si>
  <si>
    <t>Ash 2x5 1/4</t>
  </si>
  <si>
    <t>TA2510S</t>
  </si>
  <si>
    <t>Maximo Thermo Ash S4S E4E 2x5 1/4</t>
  </si>
  <si>
    <t>2x5 1/4</t>
  </si>
  <si>
    <t>TA2511S</t>
  </si>
  <si>
    <t>TA2512S</t>
  </si>
  <si>
    <t>TA2513S</t>
  </si>
  <si>
    <t>TA2514S</t>
  </si>
  <si>
    <t>TA2515S</t>
  </si>
  <si>
    <t>TA2516S</t>
  </si>
  <si>
    <t>TA2517S</t>
  </si>
  <si>
    <t>TA2518S</t>
  </si>
  <si>
    <t>TA254S</t>
  </si>
  <si>
    <t>TA255S</t>
  </si>
  <si>
    <t>TA256S</t>
  </si>
  <si>
    <t>TA257S</t>
  </si>
  <si>
    <t>TA258S</t>
  </si>
  <si>
    <t>TA259S</t>
  </si>
  <si>
    <t>Ash 2x6</t>
  </si>
  <si>
    <t>TA2610S</t>
  </si>
  <si>
    <t>Maximo Thermo Ash S4S E4E 2x6</t>
  </si>
  <si>
    <t>TA2611S</t>
  </si>
  <si>
    <t>TA2612S</t>
  </si>
  <si>
    <t>TA2613S</t>
  </si>
  <si>
    <t>TA2614S</t>
  </si>
  <si>
    <t>TA2615S</t>
  </si>
  <si>
    <t>TA2616S</t>
  </si>
  <si>
    <t>TA2617S</t>
  </si>
  <si>
    <t>TA2618S</t>
  </si>
  <si>
    <t>TA264S</t>
  </si>
  <si>
    <t>TA265S</t>
  </si>
  <si>
    <t>TA266S</t>
  </si>
  <si>
    <t>TA267S</t>
  </si>
  <si>
    <t>TA268S</t>
  </si>
  <si>
    <t>TA269S</t>
  </si>
  <si>
    <t>TAYAPGMS1610</t>
  </si>
  <si>
    <t>Maximo Thermo Ayous Alfa Profile Groco Matte 1x6</t>
  </si>
  <si>
    <t>Alfa Profile</t>
  </si>
  <si>
    <t>Groco Matte</t>
  </si>
  <si>
    <t>TAYAPGMS1612</t>
  </si>
  <si>
    <t>TAYAPGMS1614</t>
  </si>
  <si>
    <t>TAYAPGMS1616</t>
  </si>
  <si>
    <t>TAYAPGMS1618</t>
  </si>
  <si>
    <t>TAYAPGMS168</t>
  </si>
  <si>
    <t>Ayous Dark</t>
  </si>
  <si>
    <t>Ayous Dark 1x11</t>
  </si>
  <si>
    <t>TAYD11110S</t>
  </si>
  <si>
    <t>Maximo Thermo Ayous Dark S4S E4E 1x11</t>
  </si>
  <si>
    <t>Maximo Thermo Ayous Dark</t>
  </si>
  <si>
    <t>1x11</t>
  </si>
  <si>
    <t>TAYD11111S</t>
  </si>
  <si>
    <t>TAYD11112S</t>
  </si>
  <si>
    <t>TAYD11113S</t>
  </si>
  <si>
    <t>TAYD11114S</t>
  </si>
  <si>
    <t>TAYD11115S</t>
  </si>
  <si>
    <t>TAYD11116S</t>
  </si>
  <si>
    <t>TAYD11117S</t>
  </si>
  <si>
    <t>TAYD11118S</t>
  </si>
  <si>
    <t>TAYD1114S</t>
  </si>
  <si>
    <t>TAYD1115S</t>
  </si>
  <si>
    <t>TAYD1116S</t>
  </si>
  <si>
    <t>TAYD1117S</t>
  </si>
  <si>
    <t>TAYD1118S</t>
  </si>
  <si>
    <t>TAYD1119S</t>
  </si>
  <si>
    <t>Ayous Dark 1x6</t>
  </si>
  <si>
    <t>TAYD1610S</t>
  </si>
  <si>
    <t>Maximo Thermo Ayous Dark S4S E4E 1x6</t>
  </si>
  <si>
    <t>TAYD1611S</t>
  </si>
  <si>
    <t>TAYD1612S</t>
  </si>
  <si>
    <t>TAYD1613S</t>
  </si>
  <si>
    <t>TAYD1614S</t>
  </si>
  <si>
    <t>TAYD1615S</t>
  </si>
  <si>
    <t>TAYD1616S</t>
  </si>
  <si>
    <t>TAYD1617S</t>
  </si>
  <si>
    <t>TAYD1618S</t>
  </si>
  <si>
    <t>TAYD164S</t>
  </si>
  <si>
    <t>TAYD165S</t>
  </si>
  <si>
    <t>TAYD166S</t>
  </si>
  <si>
    <t>TAYD167S</t>
  </si>
  <si>
    <t>TAYD168S</t>
  </si>
  <si>
    <t>TAYD169S</t>
  </si>
  <si>
    <t>Ayous Dark 1x8</t>
  </si>
  <si>
    <t>TAYD1810S</t>
  </si>
  <si>
    <t>Maximo Thermo Ayous Dark S4S E4E 1x8</t>
  </si>
  <si>
    <t>TAYD1811S</t>
  </si>
  <si>
    <t>TAYD1812S</t>
  </si>
  <si>
    <t>TAYD1813S</t>
  </si>
  <si>
    <t>TAYD1814S</t>
  </si>
  <si>
    <t>TAYD1815S</t>
  </si>
  <si>
    <t>TAYD1816S</t>
  </si>
  <si>
    <t>TAYD1817S</t>
  </si>
  <si>
    <t>TAYD1818S</t>
  </si>
  <si>
    <t>TAYD184S</t>
  </si>
  <si>
    <t>TAYD185S</t>
  </si>
  <si>
    <t>TAYD186S</t>
  </si>
  <si>
    <t>TAYD187S</t>
  </si>
  <si>
    <t>TAYD188S</t>
  </si>
  <si>
    <t>TAYD189S</t>
  </si>
  <si>
    <t>Ayous Dark 2x2</t>
  </si>
  <si>
    <t>TAYD2210S</t>
  </si>
  <si>
    <t>Maximo Thermo Ayous Dark S4S E4E 2x2</t>
  </si>
  <si>
    <t>TAYD2211S</t>
  </si>
  <si>
    <t>TAYD2212S</t>
  </si>
  <si>
    <t>TAYD2213S</t>
  </si>
  <si>
    <t>TAYD2214S</t>
  </si>
  <si>
    <t>TAYD2215S</t>
  </si>
  <si>
    <t>TAYD2216S</t>
  </si>
  <si>
    <t>TAYD2217S</t>
  </si>
  <si>
    <t>TAYD2218S</t>
  </si>
  <si>
    <t>TAYD224S</t>
  </si>
  <si>
    <t>TAYD225S</t>
  </si>
  <si>
    <t>TAYD226S</t>
  </si>
  <si>
    <t>TAYD227S</t>
  </si>
  <si>
    <t>TAYD228S</t>
  </si>
  <si>
    <t>TAYD229S</t>
  </si>
  <si>
    <t>Ayous Dark 2x4</t>
  </si>
  <si>
    <t>TAYD2410S</t>
  </si>
  <si>
    <t>Maximo Thermo Ayous Dark S4S E4E 2x4</t>
  </si>
  <si>
    <t>TAYD2411S</t>
  </si>
  <si>
    <t>TAYD2412S</t>
  </si>
  <si>
    <t>TAYD2413S</t>
  </si>
  <si>
    <t>TAYD2414S</t>
  </si>
  <si>
    <t>TAYD2415S</t>
  </si>
  <si>
    <t>TAYD2416S</t>
  </si>
  <si>
    <t>TAYD2417S</t>
  </si>
  <si>
    <t>TAYD2418S</t>
  </si>
  <si>
    <t>TAYD244S</t>
  </si>
  <si>
    <t>TAYD245S</t>
  </si>
  <si>
    <t>TAYD246S</t>
  </si>
  <si>
    <t>TAYD247S</t>
  </si>
  <si>
    <t>TAYD248S</t>
  </si>
  <si>
    <t>TAYD249S</t>
  </si>
  <si>
    <t>Ayous Dark 2x6</t>
  </si>
  <si>
    <t>TAYD2610S</t>
  </si>
  <si>
    <t>Maximo Thermo Ayous Dark S4S E4E 2x6</t>
  </si>
  <si>
    <t>TAYD2611S</t>
  </si>
  <si>
    <t>TAYD2612S</t>
  </si>
  <si>
    <t>TAYD2613S</t>
  </si>
  <si>
    <t>TAYD2614S</t>
  </si>
  <si>
    <t>TAYD2615S</t>
  </si>
  <si>
    <t>TAYD2616S</t>
  </si>
  <si>
    <t>TAYD2617S</t>
  </si>
  <si>
    <t>TAYD2618S</t>
  </si>
  <si>
    <t>TAYD264S</t>
  </si>
  <si>
    <t>TAYD265S</t>
  </si>
  <si>
    <t>TAYD266S</t>
  </si>
  <si>
    <t>TAYD267S</t>
  </si>
  <si>
    <t>TAYD268S</t>
  </si>
  <si>
    <t>TAYD269S</t>
  </si>
  <si>
    <t>Maximo Thermo Ayous Dark VJoint - Square Back 1x6</t>
  </si>
  <si>
    <t>VJoint - Square Back</t>
  </si>
  <si>
    <t>TAYDVJ1616</t>
  </si>
  <si>
    <t>TAYDVJ1617</t>
  </si>
  <si>
    <t>TAYDVJ1618</t>
  </si>
  <si>
    <t>TAYDVJ164</t>
  </si>
  <si>
    <t>TAYDVJ165</t>
  </si>
  <si>
    <t>TAYDVJ166</t>
  </si>
  <si>
    <t>TAYDVJ167</t>
  </si>
  <si>
    <t>TAYDVJ169</t>
  </si>
  <si>
    <t>Maximo Thermo Ayous Fluted 1x6</t>
  </si>
  <si>
    <t>Fluted</t>
  </si>
  <si>
    <t>TAYLTG1616CL5</t>
  </si>
  <si>
    <t>TAYLTG1617CL5</t>
  </si>
  <si>
    <t>TAYLTG1618CL5</t>
  </si>
  <si>
    <t>TAYLTG164CL5</t>
  </si>
  <si>
    <t>TAYLTG165CL5</t>
  </si>
  <si>
    <t>TAYLTG166CL5</t>
  </si>
  <si>
    <t>Ayous JPL</t>
  </si>
  <si>
    <t>Ayous JPL 1x6</t>
  </si>
  <si>
    <t>TAYJPLLTG1610CL5</t>
  </si>
  <si>
    <t>Maximo Thermo Ayous JPL Fluted 1x6</t>
  </si>
  <si>
    <t>Maximo Thermo Ayous JPL</t>
  </si>
  <si>
    <t>TAYJPLLTG1611CL5</t>
  </si>
  <si>
    <t>TAYJPLLTG1612CL5</t>
  </si>
  <si>
    <t>TAYJPLLTG1613CL5</t>
  </si>
  <si>
    <t>TAYJPLLTG1614CL5</t>
  </si>
  <si>
    <t>TAYJPLLTG1615CL5</t>
  </si>
  <si>
    <t>TAYJPLLTG1616CL5</t>
  </si>
  <si>
    <t>TAYJPLLTG1617CL5</t>
  </si>
  <si>
    <t>TAYJPLLTG1618CL5</t>
  </si>
  <si>
    <t>TAYJPLLTG164CL5</t>
  </si>
  <si>
    <t>TAYJPLLTG165CL5</t>
  </si>
  <si>
    <t>TAYJPLLTG166CL5</t>
  </si>
  <si>
    <t>TAYJPLLTG167CL5</t>
  </si>
  <si>
    <t>TAYJPLLTG168CL5</t>
  </si>
  <si>
    <t>TAYJPLLTG169CL5</t>
  </si>
  <si>
    <t>Ayous JPL 1x10</t>
  </si>
  <si>
    <t>Maximo Thermo Ayous JPL S4S E4E 1x10</t>
  </si>
  <si>
    <t>TAYJPLL11012</t>
  </si>
  <si>
    <t>TAYJPLL11013</t>
  </si>
  <si>
    <t>TAYJPLL11015</t>
  </si>
  <si>
    <t>TAYJPLL11018</t>
  </si>
  <si>
    <t>TAYJPLL11019</t>
  </si>
  <si>
    <t>TAYJPLL11020</t>
  </si>
  <si>
    <t>TAYJPLL1104</t>
  </si>
  <si>
    <t>TAYJPLL1105</t>
  </si>
  <si>
    <t>TAYJPLL1106</t>
  </si>
  <si>
    <t>TAYJPLL1107</t>
  </si>
  <si>
    <t>TAYJPLL1108</t>
  </si>
  <si>
    <t>TAYJPLL1109</t>
  </si>
  <si>
    <t>Ayous JPL 1x11</t>
  </si>
  <si>
    <t>TAYJPLL11110</t>
  </si>
  <si>
    <t>Maximo Thermo Ayous JPL S4S E4E 1x11</t>
  </si>
  <si>
    <t>TAYJPLL11111</t>
  </si>
  <si>
    <t>TAYJPLL11112</t>
  </si>
  <si>
    <t>TAYJPLL11113</t>
  </si>
  <si>
    <t>TAYJPLL11114</t>
  </si>
  <si>
    <t>TAYJPLL11115</t>
  </si>
  <si>
    <t>TAYJPLL11116</t>
  </si>
  <si>
    <t>TAYJPLL11117</t>
  </si>
  <si>
    <t>TAYJPLL11118</t>
  </si>
  <si>
    <t>TAYJPLL1114</t>
  </si>
  <si>
    <t>TAYJPLL1115</t>
  </si>
  <si>
    <t>TAYJPLL1116</t>
  </si>
  <si>
    <t>TAYJPLL1117</t>
  </si>
  <si>
    <t>TAYJPLL1118</t>
  </si>
  <si>
    <t>TAYJPLL1119</t>
  </si>
  <si>
    <t>Ayous JPL 1x12</t>
  </si>
  <si>
    <t>TAYJPLL11210</t>
  </si>
  <si>
    <t>Maximo Thermo Ayous JPL S4S E4E 1x12</t>
  </si>
  <si>
    <t>TAYJPLL11211</t>
  </si>
  <si>
    <t>TAYJPLL11212</t>
  </si>
  <si>
    <t>TAYJPLL11213</t>
  </si>
  <si>
    <t>TAYJPLL11214</t>
  </si>
  <si>
    <t>TAYJPLL11215</t>
  </si>
  <si>
    <t>TAYJPLL11216</t>
  </si>
  <si>
    <t>TAYJPLL11217</t>
  </si>
  <si>
    <t>TAYJPLL11218</t>
  </si>
  <si>
    <t>TAYJPLL11219</t>
  </si>
  <si>
    <t>TAYJPLL11220</t>
  </si>
  <si>
    <t>TAYJPLL1124</t>
  </si>
  <si>
    <t>TAYJPLL1125</t>
  </si>
  <si>
    <t>TAYJPLL1126</t>
  </si>
  <si>
    <t>TAYJPLL1127</t>
  </si>
  <si>
    <t>TAYJPLL1128</t>
  </si>
  <si>
    <t>TAYJPLL1129</t>
  </si>
  <si>
    <t>Ayous JPL 1x4</t>
  </si>
  <si>
    <t>TAYJPL1410</t>
  </si>
  <si>
    <t>Maximo Thermo Ayous JPL S4S E4E 1x4</t>
  </si>
  <si>
    <t>TAYJPL1411</t>
  </si>
  <si>
    <t>TAYJPL1412</t>
  </si>
  <si>
    <t>TAYJPL1413</t>
  </si>
  <si>
    <t>TAYJPL1414</t>
  </si>
  <si>
    <t>TAYJPL1415</t>
  </si>
  <si>
    <t>TAYJPL1416</t>
  </si>
  <si>
    <t>TAYJPL1417</t>
  </si>
  <si>
    <t>TAYJPL1418</t>
  </si>
  <si>
    <t>TAYJPL144</t>
  </si>
  <si>
    <t>TAYJPL145</t>
  </si>
  <si>
    <t>TAYJPL146</t>
  </si>
  <si>
    <t>TAYJPL147</t>
  </si>
  <si>
    <t>TAYJPL148</t>
  </si>
  <si>
    <t>TAYJPL149</t>
  </si>
  <si>
    <t>TAYJPL1610S</t>
  </si>
  <si>
    <t>Maximo Thermo Ayous JPL S4S E4E 1x6</t>
  </si>
  <si>
    <t>TAYJPL1611S</t>
  </si>
  <si>
    <t>TAYJPL1612S</t>
  </si>
  <si>
    <t>TAYJPL1613S</t>
  </si>
  <si>
    <t>TAYJPL1614S</t>
  </si>
  <si>
    <t>TAYJPL1615S</t>
  </si>
  <si>
    <t>TAYJPL1616S</t>
  </si>
  <si>
    <t>TAYJPL1617S</t>
  </si>
  <si>
    <t>TAYJPL1618S</t>
  </si>
  <si>
    <t>TAYJPL164S</t>
  </si>
  <si>
    <t>TAYJPL165S</t>
  </si>
  <si>
    <t>TAYJPL166S</t>
  </si>
  <si>
    <t>TAYJPL167S</t>
  </si>
  <si>
    <t>TAYJPL168S</t>
  </si>
  <si>
    <t>TAYJPL169S</t>
  </si>
  <si>
    <t>Ayous JPL 1x8</t>
  </si>
  <si>
    <t>TAYJPLL1810</t>
  </si>
  <si>
    <t>Maximo Thermo Ayous JPL S4S E4E 1x8</t>
  </si>
  <si>
    <t>TAYJPLL1811</t>
  </si>
  <si>
    <t>TAYJPLL1812</t>
  </si>
  <si>
    <t>TAYJPLL1813</t>
  </si>
  <si>
    <t>TAYJPLL1814</t>
  </si>
  <si>
    <t>TAYJPLL1815</t>
  </si>
  <si>
    <t>TAYJPLL1816</t>
  </si>
  <si>
    <t>TAYJPLL1817</t>
  </si>
  <si>
    <t>TAYJPLL1818</t>
  </si>
  <si>
    <t>TAYJPLL1819</t>
  </si>
  <si>
    <t>TAYJPLL184</t>
  </si>
  <si>
    <t>TAYJPLL185</t>
  </si>
  <si>
    <t>TAYJPLL186</t>
  </si>
  <si>
    <t>TAYJPLL187</t>
  </si>
  <si>
    <t>TAYJPLL188</t>
  </si>
  <si>
    <t>TAYJPLL189</t>
  </si>
  <si>
    <t>Ayous JPL 2x2</t>
  </si>
  <si>
    <t>TAYJPLL2210</t>
  </si>
  <si>
    <t>Maximo Thermo Ayous JPL S4S E4E 2x2</t>
  </si>
  <si>
    <t>TAYJPLL2211</t>
  </si>
  <si>
    <t>TAYJPLL2212</t>
  </si>
  <si>
    <t>TAYJPLL2213</t>
  </si>
  <si>
    <t>TAYJPLL2214</t>
  </si>
  <si>
    <t>TAYJPLL2215</t>
  </si>
  <si>
    <t>TAYJPLL2216</t>
  </si>
  <si>
    <t>TAYJPLL2217</t>
  </si>
  <si>
    <t>TAYJPLL2218</t>
  </si>
  <si>
    <t>TAYJPLL224</t>
  </si>
  <si>
    <t>TAYJPLL226</t>
  </si>
  <si>
    <t>TAYJPLL227</t>
  </si>
  <si>
    <t>TAYJPLL228</t>
  </si>
  <si>
    <t>TAYJPLL229</t>
  </si>
  <si>
    <t>Ayous JPL 2x3</t>
  </si>
  <si>
    <t>TAYJPLLS2310</t>
  </si>
  <si>
    <t>Maximo Thermo Ayous JPL S4S E4E 2x3</t>
  </si>
  <si>
    <t>TAYJPLLS2311</t>
  </si>
  <si>
    <t>TAYJPLLS2312</t>
  </si>
  <si>
    <t>TAYJPLLS2313</t>
  </si>
  <si>
    <t>TAYJPLLS2314</t>
  </si>
  <si>
    <t>TAYJPLLS2315</t>
  </si>
  <si>
    <t>TAYJPLLS2316</t>
  </si>
  <si>
    <t>TAYJPLLS2317</t>
  </si>
  <si>
    <t>TAYJPLLS2318</t>
  </si>
  <si>
    <t>TAYJPLLS234</t>
  </si>
  <si>
    <t>TAYJPLLS235</t>
  </si>
  <si>
    <t>TAYJPLLS236</t>
  </si>
  <si>
    <t>TAYJPLLS237</t>
  </si>
  <si>
    <t>TAYJPLLS238</t>
  </si>
  <si>
    <t>TAYJPLLS239</t>
  </si>
  <si>
    <t>Ayous JPL 2x4</t>
  </si>
  <si>
    <t>TAYJPLL2410</t>
  </si>
  <si>
    <t>Maximo Thermo Ayous JPL S4S E4E 2x4</t>
  </si>
  <si>
    <t>TAYJPLL2411</t>
  </si>
  <si>
    <t>TAYJPLL2412</t>
  </si>
  <si>
    <t>TAYJPLL2413</t>
  </si>
  <si>
    <t>TAYJPLL2414</t>
  </si>
  <si>
    <t>TAYJPLL2415</t>
  </si>
  <si>
    <t>TAYJPLL2416</t>
  </si>
  <si>
    <t>TAYJPLL2417</t>
  </si>
  <si>
    <t>TAYJPLL2418</t>
  </si>
  <si>
    <t>TAYJPLL244</t>
  </si>
  <si>
    <t>TAYJPLL245</t>
  </si>
  <si>
    <t>TAYJPLL246</t>
  </si>
  <si>
    <t>TAYJPLL247</t>
  </si>
  <si>
    <t>TAYJPLL248</t>
  </si>
  <si>
    <t>TAYJPLL249</t>
  </si>
  <si>
    <t>Ayous JPL 2x6</t>
  </si>
  <si>
    <t>TAYJPLL2610</t>
  </si>
  <si>
    <t>Maximo Thermo Ayous JPL S4S E4E 2x6</t>
  </si>
  <si>
    <t>TAYJPLL2611</t>
  </si>
  <si>
    <t>TAYJPLL2612</t>
  </si>
  <si>
    <t>TAYJPLL2613</t>
  </si>
  <si>
    <t>TAYJPLL2614</t>
  </si>
  <si>
    <t>TAYJPLL2615</t>
  </si>
  <si>
    <t>TAYJPLL2616</t>
  </si>
  <si>
    <t>TAYJPLL2617</t>
  </si>
  <si>
    <t>TAYJPLL2618</t>
  </si>
  <si>
    <t>TAYJPLL2619</t>
  </si>
  <si>
    <t>TAYJPLL264</t>
  </si>
  <si>
    <t>TAYJPLL265</t>
  </si>
  <si>
    <t>TAYJPLL266</t>
  </si>
  <si>
    <t>TAYJPLL267</t>
  </si>
  <si>
    <t>TAYJPLL268</t>
  </si>
  <si>
    <t>TAYJPLL269</t>
  </si>
  <si>
    <t>Ayous JPL 5/4x4</t>
  </si>
  <si>
    <t>TAYJPL54410</t>
  </si>
  <si>
    <t>Maximo Thermo Ayous JPL S4S E4E 5/4x4</t>
  </si>
  <si>
    <t>TAYJPL54411</t>
  </si>
  <si>
    <t>TAYJPL54412</t>
  </si>
  <si>
    <t>TAYJPL54413</t>
  </si>
  <si>
    <t>TAYJPL54414</t>
  </si>
  <si>
    <t>TAYJPL54415</t>
  </si>
  <si>
    <t>TAYJPL54416</t>
  </si>
  <si>
    <t>TAYJPL54417</t>
  </si>
  <si>
    <t>TAYJPL54418</t>
  </si>
  <si>
    <t>TAYJPL5444</t>
  </si>
  <si>
    <t>TAYJPL5445</t>
  </si>
  <si>
    <t>TAYJPL5446</t>
  </si>
  <si>
    <t>TAYJPL5447</t>
  </si>
  <si>
    <t>TAYJPL5448</t>
  </si>
  <si>
    <t>TAYJPL5449</t>
  </si>
  <si>
    <t>Ayous JPL 5/4x6</t>
  </si>
  <si>
    <t>TAYJPL54610</t>
  </si>
  <si>
    <t>Maximo Thermo Ayous JPL S4S E4E 5/4x6</t>
  </si>
  <si>
    <t>TAYJPL54611</t>
  </si>
  <si>
    <t>TAYJPL54612</t>
  </si>
  <si>
    <t>TAYJPL54613</t>
  </si>
  <si>
    <t>TAYJPL54614</t>
  </si>
  <si>
    <t>TAYJPL54615</t>
  </si>
  <si>
    <t>TAYJPL54616</t>
  </si>
  <si>
    <t>TAYJPL54617</t>
  </si>
  <si>
    <t>TAYJPL54618</t>
  </si>
  <si>
    <t>TAYJPL5464</t>
  </si>
  <si>
    <t>TAYJPL5465</t>
  </si>
  <si>
    <t>TAYJPL5466</t>
  </si>
  <si>
    <t>TAYJPL5467</t>
  </si>
  <si>
    <t>TAYJPL5468</t>
  </si>
  <si>
    <t>TAYJPL5469</t>
  </si>
  <si>
    <t>TAYJPLLVJNG1610</t>
  </si>
  <si>
    <t>Maximo Thermo Ayous JPL VJoint - Nickel Gap 1x6</t>
  </si>
  <si>
    <t>VJoint - Nickel Gap</t>
  </si>
  <si>
    <t>TAYJPLLVJNG1615</t>
  </si>
  <si>
    <t>TAYJPLLVJNG1617</t>
  </si>
  <si>
    <t>TAYJPLLVJNG1618</t>
  </si>
  <si>
    <t>TAYJPLLVJNG1619</t>
  </si>
  <si>
    <t>TAYJPLLVJNG164</t>
  </si>
  <si>
    <t>TAYJPLLVJNG165</t>
  </si>
  <si>
    <t>TAYJPLLVJNG166</t>
  </si>
  <si>
    <t>TAYJPLLVJNG167</t>
  </si>
  <si>
    <t>TAYJPLLVJNG168</t>
  </si>
  <si>
    <t>TAYJPLLVJNG169</t>
  </si>
  <si>
    <t>TAYJPLLVJ1610</t>
  </si>
  <si>
    <t>Maximo Thermo Ayous JPL VJoint - Square Back 1x6</t>
  </si>
  <si>
    <t>TAYJPLLVJ1611</t>
  </si>
  <si>
    <t>TAYJPLLVJ1612</t>
  </si>
  <si>
    <t>TAYJPLLVJ1613</t>
  </si>
  <si>
    <t>TAYJPLLVJ1614</t>
  </si>
  <si>
    <t>TAYJPLLVJ1615</t>
  </si>
  <si>
    <t>TAYJPLLVJ1616</t>
  </si>
  <si>
    <t>TAYJPLLVJ1617</t>
  </si>
  <si>
    <t>TAYJPLLVJ1618</t>
  </si>
  <si>
    <t>TAYJPLLVJ1619</t>
  </si>
  <si>
    <t>TAYJPLLVJ164</t>
  </si>
  <si>
    <t>TAYJPLLVJ165</t>
  </si>
  <si>
    <t>TAYJPLLVJ166</t>
  </si>
  <si>
    <t>TAYJPLLVJ167</t>
  </si>
  <si>
    <t>TAYJPLLVJ168</t>
  </si>
  <si>
    <t>TAYJPLLVJ169</t>
  </si>
  <si>
    <t>Ayous 5/4x6</t>
  </si>
  <si>
    <t>TAYLRS54610</t>
  </si>
  <si>
    <t>Maximo Thermo Ayous Rough Sawn 5/4x6</t>
  </si>
  <si>
    <t>TAYLRS54611</t>
  </si>
  <si>
    <t>TAYLRS54612</t>
  </si>
  <si>
    <t>TAYLRS54613</t>
  </si>
  <si>
    <t>TAYLRS54614</t>
  </si>
  <si>
    <t>TAYLRS54615</t>
  </si>
  <si>
    <t>TAYLRS54616</t>
  </si>
  <si>
    <t>TAYLRS54617</t>
  </si>
  <si>
    <t>TAYLRS54618</t>
  </si>
  <si>
    <t>TAYLRS5464</t>
  </si>
  <si>
    <t>TAYLRS5465</t>
  </si>
  <si>
    <t>TAYLRS5466</t>
  </si>
  <si>
    <t>TAYLRS5467</t>
  </si>
  <si>
    <t>TAYLRS5468</t>
  </si>
  <si>
    <t>TAYLRS5469</t>
  </si>
  <si>
    <t>Ayous 1x10</t>
  </si>
  <si>
    <t>TAYL11010S</t>
  </si>
  <si>
    <t>Maximo Thermo Ayous S4S E4E 1x10</t>
  </si>
  <si>
    <t>TAYL11011S</t>
  </si>
  <si>
    <t>TAYL11012S</t>
  </si>
  <si>
    <t>TAYL11013S</t>
  </si>
  <si>
    <t>TAYL11014S</t>
  </si>
  <si>
    <t>TAYL11015S</t>
  </si>
  <si>
    <t>TAYL11016S</t>
  </si>
  <si>
    <t>TAYL11017S</t>
  </si>
  <si>
    <t>TAYL11018S</t>
  </si>
  <si>
    <t>TAYL1104S</t>
  </si>
  <si>
    <t>TAYL1105S</t>
  </si>
  <si>
    <t>TAYL1106S</t>
  </si>
  <si>
    <t>TAYL1107S</t>
  </si>
  <si>
    <t>TAYL1108S</t>
  </si>
  <si>
    <t>TAYL1109S</t>
  </si>
  <si>
    <t>Ayous 1x11</t>
  </si>
  <si>
    <t>TAYL11110S</t>
  </si>
  <si>
    <t>Maximo Thermo Ayous S4S E4E 1x11</t>
  </si>
  <si>
    <t>TAYL11111S</t>
  </si>
  <si>
    <t>TAYL11112S</t>
  </si>
  <si>
    <t>TAYL11113S</t>
  </si>
  <si>
    <t>TAYL11114S</t>
  </si>
  <si>
    <t>TAYL11115S</t>
  </si>
  <si>
    <t>TAYL11116S</t>
  </si>
  <si>
    <t>TAYL11117S</t>
  </si>
  <si>
    <t>TAYL11118S</t>
  </si>
  <si>
    <t>TAYL1114S</t>
  </si>
  <si>
    <t>TAYL1115S</t>
  </si>
  <si>
    <t>TAYL1116S</t>
  </si>
  <si>
    <t>TAYL1117S</t>
  </si>
  <si>
    <t>TAYL1118S</t>
  </si>
  <si>
    <t>TAYL1119S</t>
  </si>
  <si>
    <t>Ayous 1x4</t>
  </si>
  <si>
    <t>TAY1410S</t>
  </si>
  <si>
    <t>Maximo Thermo Ayous S4S E4E 1x4</t>
  </si>
  <si>
    <t>TAY1411S</t>
  </si>
  <si>
    <t>TAY1412S</t>
  </si>
  <si>
    <t>TAY1413S</t>
  </si>
  <si>
    <t>TAY1414S</t>
  </si>
  <si>
    <t>TAY1415S</t>
  </si>
  <si>
    <t>TAY1416S</t>
  </si>
  <si>
    <t>TAY1417S</t>
  </si>
  <si>
    <t>TAY1418S</t>
  </si>
  <si>
    <t>TAY144S</t>
  </si>
  <si>
    <t>TAY145S</t>
  </si>
  <si>
    <t>TAY146S</t>
  </si>
  <si>
    <t>TAY147S</t>
  </si>
  <si>
    <t>TAY148S</t>
  </si>
  <si>
    <t>TAY149S</t>
  </si>
  <si>
    <t>Maximo Thermo Ayous S4S E4E 1x6</t>
  </si>
  <si>
    <t>TAYL1617S</t>
  </si>
  <si>
    <t>TAYL1618S</t>
  </si>
  <si>
    <t>Ayous 1x8</t>
  </si>
  <si>
    <t>TAYL1810S</t>
  </si>
  <si>
    <t>Maximo Thermo Ayous S4S E4E 1x8</t>
  </si>
  <si>
    <t>TAYL1811S</t>
  </si>
  <si>
    <t>TAYL1812S</t>
  </si>
  <si>
    <t>TAYL1813S</t>
  </si>
  <si>
    <t>TAYL1814S</t>
  </si>
  <si>
    <t>TAYL1815S</t>
  </si>
  <si>
    <t>TAYL1816S</t>
  </si>
  <si>
    <t>TAYL1817S</t>
  </si>
  <si>
    <t>TAYL1818S</t>
  </si>
  <si>
    <t>TAYL184S</t>
  </si>
  <si>
    <t>TAYL185S</t>
  </si>
  <si>
    <t>TAYL186S</t>
  </si>
  <si>
    <t>TAYL187S</t>
  </si>
  <si>
    <t>TAYL188S</t>
  </si>
  <si>
    <t>TAYL189S</t>
  </si>
  <si>
    <t>Ayous 2x2</t>
  </si>
  <si>
    <t>TAYL2210S</t>
  </si>
  <si>
    <t>Maximo Thermo Ayous S4S E4E 2x2</t>
  </si>
  <si>
    <t>TAYL2211S</t>
  </si>
  <si>
    <t>TAYL2212S</t>
  </si>
  <si>
    <t>TAYL2213S</t>
  </si>
  <si>
    <t>TAYL2214S</t>
  </si>
  <si>
    <t>TAYL2215S</t>
  </si>
  <si>
    <t>TAYL2216S</t>
  </si>
  <si>
    <t>TAYL2217S</t>
  </si>
  <si>
    <t>TAYL2218S</t>
  </si>
  <si>
    <t>TAYL224S</t>
  </si>
  <si>
    <t>TAYL225S</t>
  </si>
  <si>
    <t>TAYJPLL225</t>
  </si>
  <si>
    <t>TAYL226S</t>
  </si>
  <si>
    <t>TAYL227S</t>
  </si>
  <si>
    <t>TAYL228S</t>
  </si>
  <si>
    <t>TAYL229S</t>
  </si>
  <si>
    <t>Ayous 2x3</t>
  </si>
  <si>
    <t>TAY2310S</t>
  </si>
  <si>
    <t>Maximo Thermo Ayous S4S E4E 2x3</t>
  </si>
  <si>
    <t>TAY2311S</t>
  </si>
  <si>
    <t>TAY2312S</t>
  </si>
  <si>
    <t>TAY2313S</t>
  </si>
  <si>
    <t>TAY2314S</t>
  </si>
  <si>
    <t>TAY2315S</t>
  </si>
  <si>
    <t>TAY2316S</t>
  </si>
  <si>
    <t>TAY2317S</t>
  </si>
  <si>
    <t>TAY2318S</t>
  </si>
  <si>
    <t>TAY234S</t>
  </si>
  <si>
    <t>TAY235S</t>
  </si>
  <si>
    <t>TAY236S</t>
  </si>
  <si>
    <t>TAY237S</t>
  </si>
  <si>
    <t>TAY238S</t>
  </si>
  <si>
    <t>TAY239S</t>
  </si>
  <si>
    <t>Ayous 2x4</t>
  </si>
  <si>
    <t>TAYL2410S</t>
  </si>
  <si>
    <t>Maximo Thermo Ayous S4S E4E 2x4</t>
  </si>
  <si>
    <t>TAYL2411S</t>
  </si>
  <si>
    <t>TAYL2412S</t>
  </si>
  <si>
    <t>TAYL2413S</t>
  </si>
  <si>
    <t>TAYL2414S</t>
  </si>
  <si>
    <t>TAYL2415S</t>
  </si>
  <si>
    <t>TAYL2416S</t>
  </si>
  <si>
    <t>TAYL2417S</t>
  </si>
  <si>
    <t>TAYL2418S</t>
  </si>
  <si>
    <t>TAYL244S</t>
  </si>
  <si>
    <t>TAYL245S</t>
  </si>
  <si>
    <t>TAYL246S</t>
  </si>
  <si>
    <t>TAYL247S</t>
  </si>
  <si>
    <t>TAYL248S</t>
  </si>
  <si>
    <t>TAYL249S</t>
  </si>
  <si>
    <t>Maximo Thermo Ayous S4S E4E 2x6</t>
  </si>
  <si>
    <t>TAYL2611S</t>
  </si>
  <si>
    <t>TAYL2612S</t>
  </si>
  <si>
    <t>TAYL2613S</t>
  </si>
  <si>
    <t>TAYL2614S</t>
  </si>
  <si>
    <t>TAYL2615S</t>
  </si>
  <si>
    <t>TAYL2616S</t>
  </si>
  <si>
    <t>TAYL2617S</t>
  </si>
  <si>
    <t>TAYL2618S</t>
  </si>
  <si>
    <t>TAYL264S</t>
  </si>
  <si>
    <t>TAYL265S</t>
  </si>
  <si>
    <t>TAYL266S</t>
  </si>
  <si>
    <t>TAYL267S</t>
  </si>
  <si>
    <t>TAYL268S</t>
  </si>
  <si>
    <t>Ayous 5/4x4</t>
  </si>
  <si>
    <t>TAY54410S</t>
  </si>
  <si>
    <t>Maximo Thermo Ayous S4S E4E 5/4x4</t>
  </si>
  <si>
    <t>TAY54412S</t>
  </si>
  <si>
    <t>TAY54413S</t>
  </si>
  <si>
    <t>TAY54414S</t>
  </si>
  <si>
    <t>TAY54415S</t>
  </si>
  <si>
    <t>TAY54416S</t>
  </si>
  <si>
    <t>TAY54417S</t>
  </si>
  <si>
    <t>TAY54418S</t>
  </si>
  <si>
    <t>TAY5444S</t>
  </si>
  <si>
    <t>TAY5445S</t>
  </si>
  <si>
    <t>TAY5446S</t>
  </si>
  <si>
    <t>TAY5448S</t>
  </si>
  <si>
    <t>TAY54610S</t>
  </si>
  <si>
    <t>Maximo Thermo Ayous S4S E4E 5/4x6</t>
  </si>
  <si>
    <t>TAY54611S</t>
  </si>
  <si>
    <t>TAY54612S</t>
  </si>
  <si>
    <t>TAY54613S</t>
  </si>
  <si>
    <t>TAY54614S</t>
  </si>
  <si>
    <t>TAY54615S</t>
  </si>
  <si>
    <t>TAY54616S</t>
  </si>
  <si>
    <t>TAY54617S</t>
  </si>
  <si>
    <t>TAY54618S</t>
  </si>
  <si>
    <t>TAY5464S</t>
  </si>
  <si>
    <t>TAY5465S</t>
  </si>
  <si>
    <t>TAY5466S</t>
  </si>
  <si>
    <t>TAY5467S</t>
  </si>
  <si>
    <t>TAY5468S</t>
  </si>
  <si>
    <t>TAY5469S</t>
  </si>
  <si>
    <t>TAYLNGVJBB1610</t>
  </si>
  <si>
    <t>Maximo Thermo Ayous VJoint - Nickel Gap Burn Blocked 1x6</t>
  </si>
  <si>
    <t>Burn Blocked</t>
  </si>
  <si>
    <t>TAYLNGVJBB1611</t>
  </si>
  <si>
    <t>TAYLNGVJBB1612</t>
  </si>
  <si>
    <t>TAYLNGVJBB1613</t>
  </si>
  <si>
    <t>TAYLNGVJBB1614</t>
  </si>
  <si>
    <t>TAYLNGVJBB1615</t>
  </si>
  <si>
    <t>TAYLNGVJBB1616</t>
  </si>
  <si>
    <t>TAYLNGVJBB1617</t>
  </si>
  <si>
    <t>TAYLNGVJBB1618</t>
  </si>
  <si>
    <t>TAYLNGVJBB164</t>
  </si>
  <si>
    <t>TAYLNGVJBB165</t>
  </si>
  <si>
    <t>TAYLNGVJBB166</t>
  </si>
  <si>
    <t>TAYLNGVJBB167</t>
  </si>
  <si>
    <t>TAYLNGVJBB168</t>
  </si>
  <si>
    <t>TAYLNGVJBB169</t>
  </si>
  <si>
    <t>TAYCSAINGVJ1610</t>
  </si>
  <si>
    <t>Maximo Thermo Ayous VJoint - Nickel Gap Pre Finished - Saicos 1x6</t>
  </si>
  <si>
    <t>Pre Finished - Saicos</t>
  </si>
  <si>
    <t>TAYCSAINGVJ1611</t>
  </si>
  <si>
    <t>TAYCSAINGVJ1612</t>
  </si>
  <si>
    <t>TAYCSAINGVJ1613</t>
  </si>
  <si>
    <t>TAYCSAINGVJ1614</t>
  </si>
  <si>
    <t>TAYCSAINGVJ1615</t>
  </si>
  <si>
    <t>TAYCSAINGVJ1616</t>
  </si>
  <si>
    <t>TAYCSAINGVJ1617</t>
  </si>
  <si>
    <t>TAYCSAINGVJ1618</t>
  </si>
  <si>
    <t>TAYCSAINGVJ164</t>
  </si>
  <si>
    <t>TAYCSAINGVJ165</t>
  </si>
  <si>
    <t>TAYCSAINGVJ166</t>
  </si>
  <si>
    <t>TAYCSAINGVJ167</t>
  </si>
  <si>
    <t>TAYCSAINGVJ168</t>
  </si>
  <si>
    <t>TAYCSAINGVJ169</t>
  </si>
  <si>
    <t>TAYCNGVJ1610</t>
  </si>
  <si>
    <t>Maximo Thermo Ayous VJoint - Nickel Gap Pre Finished - Hemel 1x6</t>
  </si>
  <si>
    <t>Pre Finished - Hemel</t>
  </si>
  <si>
    <t>TAYCNGVJ1611</t>
  </si>
  <si>
    <t>TAYCNGVJ1612</t>
  </si>
  <si>
    <t>TAYCNGVJ1613</t>
  </si>
  <si>
    <t>TAYCNGVJ1615</t>
  </si>
  <si>
    <t>TAYCNGVJ1616</t>
  </si>
  <si>
    <t>TAYCNGVJ1617</t>
  </si>
  <si>
    <t>TAYCNGVJ1618</t>
  </si>
  <si>
    <t>TAYCNGVJ164</t>
  </si>
  <si>
    <t>TAYCNGVJ165</t>
  </si>
  <si>
    <t>TAYCNGVJ166</t>
  </si>
  <si>
    <t>TAYCNGVJ167</t>
  </si>
  <si>
    <t>TAYCNGVJ169</t>
  </si>
  <si>
    <t>Maximo Thermo Ayous VJoint - Nickel Gap 1x6</t>
  </si>
  <si>
    <t>TAYLNGVJ1617</t>
  </si>
  <si>
    <t>TAYLNGVJ1618</t>
  </si>
  <si>
    <t>Maximo Thermo Ayous VJoint - Square Back 1x4</t>
  </si>
  <si>
    <t>TAYLNGVJ1410</t>
  </si>
  <si>
    <t>Maximo Thermo Ayous VJoint - Nickel Gap 1x4</t>
  </si>
  <si>
    <t>TAYVJ1411</t>
  </si>
  <si>
    <t>TAYLNGVJ1411</t>
  </si>
  <si>
    <t>TAYVJ1412</t>
  </si>
  <si>
    <t>TAYLNGVJ1412</t>
  </si>
  <si>
    <t>TAYVJ1413</t>
  </si>
  <si>
    <t>TAYLNGVJ1413</t>
  </si>
  <si>
    <t>TAYLNGVJ1414</t>
  </si>
  <si>
    <t>TAYLNGVJ1415</t>
  </si>
  <si>
    <t>TAYLNGVJ1416</t>
  </si>
  <si>
    <t>TAYVJ1417</t>
  </si>
  <si>
    <t>TAYLNGVJ1417</t>
  </si>
  <si>
    <t>TAYVJ1418</t>
  </si>
  <si>
    <t>TAYLNGVJ1418</t>
  </si>
  <si>
    <t>TAYVJ144</t>
  </si>
  <si>
    <t>TAYLNGVJ144</t>
  </si>
  <si>
    <t>TAYVJ145</t>
  </si>
  <si>
    <t>TAYLNGVJ145</t>
  </si>
  <si>
    <t>TAYLNGVJ146</t>
  </si>
  <si>
    <t>TAYLNGVJ147</t>
  </si>
  <si>
    <t>TAYVJ148</t>
  </si>
  <si>
    <t>TAYLNGVJ148</t>
  </si>
  <si>
    <t>TAYLNGVJ149</t>
  </si>
  <si>
    <t>Maximo Thermo Ayous VJoint - Square Back 1x6</t>
  </si>
  <si>
    <t>TAYLVJ1612</t>
  </si>
  <si>
    <t>TAYLVJ165</t>
  </si>
  <si>
    <t>MN720099-001</t>
  </si>
  <si>
    <t>Maximo Thermo Ayous VJoint - Square Back 1x8</t>
  </si>
  <si>
    <t>MN720099-000</t>
  </si>
  <si>
    <t>TAYLFVJ1610</t>
  </si>
  <si>
    <t>Maximo Thermo Ayous VJoint - Square Back 3 Faces 1x6</t>
  </si>
  <si>
    <t>VJoint - Square Back 3 Sides</t>
  </si>
  <si>
    <t>TAYLFVJ1611</t>
  </si>
  <si>
    <t>TAYLFVJ1612</t>
  </si>
  <si>
    <t>TAYLFVJ1613</t>
  </si>
  <si>
    <t>TAYLFVJ1614</t>
  </si>
  <si>
    <t>TAYLFVJ1615</t>
  </si>
  <si>
    <t>TAYLFVJ1616</t>
  </si>
  <si>
    <t>TAYLFVJ1617</t>
  </si>
  <si>
    <t>TAYLFVJ1618</t>
  </si>
  <si>
    <t>TAYLFVJ164</t>
  </si>
  <si>
    <t>TAYLFVJ165</t>
  </si>
  <si>
    <t>TAYLFVJ166</t>
  </si>
  <si>
    <t>TAYLFVJ167</t>
  </si>
  <si>
    <t>TAYLFVJ168</t>
  </si>
  <si>
    <t>TAYLFVJ169</t>
  </si>
  <si>
    <t>Radiata</t>
  </si>
  <si>
    <t>Radiata 1x5</t>
  </si>
  <si>
    <t>TCRNGOPX1510</t>
  </si>
  <si>
    <t>Maximo Thermo Clear Radiata Nickel Gap OPX 1x5</t>
  </si>
  <si>
    <t>Maximo Thermo Clear Radiata</t>
  </si>
  <si>
    <t>Nickel Gap</t>
  </si>
  <si>
    <t>OPX</t>
  </si>
  <si>
    <t>1x5</t>
  </si>
  <si>
    <t>TCRNGOPX1511</t>
  </si>
  <si>
    <t>TCRNGOPX1512</t>
  </si>
  <si>
    <t>TCRNGOPX1513</t>
  </si>
  <si>
    <t>TCRNGOPX1514</t>
  </si>
  <si>
    <t>TCRNGOPX1515</t>
  </si>
  <si>
    <t>TCRNGOPX1516</t>
  </si>
  <si>
    <t>TCRNGOPX1517</t>
  </si>
  <si>
    <t>TCRNGOPX1518</t>
  </si>
  <si>
    <t>TCRNGOPX154</t>
  </si>
  <si>
    <t>TCRNGOPX155</t>
  </si>
  <si>
    <t>TCRNGOPX156</t>
  </si>
  <si>
    <t>TCRNGOPX157</t>
  </si>
  <si>
    <t>TCRNGOPX158</t>
  </si>
  <si>
    <t>TCRNGOPX159</t>
  </si>
  <si>
    <t>Radiata 1x6</t>
  </si>
  <si>
    <t>Maximo Thermo Clear Radiata Nickel Gap OPX 1x6</t>
  </si>
  <si>
    <t>TCRNGOPX1617</t>
  </si>
  <si>
    <t>TCRNGOPX165</t>
  </si>
  <si>
    <t>TCRNGOPX166</t>
  </si>
  <si>
    <t>TCRNGOPX168</t>
  </si>
  <si>
    <t>TCRBNG1610</t>
  </si>
  <si>
    <t>Maximo Thermo Clear Radiata Nickel Gap Pre Finished Black 1x6</t>
  </si>
  <si>
    <t>Pre Finished Black</t>
  </si>
  <si>
    <t>TCRBNG1611</t>
  </si>
  <si>
    <t>TCRBNG1612</t>
  </si>
  <si>
    <t>TCRBNG1613</t>
  </si>
  <si>
    <t>TCRBNG1615</t>
  </si>
  <si>
    <t>TCRBNG1617</t>
  </si>
  <si>
    <t>TCRBNG1618</t>
  </si>
  <si>
    <t>TCRBNG163</t>
  </si>
  <si>
    <t>TCRBNG164</t>
  </si>
  <si>
    <t>TCRBNG165</t>
  </si>
  <si>
    <t>TCRBNG166</t>
  </si>
  <si>
    <t>TCRBNG167</t>
  </si>
  <si>
    <t>TCRBNG168</t>
  </si>
  <si>
    <t>TCRBNG169</t>
  </si>
  <si>
    <t>TCRWNG1610</t>
  </si>
  <si>
    <t>Maximo Thermo Clear Radiata Nickel Gap Pre Finished White 1x6</t>
  </si>
  <si>
    <t>Pre Finished White</t>
  </si>
  <si>
    <t>TCRWNG1611</t>
  </si>
  <si>
    <t>TCRWNG1612</t>
  </si>
  <si>
    <t>TCRWNG1613</t>
  </si>
  <si>
    <t>TCRWNG1614</t>
  </si>
  <si>
    <t>TCRWNG1615</t>
  </si>
  <si>
    <t>TCRWNG1616</t>
  </si>
  <si>
    <t>TCRWNG1617</t>
  </si>
  <si>
    <t>TCRWNG1618</t>
  </si>
  <si>
    <t>TCRWNG164</t>
  </si>
  <si>
    <t>TCRWNG165</t>
  </si>
  <si>
    <t>TCRWNG166</t>
  </si>
  <si>
    <t>TCRWNG167</t>
  </si>
  <si>
    <t>TCRWNG168</t>
  </si>
  <si>
    <t>TCRWNG169</t>
  </si>
  <si>
    <t>TCRNGWB1510</t>
  </si>
  <si>
    <t>Maximo Thermo Clear Radiata Nickel Gap Wire Brushed 1x5</t>
  </si>
  <si>
    <t>Wire Brush</t>
  </si>
  <si>
    <t>TCRNGWB1511</t>
  </si>
  <si>
    <t>TCRNGWB1512</t>
  </si>
  <si>
    <t>TCRNGWB1513</t>
  </si>
  <si>
    <t>TCRNGWB1514</t>
  </si>
  <si>
    <t>TCRNGWB1515</t>
  </si>
  <si>
    <t>TCRNGWB1517</t>
  </si>
  <si>
    <t>TCRNGWB1518</t>
  </si>
  <si>
    <t>TCRNGWB154</t>
  </si>
  <si>
    <t>TCRNGWB155</t>
  </si>
  <si>
    <t>TCRNGWB156</t>
  </si>
  <si>
    <t>TCRNGWB157</t>
  </si>
  <si>
    <t>TCRNGWB158</t>
  </si>
  <si>
    <t>TCRNGWB159</t>
  </si>
  <si>
    <t>Radiata 3/8x4</t>
  </si>
  <si>
    <t>TCRNGOPX38410</t>
  </si>
  <si>
    <t>Maximo Thermo Clear Radiata Nickel Gap 3/8x4</t>
  </si>
  <si>
    <t>3/8x4</t>
  </si>
  <si>
    <t>TCRNGOPX38411</t>
  </si>
  <si>
    <t>TCRNGOPX38412</t>
  </si>
  <si>
    <t>TCRNGOPX38413</t>
  </si>
  <si>
    <t>TCRNGOPX38414</t>
  </si>
  <si>
    <t>TCRNGOPX38415</t>
  </si>
  <si>
    <t>TCRNGOPX38416</t>
  </si>
  <si>
    <t>TCRNGOPX38417</t>
  </si>
  <si>
    <t>TCRNGOPX38418</t>
  </si>
  <si>
    <t>TCRNGOPX3844</t>
  </si>
  <si>
    <t>TCRNGOPX3845</t>
  </si>
  <si>
    <t>TCRNGOPX3846</t>
  </si>
  <si>
    <t>TCRNGOPX3847</t>
  </si>
  <si>
    <t>TCRNGOPX3848</t>
  </si>
  <si>
    <t>TCRNGOPX3849</t>
  </si>
  <si>
    <t>Radiata 1x12</t>
  </si>
  <si>
    <t>TCRS11210</t>
  </si>
  <si>
    <t>Maximo Thermo Clear Radiata S4S 1x12</t>
  </si>
  <si>
    <t>S4S</t>
  </si>
  <si>
    <t>TCRS11211</t>
  </si>
  <si>
    <t>TCRS11212</t>
  </si>
  <si>
    <t>TCRS11213</t>
  </si>
  <si>
    <t>TCRS11214</t>
  </si>
  <si>
    <t>TCRS11215</t>
  </si>
  <si>
    <t>TCRS11216</t>
  </si>
  <si>
    <t>TCRS11217</t>
  </si>
  <si>
    <t>TCRS11218</t>
  </si>
  <si>
    <t>TCRS1124</t>
  </si>
  <si>
    <t>TCRS1125</t>
  </si>
  <si>
    <t>TCRS1126</t>
  </si>
  <si>
    <t>TCRS1127</t>
  </si>
  <si>
    <t>TCRS1128</t>
  </si>
  <si>
    <t>TCRS1129</t>
  </si>
  <si>
    <t>Radiata 1x8</t>
  </si>
  <si>
    <t>TCRS1810</t>
  </si>
  <si>
    <t>Maximo Thermo Clear Radiata S4S 1x8</t>
  </si>
  <si>
    <t>TCRS1811</t>
  </si>
  <si>
    <t>TCRS1812</t>
  </si>
  <si>
    <t>TCRS1813</t>
  </si>
  <si>
    <t>TCRS1814</t>
  </si>
  <si>
    <t>TCRS1815</t>
  </si>
  <si>
    <t>TCRS1816</t>
  </si>
  <si>
    <t>TCRS1817</t>
  </si>
  <si>
    <t>TCRS1818</t>
  </si>
  <si>
    <t>TCRS184</t>
  </si>
  <si>
    <t>TCRS185</t>
  </si>
  <si>
    <t>TCRS186</t>
  </si>
  <si>
    <t>TCRS187</t>
  </si>
  <si>
    <t>TCRS188</t>
  </si>
  <si>
    <t>TCRS189</t>
  </si>
  <si>
    <t>Maximo Thermo Clear Radiata S4S E4E OPX 1x6</t>
  </si>
  <si>
    <t>TCRSOPX1611</t>
  </si>
  <si>
    <t>TCRSOPX1613</t>
  </si>
  <si>
    <t>TCRSOPX1615</t>
  </si>
  <si>
    <t>TCRSOPX1617</t>
  </si>
  <si>
    <t>TCRSOPX164</t>
  </si>
  <si>
    <t>TCRSOPX165</t>
  </si>
  <si>
    <t>TCRSOPX166</t>
  </si>
  <si>
    <t>TCRSOPX168</t>
  </si>
  <si>
    <t>Radiata 2x6</t>
  </si>
  <si>
    <t>TCRSOPX2610</t>
  </si>
  <si>
    <t>Maximo Thermo Clear Radiata S4S E4E OPX 2x6</t>
  </si>
  <si>
    <t>TCRSOPX2611</t>
  </si>
  <si>
    <t>TCRSOPX2612</t>
  </si>
  <si>
    <t>TCRSOPX2613</t>
  </si>
  <si>
    <t>TCRSOPX2614</t>
  </si>
  <si>
    <t>TCRSOPX2615</t>
  </si>
  <si>
    <t>TCRSOPX2616</t>
  </si>
  <si>
    <t>TCRSOPX2617</t>
  </si>
  <si>
    <t>TCRSOPX2618</t>
  </si>
  <si>
    <t>TCRSOPX264</t>
  </si>
  <si>
    <t>TCRSOPX265</t>
  </si>
  <si>
    <t>TCRSOPX266</t>
  </si>
  <si>
    <t>TCRSOPX267</t>
  </si>
  <si>
    <t>TCRSOPX268</t>
  </si>
  <si>
    <t>TCRSOPX269</t>
  </si>
  <si>
    <t>Radiata 5/4x6</t>
  </si>
  <si>
    <t>TCRSOPX54610</t>
  </si>
  <si>
    <t>Maximo Thermo Clear Radiata S4S E4E OPX 5/4x6</t>
  </si>
  <si>
    <t>TCRSOPX54611</t>
  </si>
  <si>
    <t>TCRSOPX54612</t>
  </si>
  <si>
    <t>TCRSOPX54613</t>
  </si>
  <si>
    <t>TCRSOPX54615</t>
  </si>
  <si>
    <t>TCRSOPX54616</t>
  </si>
  <si>
    <t>TCRSOPX54617</t>
  </si>
  <si>
    <t>TCRSOPX54618</t>
  </si>
  <si>
    <t>TCRSOPX5464</t>
  </si>
  <si>
    <t>TCRSOPX5465</t>
  </si>
  <si>
    <t>TCRSOPX5466</t>
  </si>
  <si>
    <t>TCRSOPX5467</t>
  </si>
  <si>
    <t>TCRSOPX5468</t>
  </si>
  <si>
    <t>TCRSOPX5469</t>
  </si>
  <si>
    <t>TCRS1610</t>
  </si>
  <si>
    <t>Maximo Thermo Clear Radiata S4S E4E 1x6</t>
  </si>
  <si>
    <t>TCRS1611</t>
  </si>
  <si>
    <t>TCRS1612</t>
  </si>
  <si>
    <t>TCRS1613</t>
  </si>
  <si>
    <t>TCRS1614</t>
  </si>
  <si>
    <t>TCRS1615</t>
  </si>
  <si>
    <t>TCRS1616</t>
  </si>
  <si>
    <t>TCRS1617</t>
  </si>
  <si>
    <t>TCRS1618</t>
  </si>
  <si>
    <t>TCRS164</t>
  </si>
  <si>
    <t>TCRS165</t>
  </si>
  <si>
    <t>TCRS166</t>
  </si>
  <si>
    <t>TCRS167</t>
  </si>
  <si>
    <t>TCRS168</t>
  </si>
  <si>
    <t>TCRS169</t>
  </si>
  <si>
    <t>TCRVJSB38410</t>
  </si>
  <si>
    <t>Maximo Thermo Clear Radiata VJoint - Square Back 3/8x4</t>
  </si>
  <si>
    <t>TCRVJSB38411</t>
  </si>
  <si>
    <t>TCRVJSB38412</t>
  </si>
  <si>
    <t>TCRVJSB38413</t>
  </si>
  <si>
    <t>TCRVJSB38414</t>
  </si>
  <si>
    <t>TCRVJSB38415</t>
  </si>
  <si>
    <t>TCRVJSB38416</t>
  </si>
  <si>
    <t>TCRVJSB38417</t>
  </si>
  <si>
    <t>TCRVJSB38418</t>
  </si>
  <si>
    <t>TCRVJSB3844</t>
  </si>
  <si>
    <t>TCRVJSB3845</t>
  </si>
  <si>
    <t>TCRVJSB3846</t>
  </si>
  <si>
    <t>TCRVJSB3847</t>
  </si>
  <si>
    <t>TCRVJSB3848</t>
  </si>
  <si>
    <t>TCRVJSB3849</t>
  </si>
  <si>
    <t>Scandinavian Pine</t>
  </si>
  <si>
    <t>Scandinavian Pine 1x6</t>
  </si>
  <si>
    <t>TPTG1610CL5</t>
  </si>
  <si>
    <t>Maximo Thermo Scandinavian Pine Fluted 1x6</t>
  </si>
  <si>
    <t>Maximo Thermo Scandinavian Pine</t>
  </si>
  <si>
    <t>TPTG1611CL5</t>
  </si>
  <si>
    <t>TPTG1612CL5</t>
  </si>
  <si>
    <t>TPTG1613CL5</t>
  </si>
  <si>
    <t>TPTG1614CL5</t>
  </si>
  <si>
    <t>TPTG1615CL5</t>
  </si>
  <si>
    <t>TPTG1616CL5</t>
  </si>
  <si>
    <t>TPTG1617CL5</t>
  </si>
  <si>
    <t>TPTG1618CL5</t>
  </si>
  <si>
    <t>TPTG164CL5</t>
  </si>
  <si>
    <t>TPTG165CL5</t>
  </si>
  <si>
    <t>TPTG166CL5</t>
  </si>
  <si>
    <t>TPTG167CL5</t>
  </si>
  <si>
    <t>TPTG168CL5</t>
  </si>
  <si>
    <t>TPTG169CL5</t>
  </si>
  <si>
    <t>Scandinavian Pine 2x4</t>
  </si>
  <si>
    <t>TP2410S</t>
  </si>
  <si>
    <t>Maximo Thermo Scandinavian Pine S4S E4E 2x4</t>
  </si>
  <si>
    <t>TP2411S</t>
  </si>
  <si>
    <t>TP2412S</t>
  </si>
  <si>
    <t>TP2413S</t>
  </si>
  <si>
    <t>TP2414S</t>
  </si>
  <si>
    <t>TP2415S</t>
  </si>
  <si>
    <t>TP2416S</t>
  </si>
  <si>
    <t>TP2417S</t>
  </si>
  <si>
    <t>TP2418S</t>
  </si>
  <si>
    <t>TP2419S</t>
  </si>
  <si>
    <t>TP244S</t>
  </si>
  <si>
    <t>TP245S</t>
  </si>
  <si>
    <t>TP246S</t>
  </si>
  <si>
    <t>TP247S</t>
  </si>
  <si>
    <t>TP248S</t>
  </si>
  <si>
    <t>TP249S</t>
  </si>
  <si>
    <t>Scandinavian Pine 5/4x6</t>
  </si>
  <si>
    <t>TP54610S</t>
  </si>
  <si>
    <t>Maximo Thermo Scandinavian Pine S4S E4E 5/4x6</t>
  </si>
  <si>
    <t>TP54611S</t>
  </si>
  <si>
    <t>TP54612S</t>
  </si>
  <si>
    <t>TP54613S</t>
  </si>
  <si>
    <t>TP54614S</t>
  </si>
  <si>
    <t>TP54615S</t>
  </si>
  <si>
    <t>TP54616S</t>
  </si>
  <si>
    <t>TP54617S</t>
  </si>
  <si>
    <t>TP54618S</t>
  </si>
  <si>
    <t>TP5464S</t>
  </si>
  <si>
    <t>TP5465S</t>
  </si>
  <si>
    <t>TP5466S</t>
  </si>
  <si>
    <t>TP5467S</t>
  </si>
  <si>
    <t>TP5468S</t>
  </si>
  <si>
    <t>TP5469S</t>
  </si>
  <si>
    <t>Maximo Thermo Scandinavian Pine VJoint - Nickel Gap 1x6</t>
  </si>
  <si>
    <t>TPNGVJ1616</t>
  </si>
  <si>
    <t>TPNGVJ1618</t>
  </si>
  <si>
    <t>TPNGVJ164</t>
  </si>
  <si>
    <t>TPNGVJ166</t>
  </si>
  <si>
    <t>Maximo Thermo Scandinavian Pine VJoint - Square Back 1x6</t>
  </si>
  <si>
    <t>TPVJ1616S</t>
  </si>
  <si>
    <t>TPVJ1618S</t>
  </si>
  <si>
    <t>TPVJ164S</t>
  </si>
  <si>
    <t>Scandinavian Pine 5/8x4</t>
  </si>
  <si>
    <t>TPVJ58410S</t>
  </si>
  <si>
    <t>Maximo Thermo Scandinavian Pine VJoint - Square Back 5/8x4</t>
  </si>
  <si>
    <t>5/8x4</t>
  </si>
  <si>
    <t>TPVJ58411S</t>
  </si>
  <si>
    <t>TPVJ58416S</t>
  </si>
  <si>
    <t>TPVJ58417S</t>
  </si>
  <si>
    <t>TPVJ58418S</t>
  </si>
  <si>
    <t>TPVJ5844S</t>
  </si>
  <si>
    <t>TPVJ5845S</t>
  </si>
  <si>
    <t>TPVJ5846S</t>
  </si>
  <si>
    <t>TPVJ5847S</t>
  </si>
  <si>
    <t>TPVJ5848S</t>
  </si>
  <si>
    <t>TPVJ5849S</t>
  </si>
  <si>
    <t>Ayous 1x6 Plus</t>
  </si>
  <si>
    <t>TAYLNGVJ1612P</t>
  </si>
  <si>
    <t>Maximo Thermo Ayous VJoint - Nickel Gap 1x6 Plus</t>
  </si>
  <si>
    <t>TAYLNGVJ1613P</t>
  </si>
  <si>
    <t>TAYLNGVJ1614P</t>
  </si>
  <si>
    <t>TAYLNGVJ1615P</t>
  </si>
  <si>
    <t>TAYLNGVJ1616P</t>
  </si>
  <si>
    <t>TAYLNGVJ1617P</t>
  </si>
  <si>
    <t>TAYLNGVJ1618P</t>
  </si>
  <si>
    <t>TAYLNGVJ164P</t>
  </si>
  <si>
    <t>TAYLNGVJ165P</t>
  </si>
  <si>
    <t>TAYLNGVJ166P</t>
  </si>
  <si>
    <t>TAYLNGVJ167P</t>
  </si>
  <si>
    <t>TAYLNGVJ1610P</t>
  </si>
  <si>
    <t>TAYLNGVJ168P</t>
  </si>
  <si>
    <t>TAYLNGVJ1611P</t>
  </si>
  <si>
    <t>TAYLNGVJ169P</t>
  </si>
  <si>
    <t>Abodo</t>
  </si>
  <si>
    <t>Abodo 4L</t>
  </si>
  <si>
    <t>ABPWBNERO4L</t>
  </si>
  <si>
    <t>Nero Abodo Protector Water Born 4L</t>
  </si>
  <si>
    <t>Nero</t>
  </si>
  <si>
    <t>Abodo Protector Water Born</t>
  </si>
  <si>
    <t>4L</t>
  </si>
  <si>
    <t>Wawa</t>
  </si>
  <si>
    <t>Wawa 1x6</t>
  </si>
  <si>
    <t>Wawa S4S Tongue &amp; Grooved 1x6</t>
  </si>
  <si>
    <t>S4S Tongue &amp; Grooved</t>
  </si>
  <si>
    <t>WAKDTGVJ1611</t>
  </si>
  <si>
    <t>WAKDTGVJ1613</t>
  </si>
  <si>
    <t>WAKDTGVJ1614</t>
  </si>
  <si>
    <t>WAKDTGVJ1615</t>
  </si>
  <si>
    <t>WAKDTGVJ1616</t>
  </si>
  <si>
    <t>WAKDTGVJ1617</t>
  </si>
  <si>
    <t>WAKDTGVJ1618</t>
  </si>
  <si>
    <t>WAKDTGVJ164</t>
  </si>
  <si>
    <t>WAKDTGVJ165</t>
  </si>
  <si>
    <t>WAKDTGVJ166</t>
  </si>
  <si>
    <t>WAKDTGVJ167</t>
  </si>
  <si>
    <t>WAKDTGVJ168</t>
  </si>
  <si>
    <t>WAKDTGVJ169</t>
  </si>
  <si>
    <t>ABPWBWHITE4L</t>
  </si>
  <si>
    <t>White Abodo Protector Water Born 4L</t>
  </si>
  <si>
    <t>US4</t>
  </si>
  <si>
    <t>US4 10L</t>
  </si>
  <si>
    <t>Ayous Natural US4 Everclad Aqua Oil Transparent</t>
  </si>
  <si>
    <t>US4 Everclad Aqua Oil</t>
  </si>
  <si>
    <t>US4 2,5L</t>
  </si>
  <si>
    <t>US4 0,750ml</t>
  </si>
  <si>
    <t>US4 0,125ml</t>
  </si>
  <si>
    <t>Bangkirai US4 Everclad Aqua Oil Opaque</t>
  </si>
  <si>
    <t>Bangkirai US4 Everclad Aqua Oil Transparent</t>
  </si>
  <si>
    <t>Bangkirai US4 Everdeck Oil</t>
  </si>
  <si>
    <t>US4 Everdeck Oil</t>
  </si>
  <si>
    <t>Conditioner US4 Everclad Aqua Oil Transparent</t>
  </si>
  <si>
    <t>Conditioner US4 Everdeck Oil</t>
  </si>
  <si>
    <t>Deep Black US4 Everclad Aqua Oil Opaque</t>
  </si>
  <si>
    <t>Ebony US4 Everclad Aqua Oil Opaque</t>
  </si>
  <si>
    <t>Ebony US4 Everclad Aqua Oil Transparent</t>
  </si>
  <si>
    <t>Oak US4 Everclad Aqua Oil Opaque</t>
  </si>
  <si>
    <t>Oak US4 Everclad Aqua Oil Transparent</t>
  </si>
  <si>
    <t>Pearl White US4 Everclad Aqua Oil Transparent</t>
  </si>
  <si>
    <t>Kit</t>
  </si>
  <si>
    <t>Pro Deck Clip Kit 175 Count - US4 SS304 - Black</t>
  </si>
  <si>
    <t>Pro Deck Clip Kit 175 Count</t>
  </si>
  <si>
    <t>US4 SS304 - Black</t>
  </si>
  <si>
    <t>Taupe US4 Everdeck Oil</t>
  </si>
  <si>
    <t>Teak US4 Everclad Aqua Oil Opaque</t>
  </si>
  <si>
    <t>Teak US4 Everclad Aqua Oil Transparent</t>
  </si>
  <si>
    <t>Teak US4 Everdeck Oil</t>
  </si>
  <si>
    <t>Thermowood US4 Everdeck Oil</t>
  </si>
  <si>
    <t>Walnut US4 Everclad Aqua Oil Opaque</t>
  </si>
  <si>
    <t>Walnut US4 Everclad Aqua Oil Transparent</t>
  </si>
  <si>
    <t>White Oak US4 Everclad Aqua Oil Opaque</t>
  </si>
  <si>
    <t>White Oak US4 Everclad Aqua Oil Transparent</t>
  </si>
  <si>
    <t>Woca</t>
  </si>
  <si>
    <t>Woca 18L</t>
  </si>
  <si>
    <t>WOEXTOILBIPE18L</t>
  </si>
  <si>
    <t>Brown Ipe 18L Woca Denmark Industrial Exterior Oil Sp Natural</t>
  </si>
  <si>
    <t>Brown Ipe</t>
  </si>
  <si>
    <t>18L Woca Denmark Industrial Exterior Oil Sp Natural</t>
  </si>
  <si>
    <t>18L</t>
  </si>
  <si>
    <t>WOEXTOILTRCON18L</t>
  </si>
  <si>
    <t>Tropical Conditioning 18L Industrial Exterior Oil Sp Natural</t>
  </si>
  <si>
    <t>Tropical Conditioning</t>
  </si>
  <si>
    <t>18L Industrial Exterior Oil Sp Natural</t>
  </si>
  <si>
    <t>Wood Table</t>
  </si>
  <si>
    <t>Cascade</t>
  </si>
  <si>
    <t>Regular</t>
  </si>
  <si>
    <t>CASCADETABLE</t>
  </si>
  <si>
    <t>Cascade Wood Table</t>
  </si>
  <si>
    <t>Double</t>
  </si>
  <si>
    <t>DBCASCADETABLE</t>
  </si>
  <si>
    <t>Double Cascade Wood Table</t>
  </si>
  <si>
    <t>Double Cascade</t>
  </si>
  <si>
    <t>DBCASCADETABLEWG</t>
  </si>
  <si>
    <t>Double Cascade Wood Table with Glass</t>
  </si>
  <si>
    <t>Wood Table with Glass</t>
  </si>
  <si>
    <t>Slab</t>
  </si>
  <si>
    <t>RWTSLAB</t>
  </si>
  <si>
    <t>Round Wood Table Slab</t>
  </si>
  <si>
    <t>Round Wood</t>
  </si>
  <si>
    <t>Table Slab</t>
  </si>
  <si>
    <t>SWSLAB</t>
  </si>
  <si>
    <t>Saman Wood Table</t>
  </si>
  <si>
    <t>Saman</t>
  </si>
  <si>
    <t>Armchair</t>
  </si>
  <si>
    <t>SOC96848-000</t>
  </si>
  <si>
    <t>Wood Furniture Armchair Dama</t>
  </si>
  <si>
    <t>Dama</t>
  </si>
  <si>
    <t>SOC96848-001</t>
  </si>
  <si>
    <t>Table</t>
  </si>
  <si>
    <t>SOC96848-002</t>
  </si>
  <si>
    <t>Wood Furniture Table Dama</t>
  </si>
  <si>
    <t>WOODTABLE1</t>
  </si>
  <si>
    <t>Wood Table 1</t>
  </si>
  <si>
    <t>WOODTABLE2</t>
  </si>
  <si>
    <t>Wood Table 2</t>
  </si>
  <si>
    <t>TPNGVJ58410</t>
  </si>
  <si>
    <t>Maximo Thermo Scandinavian Pine VJoint - Nickel Gap 5/8x4</t>
  </si>
  <si>
    <t>TPNGVJ58411</t>
  </si>
  <si>
    <t>TPNGVJ58412</t>
  </si>
  <si>
    <t>TPNGVJ58413</t>
  </si>
  <si>
    <t>TPNGVJ58414</t>
  </si>
  <si>
    <t>TPNGVJ58415</t>
  </si>
  <si>
    <t>TPNGVJ58416</t>
  </si>
  <si>
    <t>TPNGVJ58417</t>
  </si>
  <si>
    <t>TPNGVJ58418</t>
  </si>
  <si>
    <t>TPNGVJ5844</t>
  </si>
  <si>
    <t>TPNGVJ5845</t>
  </si>
  <si>
    <t>TPNGVJ5846</t>
  </si>
  <si>
    <t>TPNGVJ5847</t>
  </si>
  <si>
    <t>TPNGVJ5848</t>
  </si>
  <si>
    <t>TPNGVJ5849</t>
  </si>
  <si>
    <t>TAYJPLLRS54610</t>
  </si>
  <si>
    <t>Maximo Thermo Ayous JPL Rough Sawn 5/4x6</t>
  </si>
  <si>
    <t>TAYJPLLRS54611</t>
  </si>
  <si>
    <t>TAYJPLLRS54612</t>
  </si>
  <si>
    <t>TAYJPLLRS54613</t>
  </si>
  <si>
    <t>TAYJPLLRS54614</t>
  </si>
  <si>
    <t>TAYJPLLRS54615</t>
  </si>
  <si>
    <t>TAYJPLLRS54616</t>
  </si>
  <si>
    <t>TAYJPLLRS54617</t>
  </si>
  <si>
    <t>TAYJPLLRS54618</t>
  </si>
  <si>
    <t>TAYJPLLRS5464</t>
  </si>
  <si>
    <t>TAYJPLLRS5465</t>
  </si>
  <si>
    <t>TAYJPLLRS5466</t>
  </si>
  <si>
    <t>TAYJPLLRS5467</t>
  </si>
  <si>
    <t>TAYJPLLRS5468</t>
  </si>
  <si>
    <t>TAYJPLLRS5469</t>
  </si>
  <si>
    <t>TAYJPLLRS54619</t>
  </si>
  <si>
    <t>Jatoba</t>
  </si>
  <si>
    <t>Jatoba 5/4x6</t>
  </si>
  <si>
    <t>JTKD54610S</t>
  </si>
  <si>
    <t>Jatoba S4S E4E 5/4x6</t>
  </si>
  <si>
    <t>JTKD54611S</t>
  </si>
  <si>
    <t>JTKD54612S</t>
  </si>
  <si>
    <t>JTKD54613S</t>
  </si>
  <si>
    <t>JTKD54614S</t>
  </si>
  <si>
    <t>JTKD54615S</t>
  </si>
  <si>
    <t>JTKD54616S</t>
  </si>
  <si>
    <t>JTKD54617S</t>
  </si>
  <si>
    <t>JTKD54618S</t>
  </si>
  <si>
    <t>JTKD54619S</t>
  </si>
  <si>
    <t>JTKD54620S</t>
  </si>
  <si>
    <t>JTKD54621S</t>
  </si>
  <si>
    <t>JTKD54622S</t>
  </si>
  <si>
    <t>JTKD5463S</t>
  </si>
  <si>
    <t>JTKD5464S</t>
  </si>
  <si>
    <t>JTKD5465S</t>
  </si>
  <si>
    <t>JTKD5466S</t>
  </si>
  <si>
    <t>JTKD5467S</t>
  </si>
  <si>
    <t>JTKD5468S</t>
  </si>
  <si>
    <t>JTKD5469S</t>
  </si>
  <si>
    <t>Jatoba 5/4x4</t>
  </si>
  <si>
    <t>JTKD54410S</t>
  </si>
  <si>
    <t>Jatoba S4S E4E 5/4x4</t>
  </si>
  <si>
    <t>JTKD54411S</t>
  </si>
  <si>
    <t>JTKD54412S</t>
  </si>
  <si>
    <t>JTKD54413S</t>
  </si>
  <si>
    <t>JTKD54414S</t>
  </si>
  <si>
    <t>JTKD54415S</t>
  </si>
  <si>
    <t>JTKD54416S</t>
  </si>
  <si>
    <t>JTKD54417S</t>
  </si>
  <si>
    <t>JTKD54418S</t>
  </si>
  <si>
    <t>JTKD54419S</t>
  </si>
  <si>
    <t>JTKD54420S</t>
  </si>
  <si>
    <t>JTKD54421S</t>
  </si>
  <si>
    <t>JTKD54422S</t>
  </si>
  <si>
    <t>JTKD5443S</t>
  </si>
  <si>
    <t>JTKD5444S</t>
  </si>
  <si>
    <t>JTKD5445S</t>
  </si>
  <si>
    <t>JTKD5446S</t>
  </si>
  <si>
    <t>JTKD5447S</t>
  </si>
  <si>
    <t>JTKD5448S</t>
  </si>
  <si>
    <t>JTKD5449S</t>
  </si>
  <si>
    <t>SO769024-000</t>
  </si>
  <si>
    <t>Massaranduba 24x24</t>
  </si>
  <si>
    <t>BWTILE2424</t>
  </si>
  <si>
    <t>Massaranduba Bullet Wood Tiles 24x24</t>
  </si>
  <si>
    <t>SO763035-000</t>
  </si>
  <si>
    <t>SO774955-000</t>
  </si>
  <si>
    <t>MNC67716-000</t>
  </si>
  <si>
    <t>Maximo Thermo Scandinavian Pine VJoint - Nickel Gap Wire Brush 1x6</t>
  </si>
  <si>
    <t>MNC67716-001</t>
  </si>
  <si>
    <t>MNC67716-002</t>
  </si>
  <si>
    <t>MNC67716-003</t>
  </si>
  <si>
    <t>MNC67716-004</t>
  </si>
  <si>
    <t>SO777716-000</t>
  </si>
  <si>
    <t>CMKD4410S</t>
  </si>
  <si>
    <t>CMKD4411S</t>
  </si>
  <si>
    <t>CMKD4412S</t>
  </si>
  <si>
    <t>CMKD4413S</t>
  </si>
  <si>
    <t>CMKD4414S</t>
  </si>
  <si>
    <t>CMKD4415S</t>
  </si>
  <si>
    <t>CMKD4416S</t>
  </si>
  <si>
    <t>CMKD4417S</t>
  </si>
  <si>
    <t>CMKD4418S</t>
  </si>
  <si>
    <t>CMKD4419S</t>
  </si>
  <si>
    <t>CMKD4420S</t>
  </si>
  <si>
    <t>CMKD4421S</t>
  </si>
  <si>
    <t>CMKD4422S</t>
  </si>
  <si>
    <t>CMKD443S</t>
  </si>
  <si>
    <t>CMKD444S</t>
  </si>
  <si>
    <t>CMKD445S</t>
  </si>
  <si>
    <t>CMKD446S</t>
  </si>
  <si>
    <t>CMKD447S</t>
  </si>
  <si>
    <t>CMKD448S</t>
  </si>
  <si>
    <t>CMKD449S</t>
  </si>
  <si>
    <t>SO778750-000</t>
  </si>
  <si>
    <t>SO779525-000</t>
  </si>
  <si>
    <t>MNC70801-011</t>
  </si>
  <si>
    <t>MNC70801-000</t>
  </si>
  <si>
    <t>Maximo Thermo Scandinavian Pine VJoint - Nickel Gap Wire Brush Walnut Color 1x6</t>
  </si>
  <si>
    <t>Wire Brush Walnut Color</t>
  </si>
  <si>
    <t>MNC70801-001</t>
  </si>
  <si>
    <t>MNC70801-002</t>
  </si>
  <si>
    <t>MNC70801-003</t>
  </si>
  <si>
    <t>MNC70801-004</t>
  </si>
  <si>
    <t>MNC70801-005</t>
  </si>
  <si>
    <t>MNC70801-006</t>
  </si>
  <si>
    <t>MNC70801-007</t>
  </si>
  <si>
    <t>MNC70801-008</t>
  </si>
  <si>
    <t>MNC70801-009</t>
  </si>
  <si>
    <t>MNC70801-010</t>
  </si>
  <si>
    <t>MNC70788-002</t>
  </si>
  <si>
    <t>SOC70788-003</t>
  </si>
  <si>
    <t>Garapa 25x145</t>
  </si>
  <si>
    <t>SOC80225-000</t>
  </si>
  <si>
    <t>Garapa Gentle Smooth 25x145</t>
  </si>
  <si>
    <t>Gentle Smooth</t>
  </si>
  <si>
    <t>25x145</t>
  </si>
  <si>
    <t>SOC80225-001</t>
  </si>
  <si>
    <t>SOC80225-002</t>
  </si>
  <si>
    <t>SOC80225-003</t>
  </si>
  <si>
    <t>SOC80225-004</t>
  </si>
  <si>
    <t>SOC80225-005</t>
  </si>
  <si>
    <t>SOC80225-006</t>
  </si>
  <si>
    <t>SOC80225-007</t>
  </si>
  <si>
    <t>SOC80225-008</t>
  </si>
  <si>
    <t>Ipe 1x3.5</t>
  </si>
  <si>
    <t>SOC74212-000</t>
  </si>
  <si>
    <t>Ipe S4S E4E 1x3.5</t>
  </si>
  <si>
    <t>1x3.5</t>
  </si>
  <si>
    <t>Pro Deck Clip Kit 875 Count - us4 SS304 - Black</t>
  </si>
  <si>
    <t>Pro Deck Clip Kit 875 Count</t>
  </si>
  <si>
    <t>TPNGVJ1619</t>
  </si>
  <si>
    <t>SO782295-000</t>
  </si>
  <si>
    <t>MNC81998-000</t>
  </si>
  <si>
    <t>SOC81508-000</t>
  </si>
  <si>
    <t>MNC81508-000</t>
  </si>
  <si>
    <t>SOC84651-000</t>
  </si>
  <si>
    <t>RS-003</t>
  </si>
  <si>
    <t>RS-004</t>
  </si>
  <si>
    <t>SO737705-000</t>
  </si>
  <si>
    <t>MNC84507-000</t>
  </si>
  <si>
    <t>SOC84507-000</t>
  </si>
  <si>
    <t>MNC77293-000</t>
  </si>
  <si>
    <t>SO789945-000</t>
  </si>
  <si>
    <t>AGKD2820RS</t>
  </si>
  <si>
    <t>RS-005</t>
  </si>
  <si>
    <t>PN-001</t>
  </si>
  <si>
    <t>SOC70801-000</t>
  </si>
  <si>
    <t>MNC89164-000</t>
  </si>
  <si>
    <t>Ipe Nickel Gap 1x6</t>
  </si>
  <si>
    <t>MNC89164-001</t>
  </si>
  <si>
    <t>MNC89164-002</t>
  </si>
  <si>
    <t>MNC89164-003</t>
  </si>
  <si>
    <t>MNC89164-004</t>
  </si>
  <si>
    <t>MNC89164-005</t>
  </si>
  <si>
    <t>MNC89164-006</t>
  </si>
  <si>
    <t>MNC89164-007</t>
  </si>
  <si>
    <t>Garapa 2x6</t>
  </si>
  <si>
    <t>GPKD2610S</t>
  </si>
  <si>
    <t>Garapa S4S E4E 2x6</t>
  </si>
  <si>
    <t>GPKD2611S</t>
  </si>
  <si>
    <t>GPKD2612S</t>
  </si>
  <si>
    <t>GPKD2613S</t>
  </si>
  <si>
    <t>GPKD2614S</t>
  </si>
  <si>
    <t>GPKD2615S</t>
  </si>
  <si>
    <t>GPKD2616S</t>
  </si>
  <si>
    <t>GPKD2617S</t>
  </si>
  <si>
    <t>GPKD2618S</t>
  </si>
  <si>
    <t>GPKD2619S</t>
  </si>
  <si>
    <t>GPKD2620S</t>
  </si>
  <si>
    <t>GPKD263S</t>
  </si>
  <si>
    <t>GPKD264S</t>
  </si>
  <si>
    <t>GPKD265S</t>
  </si>
  <si>
    <t>GPKD266S</t>
  </si>
  <si>
    <t>GPKD267S</t>
  </si>
  <si>
    <t>GPKD268S</t>
  </si>
  <si>
    <t>GPKD269S</t>
  </si>
  <si>
    <t>Garapa S4S E4E Brown Ipe (Coated) 5/4x6</t>
  </si>
  <si>
    <t>Maximo Thermo Ayous VJoint - Nickel Gap 3 Sides NG 1x6</t>
  </si>
  <si>
    <t>VJoint - Nickel Gap 3 Sides NG</t>
  </si>
  <si>
    <t>Maximo Thermo Ayous VJoint - Nickel Gap 3 Sides VJ 1x6</t>
  </si>
  <si>
    <t>VJoint - Nickel Gap 3 Sides VJ</t>
  </si>
  <si>
    <t>Spruce</t>
  </si>
  <si>
    <t>Spruce 1x8</t>
  </si>
  <si>
    <t>Maximo Thermo Spruce S4S E4E 1x8</t>
  </si>
  <si>
    <t>Maximo Thermo Spruce</t>
  </si>
  <si>
    <t>SOC88499-000</t>
  </si>
  <si>
    <t>MNC88499-000</t>
  </si>
  <si>
    <t>Screws Kit 350 Count US4 Cedar Trim Head T-15 SS305  8x1-1/2"</t>
  </si>
  <si>
    <t>Screws Kit 350 Count</t>
  </si>
  <si>
    <t xml:space="preserve">US4 Cedar Trim Head T-15 SS305 </t>
  </si>
  <si>
    <t>8x1-1/2"</t>
  </si>
  <si>
    <t>AGKD2812RS</t>
  </si>
  <si>
    <t>SOC76640-000</t>
  </si>
  <si>
    <t>MNC76640-014</t>
  </si>
  <si>
    <t>SOC88539-000</t>
  </si>
  <si>
    <t>Screws Kit 350 Count US4 Trim Head Passivate T-15 SS305 8x3-1/8"</t>
  </si>
  <si>
    <t>US4 Trim Head Passivate T-15 SS305</t>
  </si>
  <si>
    <t>8x3-1/8"</t>
  </si>
  <si>
    <t>Plug</t>
  </si>
  <si>
    <t>Plug Kit 350 Count US4 Wood Ipe 3/8"x3/8"</t>
  </si>
  <si>
    <t>Plug Kit 350 Count</t>
  </si>
  <si>
    <t>US4 Wood Ipe</t>
  </si>
  <si>
    <t>3/8"x3/8"</t>
  </si>
  <si>
    <t>FRT-004</t>
  </si>
  <si>
    <t>DeckWise</t>
  </si>
  <si>
    <t>Deck Tile Pedestal Screw</t>
  </si>
  <si>
    <t>Deck Tile</t>
  </si>
  <si>
    <t>Pedestal Screw</t>
  </si>
  <si>
    <t>FRT-005</t>
  </si>
  <si>
    <t>FRT-006</t>
  </si>
  <si>
    <t>FRT-007</t>
  </si>
  <si>
    <t>MKT-018</t>
  </si>
  <si>
    <t>FRT-008</t>
  </si>
  <si>
    <t>MKT-019</t>
  </si>
  <si>
    <t>SO798029-000</t>
  </si>
  <si>
    <t>SO798239-000</t>
  </si>
  <si>
    <t>SO798325-000</t>
  </si>
  <si>
    <t>SO798328-000</t>
  </si>
  <si>
    <t>SO800535-000</t>
  </si>
  <si>
    <t>MNC95847-000</t>
  </si>
  <si>
    <t>Saw</t>
  </si>
  <si>
    <t>Saw Blade US4 TCT - 7.1/4'' 60</t>
  </si>
  <si>
    <t>Saw Blade</t>
  </si>
  <si>
    <t>US4 TCT</t>
  </si>
  <si>
    <t>7.1/4'' 60</t>
  </si>
  <si>
    <t>Saw Blade US4 TCT - 10'' 40</t>
  </si>
  <si>
    <t>10'' 40</t>
  </si>
  <si>
    <t>Saw Blade US4 TCT - 12'' 80</t>
  </si>
  <si>
    <t>12'' 80</t>
  </si>
  <si>
    <t>Screws Kit 1050 Count Ipe Clip - 5/32"</t>
  </si>
  <si>
    <t>Screws Kit 1050 Count</t>
  </si>
  <si>
    <t>Ipe Clip</t>
  </si>
  <si>
    <t>5/32"</t>
  </si>
  <si>
    <t>CT-USA-WN</t>
  </si>
  <si>
    <t>CUTEK Colortone 95 ml / 3.2 oz Walnut</t>
  </si>
  <si>
    <t>CUTEK Colortone</t>
  </si>
  <si>
    <t>95 ml / 3.2 oz</t>
  </si>
  <si>
    <t>CT-USA-ES</t>
  </si>
  <si>
    <t>CUTEK Colortone 95 ml / 3.2 oz Expresso</t>
  </si>
  <si>
    <t>Expresso</t>
  </si>
  <si>
    <t>MNC89614-038</t>
  </si>
  <si>
    <t>Maximo Thermo Clear Radiata Rondo Plus Random Lenght 1x6</t>
  </si>
  <si>
    <t>Rondo Plus</t>
  </si>
  <si>
    <t>MNC89614-039</t>
  </si>
  <si>
    <t>Maximo Thermo Ash Rondo Random Lenght 1x6</t>
  </si>
  <si>
    <t>MNC89614-040</t>
  </si>
  <si>
    <t>Maximo Thermo Ash Duo Fluted Random Lenght 1x6</t>
  </si>
  <si>
    <t>Duo Fluted</t>
  </si>
  <si>
    <t>MNC89614-041</t>
  </si>
  <si>
    <t>Maximo Thermo Ash Vjoint - Square Back Random Lenght 1x6</t>
  </si>
  <si>
    <t>Vjoint - Square Back</t>
  </si>
  <si>
    <t>MNC89614-042</t>
  </si>
  <si>
    <t>Maximo Thermo Ayous Concave Random Lenght 1x6</t>
  </si>
  <si>
    <t>Concave</t>
  </si>
  <si>
    <t>MNC89614-043</t>
  </si>
  <si>
    <t>Maximo Thermo Ayous Duo Fluted Random Lenght 1x6</t>
  </si>
  <si>
    <t>MNC89614-044</t>
  </si>
  <si>
    <t>Maximo Thermo Ayous Rondo Plus Random Lenght 1x6</t>
  </si>
  <si>
    <t>WOODTABLEWG</t>
  </si>
  <si>
    <t>with Glass</t>
  </si>
  <si>
    <t>RF-005</t>
  </si>
  <si>
    <t>Ipe 8x10</t>
  </si>
  <si>
    <t>IPE81014S</t>
  </si>
  <si>
    <t>Ipe S4S E4E 8x10</t>
  </si>
  <si>
    <t>8x10</t>
  </si>
  <si>
    <t>IPEKD1610G</t>
  </si>
  <si>
    <t>Ipe Grooved 1x6</t>
  </si>
  <si>
    <t>IPEKD1611G</t>
  </si>
  <si>
    <t>IPEKD1612G</t>
  </si>
  <si>
    <t>IPEKD1613G</t>
  </si>
  <si>
    <t>IPEKD1614G</t>
  </si>
  <si>
    <t>IPEKD1615G</t>
  </si>
  <si>
    <t>IPEKD1616G</t>
  </si>
  <si>
    <t>IPEKD1617G</t>
  </si>
  <si>
    <t>IPEKD1618G</t>
  </si>
  <si>
    <t>IPEKD1619G</t>
  </si>
  <si>
    <t>IPEKD1620G</t>
  </si>
  <si>
    <t>IPEKD1621G</t>
  </si>
  <si>
    <t>IPEKD1622G</t>
  </si>
  <si>
    <t>IPEKD163G</t>
  </si>
  <si>
    <t>IPEKD164G</t>
  </si>
  <si>
    <t>IPEKD165G</t>
  </si>
  <si>
    <t>IPEKD166G</t>
  </si>
  <si>
    <t>IPEKD167G</t>
  </si>
  <si>
    <t>IPEKD168G</t>
  </si>
  <si>
    <t>IPEKD169G</t>
  </si>
  <si>
    <t>Ipe 6x10</t>
  </si>
  <si>
    <t>IPE61022S</t>
  </si>
  <si>
    <t>Ipe S4S E4E 6x10</t>
  </si>
  <si>
    <t>6x10</t>
  </si>
  <si>
    <t>SO000066</t>
  </si>
  <si>
    <t>Ipe S4S E4E Random Lenght 1x4</t>
  </si>
  <si>
    <t>SO000069</t>
  </si>
  <si>
    <t>Ipe S4S E4E Random Lenght 5/4x6</t>
  </si>
  <si>
    <t>SO000070</t>
  </si>
  <si>
    <t>SO100075</t>
  </si>
  <si>
    <t>SO200075</t>
  </si>
  <si>
    <t>SO000076</t>
  </si>
  <si>
    <t>SO100080</t>
  </si>
  <si>
    <t>Ipe S4S E4E Random Lenght 2x2</t>
  </si>
  <si>
    <t>SO200080</t>
  </si>
  <si>
    <t>Ipe S4S E4E Random Lenght 2x4</t>
  </si>
  <si>
    <t>SO300080</t>
  </si>
  <si>
    <t>Ipe S4S E4E Random Lenght 2x6</t>
  </si>
  <si>
    <t>SO400080</t>
  </si>
  <si>
    <t>Paper</t>
  </si>
  <si>
    <t>SO500080</t>
  </si>
  <si>
    <t>Folders and cartons</t>
  </si>
  <si>
    <t>SO100082</t>
  </si>
  <si>
    <t>SO200082</t>
  </si>
  <si>
    <t>SO300082</t>
  </si>
  <si>
    <t>RL</t>
  </si>
  <si>
    <t>SO000077</t>
  </si>
  <si>
    <t>Hardwoods Random Length Consigment</t>
  </si>
  <si>
    <t>Random Length</t>
  </si>
  <si>
    <t>SO000078</t>
  </si>
  <si>
    <t>SO000083</t>
  </si>
  <si>
    <t>SO000085</t>
  </si>
  <si>
    <t>SO000079</t>
  </si>
  <si>
    <t>SO000087</t>
  </si>
  <si>
    <t>SO000084</t>
  </si>
  <si>
    <t>SO000086</t>
  </si>
  <si>
    <t>SO000088</t>
  </si>
  <si>
    <t>SO000089</t>
  </si>
  <si>
    <t>SO100090</t>
  </si>
  <si>
    <t>SO200090</t>
  </si>
  <si>
    <t>SO000091</t>
  </si>
  <si>
    <t>SO000092</t>
  </si>
  <si>
    <t>Cumaru 8x10</t>
  </si>
  <si>
    <t>CM81016S</t>
  </si>
  <si>
    <t>Cumaru S4S E4E 8x10</t>
  </si>
  <si>
    <t>Cumaru 6x10</t>
  </si>
  <si>
    <t>CM61014S</t>
  </si>
  <si>
    <t>Cumaru S4S E4E 6x10</t>
  </si>
  <si>
    <t>Cumaru 76x76</t>
  </si>
  <si>
    <t>CM76768S</t>
  </si>
  <si>
    <t>Cumaru S4S E4E 76x76</t>
  </si>
  <si>
    <t>76x76</t>
  </si>
  <si>
    <t>Cumaru 63x215</t>
  </si>
  <si>
    <t>CM6321512S</t>
  </si>
  <si>
    <t>Cumaru S4S E4E 63x215</t>
  </si>
  <si>
    <t>63x215</t>
  </si>
  <si>
    <t>Cumaru 63x241</t>
  </si>
  <si>
    <t>CM6324120S</t>
  </si>
  <si>
    <t>Cumaru S4S E4E 63x241</t>
  </si>
  <si>
    <t>63x241</t>
  </si>
  <si>
    <t>Cumaru 50x114</t>
  </si>
  <si>
    <t>CM5011418S</t>
  </si>
  <si>
    <t>Cumaru S4S E4E 50x114</t>
  </si>
  <si>
    <t>50x114</t>
  </si>
  <si>
    <t>Cumaru 38x76</t>
  </si>
  <si>
    <t>CM387612S</t>
  </si>
  <si>
    <t>Cumaru S4S E4E 38x76</t>
  </si>
  <si>
    <t>38x76</t>
  </si>
  <si>
    <t>TGKD167S</t>
  </si>
  <si>
    <t>FRT-009</t>
  </si>
  <si>
    <t>Deck Tile Connector</t>
  </si>
  <si>
    <t>Connector</t>
  </si>
  <si>
    <t>SOIPEPLUG</t>
  </si>
  <si>
    <t>Plug Kit Wood Ipe 3/8"x3/8"</t>
  </si>
  <si>
    <t>Plug Kit</t>
  </si>
  <si>
    <t>Wood Ipe</t>
  </si>
  <si>
    <t>MNC94707-000</t>
  </si>
  <si>
    <t>MNC94707-001</t>
  </si>
  <si>
    <t>MN359144-000</t>
  </si>
  <si>
    <t>TAYLBB1410S</t>
  </si>
  <si>
    <t>Maximo Thermo Ayous S4S E4E Burn Blocked 1x4</t>
  </si>
  <si>
    <t>TAYLBB1411S</t>
  </si>
  <si>
    <t>TAYLBB1412S</t>
  </si>
  <si>
    <t>TAYLBB1413S</t>
  </si>
  <si>
    <t>TAYLBB1414S</t>
  </si>
  <si>
    <t>TAYLBB1415S</t>
  </si>
  <si>
    <t>TAYLBB1416S</t>
  </si>
  <si>
    <t>TAYLBB1417S</t>
  </si>
  <si>
    <t>TAYLBB1418S</t>
  </si>
  <si>
    <t>TAYLBB144S</t>
  </si>
  <si>
    <t>TAYLBB145S</t>
  </si>
  <si>
    <t>TAYLBB146S</t>
  </si>
  <si>
    <t>TAYLBB147S</t>
  </si>
  <si>
    <t>TAYLBB148S</t>
  </si>
  <si>
    <t>TAYLBB149S</t>
  </si>
  <si>
    <t>TAYLBB1610S</t>
  </si>
  <si>
    <t>Maximo Thermo Ayous S4S E4E Burn Blocked 1x6</t>
  </si>
  <si>
    <t>TAYLBB1611S</t>
  </si>
  <si>
    <t>TAYLBB1612S</t>
  </si>
  <si>
    <t>TAYLBB1613S</t>
  </si>
  <si>
    <t>TAYLBB1614S</t>
  </si>
  <si>
    <t>TAYLBB1615S</t>
  </si>
  <si>
    <t>TAYLBB1616S</t>
  </si>
  <si>
    <t>TAYLBB1617S</t>
  </si>
  <si>
    <t>TAYLBB1618S</t>
  </si>
  <si>
    <t>TAYLBB164S</t>
  </si>
  <si>
    <t>TAYLBB165S</t>
  </si>
  <si>
    <t>TAYLBB166S</t>
  </si>
  <si>
    <t>TAYLBB167S</t>
  </si>
  <si>
    <t>TAYLBB168S</t>
  </si>
  <si>
    <t>TAYLBB169S</t>
  </si>
  <si>
    <t>TAYLBB2210S</t>
  </si>
  <si>
    <t>Maximo Thermo Ayous S4S E4E Burn Blocked 2x2</t>
  </si>
  <si>
    <t>TAYLBB2211S</t>
  </si>
  <si>
    <t>TAYLBB2212S</t>
  </si>
  <si>
    <t>TAYLBB2213S</t>
  </si>
  <si>
    <t>TAYLBB2214S</t>
  </si>
  <si>
    <t>TAYLBB2215S</t>
  </si>
  <si>
    <t>TAYLBB2216S</t>
  </si>
  <si>
    <t>TAYLBB2217S</t>
  </si>
  <si>
    <t>TAYLBB2218S</t>
  </si>
  <si>
    <t>TAYLBB224S</t>
  </si>
  <si>
    <t>TAYLBB225S</t>
  </si>
  <si>
    <t>TAYLBB226S</t>
  </si>
  <si>
    <t>TAYLBB227S</t>
  </si>
  <si>
    <t>TAYLBB228S</t>
  </si>
  <si>
    <t>TAYLBB229S</t>
  </si>
  <si>
    <t>TAYLBB2410S</t>
  </si>
  <si>
    <t>Maximo Thermo Ayous S4S E4E Burn Blocked 2x4</t>
  </si>
  <si>
    <t>TAYLBB2411S</t>
  </si>
  <si>
    <t>TAYLBB2412S</t>
  </si>
  <si>
    <t>TAYLBB2413S</t>
  </si>
  <si>
    <t>TAYLBB2414S</t>
  </si>
  <si>
    <t>TAYLBB2415S</t>
  </si>
  <si>
    <t>TAYLBB2416S</t>
  </si>
  <si>
    <t>TAYLBB2417S</t>
  </si>
  <si>
    <t>TAYLBB2418S</t>
  </si>
  <si>
    <t>TAYLBB244S</t>
  </si>
  <si>
    <t>TAYLBB245S</t>
  </si>
  <si>
    <t>TAYLBB246S</t>
  </si>
  <si>
    <t>TAYLBB247S</t>
  </si>
  <si>
    <t>TAYLBB248S</t>
  </si>
  <si>
    <t>TAYLBB249S</t>
  </si>
  <si>
    <t>TAYLBB2610S</t>
  </si>
  <si>
    <t>Maximo Thermo Ayous S4S E4E Burn Blocked 2x6</t>
  </si>
  <si>
    <t>TAYLBB2611S</t>
  </si>
  <si>
    <t>TAYLBB2612S</t>
  </si>
  <si>
    <t>TAYLBB2613S</t>
  </si>
  <si>
    <t>TAYLBB2614S</t>
  </si>
  <si>
    <t>TAYLBB2615S</t>
  </si>
  <si>
    <t>TAYLBB2616S</t>
  </si>
  <si>
    <t>TAYLBB2617S</t>
  </si>
  <si>
    <t>TAYLBB2618S</t>
  </si>
  <si>
    <t>TAYLBB264S</t>
  </si>
  <si>
    <t>TAYLBB265S</t>
  </si>
  <si>
    <t>TAYLBB266S</t>
  </si>
  <si>
    <t>TAYLBB267S</t>
  </si>
  <si>
    <t>TAYLBB268S</t>
  </si>
  <si>
    <t>TAYLBB269S</t>
  </si>
  <si>
    <t>SOC03158-000</t>
  </si>
  <si>
    <t>MNC03158-000</t>
  </si>
  <si>
    <t>Red Balau</t>
  </si>
  <si>
    <t>Red Balau 5/4x6</t>
  </si>
  <si>
    <t>SOC05805-000</t>
  </si>
  <si>
    <t>Red Balau S4S E4E 5/4x6</t>
  </si>
  <si>
    <t>SOC05805-001</t>
  </si>
  <si>
    <t>SOC05805-002</t>
  </si>
  <si>
    <t>SOC05805-003</t>
  </si>
  <si>
    <t>SOC05805-004</t>
  </si>
  <si>
    <t>SOC05805-005</t>
  </si>
  <si>
    <t>SOC05805-006</t>
  </si>
  <si>
    <t>SOC94733-000</t>
  </si>
  <si>
    <t>Plug Kit 175 Count Wood Ipe 3/8"x3/8"</t>
  </si>
  <si>
    <t>Plug Kit 175 Count</t>
  </si>
  <si>
    <t>SOC94733-001</t>
  </si>
  <si>
    <t>Plug Kit 700 Count Wood Ipe 3/8"x3/8"</t>
  </si>
  <si>
    <t>Plug Kit 700 Count</t>
  </si>
  <si>
    <t>SOC06161-000</t>
  </si>
  <si>
    <t>MNC99068-000</t>
  </si>
  <si>
    <t>Screws Kit 350 Count US4 Cedar Trim Head T-15 SS305  8x2-1/2"</t>
  </si>
  <si>
    <t>8x2-1/2"</t>
  </si>
  <si>
    <t>SO805026-000</t>
  </si>
  <si>
    <t>M³</t>
  </si>
  <si>
    <t>Lenght</t>
  </si>
  <si>
    <t>Status</t>
  </si>
  <si>
    <t>2509-720988</t>
  </si>
  <si>
    <t>GF000041</t>
  </si>
  <si>
    <t>OFF-QUALITY PRODUCTS</t>
  </si>
  <si>
    <t>2509-724502</t>
  </si>
  <si>
    <t>2509-724589</t>
  </si>
  <si>
    <t>2509-726274</t>
  </si>
  <si>
    <t>GF000014</t>
  </si>
  <si>
    <t>GLOBAL FOREST LUMBER</t>
  </si>
  <si>
    <t>2510-729499</t>
  </si>
  <si>
    <t>2510-732714</t>
  </si>
  <si>
    <t>2511-738265</t>
  </si>
  <si>
    <t>2511-738279</t>
  </si>
  <si>
    <t>2511-739875</t>
  </si>
  <si>
    <t>2511-740301</t>
  </si>
  <si>
    <t>2511-743884</t>
  </si>
  <si>
    <t>2512-747986</t>
  </si>
  <si>
    <t>2512-748022</t>
  </si>
  <si>
    <t>2512-748953</t>
  </si>
  <si>
    <t>2512-750714</t>
  </si>
  <si>
    <t>2512-751071</t>
  </si>
  <si>
    <t>2512-751250</t>
  </si>
  <si>
    <t>2601-755982</t>
  </si>
  <si>
    <t>2601-758477</t>
  </si>
  <si>
    <t>2602-760482</t>
  </si>
  <si>
    <t>ALL PRODUCTS AND</t>
  </si>
  <si>
    <t>2602-761484</t>
  </si>
  <si>
    <t>BOISE CASCADE</t>
  </si>
  <si>
    <t>2602-762130</t>
  </si>
  <si>
    <t>2602-764761</t>
  </si>
  <si>
    <t>2602-765713</t>
  </si>
  <si>
    <t>2603-769176</t>
  </si>
  <si>
    <t>2603-769740</t>
  </si>
  <si>
    <t>GF000024</t>
  </si>
  <si>
    <t>LUMBER PLUS COMPANY</t>
  </si>
  <si>
    <t>2604-777013</t>
  </si>
  <si>
    <t>2604-780260</t>
  </si>
  <si>
    <t>2605-787682</t>
  </si>
  <si>
    <t>2606-792598</t>
  </si>
  <si>
    <t>2606-794485</t>
  </si>
  <si>
    <t>RUSSIN LUMBER COMPANY</t>
  </si>
  <si>
    <t>2606-795531</t>
  </si>
  <si>
    <t>LUMBER PALM BEACH</t>
  </si>
  <si>
    <t>2606-795631</t>
  </si>
  <si>
    <t>2606-795656</t>
  </si>
  <si>
    <t>LUMBER SOUTH DADE</t>
  </si>
  <si>
    <t>2606-796915</t>
  </si>
  <si>
    <t>2606-797452</t>
  </si>
  <si>
    <t>2606-798712</t>
  </si>
  <si>
    <t>2607-798929</t>
  </si>
  <si>
    <t>CWP ARCHITECTURAL</t>
  </si>
  <si>
    <t>2607-799407</t>
  </si>
  <si>
    <t>2607-799964</t>
  </si>
  <si>
    <t>2607-802750</t>
  </si>
  <si>
    <t>2607-802788</t>
  </si>
  <si>
    <t>2607-803534</t>
  </si>
  <si>
    <t>2607-805031</t>
  </si>
  <si>
    <t>2607-805132</t>
  </si>
  <si>
    <t>2607-805920</t>
  </si>
  <si>
    <t>GF000016</t>
  </si>
  <si>
    <t>HARDWOODS USLP - PERRIS</t>
  </si>
  <si>
    <t>2607-806246</t>
  </si>
  <si>
    <t>2607-806271</t>
  </si>
  <si>
    <t>2607-806303</t>
  </si>
  <si>
    <t>2608-806784</t>
  </si>
  <si>
    <t>2608-807955</t>
  </si>
  <si>
    <t>GF000030</t>
  </si>
  <si>
    <t>UNITTA EXOTIQUE WOODS</t>
  </si>
  <si>
    <t>2608-808728</t>
  </si>
  <si>
    <t>2608-808920</t>
  </si>
  <si>
    <t>GF000023</t>
  </si>
  <si>
    <t>LUMBER PLUS BOSTON</t>
  </si>
  <si>
    <t>2608-810703</t>
  </si>
  <si>
    <t>2608-811761</t>
  </si>
  <si>
    <t>2608-812014</t>
  </si>
  <si>
    <t>2608-812183</t>
  </si>
  <si>
    <t>2608-812188</t>
  </si>
  <si>
    <t>2608-812534</t>
  </si>
  <si>
    <t>GLOBAL LBM</t>
  </si>
  <si>
    <t>2608-812700</t>
  </si>
  <si>
    <t>2608-813568</t>
  </si>
  <si>
    <t>2609-813996</t>
  </si>
  <si>
    <t>2609-814427</t>
  </si>
  <si>
    <t>2609-814672</t>
  </si>
  <si>
    <t>2609-814691</t>
  </si>
  <si>
    <t>2609-815929</t>
  </si>
  <si>
    <t>2609-816061</t>
  </si>
  <si>
    <t>2609-816099</t>
  </si>
  <si>
    <t>2609-816618</t>
  </si>
  <si>
    <t>2609-816664</t>
  </si>
  <si>
    <t>Damaged</t>
  </si>
  <si>
    <t>Dev</t>
  </si>
  <si>
    <t>Stock Discrepancy</t>
  </si>
  <si>
    <t>Sales</t>
  </si>
  <si>
    <t>Transfer</t>
  </si>
  <si>
    <t>Offer</t>
  </si>
  <si>
    <t>2609-816784</t>
  </si>
  <si>
    <t>2609-816865</t>
  </si>
  <si>
    <t>2609-817018</t>
  </si>
  <si>
    <t>2609-817070</t>
  </si>
  <si>
    <t>2609-817103</t>
  </si>
  <si>
    <t>2609-817108</t>
  </si>
  <si>
    <t>2609-817162</t>
  </si>
  <si>
    <t>2609-817216</t>
  </si>
  <si>
    <t>2609-817381</t>
  </si>
  <si>
    <t>LL JOHNSON</t>
  </si>
  <si>
    <t>2609-818099</t>
  </si>
  <si>
    <t>2609-818236</t>
  </si>
  <si>
    <t>2609-818286</t>
  </si>
  <si>
    <t>2609-818544</t>
  </si>
  <si>
    <t>2609-818838</t>
  </si>
  <si>
    <t>2609-818846</t>
  </si>
  <si>
    <t>GF000029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</si>
</sst>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3"/>
  <sheetViews>
    <sheetView tabSelected="1" topLeftCell="D1" zoomScale="90" zoomScaleNormal="90" workbookViewId="0">
      <pane ySplit="1" topLeftCell="A2" activePane="bottomLeft" state="frozen"/>
      <selection pane="bottomLeft" activeCell="N6" sqref="N6"/>
    </sheetView>
  </sheetViews>
  <sheetFormatPr defaultRowHeight="15" x14ac:dyDescent="0.25"/>
  <cols>
    <col min="1" max="1" width="12.85546875" bestFit="1" customWidth="1"/>
    <col min="2" max="2" width="13.5703125" customWidth="1"/>
    <col min="3" max="3" width="25.85546875" bestFit="1" customWidth="1"/>
    <col min="4" max="4" width="12.7109375" bestFit="1" customWidth="1"/>
    <col min="5" max="5" width="17" bestFit="1" customWidth="1"/>
    <col min="6" max="6" width="13.5703125" bestFit="1" customWidth="1"/>
    <col min="7" max="7" width="12.85546875" bestFit="1" customWidth="1"/>
    <col min="8" max="8" width="17.28515625" bestFit="1" customWidth="1"/>
    <col min="9" max="9" width="9.28515625" bestFit="1" customWidth="1"/>
    <col min="10" max="10" width="32.5703125" bestFit="1" customWidth="1"/>
    <col min="11" max="11" width="21.140625" bestFit="1" customWidth="1"/>
    <col min="12" max="12" width="19.7109375" bestFit="1" customWidth="1"/>
    <col min="13" max="13" width="10" bestFit="1" customWidth="1"/>
    <col min="14" max="14" width="12.42578125" bestFit="1" customWidth="1"/>
    <col min="15" max="15" width="14.85546875" bestFit="1" customWidth="1"/>
    <col min="16" max="16" width="17.140625" bestFit="1" customWidth="1"/>
  </cols>
  <sheetData>
    <row r="1" spans="1:1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265</v>
      </c>
      <c r="H1" s="1" t="s">
        <v>279</v>
      </c>
      <c r="I1" s="1" t="s">
        <v>4835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4836</v>
      </c>
      <c r="O1" s="1" t="s">
        <v>264</v>
      </c>
      <c r="P1" s="1" t="s">
        <v>4837</v>
      </c>
    </row>
    <row r="2" spans="1:16" x14ac:dyDescent="0.25">
      <c r="A2" t="s">
        <v>4838</v>
      </c>
      <c r="B2" t="s">
        <v>4839</v>
      </c>
      <c r="C2" t="s">
        <v>4840</v>
      </c>
      <c r="D2" s="11">
        <v>9007</v>
      </c>
      <c r="E2" t="s">
        <v>6</v>
      </c>
      <c r="F2">
        <v>7</v>
      </c>
      <c r="G2" t="str">
        <f>_xlfn.XLOOKUP(E2,'Base SKUs'!E:E,'Base SKUs'!D:D)</f>
        <v>Thermowood</v>
      </c>
      <c r="H2" s="10">
        <f>_xlfn.XLOOKUP(E2,'Base SKUs'!E:E,'Base SKUs'!S:S)</f>
        <v>1.1172E-2</v>
      </c>
      <c r="I2" s="9">
        <f t="shared" ref="I2:I65" si="0">IF(OR(G2="Norx",K2="Tiles"),ROUND(F2,3),ROUND(F2*H2,3))</f>
        <v>7.8E-2</v>
      </c>
      <c r="J2" t="str">
        <f>_xlfn.XLOOKUP(E2,'Base SKUs'!E:E,'Base SKUs'!G:G)</f>
        <v>Maximo Thermo Ayous</v>
      </c>
      <c r="K2" t="str">
        <f>_xlfn.XLOOKUP(E2,'Base SKUs'!E:E,'Base SKUs'!H:H)</f>
        <v>VJoint - Nickel Gap</v>
      </c>
      <c r="L2" t="str">
        <f>_xlfn.XLOOKUP(E2,'Base SKUs'!E:E,'Base SKUs'!I:I)</f>
        <v>-</v>
      </c>
      <c r="M2" t="str">
        <f>_xlfn.XLOOKUP(E2,'Base SKUs'!E:E,'Base SKUs'!J:J)</f>
        <v>1x6</v>
      </c>
      <c r="N2">
        <f>_xlfn.XLOOKUP(E2,'Base SKUs'!E:E,'Base SKUs'!K:K)</f>
        <v>14</v>
      </c>
      <c r="O2" t="str">
        <f>_xlfn.XLOOKUP(E2,'Base SKUs'!E:E,'Base SKUs'!C:C)</f>
        <v>Long</v>
      </c>
      <c r="P2" t="s">
        <v>4927</v>
      </c>
    </row>
    <row r="3" spans="1:16" x14ac:dyDescent="0.25">
      <c r="A3" t="s">
        <v>4838</v>
      </c>
      <c r="B3" t="s">
        <v>4839</v>
      </c>
      <c r="C3" t="s">
        <v>4840</v>
      </c>
      <c r="D3" s="11">
        <v>9007</v>
      </c>
      <c r="E3" t="s">
        <v>6</v>
      </c>
      <c r="F3">
        <v>31</v>
      </c>
      <c r="G3" t="str">
        <f>_xlfn.XLOOKUP(E3,'Base SKUs'!E:E,'Base SKUs'!D:D)</f>
        <v>Thermowood</v>
      </c>
      <c r="H3" s="10">
        <f>_xlfn.XLOOKUP(E3,'Base SKUs'!E:E,'Base SKUs'!S:S)</f>
        <v>1.1172E-2</v>
      </c>
      <c r="I3" s="9">
        <f t="shared" si="0"/>
        <v>0.34599999999999997</v>
      </c>
      <c r="J3" t="str">
        <f>_xlfn.XLOOKUP(E3,'Base SKUs'!E:E,'Base SKUs'!G:G)</f>
        <v>Maximo Thermo Ayous</v>
      </c>
      <c r="K3" t="str">
        <f>_xlfn.XLOOKUP(E3,'Base SKUs'!E:E,'Base SKUs'!H:H)</f>
        <v>VJoint - Nickel Gap</v>
      </c>
      <c r="L3" t="str">
        <f>_xlfn.XLOOKUP(E3,'Base SKUs'!E:E,'Base SKUs'!I:I)</f>
        <v>-</v>
      </c>
      <c r="M3" t="str">
        <f>_xlfn.XLOOKUP(E3,'Base SKUs'!E:E,'Base SKUs'!J:J)</f>
        <v>1x6</v>
      </c>
      <c r="N3">
        <f>_xlfn.XLOOKUP(E3,'Base SKUs'!E:E,'Base SKUs'!K:K)</f>
        <v>14</v>
      </c>
      <c r="O3" t="str">
        <f>_xlfn.XLOOKUP(E3,'Base SKUs'!E:E,'Base SKUs'!C:C)</f>
        <v>Long</v>
      </c>
      <c r="P3" t="s">
        <v>4927</v>
      </c>
    </row>
    <row r="4" spans="1:16" x14ac:dyDescent="0.25">
      <c r="A4" t="s">
        <v>4841</v>
      </c>
      <c r="B4" t="s">
        <v>4839</v>
      </c>
      <c r="C4" t="s">
        <v>4840</v>
      </c>
      <c r="D4" s="11">
        <v>9008</v>
      </c>
      <c r="E4" t="s">
        <v>7</v>
      </c>
      <c r="F4">
        <v>56</v>
      </c>
      <c r="G4" t="str">
        <f>_xlfn.XLOOKUP(E4,'Base SKUs'!E:E,'Base SKUs'!D:D)</f>
        <v>Hardwoods</v>
      </c>
      <c r="H4" s="10">
        <f>_xlfn.XLOOKUP(E4,'Base SKUs'!E:E,'Base SKUs'!S:S)</f>
        <v>6.4892773439999994E-3</v>
      </c>
      <c r="I4" s="9">
        <f t="shared" si="0"/>
        <v>0.36299999999999999</v>
      </c>
      <c r="J4" t="str">
        <f>_xlfn.XLOOKUP(E4,'Base SKUs'!E:E,'Base SKUs'!G:G)</f>
        <v>Ipe</v>
      </c>
      <c r="K4" t="str">
        <f>_xlfn.XLOOKUP(E4,'Base SKUs'!E:E,'Base SKUs'!H:H)</f>
        <v>S4S E4E</v>
      </c>
      <c r="L4" t="str">
        <f>_xlfn.XLOOKUP(E4,'Base SKUs'!E:E,'Base SKUs'!I:I)</f>
        <v>-</v>
      </c>
      <c r="M4" t="str">
        <f>_xlfn.XLOOKUP(E4,'Base SKUs'!E:E,'Base SKUs'!J:J)</f>
        <v>1x6</v>
      </c>
      <c r="N4">
        <f>_xlfn.XLOOKUP(E4,'Base SKUs'!E:E,'Base SKUs'!K:K)</f>
        <v>8</v>
      </c>
      <c r="O4" t="str">
        <f>_xlfn.XLOOKUP(E4,'Base SKUs'!E:E,'Base SKUs'!C:C)</f>
        <v>Long</v>
      </c>
      <c r="P4" t="s">
        <v>4927</v>
      </c>
    </row>
    <row r="5" spans="1:16" x14ac:dyDescent="0.25">
      <c r="A5" t="s">
        <v>4842</v>
      </c>
      <c r="B5" t="s">
        <v>4839</v>
      </c>
      <c r="C5" t="s">
        <v>4840</v>
      </c>
      <c r="D5" s="11">
        <v>9008</v>
      </c>
      <c r="E5" t="s">
        <v>8</v>
      </c>
      <c r="F5">
        <v>18</v>
      </c>
      <c r="G5" t="str">
        <f>_xlfn.XLOOKUP(E5,'Base SKUs'!E:E,'Base SKUs'!D:D)</f>
        <v>Thermowood</v>
      </c>
      <c r="H5" s="10">
        <f>_xlfn.XLOOKUP(E5,'Base SKUs'!E:E,'Base SKUs'!S:S)</f>
        <v>7.980000000000001E-3</v>
      </c>
      <c r="I5" s="9">
        <f t="shared" si="0"/>
        <v>0.14399999999999999</v>
      </c>
      <c r="J5" t="str">
        <f>_xlfn.XLOOKUP(E5,'Base SKUs'!E:E,'Base SKUs'!G:G)</f>
        <v>Maximo Thermo Ayous</v>
      </c>
      <c r="K5" t="str">
        <f>_xlfn.XLOOKUP(E5,'Base SKUs'!E:E,'Base SKUs'!H:H)</f>
        <v>Fluted</v>
      </c>
      <c r="L5" t="str">
        <f>_xlfn.XLOOKUP(E5,'Base SKUs'!E:E,'Base SKUs'!I:I)</f>
        <v>-</v>
      </c>
      <c r="M5" t="str">
        <f>_xlfn.XLOOKUP(E5,'Base SKUs'!E:E,'Base SKUs'!J:J)</f>
        <v>1x6</v>
      </c>
      <c r="N5">
        <f>_xlfn.XLOOKUP(E5,'Base SKUs'!E:E,'Base SKUs'!K:K)</f>
        <v>10</v>
      </c>
      <c r="O5" t="str">
        <f>_xlfn.XLOOKUP(E5,'Base SKUs'!E:E,'Base SKUs'!C:C)</f>
        <v>Long</v>
      </c>
      <c r="P5" t="s">
        <v>4927</v>
      </c>
    </row>
    <row r="6" spans="1:16" x14ac:dyDescent="0.25">
      <c r="A6" t="s">
        <v>4842</v>
      </c>
      <c r="B6" t="s">
        <v>4839</v>
      </c>
      <c r="C6" t="s">
        <v>4840</v>
      </c>
      <c r="D6" s="11">
        <v>9008</v>
      </c>
      <c r="E6" t="s">
        <v>9</v>
      </c>
      <c r="F6">
        <v>14</v>
      </c>
      <c r="G6" t="str">
        <f>_xlfn.XLOOKUP(E6,'Base SKUs'!E:E,'Base SKUs'!D:D)</f>
        <v>Thermowood</v>
      </c>
      <c r="H6" s="10">
        <f>_xlfn.XLOOKUP(E6,'Base SKUs'!E:E,'Base SKUs'!S:S)</f>
        <v>1.1172E-2</v>
      </c>
      <c r="I6" s="9">
        <f t="shared" si="0"/>
        <v>0.156</v>
      </c>
      <c r="J6" t="str">
        <f>_xlfn.XLOOKUP(E6,'Base SKUs'!E:E,'Base SKUs'!G:G)</f>
        <v>Maximo Thermo Ayous</v>
      </c>
      <c r="K6" t="str">
        <f>_xlfn.XLOOKUP(E6,'Base SKUs'!E:E,'Base SKUs'!H:H)</f>
        <v>Fluted</v>
      </c>
      <c r="L6" t="str">
        <f>_xlfn.XLOOKUP(E6,'Base SKUs'!E:E,'Base SKUs'!I:I)</f>
        <v>-</v>
      </c>
      <c r="M6" t="str">
        <f>_xlfn.XLOOKUP(E6,'Base SKUs'!E:E,'Base SKUs'!J:J)</f>
        <v>1x6</v>
      </c>
      <c r="N6">
        <f>_xlfn.XLOOKUP(E6,'Base SKUs'!E:E,'Base SKUs'!K:K)</f>
        <v>14</v>
      </c>
      <c r="O6" t="str">
        <f>_xlfn.XLOOKUP(E6,'Base SKUs'!E:E,'Base SKUs'!C:C)</f>
        <v>Long</v>
      </c>
      <c r="P6" t="s">
        <v>4927</v>
      </c>
    </row>
    <row r="7" spans="1:16" x14ac:dyDescent="0.25">
      <c r="A7" t="s">
        <v>4842</v>
      </c>
      <c r="B7" t="s">
        <v>4839</v>
      </c>
      <c r="C7" t="s">
        <v>4840</v>
      </c>
      <c r="D7" s="11">
        <v>9008</v>
      </c>
      <c r="E7" t="s">
        <v>10</v>
      </c>
      <c r="F7">
        <v>5</v>
      </c>
      <c r="G7" t="str">
        <f>_xlfn.XLOOKUP(E7,'Base SKUs'!E:E,'Base SKUs'!D:D)</f>
        <v>Thermowood</v>
      </c>
      <c r="H7" s="10">
        <f>_xlfn.XLOOKUP(E7,'Base SKUs'!E:E,'Base SKUs'!S:S)</f>
        <v>1.1970000000000001E-2</v>
      </c>
      <c r="I7" s="9">
        <f t="shared" si="0"/>
        <v>0.06</v>
      </c>
      <c r="J7" t="str">
        <f>_xlfn.XLOOKUP(E7,'Base SKUs'!E:E,'Base SKUs'!G:G)</f>
        <v>Maximo Thermo Ayous</v>
      </c>
      <c r="K7" t="str">
        <f>_xlfn.XLOOKUP(E7,'Base SKUs'!E:E,'Base SKUs'!H:H)</f>
        <v>Fluted</v>
      </c>
      <c r="L7" t="str">
        <f>_xlfn.XLOOKUP(E7,'Base SKUs'!E:E,'Base SKUs'!I:I)</f>
        <v>-</v>
      </c>
      <c r="M7" t="str">
        <f>_xlfn.XLOOKUP(E7,'Base SKUs'!E:E,'Base SKUs'!J:J)</f>
        <v>1x6</v>
      </c>
      <c r="N7">
        <f>_xlfn.XLOOKUP(E7,'Base SKUs'!E:E,'Base SKUs'!K:K)</f>
        <v>15</v>
      </c>
      <c r="O7" t="str">
        <f>_xlfn.XLOOKUP(E7,'Base SKUs'!E:E,'Base SKUs'!C:C)</f>
        <v>Long</v>
      </c>
      <c r="P7" t="s">
        <v>4927</v>
      </c>
    </row>
    <row r="8" spans="1:16" x14ac:dyDescent="0.25">
      <c r="A8" t="s">
        <v>4842</v>
      </c>
      <c r="B8" t="s">
        <v>4839</v>
      </c>
      <c r="C8" t="s">
        <v>4840</v>
      </c>
      <c r="D8" s="11">
        <v>9008</v>
      </c>
      <c r="E8" t="s">
        <v>11</v>
      </c>
      <c r="F8">
        <v>245</v>
      </c>
      <c r="G8" t="str">
        <f>_xlfn.XLOOKUP(E8,'Base SKUs'!E:E,'Base SKUs'!D:D)</f>
        <v>Thermowood</v>
      </c>
      <c r="H8" s="10">
        <f>_xlfn.XLOOKUP(E8,'Base SKUs'!E:E,'Base SKUs'!S:S)</f>
        <v>6.3839999999999999E-3</v>
      </c>
      <c r="I8" s="9">
        <f t="shared" si="0"/>
        <v>1.5640000000000001</v>
      </c>
      <c r="J8" t="str">
        <f>_xlfn.XLOOKUP(E8,'Base SKUs'!E:E,'Base SKUs'!G:G)</f>
        <v>Maximo Thermo Ayous</v>
      </c>
      <c r="K8" t="str">
        <f>_xlfn.XLOOKUP(E8,'Base SKUs'!E:E,'Base SKUs'!H:H)</f>
        <v>Fluted</v>
      </c>
      <c r="L8" t="str">
        <f>_xlfn.XLOOKUP(E8,'Base SKUs'!E:E,'Base SKUs'!I:I)</f>
        <v>-</v>
      </c>
      <c r="M8" t="str">
        <f>_xlfn.XLOOKUP(E8,'Base SKUs'!E:E,'Base SKUs'!J:J)</f>
        <v>1x6</v>
      </c>
      <c r="N8">
        <f>_xlfn.XLOOKUP(E8,'Base SKUs'!E:E,'Base SKUs'!K:K)</f>
        <v>8</v>
      </c>
      <c r="O8" t="str">
        <f>_xlfn.XLOOKUP(E8,'Base SKUs'!E:E,'Base SKUs'!C:C)</f>
        <v>Long</v>
      </c>
      <c r="P8" t="s">
        <v>4927</v>
      </c>
    </row>
    <row r="9" spans="1:16" x14ac:dyDescent="0.25">
      <c r="A9" t="s">
        <v>4842</v>
      </c>
      <c r="B9" t="s">
        <v>4839</v>
      </c>
      <c r="C9" t="s">
        <v>4840</v>
      </c>
      <c r="D9" s="11">
        <v>9008</v>
      </c>
      <c r="E9" t="s">
        <v>12</v>
      </c>
      <c r="F9">
        <v>28</v>
      </c>
      <c r="G9" t="str">
        <f>_xlfn.XLOOKUP(E9,'Base SKUs'!E:E,'Base SKUs'!D:D)</f>
        <v>Thermowood</v>
      </c>
      <c r="H9" s="10">
        <f>_xlfn.XLOOKUP(E9,'Base SKUs'!E:E,'Base SKUs'!S:S)</f>
        <v>7.182E-3</v>
      </c>
      <c r="I9" s="9">
        <f t="shared" si="0"/>
        <v>0.20100000000000001</v>
      </c>
      <c r="J9" t="str">
        <f>_xlfn.XLOOKUP(E9,'Base SKUs'!E:E,'Base SKUs'!G:G)</f>
        <v>Maximo Thermo Ayous</v>
      </c>
      <c r="K9" t="str">
        <f>_xlfn.XLOOKUP(E9,'Base SKUs'!E:E,'Base SKUs'!H:H)</f>
        <v>Fluted</v>
      </c>
      <c r="L9" t="str">
        <f>_xlfn.XLOOKUP(E9,'Base SKUs'!E:E,'Base SKUs'!I:I)</f>
        <v>-</v>
      </c>
      <c r="M9" t="str">
        <f>_xlfn.XLOOKUP(E9,'Base SKUs'!E:E,'Base SKUs'!J:J)</f>
        <v>1x6</v>
      </c>
      <c r="N9">
        <f>_xlfn.XLOOKUP(E9,'Base SKUs'!E:E,'Base SKUs'!K:K)</f>
        <v>9</v>
      </c>
      <c r="O9" t="str">
        <f>_xlfn.XLOOKUP(E9,'Base SKUs'!E:E,'Base SKUs'!C:C)</f>
        <v>Long</v>
      </c>
      <c r="P9" t="s">
        <v>4927</v>
      </c>
    </row>
    <row r="10" spans="1:16" x14ac:dyDescent="0.25">
      <c r="A10" t="s">
        <v>4843</v>
      </c>
      <c r="B10" t="s">
        <v>4844</v>
      </c>
      <c r="C10" t="s">
        <v>4845</v>
      </c>
      <c r="D10" s="11">
        <v>9007</v>
      </c>
      <c r="E10" t="s">
        <v>13</v>
      </c>
      <c r="F10">
        <v>11</v>
      </c>
      <c r="G10" t="str">
        <f>_xlfn.XLOOKUP(E10,'Base SKUs'!E:E,'Base SKUs'!D:D)</f>
        <v>Thermowood</v>
      </c>
      <c r="H10" s="10">
        <f>_xlfn.XLOOKUP(E10,'Base SKUs'!E:E,'Base SKUs'!S:S)</f>
        <v>3.1464000000000002E-3</v>
      </c>
      <c r="I10" s="9">
        <f t="shared" si="0"/>
        <v>3.5000000000000003E-2</v>
      </c>
      <c r="J10" t="str">
        <f>_xlfn.XLOOKUP(E10,'Base SKUs'!E:E,'Base SKUs'!G:G)</f>
        <v>Maximo Thermo Ayous</v>
      </c>
      <c r="K10" t="str">
        <f>_xlfn.XLOOKUP(E10,'Base SKUs'!E:E,'Base SKUs'!H:H)</f>
        <v>VJoint - Square Back</v>
      </c>
      <c r="L10" t="str">
        <f>_xlfn.XLOOKUP(E10,'Base SKUs'!E:E,'Base SKUs'!I:I)</f>
        <v>-</v>
      </c>
      <c r="M10" t="str">
        <f>_xlfn.XLOOKUP(E10,'Base SKUs'!E:E,'Base SKUs'!J:J)</f>
        <v>1x4</v>
      </c>
      <c r="N10">
        <f>_xlfn.XLOOKUP(E10,'Base SKUs'!E:E,'Base SKUs'!K:K)</f>
        <v>6</v>
      </c>
      <c r="O10" t="str">
        <f>_xlfn.XLOOKUP(E10,'Base SKUs'!E:E,'Base SKUs'!C:C)</f>
        <v>Short</v>
      </c>
      <c r="P10" t="s">
        <v>2880</v>
      </c>
    </row>
    <row r="11" spans="1:16" x14ac:dyDescent="0.25">
      <c r="A11" t="s">
        <v>4846</v>
      </c>
      <c r="B11" t="s">
        <v>4839</v>
      </c>
      <c r="C11" t="s">
        <v>4840</v>
      </c>
      <c r="D11" s="11">
        <v>9008</v>
      </c>
      <c r="E11" t="s">
        <v>14</v>
      </c>
      <c r="F11">
        <v>3</v>
      </c>
      <c r="G11" t="str">
        <f>_xlfn.XLOOKUP(E11,'Base SKUs'!E:E,'Base SKUs'!D:D)</f>
        <v>Thermowood</v>
      </c>
      <c r="H11" s="10">
        <f>_xlfn.XLOOKUP(E11,'Base SKUs'!E:E,'Base SKUs'!S:S)</f>
        <v>6.3839999999999999E-3</v>
      </c>
      <c r="I11" s="9">
        <f t="shared" si="0"/>
        <v>1.9E-2</v>
      </c>
      <c r="J11" t="str">
        <f>_xlfn.XLOOKUP(E11,'Base SKUs'!E:E,'Base SKUs'!G:G)</f>
        <v>Maximo Thermo Ayous</v>
      </c>
      <c r="K11" t="str">
        <f>_xlfn.XLOOKUP(E11,'Base SKUs'!E:E,'Base SKUs'!H:H)</f>
        <v>VJoint - Nickel Gap</v>
      </c>
      <c r="L11" t="str">
        <f>_xlfn.XLOOKUP(E11,'Base SKUs'!E:E,'Base SKUs'!I:I)</f>
        <v>-</v>
      </c>
      <c r="M11" t="str">
        <f>_xlfn.XLOOKUP(E11,'Base SKUs'!E:E,'Base SKUs'!J:J)</f>
        <v>1x6</v>
      </c>
      <c r="N11">
        <f>_xlfn.XLOOKUP(E11,'Base SKUs'!E:E,'Base SKUs'!K:K)</f>
        <v>8</v>
      </c>
      <c r="O11" t="str">
        <f>_xlfn.XLOOKUP(E11,'Base SKUs'!E:E,'Base SKUs'!C:C)</f>
        <v>Long</v>
      </c>
      <c r="P11" t="s">
        <v>4927</v>
      </c>
    </row>
    <row r="12" spans="1:16" x14ac:dyDescent="0.25">
      <c r="A12" t="s">
        <v>4846</v>
      </c>
      <c r="B12" t="s">
        <v>4839</v>
      </c>
      <c r="C12" t="s">
        <v>4840</v>
      </c>
      <c r="D12" s="11">
        <v>9008</v>
      </c>
      <c r="E12" t="s">
        <v>15</v>
      </c>
      <c r="F12">
        <v>9</v>
      </c>
      <c r="G12" t="str">
        <f>_xlfn.XLOOKUP(E12,'Base SKUs'!E:E,'Base SKUs'!D:D)</f>
        <v>Thermowood</v>
      </c>
      <c r="H12" s="10">
        <f>_xlfn.XLOOKUP(E12,'Base SKUs'!E:E,'Base SKUs'!S:S)</f>
        <v>1.2768E-2</v>
      </c>
      <c r="I12" s="9">
        <f t="shared" si="0"/>
        <v>0.115</v>
      </c>
      <c r="J12" t="str">
        <f>_xlfn.XLOOKUP(E12,'Base SKUs'!E:E,'Base SKUs'!G:G)</f>
        <v>Maximo Thermo Ayous</v>
      </c>
      <c r="K12" t="str">
        <f>_xlfn.XLOOKUP(E12,'Base SKUs'!E:E,'Base SKUs'!H:H)</f>
        <v>VJoint - Nickel Gap</v>
      </c>
      <c r="L12" t="str">
        <f>_xlfn.XLOOKUP(E12,'Base SKUs'!E:E,'Base SKUs'!I:I)</f>
        <v>-</v>
      </c>
      <c r="M12" t="str">
        <f>_xlfn.XLOOKUP(E12,'Base SKUs'!E:E,'Base SKUs'!J:J)</f>
        <v>1x6</v>
      </c>
      <c r="N12">
        <f>_xlfn.XLOOKUP(E12,'Base SKUs'!E:E,'Base SKUs'!K:K)</f>
        <v>16</v>
      </c>
      <c r="O12" t="str">
        <f>_xlfn.XLOOKUP(E12,'Base SKUs'!E:E,'Base SKUs'!C:C)</f>
        <v>Long</v>
      </c>
      <c r="P12" t="s">
        <v>4927</v>
      </c>
    </row>
    <row r="13" spans="1:16" x14ac:dyDescent="0.25">
      <c r="A13" t="s">
        <v>4846</v>
      </c>
      <c r="B13" t="s">
        <v>4839</v>
      </c>
      <c r="C13" t="s">
        <v>4840</v>
      </c>
      <c r="D13" s="11">
        <v>9008</v>
      </c>
      <c r="E13" t="s">
        <v>6</v>
      </c>
      <c r="F13">
        <v>7</v>
      </c>
      <c r="G13" t="str">
        <f>_xlfn.XLOOKUP(E13,'Base SKUs'!E:E,'Base SKUs'!D:D)</f>
        <v>Thermowood</v>
      </c>
      <c r="H13" s="10">
        <f>_xlfn.XLOOKUP(E13,'Base SKUs'!E:E,'Base SKUs'!S:S)</f>
        <v>1.1172E-2</v>
      </c>
      <c r="I13" s="9">
        <f t="shared" si="0"/>
        <v>7.8E-2</v>
      </c>
      <c r="J13" t="str">
        <f>_xlfn.XLOOKUP(E13,'Base SKUs'!E:E,'Base SKUs'!G:G)</f>
        <v>Maximo Thermo Ayous</v>
      </c>
      <c r="K13" t="str">
        <f>_xlfn.XLOOKUP(E13,'Base SKUs'!E:E,'Base SKUs'!H:H)</f>
        <v>VJoint - Nickel Gap</v>
      </c>
      <c r="L13" t="str">
        <f>_xlfn.XLOOKUP(E13,'Base SKUs'!E:E,'Base SKUs'!I:I)</f>
        <v>-</v>
      </c>
      <c r="M13" t="str">
        <f>_xlfn.XLOOKUP(E13,'Base SKUs'!E:E,'Base SKUs'!J:J)</f>
        <v>1x6</v>
      </c>
      <c r="N13">
        <f>_xlfn.XLOOKUP(E13,'Base SKUs'!E:E,'Base SKUs'!K:K)</f>
        <v>14</v>
      </c>
      <c r="O13" t="str">
        <f>_xlfn.XLOOKUP(E13,'Base SKUs'!E:E,'Base SKUs'!C:C)</f>
        <v>Long</v>
      </c>
      <c r="P13" t="s">
        <v>4927</v>
      </c>
    </row>
    <row r="14" spans="1:16" x14ac:dyDescent="0.25">
      <c r="A14" t="s">
        <v>4847</v>
      </c>
      <c r="B14" t="s">
        <v>4839</v>
      </c>
      <c r="C14" t="s">
        <v>4840</v>
      </c>
      <c r="D14" s="11">
        <v>9008</v>
      </c>
      <c r="E14" t="s">
        <v>16</v>
      </c>
      <c r="F14">
        <v>14</v>
      </c>
      <c r="G14" t="str">
        <f>_xlfn.XLOOKUP(E14,'Base SKUs'!E:E,'Base SKUs'!D:D)</f>
        <v>Hardwoods</v>
      </c>
      <c r="H14" s="10">
        <f>_xlfn.XLOOKUP(E14,'Base SKUs'!E:E,'Base SKUs'!S:S)</f>
        <v>1.2978554687999999E-2</v>
      </c>
      <c r="I14" s="9">
        <f t="shared" si="0"/>
        <v>0.182</v>
      </c>
      <c r="J14" t="str">
        <f>_xlfn.XLOOKUP(E14,'Base SKUs'!E:E,'Base SKUs'!G:G)</f>
        <v>Ipe</v>
      </c>
      <c r="K14" t="str">
        <f>_xlfn.XLOOKUP(E14,'Base SKUs'!E:E,'Base SKUs'!H:H)</f>
        <v>S4S E4E</v>
      </c>
      <c r="L14" t="str">
        <f>_xlfn.XLOOKUP(E14,'Base SKUs'!E:E,'Base SKUs'!I:I)</f>
        <v>-</v>
      </c>
      <c r="M14" t="str">
        <f>_xlfn.XLOOKUP(E14,'Base SKUs'!E:E,'Base SKUs'!J:J)</f>
        <v>2x6</v>
      </c>
      <c r="N14">
        <f>_xlfn.XLOOKUP(E14,'Base SKUs'!E:E,'Base SKUs'!K:K)</f>
        <v>8</v>
      </c>
      <c r="O14" t="str">
        <f>_xlfn.XLOOKUP(E14,'Base SKUs'!E:E,'Base SKUs'!C:C)</f>
        <v>Long</v>
      </c>
      <c r="P14" t="s">
        <v>4927</v>
      </c>
    </row>
    <row r="15" spans="1:16" x14ac:dyDescent="0.25">
      <c r="A15" t="s">
        <v>4848</v>
      </c>
      <c r="B15" t="s">
        <v>4844</v>
      </c>
      <c r="C15" t="s">
        <v>4845</v>
      </c>
      <c r="D15" s="11">
        <v>9008</v>
      </c>
      <c r="E15" t="s">
        <v>17</v>
      </c>
      <c r="F15">
        <v>111</v>
      </c>
      <c r="G15" t="str">
        <f>_xlfn.XLOOKUP(E15,'Base SKUs'!E:E,'Base SKUs'!D:D)</f>
        <v>Hardwoods</v>
      </c>
      <c r="H15" s="10">
        <f>_xlfn.XLOOKUP(E15,'Base SKUs'!E:E,'Base SKUs'!S:S)</f>
        <v>6.452406449999999E-3</v>
      </c>
      <c r="I15" s="9">
        <f t="shared" si="0"/>
        <v>0.71599999999999997</v>
      </c>
      <c r="J15" t="str">
        <f>_xlfn.XLOOKUP(E15,'Base SKUs'!E:E,'Base SKUs'!G:G)</f>
        <v>Cumaru</v>
      </c>
      <c r="K15" t="str">
        <f>_xlfn.XLOOKUP(E15,'Base SKUs'!E:E,'Base SKUs'!H:H)</f>
        <v>S4S E4E</v>
      </c>
      <c r="L15" t="str">
        <f>_xlfn.XLOOKUP(E15,'Base SKUs'!E:E,'Base SKUs'!I:I)</f>
        <v>-</v>
      </c>
      <c r="M15" t="str">
        <f>_xlfn.XLOOKUP(E15,'Base SKUs'!E:E,'Base SKUs'!J:J)</f>
        <v>1x4 Plus</v>
      </c>
      <c r="N15">
        <f>_xlfn.XLOOKUP(E15,'Base SKUs'!E:E,'Base SKUs'!K:K)</f>
        <v>10</v>
      </c>
      <c r="O15" t="str">
        <f>_xlfn.XLOOKUP(E15,'Base SKUs'!E:E,'Base SKUs'!C:C)</f>
        <v>Long</v>
      </c>
      <c r="P15" t="s">
        <v>4928</v>
      </c>
    </row>
    <row r="16" spans="1:16" x14ac:dyDescent="0.25">
      <c r="A16" t="s">
        <v>4848</v>
      </c>
      <c r="B16" t="s">
        <v>4844</v>
      </c>
      <c r="C16" t="s">
        <v>4845</v>
      </c>
      <c r="D16" s="11">
        <v>9008</v>
      </c>
      <c r="E16" t="s">
        <v>18</v>
      </c>
      <c r="F16">
        <v>270</v>
      </c>
      <c r="G16" t="str">
        <f>_xlfn.XLOOKUP(E16,'Base SKUs'!E:E,'Base SKUs'!D:D)</f>
        <v>Hardwoods</v>
      </c>
      <c r="H16" s="10">
        <f>_xlfn.XLOOKUP(E16,'Base SKUs'!E:E,'Base SKUs'!S:S)</f>
        <v>7.0976470949999987E-3</v>
      </c>
      <c r="I16" s="9">
        <f t="shared" si="0"/>
        <v>1.9159999999999999</v>
      </c>
      <c r="J16" t="str">
        <f>_xlfn.XLOOKUP(E16,'Base SKUs'!E:E,'Base SKUs'!G:G)</f>
        <v>Cumaru</v>
      </c>
      <c r="K16" t="str">
        <f>_xlfn.XLOOKUP(E16,'Base SKUs'!E:E,'Base SKUs'!H:H)</f>
        <v>S4S E4E</v>
      </c>
      <c r="L16" t="str">
        <f>_xlfn.XLOOKUP(E16,'Base SKUs'!E:E,'Base SKUs'!I:I)</f>
        <v>-</v>
      </c>
      <c r="M16" t="str">
        <f>_xlfn.XLOOKUP(E16,'Base SKUs'!E:E,'Base SKUs'!J:J)</f>
        <v>1x4 Plus</v>
      </c>
      <c r="N16">
        <f>_xlfn.XLOOKUP(E16,'Base SKUs'!E:E,'Base SKUs'!K:K)</f>
        <v>11</v>
      </c>
      <c r="O16" t="str">
        <f>_xlfn.XLOOKUP(E16,'Base SKUs'!E:E,'Base SKUs'!C:C)</f>
        <v>Long</v>
      </c>
      <c r="P16" t="s">
        <v>4928</v>
      </c>
    </row>
    <row r="17" spans="1:16" x14ac:dyDescent="0.25">
      <c r="A17" t="s">
        <v>4848</v>
      </c>
      <c r="B17" t="s">
        <v>4844</v>
      </c>
      <c r="C17" t="s">
        <v>4845</v>
      </c>
      <c r="D17" s="11">
        <v>9008</v>
      </c>
      <c r="E17" t="s">
        <v>63</v>
      </c>
      <c r="F17">
        <v>228</v>
      </c>
      <c r="G17" t="str">
        <f>_xlfn.XLOOKUP(E17,'Base SKUs'!E:E,'Base SKUs'!D:D)</f>
        <v>Hardwoods</v>
      </c>
      <c r="H17" s="10">
        <f>_xlfn.XLOOKUP(E17,'Base SKUs'!E:E,'Base SKUs'!S:S)</f>
        <v>7.7428877399999983E-3</v>
      </c>
      <c r="I17" s="9">
        <f t="shared" si="0"/>
        <v>1.7649999999999999</v>
      </c>
      <c r="J17" t="str">
        <f>_xlfn.XLOOKUP(E17,'Base SKUs'!E:E,'Base SKUs'!G:G)</f>
        <v>Cumaru</v>
      </c>
      <c r="K17" t="str">
        <f>_xlfn.XLOOKUP(E17,'Base SKUs'!E:E,'Base SKUs'!H:H)</f>
        <v>S4S E4E</v>
      </c>
      <c r="L17" t="str">
        <f>_xlfn.XLOOKUP(E17,'Base SKUs'!E:E,'Base SKUs'!I:I)</f>
        <v>-</v>
      </c>
      <c r="M17" t="str">
        <f>_xlfn.XLOOKUP(E17,'Base SKUs'!E:E,'Base SKUs'!J:J)</f>
        <v>1x4 Plus</v>
      </c>
      <c r="N17">
        <f>_xlfn.XLOOKUP(E17,'Base SKUs'!E:E,'Base SKUs'!K:K)</f>
        <v>12</v>
      </c>
      <c r="O17" t="str">
        <f>_xlfn.XLOOKUP(E17,'Base SKUs'!E:E,'Base SKUs'!C:C)</f>
        <v>Long</v>
      </c>
      <c r="P17" t="s">
        <v>4928</v>
      </c>
    </row>
    <row r="18" spans="1:16" x14ac:dyDescent="0.25">
      <c r="A18" t="s">
        <v>4848</v>
      </c>
      <c r="B18" t="s">
        <v>4844</v>
      </c>
      <c r="C18" t="s">
        <v>4845</v>
      </c>
      <c r="D18" s="11">
        <v>9008</v>
      </c>
      <c r="E18" t="s">
        <v>19</v>
      </c>
      <c r="F18">
        <v>390</v>
      </c>
      <c r="G18" t="str">
        <f>_xlfn.XLOOKUP(E18,'Base SKUs'!E:E,'Base SKUs'!D:D)</f>
        <v>Hardwoods</v>
      </c>
      <c r="H18" s="10">
        <f>_xlfn.XLOOKUP(E18,'Base SKUs'!E:E,'Base SKUs'!S:S)</f>
        <v>8.3881283850000005E-3</v>
      </c>
      <c r="I18" s="9">
        <f t="shared" si="0"/>
        <v>3.2709999999999999</v>
      </c>
      <c r="J18" t="str">
        <f>_xlfn.XLOOKUP(E18,'Base SKUs'!E:E,'Base SKUs'!G:G)</f>
        <v>Cumaru</v>
      </c>
      <c r="K18" t="str">
        <f>_xlfn.XLOOKUP(E18,'Base SKUs'!E:E,'Base SKUs'!H:H)</f>
        <v>S4S E4E</v>
      </c>
      <c r="L18" t="str">
        <f>_xlfn.XLOOKUP(E18,'Base SKUs'!E:E,'Base SKUs'!I:I)</f>
        <v>-</v>
      </c>
      <c r="M18" t="str">
        <f>_xlfn.XLOOKUP(E18,'Base SKUs'!E:E,'Base SKUs'!J:J)</f>
        <v>1x4 Plus</v>
      </c>
      <c r="N18">
        <f>_xlfn.XLOOKUP(E18,'Base SKUs'!E:E,'Base SKUs'!K:K)</f>
        <v>13</v>
      </c>
      <c r="O18" t="str">
        <f>_xlfn.XLOOKUP(E18,'Base SKUs'!E:E,'Base SKUs'!C:C)</f>
        <v>Long</v>
      </c>
      <c r="P18" t="s">
        <v>4928</v>
      </c>
    </row>
    <row r="19" spans="1:16" x14ac:dyDescent="0.25">
      <c r="A19" t="s">
        <v>4848</v>
      </c>
      <c r="B19" t="s">
        <v>4844</v>
      </c>
      <c r="C19" t="s">
        <v>4845</v>
      </c>
      <c r="D19" s="11">
        <v>9008</v>
      </c>
      <c r="E19" t="s">
        <v>20</v>
      </c>
      <c r="F19">
        <v>191</v>
      </c>
      <c r="G19" t="str">
        <f>_xlfn.XLOOKUP(E19,'Base SKUs'!E:E,'Base SKUs'!D:D)</f>
        <v>Hardwoods</v>
      </c>
      <c r="H19" s="10">
        <f>_xlfn.XLOOKUP(E19,'Base SKUs'!E:E,'Base SKUs'!S:S)</f>
        <v>9.0333690299999984E-3</v>
      </c>
      <c r="I19" s="9">
        <f t="shared" si="0"/>
        <v>1.7250000000000001</v>
      </c>
      <c r="J19" t="str">
        <f>_xlfn.XLOOKUP(E19,'Base SKUs'!E:E,'Base SKUs'!G:G)</f>
        <v>Cumaru</v>
      </c>
      <c r="K19" t="str">
        <f>_xlfn.XLOOKUP(E19,'Base SKUs'!E:E,'Base SKUs'!H:H)</f>
        <v>S4S E4E</v>
      </c>
      <c r="L19" t="str">
        <f>_xlfn.XLOOKUP(E19,'Base SKUs'!E:E,'Base SKUs'!I:I)</f>
        <v>-</v>
      </c>
      <c r="M19" t="str">
        <f>_xlfn.XLOOKUP(E19,'Base SKUs'!E:E,'Base SKUs'!J:J)</f>
        <v>1x4 Plus</v>
      </c>
      <c r="N19">
        <f>_xlfn.XLOOKUP(E19,'Base SKUs'!E:E,'Base SKUs'!K:K)</f>
        <v>14</v>
      </c>
      <c r="O19" t="str">
        <f>_xlfn.XLOOKUP(E19,'Base SKUs'!E:E,'Base SKUs'!C:C)</f>
        <v>Long</v>
      </c>
      <c r="P19" t="s">
        <v>4928</v>
      </c>
    </row>
    <row r="20" spans="1:16" x14ac:dyDescent="0.25">
      <c r="A20" t="s">
        <v>4848</v>
      </c>
      <c r="B20" t="s">
        <v>4844</v>
      </c>
      <c r="C20" t="s">
        <v>4845</v>
      </c>
      <c r="D20" s="11">
        <v>9008</v>
      </c>
      <c r="E20" t="s">
        <v>21</v>
      </c>
      <c r="F20">
        <v>242</v>
      </c>
      <c r="G20" t="str">
        <f>_xlfn.XLOOKUP(E20,'Base SKUs'!E:E,'Base SKUs'!D:D)</f>
        <v>Hardwoods</v>
      </c>
      <c r="H20" s="10">
        <f>_xlfn.XLOOKUP(E20,'Base SKUs'!E:E,'Base SKUs'!S:S)</f>
        <v>9.6786096749999981E-3</v>
      </c>
      <c r="I20" s="9">
        <f t="shared" si="0"/>
        <v>2.3420000000000001</v>
      </c>
      <c r="J20" t="str">
        <f>_xlfn.XLOOKUP(E20,'Base SKUs'!E:E,'Base SKUs'!G:G)</f>
        <v>Cumaru</v>
      </c>
      <c r="K20" t="str">
        <f>_xlfn.XLOOKUP(E20,'Base SKUs'!E:E,'Base SKUs'!H:H)</f>
        <v>S4S E4E</v>
      </c>
      <c r="L20" t="str">
        <f>_xlfn.XLOOKUP(E20,'Base SKUs'!E:E,'Base SKUs'!I:I)</f>
        <v>-</v>
      </c>
      <c r="M20" t="str">
        <f>_xlfn.XLOOKUP(E20,'Base SKUs'!E:E,'Base SKUs'!J:J)</f>
        <v>1x4 Plus</v>
      </c>
      <c r="N20">
        <f>_xlfn.XLOOKUP(E20,'Base SKUs'!E:E,'Base SKUs'!K:K)</f>
        <v>15</v>
      </c>
      <c r="O20" t="str">
        <f>_xlfn.XLOOKUP(E20,'Base SKUs'!E:E,'Base SKUs'!C:C)</f>
        <v>Long</v>
      </c>
      <c r="P20" t="s">
        <v>4928</v>
      </c>
    </row>
    <row r="21" spans="1:16" x14ac:dyDescent="0.25">
      <c r="A21" t="s">
        <v>4848</v>
      </c>
      <c r="B21" t="s">
        <v>4844</v>
      </c>
      <c r="C21" t="s">
        <v>4845</v>
      </c>
      <c r="D21" s="11">
        <v>9008</v>
      </c>
      <c r="E21" t="s">
        <v>22</v>
      </c>
      <c r="F21">
        <v>170</v>
      </c>
      <c r="G21" t="str">
        <f>_xlfn.XLOOKUP(E21,'Base SKUs'!E:E,'Base SKUs'!D:D)</f>
        <v>Hardwoods</v>
      </c>
      <c r="H21" s="10">
        <f>_xlfn.XLOOKUP(E21,'Base SKUs'!E:E,'Base SKUs'!S:S)</f>
        <v>1.0323850319999999E-2</v>
      </c>
      <c r="I21" s="9">
        <f t="shared" si="0"/>
        <v>1.7549999999999999</v>
      </c>
      <c r="J21" t="str">
        <f>_xlfn.XLOOKUP(E21,'Base SKUs'!E:E,'Base SKUs'!G:G)</f>
        <v>Cumaru</v>
      </c>
      <c r="K21" t="str">
        <f>_xlfn.XLOOKUP(E21,'Base SKUs'!E:E,'Base SKUs'!H:H)</f>
        <v>S4S E4E</v>
      </c>
      <c r="L21" t="str">
        <f>_xlfn.XLOOKUP(E21,'Base SKUs'!E:E,'Base SKUs'!I:I)</f>
        <v>-</v>
      </c>
      <c r="M21" t="str">
        <f>_xlfn.XLOOKUP(E21,'Base SKUs'!E:E,'Base SKUs'!J:J)</f>
        <v>1x4 Plus</v>
      </c>
      <c r="N21">
        <f>_xlfn.XLOOKUP(E21,'Base SKUs'!E:E,'Base SKUs'!K:K)</f>
        <v>16</v>
      </c>
      <c r="O21" t="str">
        <f>_xlfn.XLOOKUP(E21,'Base SKUs'!E:E,'Base SKUs'!C:C)</f>
        <v>Long</v>
      </c>
      <c r="P21" t="s">
        <v>4928</v>
      </c>
    </row>
    <row r="22" spans="1:16" x14ac:dyDescent="0.25">
      <c r="A22" t="s">
        <v>4848</v>
      </c>
      <c r="B22" t="s">
        <v>4844</v>
      </c>
      <c r="C22" t="s">
        <v>4845</v>
      </c>
      <c r="D22" s="11">
        <v>9008</v>
      </c>
      <c r="E22" t="s">
        <v>23</v>
      </c>
      <c r="F22">
        <v>80</v>
      </c>
      <c r="G22" t="str">
        <f>_xlfn.XLOOKUP(E22,'Base SKUs'!E:E,'Base SKUs'!D:D)</f>
        <v>Hardwoods</v>
      </c>
      <c r="H22" s="10">
        <f>_xlfn.XLOOKUP(E22,'Base SKUs'!E:E,'Base SKUs'!S:S)</f>
        <v>1.0969090964999999E-2</v>
      </c>
      <c r="I22" s="9">
        <f t="shared" si="0"/>
        <v>0.878</v>
      </c>
      <c r="J22" t="str">
        <f>_xlfn.XLOOKUP(E22,'Base SKUs'!E:E,'Base SKUs'!G:G)</f>
        <v>Cumaru</v>
      </c>
      <c r="K22" t="str">
        <f>_xlfn.XLOOKUP(E22,'Base SKUs'!E:E,'Base SKUs'!H:H)</f>
        <v>S4S E4E</v>
      </c>
      <c r="L22" t="str">
        <f>_xlfn.XLOOKUP(E22,'Base SKUs'!E:E,'Base SKUs'!I:I)</f>
        <v>-</v>
      </c>
      <c r="M22" t="str">
        <f>_xlfn.XLOOKUP(E22,'Base SKUs'!E:E,'Base SKUs'!J:J)</f>
        <v>1x4 Plus</v>
      </c>
      <c r="N22">
        <f>_xlfn.XLOOKUP(E22,'Base SKUs'!E:E,'Base SKUs'!K:K)</f>
        <v>17</v>
      </c>
      <c r="O22" t="str">
        <f>_xlfn.XLOOKUP(E22,'Base SKUs'!E:E,'Base SKUs'!C:C)</f>
        <v>Long</v>
      </c>
      <c r="P22" t="s">
        <v>4928</v>
      </c>
    </row>
    <row r="23" spans="1:16" x14ac:dyDescent="0.25">
      <c r="A23" t="s">
        <v>4848</v>
      </c>
      <c r="B23" t="s">
        <v>4844</v>
      </c>
      <c r="C23" t="s">
        <v>4845</v>
      </c>
      <c r="D23" s="11">
        <v>9008</v>
      </c>
      <c r="E23" t="s">
        <v>24</v>
      </c>
      <c r="F23">
        <v>73</v>
      </c>
      <c r="G23" t="str">
        <f>_xlfn.XLOOKUP(E23,'Base SKUs'!E:E,'Base SKUs'!D:D)</f>
        <v>Hardwoods</v>
      </c>
      <c r="H23" s="10">
        <f>_xlfn.XLOOKUP(E23,'Base SKUs'!E:E,'Base SKUs'!S:S)</f>
        <v>1.1614331609999997E-2</v>
      </c>
      <c r="I23" s="9">
        <f t="shared" si="0"/>
        <v>0.84799999999999998</v>
      </c>
      <c r="J23" t="str">
        <f>_xlfn.XLOOKUP(E23,'Base SKUs'!E:E,'Base SKUs'!G:G)</f>
        <v>Cumaru</v>
      </c>
      <c r="K23" t="str">
        <f>_xlfn.XLOOKUP(E23,'Base SKUs'!E:E,'Base SKUs'!H:H)</f>
        <v>S4S E4E</v>
      </c>
      <c r="L23" t="str">
        <f>_xlfn.XLOOKUP(E23,'Base SKUs'!E:E,'Base SKUs'!I:I)</f>
        <v>-</v>
      </c>
      <c r="M23" t="str">
        <f>_xlfn.XLOOKUP(E23,'Base SKUs'!E:E,'Base SKUs'!J:J)</f>
        <v>1x4 Plus</v>
      </c>
      <c r="N23">
        <f>_xlfn.XLOOKUP(E23,'Base SKUs'!E:E,'Base SKUs'!K:K)</f>
        <v>18</v>
      </c>
      <c r="O23" t="str">
        <f>_xlfn.XLOOKUP(E23,'Base SKUs'!E:E,'Base SKUs'!C:C)</f>
        <v>Long</v>
      </c>
      <c r="P23" t="s">
        <v>4928</v>
      </c>
    </row>
    <row r="24" spans="1:16" x14ac:dyDescent="0.25">
      <c r="A24" t="s">
        <v>4848</v>
      </c>
      <c r="B24" t="s">
        <v>4844</v>
      </c>
      <c r="C24" t="s">
        <v>4845</v>
      </c>
      <c r="D24" s="11">
        <v>9008</v>
      </c>
      <c r="E24" t="s">
        <v>25</v>
      </c>
      <c r="F24">
        <v>221</v>
      </c>
      <c r="G24" t="str">
        <f>_xlfn.XLOOKUP(E24,'Base SKUs'!E:E,'Base SKUs'!D:D)</f>
        <v>Hardwoods</v>
      </c>
      <c r="H24" s="10">
        <f>_xlfn.XLOOKUP(E24,'Base SKUs'!E:E,'Base SKUs'!S:S)</f>
        <v>3.8714438699999991E-3</v>
      </c>
      <c r="I24" s="9">
        <f t="shared" si="0"/>
        <v>0.85599999999999998</v>
      </c>
      <c r="J24" t="str">
        <f>_xlfn.XLOOKUP(E24,'Base SKUs'!E:E,'Base SKUs'!G:G)</f>
        <v>Cumaru</v>
      </c>
      <c r="K24" t="str">
        <f>_xlfn.XLOOKUP(E24,'Base SKUs'!E:E,'Base SKUs'!H:H)</f>
        <v>S4S E4E</v>
      </c>
      <c r="L24" t="str">
        <f>_xlfn.XLOOKUP(E24,'Base SKUs'!E:E,'Base SKUs'!I:I)</f>
        <v>-</v>
      </c>
      <c r="M24" t="str">
        <f>_xlfn.XLOOKUP(E24,'Base SKUs'!E:E,'Base SKUs'!J:J)</f>
        <v>1x4 Plus</v>
      </c>
      <c r="N24">
        <f>_xlfn.XLOOKUP(E24,'Base SKUs'!E:E,'Base SKUs'!K:K)</f>
        <v>6</v>
      </c>
      <c r="O24" t="str">
        <f>_xlfn.XLOOKUP(E24,'Base SKUs'!E:E,'Base SKUs'!C:C)</f>
        <v>Short</v>
      </c>
      <c r="P24" t="s">
        <v>4928</v>
      </c>
    </row>
    <row r="25" spans="1:16" x14ac:dyDescent="0.25">
      <c r="A25" t="s">
        <v>4848</v>
      </c>
      <c r="B25" t="s">
        <v>4844</v>
      </c>
      <c r="C25" t="s">
        <v>4845</v>
      </c>
      <c r="D25" s="11">
        <v>9008</v>
      </c>
      <c r="E25" t="s">
        <v>26</v>
      </c>
      <c r="F25">
        <v>522</v>
      </c>
      <c r="G25" t="str">
        <f>_xlfn.XLOOKUP(E25,'Base SKUs'!E:E,'Base SKUs'!D:D)</f>
        <v>Hardwoods</v>
      </c>
      <c r="H25" s="10">
        <f>_xlfn.XLOOKUP(E25,'Base SKUs'!E:E,'Base SKUs'!S:S)</f>
        <v>4.5166845149999992E-3</v>
      </c>
      <c r="I25" s="9">
        <f t="shared" si="0"/>
        <v>2.3580000000000001</v>
      </c>
      <c r="J25" t="str">
        <f>_xlfn.XLOOKUP(E25,'Base SKUs'!E:E,'Base SKUs'!G:G)</f>
        <v>Cumaru</v>
      </c>
      <c r="K25" t="str">
        <f>_xlfn.XLOOKUP(E25,'Base SKUs'!E:E,'Base SKUs'!H:H)</f>
        <v>S4S E4E</v>
      </c>
      <c r="L25" t="str">
        <f>_xlfn.XLOOKUP(E25,'Base SKUs'!E:E,'Base SKUs'!I:I)</f>
        <v>-</v>
      </c>
      <c r="M25" t="str">
        <f>_xlfn.XLOOKUP(E25,'Base SKUs'!E:E,'Base SKUs'!J:J)</f>
        <v>1x4 Plus</v>
      </c>
      <c r="N25">
        <f>_xlfn.XLOOKUP(E25,'Base SKUs'!E:E,'Base SKUs'!K:K)</f>
        <v>7</v>
      </c>
      <c r="O25" t="str">
        <f>_xlfn.XLOOKUP(E25,'Base SKUs'!E:E,'Base SKUs'!C:C)</f>
        <v>Short</v>
      </c>
      <c r="P25" t="s">
        <v>4928</v>
      </c>
    </row>
    <row r="26" spans="1:16" x14ac:dyDescent="0.25">
      <c r="A26" t="s">
        <v>4848</v>
      </c>
      <c r="B26" t="s">
        <v>4844</v>
      </c>
      <c r="C26" t="s">
        <v>4845</v>
      </c>
      <c r="D26" s="11">
        <v>9008</v>
      </c>
      <c r="E26" t="s">
        <v>29</v>
      </c>
      <c r="F26">
        <v>235</v>
      </c>
      <c r="G26" t="str">
        <f>_xlfn.XLOOKUP(E26,'Base SKUs'!E:E,'Base SKUs'!D:D)</f>
        <v>Hardwoods</v>
      </c>
      <c r="H26" s="10">
        <f>_xlfn.XLOOKUP(E26,'Base SKUs'!E:E,'Base SKUs'!S:S)</f>
        <v>5.1619251599999997E-3</v>
      </c>
      <c r="I26" s="9">
        <f t="shared" si="0"/>
        <v>1.2130000000000001</v>
      </c>
      <c r="J26" t="str">
        <f>_xlfn.XLOOKUP(E26,'Base SKUs'!E:E,'Base SKUs'!G:G)</f>
        <v>Cumaru</v>
      </c>
      <c r="K26" t="str">
        <f>_xlfn.XLOOKUP(E26,'Base SKUs'!E:E,'Base SKUs'!H:H)</f>
        <v>S4S E4E</v>
      </c>
      <c r="L26" t="str">
        <f>_xlfn.XLOOKUP(E26,'Base SKUs'!E:E,'Base SKUs'!I:I)</f>
        <v>-</v>
      </c>
      <c r="M26" t="str">
        <f>_xlfn.XLOOKUP(E26,'Base SKUs'!E:E,'Base SKUs'!J:J)</f>
        <v>1x4 Plus</v>
      </c>
      <c r="N26">
        <f>_xlfn.XLOOKUP(E26,'Base SKUs'!E:E,'Base SKUs'!K:K)</f>
        <v>8</v>
      </c>
      <c r="O26" t="str">
        <f>_xlfn.XLOOKUP(E26,'Base SKUs'!E:E,'Base SKUs'!C:C)</f>
        <v>Long</v>
      </c>
      <c r="P26" t="s">
        <v>4928</v>
      </c>
    </row>
    <row r="27" spans="1:16" x14ac:dyDescent="0.25">
      <c r="A27" t="s">
        <v>4848</v>
      </c>
      <c r="B27" t="s">
        <v>4844</v>
      </c>
      <c r="C27" t="s">
        <v>4845</v>
      </c>
      <c r="D27" s="11">
        <v>9008</v>
      </c>
      <c r="E27" t="s">
        <v>30</v>
      </c>
      <c r="F27">
        <v>250</v>
      </c>
      <c r="G27" t="str">
        <f>_xlfn.XLOOKUP(E27,'Base SKUs'!E:E,'Base SKUs'!D:D)</f>
        <v>Hardwoods</v>
      </c>
      <c r="H27" s="10">
        <f>_xlfn.XLOOKUP(E27,'Base SKUs'!E:E,'Base SKUs'!S:S)</f>
        <v>5.8071658049999985E-3</v>
      </c>
      <c r="I27" s="9">
        <f t="shared" si="0"/>
        <v>1.452</v>
      </c>
      <c r="J27" t="str">
        <f>_xlfn.XLOOKUP(E27,'Base SKUs'!E:E,'Base SKUs'!G:G)</f>
        <v>Cumaru</v>
      </c>
      <c r="K27" t="str">
        <f>_xlfn.XLOOKUP(E27,'Base SKUs'!E:E,'Base SKUs'!H:H)</f>
        <v>S4S E4E</v>
      </c>
      <c r="L27" t="str">
        <f>_xlfn.XLOOKUP(E27,'Base SKUs'!E:E,'Base SKUs'!I:I)</f>
        <v>-</v>
      </c>
      <c r="M27" t="str">
        <f>_xlfn.XLOOKUP(E27,'Base SKUs'!E:E,'Base SKUs'!J:J)</f>
        <v>1x4 Plus</v>
      </c>
      <c r="N27">
        <f>_xlfn.XLOOKUP(E27,'Base SKUs'!E:E,'Base SKUs'!K:K)</f>
        <v>9</v>
      </c>
      <c r="O27" t="str">
        <f>_xlfn.XLOOKUP(E27,'Base SKUs'!E:E,'Base SKUs'!C:C)</f>
        <v>Long</v>
      </c>
      <c r="P27" t="s">
        <v>4928</v>
      </c>
    </row>
    <row r="28" spans="1:16" x14ac:dyDescent="0.25">
      <c r="A28" t="s">
        <v>4849</v>
      </c>
      <c r="B28" t="s">
        <v>4844</v>
      </c>
      <c r="C28" t="s">
        <v>4845</v>
      </c>
      <c r="D28" s="11">
        <v>9008</v>
      </c>
      <c r="E28" t="s">
        <v>17</v>
      </c>
      <c r="F28">
        <v>231</v>
      </c>
      <c r="G28" t="str">
        <f>_xlfn.XLOOKUP(E28,'Base SKUs'!E:E,'Base SKUs'!D:D)</f>
        <v>Hardwoods</v>
      </c>
      <c r="H28" s="10">
        <f>_xlfn.XLOOKUP(E28,'Base SKUs'!E:E,'Base SKUs'!S:S)</f>
        <v>6.452406449999999E-3</v>
      </c>
      <c r="I28" s="9">
        <f t="shared" si="0"/>
        <v>1.4910000000000001</v>
      </c>
      <c r="J28" t="str">
        <f>_xlfn.XLOOKUP(E28,'Base SKUs'!E:E,'Base SKUs'!G:G)</f>
        <v>Cumaru</v>
      </c>
      <c r="K28" t="str">
        <f>_xlfn.XLOOKUP(E28,'Base SKUs'!E:E,'Base SKUs'!H:H)</f>
        <v>S4S E4E</v>
      </c>
      <c r="L28" t="str">
        <f>_xlfn.XLOOKUP(E28,'Base SKUs'!E:E,'Base SKUs'!I:I)</f>
        <v>-</v>
      </c>
      <c r="M28" t="str">
        <f>_xlfn.XLOOKUP(E28,'Base SKUs'!E:E,'Base SKUs'!J:J)</f>
        <v>1x4 Plus</v>
      </c>
      <c r="N28">
        <f>_xlfn.XLOOKUP(E28,'Base SKUs'!E:E,'Base SKUs'!K:K)</f>
        <v>10</v>
      </c>
      <c r="O28" t="str">
        <f>_xlfn.XLOOKUP(E28,'Base SKUs'!E:E,'Base SKUs'!C:C)</f>
        <v>Long</v>
      </c>
      <c r="P28" t="s">
        <v>4928</v>
      </c>
    </row>
    <row r="29" spans="1:16" x14ac:dyDescent="0.25">
      <c r="A29" t="s">
        <v>4849</v>
      </c>
      <c r="B29" t="s">
        <v>4844</v>
      </c>
      <c r="C29" t="s">
        <v>4845</v>
      </c>
      <c r="D29" s="11">
        <v>9008</v>
      </c>
      <c r="E29" t="s">
        <v>18</v>
      </c>
      <c r="F29">
        <v>250</v>
      </c>
      <c r="G29" t="str">
        <f>_xlfn.XLOOKUP(E29,'Base SKUs'!E:E,'Base SKUs'!D:D)</f>
        <v>Hardwoods</v>
      </c>
      <c r="H29" s="10">
        <f>_xlfn.XLOOKUP(E29,'Base SKUs'!E:E,'Base SKUs'!S:S)</f>
        <v>7.0976470949999987E-3</v>
      </c>
      <c r="I29" s="9">
        <f t="shared" si="0"/>
        <v>1.774</v>
      </c>
      <c r="J29" t="str">
        <f>_xlfn.XLOOKUP(E29,'Base SKUs'!E:E,'Base SKUs'!G:G)</f>
        <v>Cumaru</v>
      </c>
      <c r="K29" t="str">
        <f>_xlfn.XLOOKUP(E29,'Base SKUs'!E:E,'Base SKUs'!H:H)</f>
        <v>S4S E4E</v>
      </c>
      <c r="L29" t="str">
        <f>_xlfn.XLOOKUP(E29,'Base SKUs'!E:E,'Base SKUs'!I:I)</f>
        <v>-</v>
      </c>
      <c r="M29" t="str">
        <f>_xlfn.XLOOKUP(E29,'Base SKUs'!E:E,'Base SKUs'!J:J)</f>
        <v>1x4 Plus</v>
      </c>
      <c r="N29">
        <f>_xlfn.XLOOKUP(E29,'Base SKUs'!E:E,'Base SKUs'!K:K)</f>
        <v>11</v>
      </c>
      <c r="O29" t="str">
        <f>_xlfn.XLOOKUP(E29,'Base SKUs'!E:E,'Base SKUs'!C:C)</f>
        <v>Long</v>
      </c>
      <c r="P29" t="s">
        <v>4928</v>
      </c>
    </row>
    <row r="30" spans="1:16" x14ac:dyDescent="0.25">
      <c r="A30" t="s">
        <v>4849</v>
      </c>
      <c r="B30" t="s">
        <v>4844</v>
      </c>
      <c r="C30" t="s">
        <v>4845</v>
      </c>
      <c r="D30" s="11">
        <v>9008</v>
      </c>
      <c r="E30" t="s">
        <v>19</v>
      </c>
      <c r="F30">
        <v>390</v>
      </c>
      <c r="G30" t="str">
        <f>_xlfn.XLOOKUP(E30,'Base SKUs'!E:E,'Base SKUs'!D:D)</f>
        <v>Hardwoods</v>
      </c>
      <c r="H30" s="10">
        <f>_xlfn.XLOOKUP(E30,'Base SKUs'!E:E,'Base SKUs'!S:S)</f>
        <v>8.3881283850000005E-3</v>
      </c>
      <c r="I30" s="9">
        <f t="shared" si="0"/>
        <v>3.2709999999999999</v>
      </c>
      <c r="J30" t="str">
        <f>_xlfn.XLOOKUP(E30,'Base SKUs'!E:E,'Base SKUs'!G:G)</f>
        <v>Cumaru</v>
      </c>
      <c r="K30" t="str">
        <f>_xlfn.XLOOKUP(E30,'Base SKUs'!E:E,'Base SKUs'!H:H)</f>
        <v>S4S E4E</v>
      </c>
      <c r="L30" t="str">
        <f>_xlfn.XLOOKUP(E30,'Base SKUs'!E:E,'Base SKUs'!I:I)</f>
        <v>-</v>
      </c>
      <c r="M30" t="str">
        <f>_xlfn.XLOOKUP(E30,'Base SKUs'!E:E,'Base SKUs'!J:J)</f>
        <v>1x4 Plus</v>
      </c>
      <c r="N30">
        <f>_xlfn.XLOOKUP(E30,'Base SKUs'!E:E,'Base SKUs'!K:K)</f>
        <v>13</v>
      </c>
      <c r="O30" t="str">
        <f>_xlfn.XLOOKUP(E30,'Base SKUs'!E:E,'Base SKUs'!C:C)</f>
        <v>Long</v>
      </c>
      <c r="P30" t="s">
        <v>4928</v>
      </c>
    </row>
    <row r="31" spans="1:16" x14ac:dyDescent="0.25">
      <c r="A31" t="s">
        <v>4849</v>
      </c>
      <c r="B31" t="s">
        <v>4844</v>
      </c>
      <c r="C31" t="s">
        <v>4845</v>
      </c>
      <c r="D31" s="11">
        <v>9008</v>
      </c>
      <c r="E31" t="s">
        <v>20</v>
      </c>
      <c r="F31">
        <v>50</v>
      </c>
      <c r="G31" t="str">
        <f>_xlfn.XLOOKUP(E31,'Base SKUs'!E:E,'Base SKUs'!D:D)</f>
        <v>Hardwoods</v>
      </c>
      <c r="H31" s="10">
        <f>_xlfn.XLOOKUP(E31,'Base SKUs'!E:E,'Base SKUs'!S:S)</f>
        <v>9.0333690299999984E-3</v>
      </c>
      <c r="I31" s="9">
        <f t="shared" si="0"/>
        <v>0.45200000000000001</v>
      </c>
      <c r="J31" t="str">
        <f>_xlfn.XLOOKUP(E31,'Base SKUs'!E:E,'Base SKUs'!G:G)</f>
        <v>Cumaru</v>
      </c>
      <c r="K31" t="str">
        <f>_xlfn.XLOOKUP(E31,'Base SKUs'!E:E,'Base SKUs'!H:H)</f>
        <v>S4S E4E</v>
      </c>
      <c r="L31" t="str">
        <f>_xlfn.XLOOKUP(E31,'Base SKUs'!E:E,'Base SKUs'!I:I)</f>
        <v>-</v>
      </c>
      <c r="M31" t="str">
        <f>_xlfn.XLOOKUP(E31,'Base SKUs'!E:E,'Base SKUs'!J:J)</f>
        <v>1x4 Plus</v>
      </c>
      <c r="N31">
        <f>_xlfn.XLOOKUP(E31,'Base SKUs'!E:E,'Base SKUs'!K:K)</f>
        <v>14</v>
      </c>
      <c r="O31" t="str">
        <f>_xlfn.XLOOKUP(E31,'Base SKUs'!E:E,'Base SKUs'!C:C)</f>
        <v>Long</v>
      </c>
      <c r="P31" t="s">
        <v>4928</v>
      </c>
    </row>
    <row r="32" spans="1:16" x14ac:dyDescent="0.25">
      <c r="A32" t="s">
        <v>4849</v>
      </c>
      <c r="B32" t="s">
        <v>4844</v>
      </c>
      <c r="C32" t="s">
        <v>4845</v>
      </c>
      <c r="D32" s="11">
        <v>9008</v>
      </c>
      <c r="E32" t="s">
        <v>21</v>
      </c>
      <c r="F32">
        <v>255</v>
      </c>
      <c r="G32" t="str">
        <f>_xlfn.XLOOKUP(E32,'Base SKUs'!E:E,'Base SKUs'!D:D)</f>
        <v>Hardwoods</v>
      </c>
      <c r="H32" s="10">
        <f>_xlfn.XLOOKUP(E32,'Base SKUs'!E:E,'Base SKUs'!S:S)</f>
        <v>9.6786096749999981E-3</v>
      </c>
      <c r="I32" s="9">
        <f t="shared" si="0"/>
        <v>2.468</v>
      </c>
      <c r="J32" t="str">
        <f>_xlfn.XLOOKUP(E32,'Base SKUs'!E:E,'Base SKUs'!G:G)</f>
        <v>Cumaru</v>
      </c>
      <c r="K32" t="str">
        <f>_xlfn.XLOOKUP(E32,'Base SKUs'!E:E,'Base SKUs'!H:H)</f>
        <v>S4S E4E</v>
      </c>
      <c r="L32" t="str">
        <f>_xlfn.XLOOKUP(E32,'Base SKUs'!E:E,'Base SKUs'!I:I)</f>
        <v>-</v>
      </c>
      <c r="M32" t="str">
        <f>_xlfn.XLOOKUP(E32,'Base SKUs'!E:E,'Base SKUs'!J:J)</f>
        <v>1x4 Plus</v>
      </c>
      <c r="N32">
        <f>_xlfn.XLOOKUP(E32,'Base SKUs'!E:E,'Base SKUs'!K:K)</f>
        <v>15</v>
      </c>
      <c r="O32" t="str">
        <f>_xlfn.XLOOKUP(E32,'Base SKUs'!E:E,'Base SKUs'!C:C)</f>
        <v>Long</v>
      </c>
      <c r="P32" t="s">
        <v>4928</v>
      </c>
    </row>
    <row r="33" spans="1:16" x14ac:dyDescent="0.25">
      <c r="A33" t="s">
        <v>4849</v>
      </c>
      <c r="B33" t="s">
        <v>4844</v>
      </c>
      <c r="C33" t="s">
        <v>4845</v>
      </c>
      <c r="D33" s="11">
        <v>9008</v>
      </c>
      <c r="E33" t="s">
        <v>22</v>
      </c>
      <c r="F33">
        <v>203</v>
      </c>
      <c r="G33" t="str">
        <f>_xlfn.XLOOKUP(E33,'Base SKUs'!E:E,'Base SKUs'!D:D)</f>
        <v>Hardwoods</v>
      </c>
      <c r="H33" s="10">
        <f>_xlfn.XLOOKUP(E33,'Base SKUs'!E:E,'Base SKUs'!S:S)</f>
        <v>1.0323850319999999E-2</v>
      </c>
      <c r="I33" s="9">
        <f t="shared" si="0"/>
        <v>2.0960000000000001</v>
      </c>
      <c r="J33" t="str">
        <f>_xlfn.XLOOKUP(E33,'Base SKUs'!E:E,'Base SKUs'!G:G)</f>
        <v>Cumaru</v>
      </c>
      <c r="K33" t="str">
        <f>_xlfn.XLOOKUP(E33,'Base SKUs'!E:E,'Base SKUs'!H:H)</f>
        <v>S4S E4E</v>
      </c>
      <c r="L33" t="str">
        <f>_xlfn.XLOOKUP(E33,'Base SKUs'!E:E,'Base SKUs'!I:I)</f>
        <v>-</v>
      </c>
      <c r="M33" t="str">
        <f>_xlfn.XLOOKUP(E33,'Base SKUs'!E:E,'Base SKUs'!J:J)</f>
        <v>1x4 Plus</v>
      </c>
      <c r="N33">
        <f>_xlfn.XLOOKUP(E33,'Base SKUs'!E:E,'Base SKUs'!K:K)</f>
        <v>16</v>
      </c>
      <c r="O33" t="str">
        <f>_xlfn.XLOOKUP(E33,'Base SKUs'!E:E,'Base SKUs'!C:C)</f>
        <v>Long</v>
      </c>
      <c r="P33" t="s">
        <v>4928</v>
      </c>
    </row>
    <row r="34" spans="1:16" x14ac:dyDescent="0.25">
      <c r="A34" t="s">
        <v>4849</v>
      </c>
      <c r="B34" t="s">
        <v>4844</v>
      </c>
      <c r="C34" t="s">
        <v>4845</v>
      </c>
      <c r="D34" s="11">
        <v>9008</v>
      </c>
      <c r="E34" t="s">
        <v>23</v>
      </c>
      <c r="F34">
        <v>109</v>
      </c>
      <c r="G34" t="str">
        <f>_xlfn.XLOOKUP(E34,'Base SKUs'!E:E,'Base SKUs'!D:D)</f>
        <v>Hardwoods</v>
      </c>
      <c r="H34" s="10">
        <f>_xlfn.XLOOKUP(E34,'Base SKUs'!E:E,'Base SKUs'!S:S)</f>
        <v>1.0969090964999999E-2</v>
      </c>
      <c r="I34" s="9">
        <f t="shared" si="0"/>
        <v>1.196</v>
      </c>
      <c r="J34" t="str">
        <f>_xlfn.XLOOKUP(E34,'Base SKUs'!E:E,'Base SKUs'!G:G)</f>
        <v>Cumaru</v>
      </c>
      <c r="K34" t="str">
        <f>_xlfn.XLOOKUP(E34,'Base SKUs'!E:E,'Base SKUs'!H:H)</f>
        <v>S4S E4E</v>
      </c>
      <c r="L34" t="str">
        <f>_xlfn.XLOOKUP(E34,'Base SKUs'!E:E,'Base SKUs'!I:I)</f>
        <v>-</v>
      </c>
      <c r="M34" t="str">
        <f>_xlfn.XLOOKUP(E34,'Base SKUs'!E:E,'Base SKUs'!J:J)</f>
        <v>1x4 Plus</v>
      </c>
      <c r="N34">
        <f>_xlfn.XLOOKUP(E34,'Base SKUs'!E:E,'Base SKUs'!K:K)</f>
        <v>17</v>
      </c>
      <c r="O34" t="str">
        <f>_xlfn.XLOOKUP(E34,'Base SKUs'!E:E,'Base SKUs'!C:C)</f>
        <v>Long</v>
      </c>
      <c r="P34" t="s">
        <v>4928</v>
      </c>
    </row>
    <row r="35" spans="1:16" x14ac:dyDescent="0.25">
      <c r="A35" t="s">
        <v>4849</v>
      </c>
      <c r="B35" t="s">
        <v>4844</v>
      </c>
      <c r="C35" t="s">
        <v>4845</v>
      </c>
      <c r="D35" s="11">
        <v>9008</v>
      </c>
      <c r="E35" t="s">
        <v>27</v>
      </c>
      <c r="F35">
        <v>130</v>
      </c>
      <c r="G35" t="str">
        <f>_xlfn.XLOOKUP(E35,'Base SKUs'!E:E,'Base SKUs'!D:D)</f>
        <v>Hardwoods</v>
      </c>
      <c r="H35" s="10">
        <f>_xlfn.XLOOKUP(E35,'Base SKUs'!E:E,'Base SKUs'!S:S)</f>
        <v>1.2259572254999998E-2</v>
      </c>
      <c r="I35" s="9">
        <f t="shared" si="0"/>
        <v>1.5940000000000001</v>
      </c>
      <c r="J35" t="str">
        <f>_xlfn.XLOOKUP(E35,'Base SKUs'!E:E,'Base SKUs'!G:G)</f>
        <v>Cumaru</v>
      </c>
      <c r="K35" t="str">
        <f>_xlfn.XLOOKUP(E35,'Base SKUs'!E:E,'Base SKUs'!H:H)</f>
        <v>S4S E4E</v>
      </c>
      <c r="L35" t="str">
        <f>_xlfn.XLOOKUP(E35,'Base SKUs'!E:E,'Base SKUs'!I:I)</f>
        <v>-</v>
      </c>
      <c r="M35" t="str">
        <f>_xlfn.XLOOKUP(E35,'Base SKUs'!E:E,'Base SKUs'!J:J)</f>
        <v>1x4 Plus</v>
      </c>
      <c r="N35">
        <f>_xlfn.XLOOKUP(E35,'Base SKUs'!E:E,'Base SKUs'!K:K)</f>
        <v>19</v>
      </c>
      <c r="O35" t="str">
        <f>_xlfn.XLOOKUP(E35,'Base SKUs'!E:E,'Base SKUs'!C:C)</f>
        <v>Long</v>
      </c>
      <c r="P35" t="s">
        <v>4928</v>
      </c>
    </row>
    <row r="36" spans="1:16" x14ac:dyDescent="0.25">
      <c r="A36" t="s">
        <v>4849</v>
      </c>
      <c r="B36" t="s">
        <v>4844</v>
      </c>
      <c r="C36" t="s">
        <v>4845</v>
      </c>
      <c r="D36" s="11">
        <v>9008</v>
      </c>
      <c r="E36" t="s">
        <v>25</v>
      </c>
      <c r="F36">
        <v>440</v>
      </c>
      <c r="G36" t="str">
        <f>_xlfn.XLOOKUP(E36,'Base SKUs'!E:E,'Base SKUs'!D:D)</f>
        <v>Hardwoods</v>
      </c>
      <c r="H36" s="10">
        <f>_xlfn.XLOOKUP(E36,'Base SKUs'!E:E,'Base SKUs'!S:S)</f>
        <v>3.8714438699999991E-3</v>
      </c>
      <c r="I36" s="9">
        <f t="shared" si="0"/>
        <v>1.7030000000000001</v>
      </c>
      <c r="J36" t="str">
        <f>_xlfn.XLOOKUP(E36,'Base SKUs'!E:E,'Base SKUs'!G:G)</f>
        <v>Cumaru</v>
      </c>
      <c r="K36" t="str">
        <f>_xlfn.XLOOKUP(E36,'Base SKUs'!E:E,'Base SKUs'!H:H)</f>
        <v>S4S E4E</v>
      </c>
      <c r="L36" t="str">
        <f>_xlfn.XLOOKUP(E36,'Base SKUs'!E:E,'Base SKUs'!I:I)</f>
        <v>-</v>
      </c>
      <c r="M36" t="str">
        <f>_xlfn.XLOOKUP(E36,'Base SKUs'!E:E,'Base SKUs'!J:J)</f>
        <v>1x4 Plus</v>
      </c>
      <c r="N36">
        <f>_xlfn.XLOOKUP(E36,'Base SKUs'!E:E,'Base SKUs'!K:K)</f>
        <v>6</v>
      </c>
      <c r="O36" t="str">
        <f>_xlfn.XLOOKUP(E36,'Base SKUs'!E:E,'Base SKUs'!C:C)</f>
        <v>Short</v>
      </c>
      <c r="P36" t="s">
        <v>4928</v>
      </c>
    </row>
    <row r="37" spans="1:16" x14ac:dyDescent="0.25">
      <c r="A37" t="s">
        <v>4849</v>
      </c>
      <c r="B37" t="s">
        <v>4844</v>
      </c>
      <c r="C37" t="s">
        <v>4845</v>
      </c>
      <c r="D37" s="11">
        <v>9008</v>
      </c>
      <c r="E37" t="s">
        <v>26</v>
      </c>
      <c r="F37">
        <v>209</v>
      </c>
      <c r="G37" t="str">
        <f>_xlfn.XLOOKUP(E37,'Base SKUs'!E:E,'Base SKUs'!D:D)</f>
        <v>Hardwoods</v>
      </c>
      <c r="H37" s="10">
        <f>_xlfn.XLOOKUP(E37,'Base SKUs'!E:E,'Base SKUs'!S:S)</f>
        <v>4.5166845149999992E-3</v>
      </c>
      <c r="I37" s="9">
        <f t="shared" si="0"/>
        <v>0.94399999999999995</v>
      </c>
      <c r="J37" t="str">
        <f>_xlfn.XLOOKUP(E37,'Base SKUs'!E:E,'Base SKUs'!G:G)</f>
        <v>Cumaru</v>
      </c>
      <c r="K37" t="str">
        <f>_xlfn.XLOOKUP(E37,'Base SKUs'!E:E,'Base SKUs'!H:H)</f>
        <v>S4S E4E</v>
      </c>
      <c r="L37" t="str">
        <f>_xlfn.XLOOKUP(E37,'Base SKUs'!E:E,'Base SKUs'!I:I)</f>
        <v>-</v>
      </c>
      <c r="M37" t="str">
        <f>_xlfn.XLOOKUP(E37,'Base SKUs'!E:E,'Base SKUs'!J:J)</f>
        <v>1x4 Plus</v>
      </c>
      <c r="N37">
        <f>_xlfn.XLOOKUP(E37,'Base SKUs'!E:E,'Base SKUs'!K:K)</f>
        <v>7</v>
      </c>
      <c r="O37" t="str">
        <f>_xlfn.XLOOKUP(E37,'Base SKUs'!E:E,'Base SKUs'!C:C)</f>
        <v>Short</v>
      </c>
      <c r="P37" t="s">
        <v>4928</v>
      </c>
    </row>
    <row r="38" spans="1:16" x14ac:dyDescent="0.25">
      <c r="A38" t="s">
        <v>4849</v>
      </c>
      <c r="B38" t="s">
        <v>4844</v>
      </c>
      <c r="C38" t="s">
        <v>4845</v>
      </c>
      <c r="D38" s="11">
        <v>9008</v>
      </c>
      <c r="E38" t="s">
        <v>29</v>
      </c>
      <c r="F38">
        <v>250</v>
      </c>
      <c r="G38" t="str">
        <f>_xlfn.XLOOKUP(E38,'Base SKUs'!E:E,'Base SKUs'!D:D)</f>
        <v>Hardwoods</v>
      </c>
      <c r="H38" s="10">
        <f>_xlfn.XLOOKUP(E38,'Base SKUs'!E:E,'Base SKUs'!S:S)</f>
        <v>5.1619251599999997E-3</v>
      </c>
      <c r="I38" s="9">
        <f t="shared" si="0"/>
        <v>1.29</v>
      </c>
      <c r="J38" t="str">
        <f>_xlfn.XLOOKUP(E38,'Base SKUs'!E:E,'Base SKUs'!G:G)</f>
        <v>Cumaru</v>
      </c>
      <c r="K38" t="str">
        <f>_xlfn.XLOOKUP(E38,'Base SKUs'!E:E,'Base SKUs'!H:H)</f>
        <v>S4S E4E</v>
      </c>
      <c r="L38" t="str">
        <f>_xlfn.XLOOKUP(E38,'Base SKUs'!E:E,'Base SKUs'!I:I)</f>
        <v>-</v>
      </c>
      <c r="M38" t="str">
        <f>_xlfn.XLOOKUP(E38,'Base SKUs'!E:E,'Base SKUs'!J:J)</f>
        <v>1x4 Plus</v>
      </c>
      <c r="N38">
        <f>_xlfn.XLOOKUP(E38,'Base SKUs'!E:E,'Base SKUs'!K:K)</f>
        <v>8</v>
      </c>
      <c r="O38" t="str">
        <f>_xlfn.XLOOKUP(E38,'Base SKUs'!E:E,'Base SKUs'!C:C)</f>
        <v>Long</v>
      </c>
      <c r="P38" t="s">
        <v>4928</v>
      </c>
    </row>
    <row r="39" spans="1:16" x14ac:dyDescent="0.25">
      <c r="A39" t="s">
        <v>4849</v>
      </c>
      <c r="B39" t="s">
        <v>4844</v>
      </c>
      <c r="C39" t="s">
        <v>4845</v>
      </c>
      <c r="D39" s="11">
        <v>9008</v>
      </c>
      <c r="E39" t="s">
        <v>30</v>
      </c>
      <c r="F39">
        <v>480</v>
      </c>
      <c r="G39" t="str">
        <f>_xlfn.XLOOKUP(E39,'Base SKUs'!E:E,'Base SKUs'!D:D)</f>
        <v>Hardwoods</v>
      </c>
      <c r="H39" s="10">
        <f>_xlfn.XLOOKUP(E39,'Base SKUs'!E:E,'Base SKUs'!S:S)</f>
        <v>5.8071658049999985E-3</v>
      </c>
      <c r="I39" s="9">
        <f t="shared" si="0"/>
        <v>2.7869999999999999</v>
      </c>
      <c r="J39" t="str">
        <f>_xlfn.XLOOKUP(E39,'Base SKUs'!E:E,'Base SKUs'!G:G)</f>
        <v>Cumaru</v>
      </c>
      <c r="K39" t="str">
        <f>_xlfn.XLOOKUP(E39,'Base SKUs'!E:E,'Base SKUs'!H:H)</f>
        <v>S4S E4E</v>
      </c>
      <c r="L39" t="str">
        <f>_xlfn.XLOOKUP(E39,'Base SKUs'!E:E,'Base SKUs'!I:I)</f>
        <v>-</v>
      </c>
      <c r="M39" t="str">
        <f>_xlfn.XLOOKUP(E39,'Base SKUs'!E:E,'Base SKUs'!J:J)</f>
        <v>1x4 Plus</v>
      </c>
      <c r="N39">
        <f>_xlfn.XLOOKUP(E39,'Base SKUs'!E:E,'Base SKUs'!K:K)</f>
        <v>9</v>
      </c>
      <c r="O39" t="str">
        <f>_xlfn.XLOOKUP(E39,'Base SKUs'!E:E,'Base SKUs'!C:C)</f>
        <v>Long</v>
      </c>
      <c r="P39" t="s">
        <v>4928</v>
      </c>
    </row>
    <row r="40" spans="1:16" x14ac:dyDescent="0.25">
      <c r="A40" t="s">
        <v>4850</v>
      </c>
      <c r="B40" t="s">
        <v>4839</v>
      </c>
      <c r="C40" t="s">
        <v>4840</v>
      </c>
      <c r="D40" s="11">
        <v>9011</v>
      </c>
      <c r="E40" t="s">
        <v>31</v>
      </c>
      <c r="F40">
        <v>6</v>
      </c>
      <c r="G40" t="str">
        <f>_xlfn.XLOOKUP(E40,'Base SKUs'!E:E,'Base SKUs'!D:D)</f>
        <v>Thermowood</v>
      </c>
      <c r="H40" s="10">
        <f>_xlfn.XLOOKUP(E40,'Base SKUs'!E:E,'Base SKUs'!S:S)</f>
        <v>6.3839999999999999E-3</v>
      </c>
      <c r="I40" s="9">
        <f t="shared" si="0"/>
        <v>3.7999999999999999E-2</v>
      </c>
      <c r="J40" t="str">
        <f>_xlfn.XLOOKUP(E40,'Base SKUs'!E:E,'Base SKUs'!G:G)</f>
        <v>Maximo Thermo Ayous</v>
      </c>
      <c r="K40" t="str">
        <f>_xlfn.XLOOKUP(E40,'Base SKUs'!E:E,'Base SKUs'!H:H)</f>
        <v>VJoint - Square Back</v>
      </c>
      <c r="L40" t="str">
        <f>_xlfn.XLOOKUP(E40,'Base SKUs'!E:E,'Base SKUs'!I:I)</f>
        <v>-</v>
      </c>
      <c r="M40" t="str">
        <f>_xlfn.XLOOKUP(E40,'Base SKUs'!E:E,'Base SKUs'!J:J)</f>
        <v>1x6</v>
      </c>
      <c r="N40">
        <f>_xlfn.XLOOKUP(E40,'Base SKUs'!E:E,'Base SKUs'!K:K)</f>
        <v>8</v>
      </c>
      <c r="O40" t="str">
        <f>_xlfn.XLOOKUP(E40,'Base SKUs'!E:E,'Base SKUs'!C:C)</f>
        <v>Long</v>
      </c>
      <c r="P40" t="s">
        <v>4927</v>
      </c>
    </row>
    <row r="41" spans="1:16" x14ac:dyDescent="0.25">
      <c r="A41" t="s">
        <v>4850</v>
      </c>
      <c r="B41" t="s">
        <v>4839</v>
      </c>
      <c r="C41" t="s">
        <v>4840</v>
      </c>
      <c r="D41" s="11">
        <v>9011</v>
      </c>
      <c r="E41" t="s">
        <v>32</v>
      </c>
      <c r="F41">
        <v>6</v>
      </c>
      <c r="G41" t="str">
        <f>_xlfn.XLOOKUP(E41,'Base SKUs'!E:E,'Base SKUs'!D:D)</f>
        <v>Thermowood</v>
      </c>
      <c r="H41" s="10">
        <f>_xlfn.XLOOKUP(E41,'Base SKUs'!E:E,'Base SKUs'!S:S)</f>
        <v>7.182E-3</v>
      </c>
      <c r="I41" s="9">
        <f t="shared" si="0"/>
        <v>4.2999999999999997E-2</v>
      </c>
      <c r="J41" t="str">
        <f>_xlfn.XLOOKUP(E41,'Base SKUs'!E:E,'Base SKUs'!G:G)</f>
        <v>Maximo Thermo Ayous</v>
      </c>
      <c r="K41" t="str">
        <f>_xlfn.XLOOKUP(E41,'Base SKUs'!E:E,'Base SKUs'!H:H)</f>
        <v>VJoint - Square Back</v>
      </c>
      <c r="L41" t="str">
        <f>_xlfn.XLOOKUP(E41,'Base SKUs'!E:E,'Base SKUs'!I:I)</f>
        <v>-</v>
      </c>
      <c r="M41" t="str">
        <f>_xlfn.XLOOKUP(E41,'Base SKUs'!E:E,'Base SKUs'!J:J)</f>
        <v>1x6</v>
      </c>
      <c r="N41">
        <f>_xlfn.XLOOKUP(E41,'Base SKUs'!E:E,'Base SKUs'!K:K)</f>
        <v>9</v>
      </c>
      <c r="O41" t="str">
        <f>_xlfn.XLOOKUP(E41,'Base SKUs'!E:E,'Base SKUs'!C:C)</f>
        <v>Long</v>
      </c>
      <c r="P41" t="s">
        <v>4927</v>
      </c>
    </row>
    <row r="42" spans="1:16" x14ac:dyDescent="0.25">
      <c r="A42" t="s">
        <v>4850</v>
      </c>
      <c r="B42" t="s">
        <v>4839</v>
      </c>
      <c r="C42" t="s">
        <v>4840</v>
      </c>
      <c r="D42" s="11">
        <v>9011</v>
      </c>
      <c r="E42" t="s">
        <v>33</v>
      </c>
      <c r="F42">
        <v>1</v>
      </c>
      <c r="G42" t="str">
        <f>_xlfn.XLOOKUP(E42,'Base SKUs'!E:E,'Base SKUs'!D:D)</f>
        <v>Thermowood</v>
      </c>
      <c r="H42" s="10">
        <f>_xlfn.XLOOKUP(E42,'Base SKUs'!E:E,'Base SKUs'!S:S)</f>
        <v>7.980000000000001E-3</v>
      </c>
      <c r="I42" s="9">
        <f t="shared" si="0"/>
        <v>8.0000000000000002E-3</v>
      </c>
      <c r="J42" t="str">
        <f>_xlfn.XLOOKUP(E42,'Base SKUs'!E:E,'Base SKUs'!G:G)</f>
        <v>Maximo Thermo Ayous</v>
      </c>
      <c r="K42" t="str">
        <f>_xlfn.XLOOKUP(E42,'Base SKUs'!E:E,'Base SKUs'!H:H)</f>
        <v>VJoint - Square Back</v>
      </c>
      <c r="L42" t="str">
        <f>_xlfn.XLOOKUP(E42,'Base SKUs'!E:E,'Base SKUs'!I:I)</f>
        <v>-</v>
      </c>
      <c r="M42" t="str">
        <f>_xlfn.XLOOKUP(E42,'Base SKUs'!E:E,'Base SKUs'!J:J)</f>
        <v>1x6</v>
      </c>
      <c r="N42">
        <f>_xlfn.XLOOKUP(E42,'Base SKUs'!E:E,'Base SKUs'!K:K)</f>
        <v>10</v>
      </c>
      <c r="O42" t="str">
        <f>_xlfn.XLOOKUP(E42,'Base SKUs'!E:E,'Base SKUs'!C:C)</f>
        <v>Long</v>
      </c>
      <c r="P42" t="s">
        <v>4927</v>
      </c>
    </row>
    <row r="43" spans="1:16" x14ac:dyDescent="0.25">
      <c r="A43" t="s">
        <v>4850</v>
      </c>
      <c r="B43" t="s">
        <v>4839</v>
      </c>
      <c r="C43" t="s">
        <v>4840</v>
      </c>
      <c r="D43" s="11">
        <v>9011</v>
      </c>
      <c r="E43" t="s">
        <v>34</v>
      </c>
      <c r="F43">
        <v>1</v>
      </c>
      <c r="G43" t="str">
        <f>_xlfn.XLOOKUP(E43,'Base SKUs'!E:E,'Base SKUs'!D:D)</f>
        <v>Thermowood</v>
      </c>
      <c r="H43" s="10">
        <f>_xlfn.XLOOKUP(E43,'Base SKUs'!E:E,'Base SKUs'!S:S)</f>
        <v>1.1172E-2</v>
      </c>
      <c r="I43" s="9">
        <f t="shared" si="0"/>
        <v>1.0999999999999999E-2</v>
      </c>
      <c r="J43" t="str">
        <f>_xlfn.XLOOKUP(E43,'Base SKUs'!E:E,'Base SKUs'!G:G)</f>
        <v>Maximo Thermo Ayous</v>
      </c>
      <c r="K43" t="str">
        <f>_xlfn.XLOOKUP(E43,'Base SKUs'!E:E,'Base SKUs'!H:H)</f>
        <v>VJoint - Square Back</v>
      </c>
      <c r="L43" t="str">
        <f>_xlfn.XLOOKUP(E43,'Base SKUs'!E:E,'Base SKUs'!I:I)</f>
        <v>-</v>
      </c>
      <c r="M43" t="str">
        <f>_xlfn.XLOOKUP(E43,'Base SKUs'!E:E,'Base SKUs'!J:J)</f>
        <v>1x6</v>
      </c>
      <c r="N43">
        <f>_xlfn.XLOOKUP(E43,'Base SKUs'!E:E,'Base SKUs'!K:K)</f>
        <v>14</v>
      </c>
      <c r="O43" t="str">
        <f>_xlfn.XLOOKUP(E43,'Base SKUs'!E:E,'Base SKUs'!C:C)</f>
        <v>Long</v>
      </c>
      <c r="P43" t="s">
        <v>4927</v>
      </c>
    </row>
    <row r="44" spans="1:16" x14ac:dyDescent="0.25">
      <c r="A44" t="s">
        <v>4851</v>
      </c>
      <c r="B44" t="s">
        <v>4839</v>
      </c>
      <c r="C44" t="s">
        <v>4840</v>
      </c>
      <c r="D44" s="11">
        <v>9011</v>
      </c>
      <c r="E44" t="s">
        <v>35</v>
      </c>
      <c r="F44">
        <v>11</v>
      </c>
      <c r="G44" t="str">
        <f>_xlfn.XLOOKUP(E44,'Base SKUs'!E:E,'Base SKUs'!D:D)</f>
        <v>Hardwoods</v>
      </c>
      <c r="H44" s="10">
        <f>_xlfn.XLOOKUP(E44,'Base SKUs'!E:E,'Base SKUs'!S:S)</f>
        <v>1.7304739584000001E-2</v>
      </c>
      <c r="I44" s="9">
        <f t="shared" si="0"/>
        <v>0.19</v>
      </c>
      <c r="J44" t="str">
        <f>_xlfn.XLOOKUP(E44,'Base SKUs'!E:E,'Base SKUs'!G:G)</f>
        <v>Garapa</v>
      </c>
      <c r="K44" t="str">
        <f>_xlfn.XLOOKUP(E44,'Base SKUs'!E:E,'Base SKUs'!H:H)</f>
        <v>S4S E4E</v>
      </c>
      <c r="L44" t="str">
        <f>_xlfn.XLOOKUP(E44,'Base SKUs'!E:E,'Base SKUs'!I:I)</f>
        <v>-</v>
      </c>
      <c r="M44" t="str">
        <f>_xlfn.XLOOKUP(E44,'Base SKUs'!E:E,'Base SKUs'!J:J)</f>
        <v>5/4x6</v>
      </c>
      <c r="N44">
        <f>_xlfn.XLOOKUP(E44,'Base SKUs'!E:E,'Base SKUs'!K:K)</f>
        <v>16</v>
      </c>
      <c r="O44" t="str">
        <f>_xlfn.XLOOKUP(E44,'Base SKUs'!E:E,'Base SKUs'!C:C)</f>
        <v>Long</v>
      </c>
      <c r="P44" t="s">
        <v>4927</v>
      </c>
    </row>
    <row r="45" spans="1:16" x14ac:dyDescent="0.25">
      <c r="A45" t="s">
        <v>4851</v>
      </c>
      <c r="B45" t="s">
        <v>4839</v>
      </c>
      <c r="C45" t="s">
        <v>4840</v>
      </c>
      <c r="D45" s="11">
        <v>9011</v>
      </c>
      <c r="E45" t="s">
        <v>36</v>
      </c>
      <c r="F45">
        <v>41</v>
      </c>
      <c r="G45" t="str">
        <f>_xlfn.XLOOKUP(E45,'Base SKUs'!E:E,'Base SKUs'!D:D)</f>
        <v>Hardwoods</v>
      </c>
      <c r="H45" s="10">
        <f>_xlfn.XLOOKUP(E45,'Base SKUs'!E:E,'Base SKUs'!S:S)</f>
        <v>1.9467832031999997E-2</v>
      </c>
      <c r="I45" s="9">
        <f t="shared" si="0"/>
        <v>0.79800000000000004</v>
      </c>
      <c r="J45" t="str">
        <f>_xlfn.XLOOKUP(E45,'Base SKUs'!E:E,'Base SKUs'!G:G)</f>
        <v>Garapa</v>
      </c>
      <c r="K45" t="str">
        <f>_xlfn.XLOOKUP(E45,'Base SKUs'!E:E,'Base SKUs'!H:H)</f>
        <v>S4S E4E</v>
      </c>
      <c r="L45" t="str">
        <f>_xlfn.XLOOKUP(E45,'Base SKUs'!E:E,'Base SKUs'!I:I)</f>
        <v>-</v>
      </c>
      <c r="M45" t="str">
        <f>_xlfn.XLOOKUP(E45,'Base SKUs'!E:E,'Base SKUs'!J:J)</f>
        <v>5/4x6</v>
      </c>
      <c r="N45">
        <f>_xlfn.XLOOKUP(E45,'Base SKUs'!E:E,'Base SKUs'!K:K)</f>
        <v>18</v>
      </c>
      <c r="O45" t="str">
        <f>_xlfn.XLOOKUP(E45,'Base SKUs'!E:E,'Base SKUs'!C:C)</f>
        <v>Long</v>
      </c>
      <c r="P45" t="s">
        <v>4927</v>
      </c>
    </row>
    <row r="46" spans="1:16" x14ac:dyDescent="0.25">
      <c r="A46" t="s">
        <v>4852</v>
      </c>
      <c r="B46" t="s">
        <v>4839</v>
      </c>
      <c r="C46" t="s">
        <v>4840</v>
      </c>
      <c r="D46" s="11">
        <v>9007</v>
      </c>
      <c r="E46" t="s">
        <v>37</v>
      </c>
      <c r="F46">
        <v>8</v>
      </c>
      <c r="G46" t="str">
        <f>_xlfn.XLOOKUP(E46,'Base SKUs'!E:E,'Base SKUs'!D:D)</f>
        <v>Thermowood</v>
      </c>
      <c r="H46" s="10">
        <f>_xlfn.XLOOKUP(E46,'Base SKUs'!E:E,'Base SKUs'!S:S)</f>
        <v>8.4000000000000012E-3</v>
      </c>
      <c r="I46" s="9">
        <f t="shared" si="0"/>
        <v>6.7000000000000004E-2</v>
      </c>
      <c r="J46" t="str">
        <f>_xlfn.XLOOKUP(E46,'Base SKUs'!E:E,'Base SKUs'!G:G)</f>
        <v>Maximo Thermo Ash</v>
      </c>
      <c r="K46" t="str">
        <f>_xlfn.XLOOKUP(E46,'Base SKUs'!E:E,'Base SKUs'!H:H)</f>
        <v>S4S E4E End Match</v>
      </c>
      <c r="L46" t="str">
        <f>_xlfn.XLOOKUP(E46,'Base SKUs'!E:E,'Base SKUs'!I:I)</f>
        <v>-</v>
      </c>
      <c r="M46" t="str">
        <f>_xlfn.XLOOKUP(E46,'Base SKUs'!E:E,'Base SKUs'!J:J)</f>
        <v>5/4x6</v>
      </c>
      <c r="N46">
        <f>_xlfn.XLOOKUP(E46,'Base SKUs'!E:E,'Base SKUs'!K:K)</f>
        <v>8</v>
      </c>
      <c r="O46" t="str">
        <f>_xlfn.XLOOKUP(E46,'Base SKUs'!E:E,'Base SKUs'!C:C)</f>
        <v>Long</v>
      </c>
      <c r="P46" t="s">
        <v>4927</v>
      </c>
    </row>
    <row r="47" spans="1:16" x14ac:dyDescent="0.25">
      <c r="A47" t="s">
        <v>4852</v>
      </c>
      <c r="B47" t="s">
        <v>4839</v>
      </c>
      <c r="C47" t="s">
        <v>4840</v>
      </c>
      <c r="D47" s="11">
        <v>9007</v>
      </c>
      <c r="E47" t="s">
        <v>38</v>
      </c>
      <c r="F47">
        <v>12</v>
      </c>
      <c r="G47" t="str">
        <f>_xlfn.XLOOKUP(E47,'Base SKUs'!E:E,'Base SKUs'!D:D)</f>
        <v>Thermowood</v>
      </c>
      <c r="H47" s="10">
        <f>_xlfn.XLOOKUP(E47,'Base SKUs'!E:E,'Base SKUs'!S:S)</f>
        <v>9.4500000000000018E-3</v>
      </c>
      <c r="I47" s="9">
        <f t="shared" si="0"/>
        <v>0.113</v>
      </c>
      <c r="J47" t="str">
        <f>_xlfn.XLOOKUP(E47,'Base SKUs'!E:E,'Base SKUs'!G:G)</f>
        <v>Maximo Thermo Ash</v>
      </c>
      <c r="K47" t="str">
        <f>_xlfn.XLOOKUP(E47,'Base SKUs'!E:E,'Base SKUs'!H:H)</f>
        <v>S4S E4E End Match</v>
      </c>
      <c r="L47" t="str">
        <f>_xlfn.XLOOKUP(E47,'Base SKUs'!E:E,'Base SKUs'!I:I)</f>
        <v>-</v>
      </c>
      <c r="M47" t="str">
        <f>_xlfn.XLOOKUP(E47,'Base SKUs'!E:E,'Base SKUs'!J:J)</f>
        <v>5/4x6</v>
      </c>
      <c r="N47">
        <f>_xlfn.XLOOKUP(E47,'Base SKUs'!E:E,'Base SKUs'!K:K)</f>
        <v>9</v>
      </c>
      <c r="O47" t="str">
        <f>_xlfn.XLOOKUP(E47,'Base SKUs'!E:E,'Base SKUs'!C:C)</f>
        <v>Long</v>
      </c>
      <c r="P47" t="s">
        <v>4927</v>
      </c>
    </row>
    <row r="48" spans="1:16" x14ac:dyDescent="0.25">
      <c r="A48" t="s">
        <v>4852</v>
      </c>
      <c r="B48" t="s">
        <v>4839</v>
      </c>
      <c r="C48" t="s">
        <v>4840</v>
      </c>
      <c r="D48" s="11">
        <v>9007</v>
      </c>
      <c r="E48" t="s">
        <v>39</v>
      </c>
      <c r="F48">
        <v>4</v>
      </c>
      <c r="G48" t="str">
        <f>_xlfn.XLOOKUP(E48,'Base SKUs'!E:E,'Base SKUs'!D:D)</f>
        <v>Thermowood</v>
      </c>
      <c r="H48" s="10">
        <f>_xlfn.XLOOKUP(E48,'Base SKUs'!E:E,'Base SKUs'!S:S)</f>
        <v>1.0500000000000001E-2</v>
      </c>
      <c r="I48" s="9">
        <f t="shared" si="0"/>
        <v>4.2000000000000003E-2</v>
      </c>
      <c r="J48" t="str">
        <f>_xlfn.XLOOKUP(E48,'Base SKUs'!E:E,'Base SKUs'!G:G)</f>
        <v>Maximo Thermo Ash</v>
      </c>
      <c r="K48" t="str">
        <f>_xlfn.XLOOKUP(E48,'Base SKUs'!E:E,'Base SKUs'!H:H)</f>
        <v>S4S E4E End Match</v>
      </c>
      <c r="L48" t="str">
        <f>_xlfn.XLOOKUP(E48,'Base SKUs'!E:E,'Base SKUs'!I:I)</f>
        <v>-</v>
      </c>
      <c r="M48" t="str">
        <f>_xlfn.XLOOKUP(E48,'Base SKUs'!E:E,'Base SKUs'!J:J)</f>
        <v>5/4x6</v>
      </c>
      <c r="N48">
        <f>_xlfn.XLOOKUP(E48,'Base SKUs'!E:E,'Base SKUs'!K:K)</f>
        <v>10</v>
      </c>
      <c r="O48" t="str">
        <f>_xlfn.XLOOKUP(E48,'Base SKUs'!E:E,'Base SKUs'!C:C)</f>
        <v>Long</v>
      </c>
      <c r="P48" t="s">
        <v>4927</v>
      </c>
    </row>
    <row r="49" spans="1:16" x14ac:dyDescent="0.25">
      <c r="A49" t="s">
        <v>4852</v>
      </c>
      <c r="B49" t="s">
        <v>4839</v>
      </c>
      <c r="C49" t="s">
        <v>4840</v>
      </c>
      <c r="D49" s="11">
        <v>9007</v>
      </c>
      <c r="E49" t="s">
        <v>40</v>
      </c>
      <c r="F49">
        <v>21</v>
      </c>
      <c r="G49" t="str">
        <f>_xlfn.XLOOKUP(E49,'Base SKUs'!E:E,'Base SKUs'!D:D)</f>
        <v>Thermowood</v>
      </c>
      <c r="H49" s="10">
        <f>_xlfn.XLOOKUP(E49,'Base SKUs'!E:E,'Base SKUs'!S:S)</f>
        <v>3.192E-3</v>
      </c>
      <c r="I49" s="9">
        <f t="shared" si="0"/>
        <v>6.7000000000000004E-2</v>
      </c>
      <c r="J49" t="str">
        <f>_xlfn.XLOOKUP(E49,'Base SKUs'!E:E,'Base SKUs'!G:G)</f>
        <v>Maximo Thermo Ayous</v>
      </c>
      <c r="K49" t="str">
        <f>_xlfn.XLOOKUP(E49,'Base SKUs'!E:E,'Base SKUs'!H:H)</f>
        <v>VJoint - Square Back</v>
      </c>
      <c r="L49" t="str">
        <f>_xlfn.XLOOKUP(E49,'Base SKUs'!E:E,'Base SKUs'!I:I)</f>
        <v>-</v>
      </c>
      <c r="M49" t="str">
        <f>_xlfn.XLOOKUP(E49,'Base SKUs'!E:E,'Base SKUs'!J:J)</f>
        <v>1x6</v>
      </c>
      <c r="N49">
        <f>_xlfn.XLOOKUP(E49,'Base SKUs'!E:E,'Base SKUs'!K:K)</f>
        <v>4</v>
      </c>
      <c r="O49" t="str">
        <f>_xlfn.XLOOKUP(E49,'Base SKUs'!E:E,'Base SKUs'!C:C)</f>
        <v>Short</v>
      </c>
      <c r="P49" t="s">
        <v>4927</v>
      </c>
    </row>
    <row r="50" spans="1:16" x14ac:dyDescent="0.25">
      <c r="A50" t="s">
        <v>4852</v>
      </c>
      <c r="B50" t="s">
        <v>4839</v>
      </c>
      <c r="C50" t="s">
        <v>4840</v>
      </c>
      <c r="D50" s="11">
        <v>9007</v>
      </c>
      <c r="E50" t="s">
        <v>41</v>
      </c>
      <c r="F50">
        <v>23</v>
      </c>
      <c r="G50" t="str">
        <f>_xlfn.XLOOKUP(E50,'Base SKUs'!E:E,'Base SKUs'!D:D)</f>
        <v>Thermowood</v>
      </c>
      <c r="H50" s="10">
        <f>_xlfn.XLOOKUP(E50,'Base SKUs'!E:E,'Base SKUs'!S:S)</f>
        <v>4.7880000000000006E-3</v>
      </c>
      <c r="I50" s="9">
        <f t="shared" si="0"/>
        <v>0.11</v>
      </c>
      <c r="J50" t="str">
        <f>_xlfn.XLOOKUP(E50,'Base SKUs'!E:E,'Base SKUs'!G:G)</f>
        <v>Maximo Thermo Ayous</v>
      </c>
      <c r="K50" t="str">
        <f>_xlfn.XLOOKUP(E50,'Base SKUs'!E:E,'Base SKUs'!H:H)</f>
        <v>VJoint - Square Back</v>
      </c>
      <c r="L50" t="str">
        <f>_xlfn.XLOOKUP(E50,'Base SKUs'!E:E,'Base SKUs'!I:I)</f>
        <v>-</v>
      </c>
      <c r="M50" t="str">
        <f>_xlfn.XLOOKUP(E50,'Base SKUs'!E:E,'Base SKUs'!J:J)</f>
        <v>1x6</v>
      </c>
      <c r="N50">
        <f>_xlfn.XLOOKUP(E50,'Base SKUs'!E:E,'Base SKUs'!K:K)</f>
        <v>6</v>
      </c>
      <c r="O50" t="str">
        <f>_xlfn.XLOOKUP(E50,'Base SKUs'!E:E,'Base SKUs'!C:C)</f>
        <v>Short</v>
      </c>
      <c r="P50" t="s">
        <v>4927</v>
      </c>
    </row>
    <row r="51" spans="1:16" x14ac:dyDescent="0.25">
      <c r="A51" t="s">
        <v>4852</v>
      </c>
      <c r="B51" t="s">
        <v>4839</v>
      </c>
      <c r="C51" t="s">
        <v>4840</v>
      </c>
      <c r="D51" s="11">
        <v>9007</v>
      </c>
      <c r="E51" t="s">
        <v>33</v>
      </c>
      <c r="F51">
        <v>40</v>
      </c>
      <c r="G51" t="str">
        <f>_xlfn.XLOOKUP(E51,'Base SKUs'!E:E,'Base SKUs'!D:D)</f>
        <v>Thermowood</v>
      </c>
      <c r="H51" s="10">
        <f>_xlfn.XLOOKUP(E51,'Base SKUs'!E:E,'Base SKUs'!S:S)</f>
        <v>7.980000000000001E-3</v>
      </c>
      <c r="I51" s="9">
        <f t="shared" si="0"/>
        <v>0.31900000000000001</v>
      </c>
      <c r="J51" t="str">
        <f>_xlfn.XLOOKUP(E51,'Base SKUs'!E:E,'Base SKUs'!G:G)</f>
        <v>Maximo Thermo Ayous</v>
      </c>
      <c r="K51" t="str">
        <f>_xlfn.XLOOKUP(E51,'Base SKUs'!E:E,'Base SKUs'!H:H)</f>
        <v>VJoint - Square Back</v>
      </c>
      <c r="L51" t="str">
        <f>_xlfn.XLOOKUP(E51,'Base SKUs'!E:E,'Base SKUs'!I:I)</f>
        <v>-</v>
      </c>
      <c r="M51" t="str">
        <f>_xlfn.XLOOKUP(E51,'Base SKUs'!E:E,'Base SKUs'!J:J)</f>
        <v>1x6</v>
      </c>
      <c r="N51">
        <f>_xlfn.XLOOKUP(E51,'Base SKUs'!E:E,'Base SKUs'!K:K)</f>
        <v>10</v>
      </c>
      <c r="O51" t="str">
        <f>_xlfn.XLOOKUP(E51,'Base SKUs'!E:E,'Base SKUs'!C:C)</f>
        <v>Long</v>
      </c>
      <c r="P51" t="s">
        <v>4927</v>
      </c>
    </row>
    <row r="52" spans="1:16" x14ac:dyDescent="0.25">
      <c r="A52" t="s">
        <v>4852</v>
      </c>
      <c r="B52" t="s">
        <v>4839</v>
      </c>
      <c r="C52" t="s">
        <v>4840</v>
      </c>
      <c r="D52" s="11">
        <v>9007</v>
      </c>
      <c r="E52" t="s">
        <v>42</v>
      </c>
      <c r="F52">
        <v>9</v>
      </c>
      <c r="G52" t="str">
        <f>_xlfn.XLOOKUP(E52,'Base SKUs'!E:E,'Base SKUs'!D:D)</f>
        <v>Thermowood</v>
      </c>
      <c r="H52" s="10">
        <f>_xlfn.XLOOKUP(E52,'Base SKUs'!E:E,'Base SKUs'!S:S)</f>
        <v>1.2768E-2</v>
      </c>
      <c r="I52" s="9">
        <f t="shared" si="0"/>
        <v>0.115</v>
      </c>
      <c r="J52" t="str">
        <f>_xlfn.XLOOKUP(E52,'Base SKUs'!E:E,'Base SKUs'!G:G)</f>
        <v>Maximo Thermo Ayous</v>
      </c>
      <c r="K52" t="str">
        <f>_xlfn.XLOOKUP(E52,'Base SKUs'!E:E,'Base SKUs'!H:H)</f>
        <v>VJoint - Square Back</v>
      </c>
      <c r="L52" t="str">
        <f>_xlfn.XLOOKUP(E52,'Base SKUs'!E:E,'Base SKUs'!I:I)</f>
        <v>-</v>
      </c>
      <c r="M52" t="str">
        <f>_xlfn.XLOOKUP(E52,'Base SKUs'!E:E,'Base SKUs'!J:J)</f>
        <v>1x6</v>
      </c>
      <c r="N52">
        <f>_xlfn.XLOOKUP(E52,'Base SKUs'!E:E,'Base SKUs'!K:K)</f>
        <v>16</v>
      </c>
      <c r="O52" t="str">
        <f>_xlfn.XLOOKUP(E52,'Base SKUs'!E:E,'Base SKUs'!C:C)</f>
        <v>Long</v>
      </c>
      <c r="P52" t="s">
        <v>4927</v>
      </c>
    </row>
    <row r="53" spans="1:16" x14ac:dyDescent="0.25">
      <c r="A53" t="s">
        <v>4853</v>
      </c>
      <c r="B53" t="s">
        <v>4839</v>
      </c>
      <c r="C53" t="s">
        <v>4840</v>
      </c>
      <c r="D53" s="11">
        <v>9007</v>
      </c>
      <c r="E53" t="s">
        <v>43</v>
      </c>
      <c r="F53">
        <v>13</v>
      </c>
      <c r="G53" t="str">
        <f>_xlfn.XLOOKUP(E53,'Base SKUs'!E:E,'Base SKUs'!D:D)</f>
        <v>Thermowood</v>
      </c>
      <c r="H53" s="10">
        <f>_xlfn.XLOOKUP(E53,'Base SKUs'!E:E,'Base SKUs'!S:S)</f>
        <v>5.5062000000000002E-3</v>
      </c>
      <c r="I53" s="9">
        <f t="shared" si="0"/>
        <v>7.1999999999999995E-2</v>
      </c>
      <c r="J53" t="str">
        <f>_xlfn.XLOOKUP(E53,'Base SKUs'!E:E,'Base SKUs'!G:G)</f>
        <v>Maximo Thermo Clear Radiata</v>
      </c>
      <c r="K53" t="str">
        <f>_xlfn.XLOOKUP(E53,'Base SKUs'!E:E,'Base SKUs'!H:H)</f>
        <v>Nickel Gap</v>
      </c>
      <c r="L53" t="str">
        <f>_xlfn.XLOOKUP(E53,'Base SKUs'!E:E,'Base SKUs'!I:I)</f>
        <v>OPX</v>
      </c>
      <c r="M53" t="str">
        <f>_xlfn.XLOOKUP(E53,'Base SKUs'!E:E,'Base SKUs'!J:J)</f>
        <v>1x6</v>
      </c>
      <c r="N53">
        <f>_xlfn.XLOOKUP(E53,'Base SKUs'!E:E,'Base SKUs'!K:K)</f>
        <v>7</v>
      </c>
      <c r="O53" t="str">
        <f>_xlfn.XLOOKUP(E53,'Base SKUs'!E:E,'Base SKUs'!C:C)</f>
        <v>Short</v>
      </c>
      <c r="P53" t="s">
        <v>4927</v>
      </c>
    </row>
    <row r="54" spans="1:16" x14ac:dyDescent="0.25">
      <c r="A54" t="s">
        <v>4853</v>
      </c>
      <c r="B54" t="s">
        <v>4839</v>
      </c>
      <c r="C54" t="s">
        <v>4840</v>
      </c>
      <c r="D54" s="11">
        <v>9007</v>
      </c>
      <c r="E54" t="s">
        <v>44</v>
      </c>
      <c r="F54">
        <v>5</v>
      </c>
      <c r="G54" t="str">
        <f>_xlfn.XLOOKUP(E54,'Base SKUs'!E:E,'Base SKUs'!D:D)</f>
        <v>Thermowood</v>
      </c>
      <c r="H54" s="10">
        <f>_xlfn.XLOOKUP(E54,'Base SKUs'!E:E,'Base SKUs'!S:S)</f>
        <v>7.8659999999999997E-3</v>
      </c>
      <c r="I54" s="9">
        <f t="shared" si="0"/>
        <v>3.9E-2</v>
      </c>
      <c r="J54" t="str">
        <f>_xlfn.XLOOKUP(E54,'Base SKUs'!E:E,'Base SKUs'!G:G)</f>
        <v>Maximo Thermo Clear Radiata</v>
      </c>
      <c r="K54" t="str">
        <f>_xlfn.XLOOKUP(E54,'Base SKUs'!E:E,'Base SKUs'!H:H)</f>
        <v>Nickel Gap</v>
      </c>
      <c r="L54" t="str">
        <f>_xlfn.XLOOKUP(E54,'Base SKUs'!E:E,'Base SKUs'!I:I)</f>
        <v>OPX</v>
      </c>
      <c r="M54" t="str">
        <f>_xlfn.XLOOKUP(E54,'Base SKUs'!E:E,'Base SKUs'!J:J)</f>
        <v>1x6</v>
      </c>
      <c r="N54">
        <f>_xlfn.XLOOKUP(E54,'Base SKUs'!E:E,'Base SKUs'!K:K)</f>
        <v>10</v>
      </c>
      <c r="O54" t="str">
        <f>_xlfn.XLOOKUP(E54,'Base SKUs'!E:E,'Base SKUs'!C:C)</f>
        <v>Long</v>
      </c>
      <c r="P54" t="s">
        <v>4927</v>
      </c>
    </row>
    <row r="55" spans="1:16" x14ac:dyDescent="0.25">
      <c r="A55" t="s">
        <v>4853</v>
      </c>
      <c r="B55" t="s">
        <v>4839</v>
      </c>
      <c r="C55" t="s">
        <v>4840</v>
      </c>
      <c r="D55" s="11">
        <v>9007</v>
      </c>
      <c r="E55" t="s">
        <v>45</v>
      </c>
      <c r="F55">
        <v>3</v>
      </c>
      <c r="G55" t="str">
        <f>_xlfn.XLOOKUP(E55,'Base SKUs'!E:E,'Base SKUs'!D:D)</f>
        <v>Thermowood</v>
      </c>
      <c r="H55" s="10">
        <f>_xlfn.XLOOKUP(E55,'Base SKUs'!E:E,'Base SKUs'!S:S)</f>
        <v>1.2585600000000001E-2</v>
      </c>
      <c r="I55" s="9">
        <f t="shared" si="0"/>
        <v>3.7999999999999999E-2</v>
      </c>
      <c r="J55" t="str">
        <f>_xlfn.XLOOKUP(E55,'Base SKUs'!E:E,'Base SKUs'!G:G)</f>
        <v>Maximo Thermo Clear Radiata</v>
      </c>
      <c r="K55" t="str">
        <f>_xlfn.XLOOKUP(E55,'Base SKUs'!E:E,'Base SKUs'!H:H)</f>
        <v>Nickel Gap</v>
      </c>
      <c r="L55" t="str">
        <f>_xlfn.XLOOKUP(E55,'Base SKUs'!E:E,'Base SKUs'!I:I)</f>
        <v>OPX</v>
      </c>
      <c r="M55" t="str">
        <f>_xlfn.XLOOKUP(E55,'Base SKUs'!E:E,'Base SKUs'!J:J)</f>
        <v>1x6</v>
      </c>
      <c r="N55">
        <f>_xlfn.XLOOKUP(E55,'Base SKUs'!E:E,'Base SKUs'!K:K)</f>
        <v>16</v>
      </c>
      <c r="O55" t="str">
        <f>_xlfn.XLOOKUP(E55,'Base SKUs'!E:E,'Base SKUs'!C:C)</f>
        <v>Long</v>
      </c>
      <c r="P55" t="s">
        <v>4927</v>
      </c>
    </row>
    <row r="56" spans="1:16" x14ac:dyDescent="0.25">
      <c r="A56" t="s">
        <v>4853</v>
      </c>
      <c r="B56" t="s">
        <v>4839</v>
      </c>
      <c r="C56" t="s">
        <v>4840</v>
      </c>
      <c r="D56" s="11">
        <v>9007</v>
      </c>
      <c r="E56" t="s">
        <v>46</v>
      </c>
      <c r="F56">
        <v>6</v>
      </c>
      <c r="G56" t="str">
        <f>_xlfn.XLOOKUP(E56,'Base SKUs'!E:E,'Base SKUs'!D:D)</f>
        <v>Thermowood</v>
      </c>
      <c r="H56" s="10">
        <f>_xlfn.XLOOKUP(E56,'Base SKUs'!E:E,'Base SKUs'!S:S)</f>
        <v>9.4392E-3</v>
      </c>
      <c r="I56" s="9">
        <f t="shared" si="0"/>
        <v>5.7000000000000002E-2</v>
      </c>
      <c r="J56" t="str">
        <f>_xlfn.XLOOKUP(E56,'Base SKUs'!E:E,'Base SKUs'!G:G)</f>
        <v>Maximo Thermo Clear Radiata</v>
      </c>
      <c r="K56" t="str">
        <f>_xlfn.XLOOKUP(E56,'Base SKUs'!E:E,'Base SKUs'!H:H)</f>
        <v>Nickel Gap</v>
      </c>
      <c r="L56" t="str">
        <f>_xlfn.XLOOKUP(E56,'Base SKUs'!E:E,'Base SKUs'!I:I)</f>
        <v>OPX</v>
      </c>
      <c r="M56" t="str">
        <f>_xlfn.XLOOKUP(E56,'Base SKUs'!E:E,'Base SKUs'!J:J)</f>
        <v>1x6</v>
      </c>
      <c r="N56">
        <f>_xlfn.XLOOKUP(E56,'Base SKUs'!E:E,'Base SKUs'!K:K)</f>
        <v>12</v>
      </c>
      <c r="O56" t="str">
        <f>_xlfn.XLOOKUP(E56,'Base SKUs'!E:E,'Base SKUs'!C:C)</f>
        <v>Long</v>
      </c>
      <c r="P56" t="s">
        <v>4927</v>
      </c>
    </row>
    <row r="57" spans="1:16" x14ac:dyDescent="0.25">
      <c r="A57" t="s">
        <v>4853</v>
      </c>
      <c r="B57" t="s">
        <v>4839</v>
      </c>
      <c r="C57" t="s">
        <v>4840</v>
      </c>
      <c r="D57" s="11">
        <v>9007</v>
      </c>
      <c r="E57" t="s">
        <v>47</v>
      </c>
      <c r="F57">
        <v>3</v>
      </c>
      <c r="G57" t="str">
        <f>_xlfn.XLOOKUP(E57,'Base SKUs'!E:E,'Base SKUs'!D:D)</f>
        <v>Thermowood</v>
      </c>
      <c r="H57" s="10">
        <f>_xlfn.XLOOKUP(E57,'Base SKUs'!E:E,'Base SKUs'!S:S)</f>
        <v>1.02258E-2</v>
      </c>
      <c r="I57" s="9">
        <f t="shared" si="0"/>
        <v>3.1E-2</v>
      </c>
      <c r="J57" t="str">
        <f>_xlfn.XLOOKUP(E57,'Base SKUs'!E:E,'Base SKUs'!G:G)</f>
        <v>Maximo Thermo Clear Radiata</v>
      </c>
      <c r="K57" t="str">
        <f>_xlfn.XLOOKUP(E57,'Base SKUs'!E:E,'Base SKUs'!H:H)</f>
        <v>Nickel Gap</v>
      </c>
      <c r="L57" t="str">
        <f>_xlfn.XLOOKUP(E57,'Base SKUs'!E:E,'Base SKUs'!I:I)</f>
        <v>OPX</v>
      </c>
      <c r="M57" t="str">
        <f>_xlfn.XLOOKUP(E57,'Base SKUs'!E:E,'Base SKUs'!J:J)</f>
        <v>1x6</v>
      </c>
      <c r="N57">
        <f>_xlfn.XLOOKUP(E57,'Base SKUs'!E:E,'Base SKUs'!K:K)</f>
        <v>13</v>
      </c>
      <c r="O57" t="str">
        <f>_xlfn.XLOOKUP(E57,'Base SKUs'!E:E,'Base SKUs'!C:C)</f>
        <v>Long</v>
      </c>
      <c r="P57" t="s">
        <v>4927</v>
      </c>
    </row>
    <row r="58" spans="1:16" x14ac:dyDescent="0.25">
      <c r="A58" t="s">
        <v>4854</v>
      </c>
      <c r="B58" t="s">
        <v>4839</v>
      </c>
      <c r="C58" t="s">
        <v>4840</v>
      </c>
      <c r="D58" s="11">
        <v>9011</v>
      </c>
      <c r="E58" t="s">
        <v>48</v>
      </c>
      <c r="F58">
        <v>10</v>
      </c>
      <c r="G58" t="str">
        <f>_xlfn.XLOOKUP(E58,'Base SKUs'!E:E,'Base SKUs'!D:D)</f>
        <v>Hardwoods</v>
      </c>
      <c r="H58" s="10">
        <f>_xlfn.XLOOKUP(E58,'Base SKUs'!E:E,'Base SKUs'!S:S)</f>
        <v>9.6355936319999988E-3</v>
      </c>
      <c r="I58" s="9">
        <f t="shared" si="0"/>
        <v>9.6000000000000002E-2</v>
      </c>
      <c r="J58" t="str">
        <f>_xlfn.XLOOKUP(E58,'Base SKUs'!E:E,'Base SKUs'!G:G)</f>
        <v>Ipe</v>
      </c>
      <c r="K58" t="str">
        <f>_xlfn.XLOOKUP(E58,'Base SKUs'!E:E,'Base SKUs'!H:H)</f>
        <v>S4S E4E</v>
      </c>
      <c r="L58" t="str">
        <f>_xlfn.XLOOKUP(E58,'Base SKUs'!E:E,'Base SKUs'!I:I)</f>
        <v>-</v>
      </c>
      <c r="M58" t="str">
        <f>_xlfn.XLOOKUP(E58,'Base SKUs'!E:E,'Base SKUs'!J:J)</f>
        <v>5/4x4</v>
      </c>
      <c r="N58">
        <f>_xlfn.XLOOKUP(E58,'Base SKUs'!E:E,'Base SKUs'!K:K)</f>
        <v>14</v>
      </c>
      <c r="O58" t="str">
        <f>_xlfn.XLOOKUP(E58,'Base SKUs'!E:E,'Base SKUs'!C:C)</f>
        <v>Long</v>
      </c>
      <c r="P58" t="s">
        <v>4927</v>
      </c>
    </row>
    <row r="59" spans="1:16" x14ac:dyDescent="0.25">
      <c r="A59" t="s">
        <v>4855</v>
      </c>
      <c r="B59" t="s">
        <v>4839</v>
      </c>
      <c r="C59" t="s">
        <v>4840</v>
      </c>
      <c r="D59" s="11">
        <v>9007</v>
      </c>
      <c r="E59" t="s">
        <v>50</v>
      </c>
      <c r="F59">
        <v>1</v>
      </c>
      <c r="G59" t="str">
        <f>_xlfn.XLOOKUP(E59,'Base SKUs'!E:E,'Base SKUs'!D:D)</f>
        <v>Thermowood</v>
      </c>
      <c r="H59" s="10">
        <f>_xlfn.XLOOKUP(E59,'Base SKUs'!E:E,'Base SKUs'!S:S)</f>
        <v>8.7779999999999993E-3</v>
      </c>
      <c r="I59" s="9">
        <f t="shared" si="0"/>
        <v>8.9999999999999993E-3</v>
      </c>
      <c r="J59" t="str">
        <f>_xlfn.XLOOKUP(E59,'Base SKUs'!E:E,'Base SKUs'!G:G)</f>
        <v>Maximo Thermo Ayous</v>
      </c>
      <c r="K59" t="str">
        <f>_xlfn.XLOOKUP(E59,'Base SKUs'!E:E,'Base SKUs'!H:H)</f>
        <v>VJoint - Nickel Gap</v>
      </c>
      <c r="L59" t="str">
        <f>_xlfn.XLOOKUP(E59,'Base SKUs'!E:E,'Base SKUs'!I:I)</f>
        <v>-</v>
      </c>
      <c r="M59" t="str">
        <f>_xlfn.XLOOKUP(E59,'Base SKUs'!E:E,'Base SKUs'!J:J)</f>
        <v>1x6</v>
      </c>
      <c r="N59">
        <f>_xlfn.XLOOKUP(E59,'Base SKUs'!E:E,'Base SKUs'!K:K)</f>
        <v>11</v>
      </c>
      <c r="O59" t="str">
        <f>_xlfn.XLOOKUP(E59,'Base SKUs'!E:E,'Base SKUs'!C:C)</f>
        <v>Long</v>
      </c>
      <c r="P59" t="s">
        <v>4927</v>
      </c>
    </row>
    <row r="60" spans="1:16" x14ac:dyDescent="0.25">
      <c r="A60" t="s">
        <v>4855</v>
      </c>
      <c r="B60" t="s">
        <v>4839</v>
      </c>
      <c r="C60" t="s">
        <v>4840</v>
      </c>
      <c r="D60" s="11">
        <v>9007</v>
      </c>
      <c r="E60" t="s">
        <v>6</v>
      </c>
      <c r="F60">
        <v>4</v>
      </c>
      <c r="G60" t="str">
        <f>_xlfn.XLOOKUP(E60,'Base SKUs'!E:E,'Base SKUs'!D:D)</f>
        <v>Thermowood</v>
      </c>
      <c r="H60" s="10">
        <f>_xlfn.XLOOKUP(E60,'Base SKUs'!E:E,'Base SKUs'!S:S)</f>
        <v>1.1172E-2</v>
      </c>
      <c r="I60" s="9">
        <f t="shared" si="0"/>
        <v>4.4999999999999998E-2</v>
      </c>
      <c r="J60" t="str">
        <f>_xlfn.XLOOKUP(E60,'Base SKUs'!E:E,'Base SKUs'!G:G)</f>
        <v>Maximo Thermo Ayous</v>
      </c>
      <c r="K60" t="str">
        <f>_xlfn.XLOOKUP(E60,'Base SKUs'!E:E,'Base SKUs'!H:H)</f>
        <v>VJoint - Nickel Gap</v>
      </c>
      <c r="L60" t="str">
        <f>_xlfn.XLOOKUP(E60,'Base SKUs'!E:E,'Base SKUs'!I:I)</f>
        <v>-</v>
      </c>
      <c r="M60" t="str">
        <f>_xlfn.XLOOKUP(E60,'Base SKUs'!E:E,'Base SKUs'!J:J)</f>
        <v>1x6</v>
      </c>
      <c r="N60">
        <f>_xlfn.XLOOKUP(E60,'Base SKUs'!E:E,'Base SKUs'!K:K)</f>
        <v>14</v>
      </c>
      <c r="O60" t="str">
        <f>_xlfn.XLOOKUP(E60,'Base SKUs'!E:E,'Base SKUs'!C:C)</f>
        <v>Long</v>
      </c>
      <c r="P60" t="s">
        <v>4927</v>
      </c>
    </row>
    <row r="61" spans="1:16" x14ac:dyDescent="0.25">
      <c r="A61" t="s">
        <v>4855</v>
      </c>
      <c r="B61" t="s">
        <v>4839</v>
      </c>
      <c r="C61" t="s">
        <v>4840</v>
      </c>
      <c r="D61" s="11">
        <v>9007</v>
      </c>
      <c r="E61" t="s">
        <v>31</v>
      </c>
      <c r="F61">
        <v>42</v>
      </c>
      <c r="G61" t="str">
        <f>_xlfn.XLOOKUP(E61,'Base SKUs'!E:E,'Base SKUs'!D:D)</f>
        <v>Thermowood</v>
      </c>
      <c r="H61" s="10">
        <f>_xlfn.XLOOKUP(E61,'Base SKUs'!E:E,'Base SKUs'!S:S)</f>
        <v>6.3839999999999999E-3</v>
      </c>
      <c r="I61" s="9">
        <f t="shared" si="0"/>
        <v>0.26800000000000002</v>
      </c>
      <c r="J61" t="str">
        <f>_xlfn.XLOOKUP(E61,'Base SKUs'!E:E,'Base SKUs'!G:G)</f>
        <v>Maximo Thermo Ayous</v>
      </c>
      <c r="K61" t="str">
        <f>_xlfn.XLOOKUP(E61,'Base SKUs'!E:E,'Base SKUs'!H:H)</f>
        <v>VJoint - Square Back</v>
      </c>
      <c r="L61" t="str">
        <f>_xlfn.XLOOKUP(E61,'Base SKUs'!E:E,'Base SKUs'!I:I)</f>
        <v>-</v>
      </c>
      <c r="M61" t="str">
        <f>_xlfn.XLOOKUP(E61,'Base SKUs'!E:E,'Base SKUs'!J:J)</f>
        <v>1x6</v>
      </c>
      <c r="N61">
        <f>_xlfn.XLOOKUP(E61,'Base SKUs'!E:E,'Base SKUs'!K:K)</f>
        <v>8</v>
      </c>
      <c r="O61" t="str">
        <f>_xlfn.XLOOKUP(E61,'Base SKUs'!E:E,'Base SKUs'!C:C)</f>
        <v>Long</v>
      </c>
      <c r="P61" t="s">
        <v>4927</v>
      </c>
    </row>
    <row r="62" spans="1:16" x14ac:dyDescent="0.25">
      <c r="A62" t="s">
        <v>4856</v>
      </c>
      <c r="B62" t="s">
        <v>4839</v>
      </c>
      <c r="C62" t="s">
        <v>4840</v>
      </c>
      <c r="D62" s="11">
        <v>9008</v>
      </c>
      <c r="E62" t="s">
        <v>51</v>
      </c>
      <c r="F62">
        <v>7</v>
      </c>
      <c r="G62" t="str">
        <f>_xlfn.XLOOKUP(E62,'Base SKUs'!E:E,'Base SKUs'!D:D)</f>
        <v>Thermowood</v>
      </c>
      <c r="H62" s="10">
        <f>_xlfn.XLOOKUP(E62,'Base SKUs'!E:E,'Base SKUs'!S:S)</f>
        <v>8.6525999999999999E-3</v>
      </c>
      <c r="I62" s="9">
        <f t="shared" si="0"/>
        <v>6.0999999999999999E-2</v>
      </c>
      <c r="J62" t="str">
        <f>_xlfn.XLOOKUP(E62,'Base SKUs'!E:E,'Base SKUs'!G:G)</f>
        <v>Maximo Thermo Clear Radiata</v>
      </c>
      <c r="K62" t="str">
        <f>_xlfn.XLOOKUP(E62,'Base SKUs'!E:E,'Base SKUs'!H:H)</f>
        <v>Nickel Gap</v>
      </c>
      <c r="L62" t="str">
        <f>_xlfn.XLOOKUP(E62,'Base SKUs'!E:E,'Base SKUs'!I:I)</f>
        <v>OPX</v>
      </c>
      <c r="M62" t="str">
        <f>_xlfn.XLOOKUP(E62,'Base SKUs'!E:E,'Base SKUs'!J:J)</f>
        <v>1x6</v>
      </c>
      <c r="N62">
        <f>_xlfn.XLOOKUP(E62,'Base SKUs'!E:E,'Base SKUs'!K:K)</f>
        <v>11</v>
      </c>
      <c r="O62" t="str">
        <f>_xlfn.XLOOKUP(E62,'Base SKUs'!E:E,'Base SKUs'!C:C)</f>
        <v>Long</v>
      </c>
      <c r="P62" t="s">
        <v>4927</v>
      </c>
    </row>
    <row r="63" spans="1:16" x14ac:dyDescent="0.25">
      <c r="A63" t="s">
        <v>4857</v>
      </c>
      <c r="B63" t="s">
        <v>4839</v>
      </c>
      <c r="C63" t="s">
        <v>4840</v>
      </c>
      <c r="D63" s="11">
        <v>9011</v>
      </c>
      <c r="E63" t="s">
        <v>52</v>
      </c>
      <c r="F63">
        <v>21</v>
      </c>
      <c r="G63" t="str">
        <f>_xlfn.XLOOKUP(E63,'Base SKUs'!E:E,'Base SKUs'!D:D)</f>
        <v>Hardwoods</v>
      </c>
      <c r="H63" s="10">
        <f>_xlfn.XLOOKUP(E63,'Base SKUs'!E:E,'Base SKUs'!S:S)</f>
        <v>1.081546224E-2</v>
      </c>
      <c r="I63" s="9">
        <f t="shared" si="0"/>
        <v>0.22700000000000001</v>
      </c>
      <c r="J63" t="str">
        <f>_xlfn.XLOOKUP(E63,'Base SKUs'!E:E,'Base SKUs'!G:G)</f>
        <v>Ipe</v>
      </c>
      <c r="K63" t="str">
        <f>_xlfn.XLOOKUP(E63,'Base SKUs'!E:E,'Base SKUs'!H:H)</f>
        <v>S4S E4E</v>
      </c>
      <c r="L63" t="str">
        <f>_xlfn.XLOOKUP(E63,'Base SKUs'!E:E,'Base SKUs'!I:I)</f>
        <v>-</v>
      </c>
      <c r="M63" t="str">
        <f>_xlfn.XLOOKUP(E63,'Base SKUs'!E:E,'Base SKUs'!J:J)</f>
        <v>5/4x6</v>
      </c>
      <c r="N63">
        <f>_xlfn.XLOOKUP(E63,'Base SKUs'!E:E,'Base SKUs'!K:K)</f>
        <v>10</v>
      </c>
      <c r="O63" t="str">
        <f>_xlfn.XLOOKUP(E63,'Base SKUs'!E:E,'Base SKUs'!C:C)</f>
        <v>Long</v>
      </c>
      <c r="P63" t="s">
        <v>4927</v>
      </c>
    </row>
    <row r="64" spans="1:16" x14ac:dyDescent="0.25">
      <c r="A64" t="s">
        <v>4857</v>
      </c>
      <c r="B64" t="s">
        <v>4839</v>
      </c>
      <c r="C64" t="s">
        <v>4840</v>
      </c>
      <c r="D64" s="11">
        <v>9011</v>
      </c>
      <c r="E64" t="s">
        <v>53</v>
      </c>
      <c r="F64">
        <v>2</v>
      </c>
      <c r="G64" t="str">
        <f>_xlfn.XLOOKUP(E64,'Base SKUs'!E:E,'Base SKUs'!D:D)</f>
        <v>Hardwoods</v>
      </c>
      <c r="H64" s="10">
        <f>_xlfn.XLOOKUP(E64,'Base SKUs'!E:E,'Base SKUs'!S:S)</f>
        <v>7.1382050783999992E-2</v>
      </c>
      <c r="I64" s="9">
        <f t="shared" si="0"/>
        <v>0.14299999999999999</v>
      </c>
      <c r="J64" t="str">
        <f>_xlfn.XLOOKUP(E64,'Base SKUs'!E:E,'Base SKUs'!G:G)</f>
        <v>Ipe</v>
      </c>
      <c r="K64" t="str">
        <f>_xlfn.XLOOKUP(E64,'Base SKUs'!E:E,'Base SKUs'!H:H)</f>
        <v>S4S E4E</v>
      </c>
      <c r="L64" t="str">
        <f>_xlfn.XLOOKUP(E64,'Base SKUs'!E:E,'Base SKUs'!I:I)</f>
        <v>-</v>
      </c>
      <c r="M64" t="str">
        <f>_xlfn.XLOOKUP(E64,'Base SKUs'!E:E,'Base SKUs'!J:J)</f>
        <v>6x6</v>
      </c>
      <c r="N64">
        <f>_xlfn.XLOOKUP(E64,'Base SKUs'!E:E,'Base SKUs'!K:K)</f>
        <v>12</v>
      </c>
      <c r="O64" t="str">
        <f>_xlfn.XLOOKUP(E64,'Base SKUs'!E:E,'Base SKUs'!C:C)</f>
        <v>Long</v>
      </c>
      <c r="P64" t="s">
        <v>4927</v>
      </c>
    </row>
    <row r="65" spans="1:16" x14ac:dyDescent="0.25">
      <c r="A65" t="s">
        <v>4857</v>
      </c>
      <c r="B65" t="s">
        <v>4839</v>
      </c>
      <c r="C65" t="s">
        <v>4840</v>
      </c>
      <c r="D65" s="11">
        <v>9011</v>
      </c>
      <c r="E65" t="s">
        <v>54</v>
      </c>
      <c r="F65">
        <v>2</v>
      </c>
      <c r="G65" t="str">
        <f>_xlfn.XLOOKUP(E65,'Base SKUs'!E:E,'Base SKUs'!D:D)</f>
        <v>Hardwoods</v>
      </c>
      <c r="H65" s="10">
        <f>_xlfn.XLOOKUP(E65,'Base SKUs'!E:E,'Base SKUs'!S:S)</f>
        <v>8.327905924799997E-2</v>
      </c>
      <c r="I65" s="9">
        <f t="shared" si="0"/>
        <v>0.16700000000000001</v>
      </c>
      <c r="J65" t="str">
        <f>_xlfn.XLOOKUP(E65,'Base SKUs'!E:E,'Base SKUs'!G:G)</f>
        <v>Ipe</v>
      </c>
      <c r="K65" t="str">
        <f>_xlfn.XLOOKUP(E65,'Base SKUs'!E:E,'Base SKUs'!H:H)</f>
        <v>S4S E4E</v>
      </c>
      <c r="L65" t="str">
        <f>_xlfn.XLOOKUP(E65,'Base SKUs'!E:E,'Base SKUs'!I:I)</f>
        <v>-</v>
      </c>
      <c r="M65" t="str">
        <f>_xlfn.XLOOKUP(E65,'Base SKUs'!E:E,'Base SKUs'!J:J)</f>
        <v>6x6</v>
      </c>
      <c r="N65">
        <f>_xlfn.XLOOKUP(E65,'Base SKUs'!E:E,'Base SKUs'!K:K)</f>
        <v>14</v>
      </c>
      <c r="O65" t="str">
        <f>_xlfn.XLOOKUP(E65,'Base SKUs'!E:E,'Base SKUs'!C:C)</f>
        <v>Long</v>
      </c>
      <c r="P65" t="s">
        <v>4927</v>
      </c>
    </row>
    <row r="66" spans="1:16" x14ac:dyDescent="0.25">
      <c r="A66" t="s">
        <v>4857</v>
      </c>
      <c r="B66" t="s">
        <v>4839</v>
      </c>
      <c r="C66" t="s">
        <v>4840</v>
      </c>
      <c r="D66" s="11">
        <v>9011</v>
      </c>
      <c r="E66" t="s">
        <v>55</v>
      </c>
      <c r="F66">
        <v>1</v>
      </c>
      <c r="G66" t="str">
        <f>_xlfn.XLOOKUP(E66,'Base SKUs'!E:E,'Base SKUs'!D:D)</f>
        <v>Hardwoods</v>
      </c>
      <c r="H66" s="10">
        <f>_xlfn.XLOOKUP(E66,'Base SKUs'!E:E,'Base SKUs'!S:S)</f>
        <v>6.1943101919999998E-3</v>
      </c>
      <c r="I66" s="9">
        <f t="shared" ref="I66:I129" si="1">IF(OR(G66="Norx",K66="Tiles"),ROUND(F66,3),ROUND(F66*H66,3))</f>
        <v>6.0000000000000001E-3</v>
      </c>
      <c r="J66" t="str">
        <f>_xlfn.XLOOKUP(E66,'Base SKUs'!E:E,'Base SKUs'!G:G)</f>
        <v>Ipe</v>
      </c>
      <c r="K66" t="str">
        <f>_xlfn.XLOOKUP(E66,'Base SKUs'!E:E,'Base SKUs'!H:H)</f>
        <v>S4S E4E</v>
      </c>
      <c r="L66" t="str">
        <f>_xlfn.XLOOKUP(E66,'Base SKUs'!E:E,'Base SKUs'!I:I)</f>
        <v>-</v>
      </c>
      <c r="M66" t="str">
        <f>_xlfn.XLOOKUP(E66,'Base SKUs'!E:E,'Base SKUs'!J:J)</f>
        <v>2x4</v>
      </c>
      <c r="N66">
        <f>_xlfn.XLOOKUP(E66,'Base SKUs'!E:E,'Base SKUs'!K:K)</f>
        <v>6</v>
      </c>
      <c r="O66" t="str">
        <f>_xlfn.XLOOKUP(E66,'Base SKUs'!E:E,'Base SKUs'!C:C)</f>
        <v>Short</v>
      </c>
      <c r="P66" t="s">
        <v>4927</v>
      </c>
    </row>
    <row r="67" spans="1:16" x14ac:dyDescent="0.25">
      <c r="A67" t="s">
        <v>4857</v>
      </c>
      <c r="B67" t="s">
        <v>4839</v>
      </c>
      <c r="C67" t="s">
        <v>4840</v>
      </c>
      <c r="D67" s="11">
        <v>9011</v>
      </c>
      <c r="E67" t="s">
        <v>56</v>
      </c>
      <c r="F67">
        <v>1</v>
      </c>
      <c r="G67" t="str">
        <f>_xlfn.XLOOKUP(E67,'Base SKUs'!E:E,'Base SKUs'!D:D)</f>
        <v>Hardwoods</v>
      </c>
      <c r="H67" s="10">
        <f>_xlfn.XLOOKUP(E67,'Base SKUs'!E:E,'Base SKUs'!S:S)</f>
        <v>3.2741353872000001E-2</v>
      </c>
      <c r="I67" s="9">
        <f t="shared" si="1"/>
        <v>3.3000000000000002E-2</v>
      </c>
      <c r="J67" t="str">
        <f>_xlfn.XLOOKUP(E67,'Base SKUs'!E:E,'Base SKUs'!G:G)</f>
        <v>Ipe</v>
      </c>
      <c r="K67" t="str">
        <f>_xlfn.XLOOKUP(E67,'Base SKUs'!E:E,'Base SKUs'!H:H)</f>
        <v>S4S E4E</v>
      </c>
      <c r="L67" t="str">
        <f>_xlfn.XLOOKUP(E67,'Base SKUs'!E:E,'Base SKUs'!I:I)</f>
        <v>-</v>
      </c>
      <c r="M67" t="str">
        <f>_xlfn.XLOOKUP(E67,'Base SKUs'!E:E,'Base SKUs'!J:J)</f>
        <v>2x10</v>
      </c>
      <c r="N67">
        <f>_xlfn.XLOOKUP(E67,'Base SKUs'!E:E,'Base SKUs'!K:K)</f>
        <v>12</v>
      </c>
      <c r="O67" t="str">
        <f>_xlfn.XLOOKUP(E67,'Base SKUs'!E:E,'Base SKUs'!C:C)</f>
        <v>Long</v>
      </c>
      <c r="P67" t="s">
        <v>4927</v>
      </c>
    </row>
    <row r="68" spans="1:16" x14ac:dyDescent="0.25">
      <c r="A68" t="s">
        <v>4857</v>
      </c>
      <c r="B68" t="s">
        <v>4839</v>
      </c>
      <c r="C68" t="s">
        <v>4840</v>
      </c>
      <c r="D68" s="11">
        <v>9011</v>
      </c>
      <c r="E68" t="s">
        <v>57</v>
      </c>
      <c r="F68">
        <v>1</v>
      </c>
      <c r="G68" t="str">
        <f>_xlfn.XLOOKUP(E68,'Base SKUs'!E:E,'Base SKUs'!D:D)</f>
        <v>Hardwoods</v>
      </c>
      <c r="H68" s="10">
        <f>_xlfn.XLOOKUP(E68,'Base SKUs'!E:E,'Base SKUs'!S:S)</f>
        <v>5.4568923120000008E-2</v>
      </c>
      <c r="I68" s="9">
        <f t="shared" si="1"/>
        <v>5.5E-2</v>
      </c>
      <c r="J68" t="str">
        <f>_xlfn.XLOOKUP(E68,'Base SKUs'!E:E,'Base SKUs'!G:G)</f>
        <v>Ipe</v>
      </c>
      <c r="K68" t="str">
        <f>_xlfn.XLOOKUP(E68,'Base SKUs'!E:E,'Base SKUs'!H:H)</f>
        <v>S4S E4E</v>
      </c>
      <c r="L68" t="str">
        <f>_xlfn.XLOOKUP(E68,'Base SKUs'!E:E,'Base SKUs'!I:I)</f>
        <v>-</v>
      </c>
      <c r="M68" t="str">
        <f>_xlfn.XLOOKUP(E68,'Base SKUs'!E:E,'Base SKUs'!J:J)</f>
        <v>2x10</v>
      </c>
      <c r="N68">
        <f>_xlfn.XLOOKUP(E68,'Base SKUs'!E:E,'Base SKUs'!K:K)</f>
        <v>20</v>
      </c>
      <c r="O68" t="str">
        <f>_xlfn.XLOOKUP(E68,'Base SKUs'!E:E,'Base SKUs'!C:C)</f>
        <v>Long</v>
      </c>
      <c r="P68" t="s">
        <v>4927</v>
      </c>
    </row>
    <row r="69" spans="1:16" x14ac:dyDescent="0.25">
      <c r="A69" t="s">
        <v>4857</v>
      </c>
      <c r="B69" t="s">
        <v>4839</v>
      </c>
      <c r="C69" t="s">
        <v>4840</v>
      </c>
      <c r="D69" s="11">
        <v>9011</v>
      </c>
      <c r="E69" t="s">
        <v>58</v>
      </c>
      <c r="F69">
        <v>1</v>
      </c>
      <c r="G69" t="str">
        <f>_xlfn.XLOOKUP(E69,'Base SKUs'!E:E,'Base SKUs'!D:D)</f>
        <v>Hardwoods</v>
      </c>
      <c r="H69" s="10">
        <f>_xlfn.XLOOKUP(E69,'Base SKUs'!E:E,'Base SKUs'!S:S)</f>
        <v>8.6523697920000003E-3</v>
      </c>
      <c r="I69" s="9">
        <f t="shared" si="1"/>
        <v>8.9999999999999993E-3</v>
      </c>
      <c r="J69" t="str">
        <f>_xlfn.XLOOKUP(E69,'Base SKUs'!E:E,'Base SKUs'!G:G)</f>
        <v>Cumaru</v>
      </c>
      <c r="K69" t="str">
        <f>_xlfn.XLOOKUP(E69,'Base SKUs'!E:E,'Base SKUs'!H:H)</f>
        <v>S4S E4E</v>
      </c>
      <c r="L69" t="str">
        <f>_xlfn.XLOOKUP(E69,'Base SKUs'!E:E,'Base SKUs'!I:I)</f>
        <v>-</v>
      </c>
      <c r="M69" t="str">
        <f>_xlfn.XLOOKUP(E69,'Base SKUs'!E:E,'Base SKUs'!J:J)</f>
        <v>5/4x6</v>
      </c>
      <c r="N69">
        <f>_xlfn.XLOOKUP(E69,'Base SKUs'!E:E,'Base SKUs'!K:K)</f>
        <v>8</v>
      </c>
      <c r="O69" t="str">
        <f>_xlfn.XLOOKUP(E69,'Base SKUs'!E:E,'Base SKUs'!C:C)</f>
        <v>Long</v>
      </c>
      <c r="P69" t="s">
        <v>4927</v>
      </c>
    </row>
    <row r="70" spans="1:16" x14ac:dyDescent="0.25">
      <c r="A70" t="s">
        <v>4857</v>
      </c>
      <c r="B70" t="s">
        <v>4839</v>
      </c>
      <c r="C70" t="s">
        <v>4840</v>
      </c>
      <c r="D70" s="11">
        <v>9011</v>
      </c>
      <c r="E70" t="s">
        <v>59</v>
      </c>
      <c r="F70">
        <v>13</v>
      </c>
      <c r="G70" t="str">
        <f>_xlfn.XLOOKUP(E70,'Base SKUs'!E:E,'Base SKUs'!D:D)</f>
        <v>Hardwoods</v>
      </c>
      <c r="H70" s="10">
        <f>_xlfn.XLOOKUP(E70,'Base SKUs'!E:E,'Base SKUs'!S:S)</f>
        <v>1.081546224E-2</v>
      </c>
      <c r="I70" s="9">
        <f t="shared" si="1"/>
        <v>0.14099999999999999</v>
      </c>
      <c r="J70" t="str">
        <f>_xlfn.XLOOKUP(E70,'Base SKUs'!E:E,'Base SKUs'!G:G)</f>
        <v>Cumaru</v>
      </c>
      <c r="K70" t="str">
        <f>_xlfn.XLOOKUP(E70,'Base SKUs'!E:E,'Base SKUs'!H:H)</f>
        <v>S4S E4E</v>
      </c>
      <c r="L70" t="str">
        <f>_xlfn.XLOOKUP(E70,'Base SKUs'!E:E,'Base SKUs'!I:I)</f>
        <v>-</v>
      </c>
      <c r="M70" t="str">
        <f>_xlfn.XLOOKUP(E70,'Base SKUs'!E:E,'Base SKUs'!J:J)</f>
        <v>5/4x6</v>
      </c>
      <c r="N70">
        <f>_xlfn.XLOOKUP(E70,'Base SKUs'!E:E,'Base SKUs'!K:K)</f>
        <v>10</v>
      </c>
      <c r="O70" t="str">
        <f>_xlfn.XLOOKUP(E70,'Base SKUs'!E:E,'Base SKUs'!C:C)</f>
        <v>Long</v>
      </c>
      <c r="P70" t="s">
        <v>4927</v>
      </c>
    </row>
    <row r="71" spans="1:16" x14ac:dyDescent="0.25">
      <c r="A71" t="s">
        <v>4857</v>
      </c>
      <c r="B71" t="s">
        <v>4839</v>
      </c>
      <c r="C71" t="s">
        <v>4840</v>
      </c>
      <c r="D71" s="11">
        <v>9011</v>
      </c>
      <c r="E71" t="s">
        <v>60</v>
      </c>
      <c r="F71">
        <v>18</v>
      </c>
      <c r="G71" t="str">
        <f>_xlfn.XLOOKUP(E71,'Base SKUs'!E:E,'Base SKUs'!D:D)</f>
        <v>Hardwoods</v>
      </c>
      <c r="H71" s="10">
        <f>_xlfn.XLOOKUP(E71,'Base SKUs'!E:E,'Base SKUs'!S:S)</f>
        <v>1.2978554687999997E-2</v>
      </c>
      <c r="I71" s="9">
        <f t="shared" si="1"/>
        <v>0.23400000000000001</v>
      </c>
      <c r="J71" t="str">
        <f>_xlfn.XLOOKUP(E71,'Base SKUs'!E:E,'Base SKUs'!G:G)</f>
        <v>Cumaru</v>
      </c>
      <c r="K71" t="str">
        <f>_xlfn.XLOOKUP(E71,'Base SKUs'!E:E,'Base SKUs'!H:H)</f>
        <v>S4S E4E</v>
      </c>
      <c r="L71" t="str">
        <f>_xlfn.XLOOKUP(E71,'Base SKUs'!E:E,'Base SKUs'!I:I)</f>
        <v>-</v>
      </c>
      <c r="M71" t="str">
        <f>_xlfn.XLOOKUP(E71,'Base SKUs'!E:E,'Base SKUs'!J:J)</f>
        <v>5/4x6</v>
      </c>
      <c r="N71">
        <f>_xlfn.XLOOKUP(E71,'Base SKUs'!E:E,'Base SKUs'!K:K)</f>
        <v>12</v>
      </c>
      <c r="O71" t="str">
        <f>_xlfn.XLOOKUP(E71,'Base SKUs'!E:E,'Base SKUs'!C:C)</f>
        <v>Long</v>
      </c>
      <c r="P71" t="s">
        <v>4927</v>
      </c>
    </row>
    <row r="72" spans="1:16" x14ac:dyDescent="0.25">
      <c r="A72" t="s">
        <v>4857</v>
      </c>
      <c r="B72" t="s">
        <v>4839</v>
      </c>
      <c r="C72" t="s">
        <v>4840</v>
      </c>
      <c r="D72" s="11">
        <v>9011</v>
      </c>
      <c r="E72" t="s">
        <v>61</v>
      </c>
      <c r="F72">
        <v>4</v>
      </c>
      <c r="G72" t="str">
        <f>_xlfn.XLOOKUP(E72,'Base SKUs'!E:E,'Base SKUs'!D:D)</f>
        <v>Hardwoods</v>
      </c>
      <c r="H72" s="10">
        <f>_xlfn.XLOOKUP(E72,'Base SKUs'!E:E,'Base SKUs'!S:S)</f>
        <v>1.5141647135999997E-2</v>
      </c>
      <c r="I72" s="9">
        <f t="shared" si="1"/>
        <v>6.0999999999999999E-2</v>
      </c>
      <c r="J72" t="str">
        <f>_xlfn.XLOOKUP(E72,'Base SKUs'!E:E,'Base SKUs'!G:G)</f>
        <v>Cumaru</v>
      </c>
      <c r="K72" t="str">
        <f>_xlfn.XLOOKUP(E72,'Base SKUs'!E:E,'Base SKUs'!H:H)</f>
        <v>S4S E4E</v>
      </c>
      <c r="L72" t="str">
        <f>_xlfn.XLOOKUP(E72,'Base SKUs'!E:E,'Base SKUs'!I:I)</f>
        <v>-</v>
      </c>
      <c r="M72" t="str">
        <f>_xlfn.XLOOKUP(E72,'Base SKUs'!E:E,'Base SKUs'!J:J)</f>
        <v>5/4x6</v>
      </c>
      <c r="N72">
        <f>_xlfn.XLOOKUP(E72,'Base SKUs'!E:E,'Base SKUs'!K:K)</f>
        <v>14</v>
      </c>
      <c r="O72" t="str">
        <f>_xlfn.XLOOKUP(E72,'Base SKUs'!E:E,'Base SKUs'!C:C)</f>
        <v>Long</v>
      </c>
      <c r="P72" t="s">
        <v>4927</v>
      </c>
    </row>
    <row r="73" spans="1:16" x14ac:dyDescent="0.25">
      <c r="A73" t="s">
        <v>4857</v>
      </c>
      <c r="B73" t="s">
        <v>4839</v>
      </c>
      <c r="C73" t="s">
        <v>4840</v>
      </c>
      <c r="D73" s="11">
        <v>9011</v>
      </c>
      <c r="E73" t="s">
        <v>62</v>
      </c>
      <c r="F73">
        <v>9</v>
      </c>
      <c r="G73" t="str">
        <f>_xlfn.XLOOKUP(E73,'Base SKUs'!E:E,'Base SKUs'!D:D)</f>
        <v>Hardwoods</v>
      </c>
      <c r="H73" s="10">
        <f>_xlfn.XLOOKUP(E73,'Base SKUs'!E:E,'Base SKUs'!S:S)</f>
        <v>1.9467832031999997E-2</v>
      </c>
      <c r="I73" s="9">
        <f t="shared" si="1"/>
        <v>0.17499999999999999</v>
      </c>
      <c r="J73" t="str">
        <f>_xlfn.XLOOKUP(E73,'Base SKUs'!E:E,'Base SKUs'!G:G)</f>
        <v>Cumaru</v>
      </c>
      <c r="K73" t="str">
        <f>_xlfn.XLOOKUP(E73,'Base SKUs'!E:E,'Base SKUs'!H:H)</f>
        <v>S4S E4E</v>
      </c>
      <c r="L73" t="str">
        <f>_xlfn.XLOOKUP(E73,'Base SKUs'!E:E,'Base SKUs'!I:I)</f>
        <v>-</v>
      </c>
      <c r="M73" t="str">
        <f>_xlfn.XLOOKUP(E73,'Base SKUs'!E:E,'Base SKUs'!J:J)</f>
        <v>5/4x6</v>
      </c>
      <c r="N73">
        <f>_xlfn.XLOOKUP(E73,'Base SKUs'!E:E,'Base SKUs'!K:K)</f>
        <v>18</v>
      </c>
      <c r="O73" t="str">
        <f>_xlfn.XLOOKUP(E73,'Base SKUs'!E:E,'Base SKUs'!C:C)</f>
        <v>Long</v>
      </c>
      <c r="P73" t="s">
        <v>4927</v>
      </c>
    </row>
    <row r="74" spans="1:16" x14ac:dyDescent="0.25">
      <c r="A74" t="s">
        <v>4858</v>
      </c>
      <c r="B74" t="s">
        <v>4844</v>
      </c>
      <c r="C74" t="s">
        <v>4845</v>
      </c>
      <c r="D74" s="11">
        <v>9008</v>
      </c>
      <c r="E74" t="s">
        <v>29</v>
      </c>
      <c r="F74">
        <v>115</v>
      </c>
      <c r="G74" t="str">
        <f>_xlfn.XLOOKUP(E74,'Base SKUs'!E:E,'Base SKUs'!D:D)</f>
        <v>Hardwoods</v>
      </c>
      <c r="H74" s="10">
        <f>_xlfn.XLOOKUP(E74,'Base SKUs'!E:E,'Base SKUs'!S:S)</f>
        <v>5.1619251599999997E-3</v>
      </c>
      <c r="I74" s="9">
        <f t="shared" si="1"/>
        <v>0.59399999999999997</v>
      </c>
      <c r="J74" t="str">
        <f>_xlfn.XLOOKUP(E74,'Base SKUs'!E:E,'Base SKUs'!G:G)</f>
        <v>Cumaru</v>
      </c>
      <c r="K74" t="str">
        <f>_xlfn.XLOOKUP(E74,'Base SKUs'!E:E,'Base SKUs'!H:H)</f>
        <v>S4S E4E</v>
      </c>
      <c r="L74" t="str">
        <f>_xlfn.XLOOKUP(E74,'Base SKUs'!E:E,'Base SKUs'!I:I)</f>
        <v>-</v>
      </c>
      <c r="M74" t="str">
        <f>_xlfn.XLOOKUP(E74,'Base SKUs'!E:E,'Base SKUs'!J:J)</f>
        <v>1x4 Plus</v>
      </c>
      <c r="N74">
        <f>_xlfn.XLOOKUP(E74,'Base SKUs'!E:E,'Base SKUs'!K:K)</f>
        <v>8</v>
      </c>
      <c r="O74" t="str">
        <f>_xlfn.XLOOKUP(E74,'Base SKUs'!E:E,'Base SKUs'!C:C)</f>
        <v>Long</v>
      </c>
      <c r="P74" t="s">
        <v>4928</v>
      </c>
    </row>
    <row r="75" spans="1:16" x14ac:dyDescent="0.25">
      <c r="A75" t="s">
        <v>4858</v>
      </c>
      <c r="B75" t="s">
        <v>4844</v>
      </c>
      <c r="C75" t="s">
        <v>4845</v>
      </c>
      <c r="D75" s="11">
        <v>9008</v>
      </c>
      <c r="E75" t="s">
        <v>17</v>
      </c>
      <c r="F75">
        <v>250</v>
      </c>
      <c r="G75" t="str">
        <f>_xlfn.XLOOKUP(E75,'Base SKUs'!E:E,'Base SKUs'!D:D)</f>
        <v>Hardwoods</v>
      </c>
      <c r="H75" s="10">
        <f>_xlfn.XLOOKUP(E75,'Base SKUs'!E:E,'Base SKUs'!S:S)</f>
        <v>6.452406449999999E-3</v>
      </c>
      <c r="I75" s="9">
        <f t="shared" si="1"/>
        <v>1.613</v>
      </c>
      <c r="J75" t="str">
        <f>_xlfn.XLOOKUP(E75,'Base SKUs'!E:E,'Base SKUs'!G:G)</f>
        <v>Cumaru</v>
      </c>
      <c r="K75" t="str">
        <f>_xlfn.XLOOKUP(E75,'Base SKUs'!E:E,'Base SKUs'!H:H)</f>
        <v>S4S E4E</v>
      </c>
      <c r="L75" t="str">
        <f>_xlfn.XLOOKUP(E75,'Base SKUs'!E:E,'Base SKUs'!I:I)</f>
        <v>-</v>
      </c>
      <c r="M75" t="str">
        <f>_xlfn.XLOOKUP(E75,'Base SKUs'!E:E,'Base SKUs'!J:J)</f>
        <v>1x4 Plus</v>
      </c>
      <c r="N75">
        <f>_xlfn.XLOOKUP(E75,'Base SKUs'!E:E,'Base SKUs'!K:K)</f>
        <v>10</v>
      </c>
      <c r="O75" t="str">
        <f>_xlfn.XLOOKUP(E75,'Base SKUs'!E:E,'Base SKUs'!C:C)</f>
        <v>Long</v>
      </c>
      <c r="P75" t="s">
        <v>4928</v>
      </c>
    </row>
    <row r="76" spans="1:16" x14ac:dyDescent="0.25">
      <c r="A76" t="s">
        <v>4858</v>
      </c>
      <c r="B76" t="s">
        <v>4844</v>
      </c>
      <c r="C76" t="s">
        <v>4845</v>
      </c>
      <c r="D76" s="11">
        <v>9008</v>
      </c>
      <c r="E76" t="s">
        <v>18</v>
      </c>
      <c r="F76">
        <v>270</v>
      </c>
      <c r="G76" t="str">
        <f>_xlfn.XLOOKUP(E76,'Base SKUs'!E:E,'Base SKUs'!D:D)</f>
        <v>Hardwoods</v>
      </c>
      <c r="H76" s="10">
        <f>_xlfn.XLOOKUP(E76,'Base SKUs'!E:E,'Base SKUs'!S:S)</f>
        <v>7.0976470949999987E-3</v>
      </c>
      <c r="I76" s="9">
        <f t="shared" si="1"/>
        <v>1.9159999999999999</v>
      </c>
      <c r="J76" t="str">
        <f>_xlfn.XLOOKUP(E76,'Base SKUs'!E:E,'Base SKUs'!G:G)</f>
        <v>Cumaru</v>
      </c>
      <c r="K76" t="str">
        <f>_xlfn.XLOOKUP(E76,'Base SKUs'!E:E,'Base SKUs'!H:H)</f>
        <v>S4S E4E</v>
      </c>
      <c r="L76" t="str">
        <f>_xlfn.XLOOKUP(E76,'Base SKUs'!E:E,'Base SKUs'!I:I)</f>
        <v>-</v>
      </c>
      <c r="M76" t="str">
        <f>_xlfn.XLOOKUP(E76,'Base SKUs'!E:E,'Base SKUs'!J:J)</f>
        <v>1x4 Plus</v>
      </c>
      <c r="N76">
        <f>_xlfn.XLOOKUP(E76,'Base SKUs'!E:E,'Base SKUs'!K:K)</f>
        <v>11</v>
      </c>
      <c r="O76" t="str">
        <f>_xlfn.XLOOKUP(E76,'Base SKUs'!E:E,'Base SKUs'!C:C)</f>
        <v>Long</v>
      </c>
      <c r="P76" t="s">
        <v>4928</v>
      </c>
    </row>
    <row r="77" spans="1:16" x14ac:dyDescent="0.25">
      <c r="A77" t="s">
        <v>4858</v>
      </c>
      <c r="B77" t="s">
        <v>4844</v>
      </c>
      <c r="C77" t="s">
        <v>4845</v>
      </c>
      <c r="D77" s="11">
        <v>9008</v>
      </c>
      <c r="E77" t="s">
        <v>22</v>
      </c>
      <c r="F77">
        <v>75</v>
      </c>
      <c r="G77" t="str">
        <f>_xlfn.XLOOKUP(E77,'Base SKUs'!E:E,'Base SKUs'!D:D)</f>
        <v>Hardwoods</v>
      </c>
      <c r="H77" s="10">
        <f>_xlfn.XLOOKUP(E77,'Base SKUs'!E:E,'Base SKUs'!S:S)</f>
        <v>1.0323850319999999E-2</v>
      </c>
      <c r="I77" s="9">
        <f t="shared" si="1"/>
        <v>0.77400000000000002</v>
      </c>
      <c r="J77" t="str">
        <f>_xlfn.XLOOKUP(E77,'Base SKUs'!E:E,'Base SKUs'!G:G)</f>
        <v>Cumaru</v>
      </c>
      <c r="K77" t="str">
        <f>_xlfn.XLOOKUP(E77,'Base SKUs'!E:E,'Base SKUs'!H:H)</f>
        <v>S4S E4E</v>
      </c>
      <c r="L77" t="str">
        <f>_xlfn.XLOOKUP(E77,'Base SKUs'!E:E,'Base SKUs'!I:I)</f>
        <v>-</v>
      </c>
      <c r="M77" t="str">
        <f>_xlfn.XLOOKUP(E77,'Base SKUs'!E:E,'Base SKUs'!J:J)</f>
        <v>1x4 Plus</v>
      </c>
      <c r="N77">
        <f>_xlfn.XLOOKUP(E77,'Base SKUs'!E:E,'Base SKUs'!K:K)</f>
        <v>16</v>
      </c>
      <c r="O77" t="str">
        <f>_xlfn.XLOOKUP(E77,'Base SKUs'!E:E,'Base SKUs'!C:C)</f>
        <v>Long</v>
      </c>
      <c r="P77" t="s">
        <v>4928</v>
      </c>
    </row>
    <row r="78" spans="1:16" x14ac:dyDescent="0.25">
      <c r="A78" t="s">
        <v>4858</v>
      </c>
      <c r="B78" t="s">
        <v>4844</v>
      </c>
      <c r="C78" t="s">
        <v>4845</v>
      </c>
      <c r="D78" s="11">
        <v>9008</v>
      </c>
      <c r="E78" t="s">
        <v>23</v>
      </c>
      <c r="F78">
        <v>74</v>
      </c>
      <c r="G78" t="str">
        <f>_xlfn.XLOOKUP(E78,'Base SKUs'!E:E,'Base SKUs'!D:D)</f>
        <v>Hardwoods</v>
      </c>
      <c r="H78" s="10">
        <f>_xlfn.XLOOKUP(E78,'Base SKUs'!E:E,'Base SKUs'!S:S)</f>
        <v>1.0969090964999999E-2</v>
      </c>
      <c r="I78" s="9">
        <f t="shared" si="1"/>
        <v>0.81200000000000006</v>
      </c>
      <c r="J78" t="str">
        <f>_xlfn.XLOOKUP(E78,'Base SKUs'!E:E,'Base SKUs'!G:G)</f>
        <v>Cumaru</v>
      </c>
      <c r="K78" t="str">
        <f>_xlfn.XLOOKUP(E78,'Base SKUs'!E:E,'Base SKUs'!H:H)</f>
        <v>S4S E4E</v>
      </c>
      <c r="L78" t="str">
        <f>_xlfn.XLOOKUP(E78,'Base SKUs'!E:E,'Base SKUs'!I:I)</f>
        <v>-</v>
      </c>
      <c r="M78" t="str">
        <f>_xlfn.XLOOKUP(E78,'Base SKUs'!E:E,'Base SKUs'!J:J)</f>
        <v>1x4 Plus</v>
      </c>
      <c r="N78">
        <f>_xlfn.XLOOKUP(E78,'Base SKUs'!E:E,'Base SKUs'!K:K)</f>
        <v>17</v>
      </c>
      <c r="O78" t="str">
        <f>_xlfn.XLOOKUP(E78,'Base SKUs'!E:E,'Base SKUs'!C:C)</f>
        <v>Long</v>
      </c>
      <c r="P78" t="s">
        <v>4928</v>
      </c>
    </row>
    <row r="79" spans="1:16" x14ac:dyDescent="0.25">
      <c r="A79" t="s">
        <v>4858</v>
      </c>
      <c r="B79" t="s">
        <v>4844</v>
      </c>
      <c r="C79" t="s">
        <v>4845</v>
      </c>
      <c r="D79" s="11">
        <v>9008</v>
      </c>
      <c r="E79" t="s">
        <v>24</v>
      </c>
      <c r="F79">
        <v>42</v>
      </c>
      <c r="G79" t="str">
        <f>_xlfn.XLOOKUP(E79,'Base SKUs'!E:E,'Base SKUs'!D:D)</f>
        <v>Hardwoods</v>
      </c>
      <c r="H79" s="10">
        <f>_xlfn.XLOOKUP(E79,'Base SKUs'!E:E,'Base SKUs'!S:S)</f>
        <v>1.1614331609999997E-2</v>
      </c>
      <c r="I79" s="9">
        <f t="shared" si="1"/>
        <v>0.48799999999999999</v>
      </c>
      <c r="J79" t="str">
        <f>_xlfn.XLOOKUP(E79,'Base SKUs'!E:E,'Base SKUs'!G:G)</f>
        <v>Cumaru</v>
      </c>
      <c r="K79" t="str">
        <f>_xlfn.XLOOKUP(E79,'Base SKUs'!E:E,'Base SKUs'!H:H)</f>
        <v>S4S E4E</v>
      </c>
      <c r="L79" t="str">
        <f>_xlfn.XLOOKUP(E79,'Base SKUs'!E:E,'Base SKUs'!I:I)</f>
        <v>-</v>
      </c>
      <c r="M79" t="str">
        <f>_xlfn.XLOOKUP(E79,'Base SKUs'!E:E,'Base SKUs'!J:J)</f>
        <v>1x4 Plus</v>
      </c>
      <c r="N79">
        <f>_xlfn.XLOOKUP(E79,'Base SKUs'!E:E,'Base SKUs'!K:K)</f>
        <v>18</v>
      </c>
      <c r="O79" t="str">
        <f>_xlfn.XLOOKUP(E79,'Base SKUs'!E:E,'Base SKUs'!C:C)</f>
        <v>Long</v>
      </c>
      <c r="P79" t="s">
        <v>4928</v>
      </c>
    </row>
    <row r="80" spans="1:16" x14ac:dyDescent="0.25">
      <c r="A80" t="s">
        <v>4858</v>
      </c>
      <c r="B80" t="s">
        <v>4844</v>
      </c>
      <c r="C80" t="s">
        <v>4845</v>
      </c>
      <c r="D80" s="11">
        <v>9008</v>
      </c>
      <c r="E80" t="s">
        <v>27</v>
      </c>
      <c r="F80">
        <v>48</v>
      </c>
      <c r="G80" t="str">
        <f>_xlfn.XLOOKUP(E80,'Base SKUs'!E:E,'Base SKUs'!D:D)</f>
        <v>Hardwoods</v>
      </c>
      <c r="H80" s="10">
        <f>_xlfn.XLOOKUP(E80,'Base SKUs'!E:E,'Base SKUs'!S:S)</f>
        <v>1.2259572254999998E-2</v>
      </c>
      <c r="I80" s="9">
        <f t="shared" si="1"/>
        <v>0.58799999999999997</v>
      </c>
      <c r="J80" t="str">
        <f>_xlfn.XLOOKUP(E80,'Base SKUs'!E:E,'Base SKUs'!G:G)</f>
        <v>Cumaru</v>
      </c>
      <c r="K80" t="str">
        <f>_xlfn.XLOOKUP(E80,'Base SKUs'!E:E,'Base SKUs'!H:H)</f>
        <v>S4S E4E</v>
      </c>
      <c r="L80" t="str">
        <f>_xlfn.XLOOKUP(E80,'Base SKUs'!E:E,'Base SKUs'!I:I)</f>
        <v>-</v>
      </c>
      <c r="M80" t="str">
        <f>_xlfn.XLOOKUP(E80,'Base SKUs'!E:E,'Base SKUs'!J:J)</f>
        <v>1x4 Plus</v>
      </c>
      <c r="N80">
        <f>_xlfn.XLOOKUP(E80,'Base SKUs'!E:E,'Base SKUs'!K:K)</f>
        <v>19</v>
      </c>
      <c r="O80" t="str">
        <f>_xlfn.XLOOKUP(E80,'Base SKUs'!E:E,'Base SKUs'!C:C)</f>
        <v>Long</v>
      </c>
      <c r="P80" t="s">
        <v>4928</v>
      </c>
    </row>
    <row r="81" spans="1:16" x14ac:dyDescent="0.25">
      <c r="A81" t="s">
        <v>4858</v>
      </c>
      <c r="B81" t="s">
        <v>4844</v>
      </c>
      <c r="C81" t="s">
        <v>4845</v>
      </c>
      <c r="D81" s="11">
        <v>9008</v>
      </c>
      <c r="E81" t="s">
        <v>28</v>
      </c>
      <c r="F81">
        <v>158</v>
      </c>
      <c r="G81" t="str">
        <f>_xlfn.XLOOKUP(E81,'Base SKUs'!E:E,'Base SKUs'!D:D)</f>
        <v>Hardwoods</v>
      </c>
      <c r="H81" s="10">
        <f>_xlfn.XLOOKUP(E81,'Base SKUs'!E:E,'Base SKUs'!S:S)</f>
        <v>1.2904812899999998E-2</v>
      </c>
      <c r="I81" s="9">
        <f t="shared" si="1"/>
        <v>2.0390000000000001</v>
      </c>
      <c r="J81" t="str">
        <f>_xlfn.XLOOKUP(E81,'Base SKUs'!E:E,'Base SKUs'!G:G)</f>
        <v>Cumaru</v>
      </c>
      <c r="K81" t="str">
        <f>_xlfn.XLOOKUP(E81,'Base SKUs'!E:E,'Base SKUs'!H:H)</f>
        <v>S4S E4E</v>
      </c>
      <c r="L81" t="str">
        <f>_xlfn.XLOOKUP(E81,'Base SKUs'!E:E,'Base SKUs'!I:I)</f>
        <v>-</v>
      </c>
      <c r="M81" t="str">
        <f>_xlfn.XLOOKUP(E81,'Base SKUs'!E:E,'Base SKUs'!J:J)</f>
        <v>1x4 Plus</v>
      </c>
      <c r="N81">
        <f>_xlfn.XLOOKUP(E81,'Base SKUs'!E:E,'Base SKUs'!K:K)</f>
        <v>20</v>
      </c>
      <c r="O81" t="str">
        <f>_xlfn.XLOOKUP(E81,'Base SKUs'!E:E,'Base SKUs'!C:C)</f>
        <v>Long</v>
      </c>
      <c r="P81" t="s">
        <v>4928</v>
      </c>
    </row>
    <row r="82" spans="1:16" x14ac:dyDescent="0.25">
      <c r="A82" t="s">
        <v>4858</v>
      </c>
      <c r="B82" t="s">
        <v>4844</v>
      </c>
      <c r="C82" t="s">
        <v>4845</v>
      </c>
      <c r="D82" s="11">
        <v>9008</v>
      </c>
      <c r="E82" t="s">
        <v>64</v>
      </c>
      <c r="F82">
        <v>26</v>
      </c>
      <c r="G82" t="str">
        <f>_xlfn.XLOOKUP(E82,'Base SKUs'!E:E,'Base SKUs'!D:D)</f>
        <v>Hardwoods</v>
      </c>
      <c r="H82" s="10">
        <f>_xlfn.XLOOKUP(E82,'Base SKUs'!E:E,'Base SKUs'!S:S)</f>
        <v>1.3550053545000001E-2</v>
      </c>
      <c r="I82" s="9">
        <f t="shared" si="1"/>
        <v>0.35199999999999998</v>
      </c>
      <c r="J82" t="str">
        <f>_xlfn.XLOOKUP(E82,'Base SKUs'!E:E,'Base SKUs'!G:G)</f>
        <v>Cumaru</v>
      </c>
      <c r="K82" t="str">
        <f>_xlfn.XLOOKUP(E82,'Base SKUs'!E:E,'Base SKUs'!H:H)</f>
        <v>S4S E4E</v>
      </c>
      <c r="L82" t="str">
        <f>_xlfn.XLOOKUP(E82,'Base SKUs'!E:E,'Base SKUs'!I:I)</f>
        <v>-</v>
      </c>
      <c r="M82" t="str">
        <f>_xlfn.XLOOKUP(E82,'Base SKUs'!E:E,'Base SKUs'!J:J)</f>
        <v>1x4 Plus</v>
      </c>
      <c r="N82">
        <f>_xlfn.XLOOKUP(E82,'Base SKUs'!E:E,'Base SKUs'!K:K)</f>
        <v>21</v>
      </c>
      <c r="O82" t="str">
        <f>_xlfn.XLOOKUP(E82,'Base SKUs'!E:E,'Base SKUs'!C:C)</f>
        <v>Long</v>
      </c>
      <c r="P82" t="s">
        <v>4928</v>
      </c>
    </row>
    <row r="83" spans="1:16" x14ac:dyDescent="0.25">
      <c r="A83" t="s">
        <v>4858</v>
      </c>
      <c r="B83" t="s">
        <v>4844</v>
      </c>
      <c r="C83" t="s">
        <v>4845</v>
      </c>
      <c r="D83" s="11">
        <v>9008</v>
      </c>
      <c r="E83" t="s">
        <v>65</v>
      </c>
      <c r="F83">
        <v>43</v>
      </c>
      <c r="G83" t="str">
        <f>_xlfn.XLOOKUP(E83,'Base SKUs'!E:E,'Base SKUs'!D:D)</f>
        <v>Hardwoods</v>
      </c>
      <c r="H83" s="10">
        <f>_xlfn.XLOOKUP(E83,'Base SKUs'!E:E,'Base SKUs'!S:S)</f>
        <v>1.4195294189999997E-2</v>
      </c>
      <c r="I83" s="9">
        <f t="shared" si="1"/>
        <v>0.61</v>
      </c>
      <c r="J83" t="str">
        <f>_xlfn.XLOOKUP(E83,'Base SKUs'!E:E,'Base SKUs'!G:G)</f>
        <v>Cumaru</v>
      </c>
      <c r="K83" t="str">
        <f>_xlfn.XLOOKUP(E83,'Base SKUs'!E:E,'Base SKUs'!H:H)</f>
        <v>S4S E4E</v>
      </c>
      <c r="L83" t="str">
        <f>_xlfn.XLOOKUP(E83,'Base SKUs'!E:E,'Base SKUs'!I:I)</f>
        <v>-</v>
      </c>
      <c r="M83" t="str">
        <f>_xlfn.XLOOKUP(E83,'Base SKUs'!E:E,'Base SKUs'!J:J)</f>
        <v>1x4 Plus</v>
      </c>
      <c r="N83">
        <f>_xlfn.XLOOKUP(E83,'Base SKUs'!E:E,'Base SKUs'!K:K)</f>
        <v>22</v>
      </c>
      <c r="O83" t="str">
        <f>_xlfn.XLOOKUP(E83,'Base SKUs'!E:E,'Base SKUs'!C:C)</f>
        <v>Long</v>
      </c>
      <c r="P83" t="s">
        <v>4928</v>
      </c>
    </row>
    <row r="84" spans="1:16" x14ac:dyDescent="0.25">
      <c r="A84" t="s">
        <v>4859</v>
      </c>
      <c r="B84" t="s">
        <v>4839</v>
      </c>
      <c r="C84" t="s">
        <v>4845</v>
      </c>
      <c r="D84" s="11">
        <v>9011</v>
      </c>
      <c r="E84" t="s">
        <v>66</v>
      </c>
      <c r="F84">
        <v>47</v>
      </c>
      <c r="G84" t="str">
        <f>_xlfn.XLOOKUP(E84,'Base SKUs'!E:E,'Base SKUs'!D:D)</f>
        <v>Thermowood</v>
      </c>
      <c r="H84" s="10">
        <f>_xlfn.XLOOKUP(E84,'Base SKUs'!E:E,'Base SKUs'!S:S)</f>
        <v>1.0487999999999999E-2</v>
      </c>
      <c r="I84" s="9">
        <f t="shared" si="1"/>
        <v>0.49299999999999999</v>
      </c>
      <c r="J84" t="str">
        <f>_xlfn.XLOOKUP(E84,'Base SKUs'!E:E,'Base SKUs'!G:G)</f>
        <v>Maximo Thermo Clear Radiata</v>
      </c>
      <c r="K84" t="str">
        <f>_xlfn.XLOOKUP(E84,'Base SKUs'!E:E,'Base SKUs'!H:H)</f>
        <v>Nickel Gap</v>
      </c>
      <c r="L84" t="str">
        <f>_xlfn.XLOOKUP(E84,'Base SKUs'!E:E,'Base SKUs'!I:I)</f>
        <v>Wire Brush</v>
      </c>
      <c r="M84" t="str">
        <f>_xlfn.XLOOKUP(E84,'Base SKUs'!E:E,'Base SKUs'!J:J)</f>
        <v>1x5</v>
      </c>
      <c r="N84">
        <f>_xlfn.XLOOKUP(E84,'Base SKUs'!E:E,'Base SKUs'!K:K)</f>
        <v>16</v>
      </c>
      <c r="O84" t="str">
        <f>_xlfn.XLOOKUP(E84,'Base SKUs'!E:E,'Base SKUs'!C:C)</f>
        <v>Long</v>
      </c>
      <c r="P84" t="s">
        <v>4929</v>
      </c>
    </row>
    <row r="85" spans="1:16" x14ac:dyDescent="0.25">
      <c r="A85" t="s">
        <v>4859</v>
      </c>
      <c r="B85" t="s">
        <v>4839</v>
      </c>
      <c r="C85" t="s">
        <v>4845</v>
      </c>
      <c r="D85" s="11">
        <v>9011</v>
      </c>
      <c r="E85" t="s">
        <v>68</v>
      </c>
      <c r="F85">
        <v>58</v>
      </c>
      <c r="G85" t="str">
        <f>_xlfn.XLOOKUP(E85,'Base SKUs'!E:E,'Base SKUs'!D:D)</f>
        <v>Thermowood</v>
      </c>
      <c r="H85" s="10">
        <f>_xlfn.XLOOKUP(E85,'Base SKUs'!E:E,'Base SKUs'!S:S)</f>
        <v>1.1172E-2</v>
      </c>
      <c r="I85" s="9">
        <f t="shared" si="1"/>
        <v>0.64800000000000002</v>
      </c>
      <c r="J85" t="str">
        <f>_xlfn.XLOOKUP(E85,'Base SKUs'!E:E,'Base SKUs'!G:G)</f>
        <v>Maximo Thermo Ayous Dark</v>
      </c>
      <c r="K85" t="str">
        <f>_xlfn.XLOOKUP(E85,'Base SKUs'!E:E,'Base SKUs'!H:H)</f>
        <v>VJoint - Square Back</v>
      </c>
      <c r="L85" t="str">
        <f>_xlfn.XLOOKUP(E85,'Base SKUs'!E:E,'Base SKUs'!I:I)</f>
        <v>-</v>
      </c>
      <c r="M85" t="str">
        <f>_xlfn.XLOOKUP(E85,'Base SKUs'!E:E,'Base SKUs'!J:J)</f>
        <v>1x6</v>
      </c>
      <c r="N85">
        <f>_xlfn.XLOOKUP(E85,'Base SKUs'!E:E,'Base SKUs'!K:K)</f>
        <v>14</v>
      </c>
      <c r="O85" t="str">
        <f>_xlfn.XLOOKUP(E85,'Base SKUs'!E:E,'Base SKUs'!C:C)</f>
        <v>Long</v>
      </c>
      <c r="P85" t="s">
        <v>4929</v>
      </c>
    </row>
    <row r="86" spans="1:16" x14ac:dyDescent="0.25">
      <c r="A86" t="s">
        <v>4859</v>
      </c>
      <c r="B86" t="s">
        <v>4839</v>
      </c>
      <c r="C86" t="s">
        <v>4845</v>
      </c>
      <c r="D86" s="11">
        <v>9011</v>
      </c>
      <c r="E86" t="s">
        <v>85</v>
      </c>
      <c r="F86">
        <v>1</v>
      </c>
      <c r="G86" t="str">
        <f>_xlfn.XLOOKUP(E86,'Base SKUs'!E:E,'Base SKUs'!D:D)</f>
        <v>Thermowood</v>
      </c>
      <c r="H86" s="10">
        <f>_xlfn.XLOOKUP(E86,'Base SKUs'!E:E,'Base SKUs'!S:S)</f>
        <v>1.1970000000000001E-2</v>
      </c>
      <c r="I86" s="9">
        <f t="shared" si="1"/>
        <v>1.2E-2</v>
      </c>
      <c r="J86" t="str">
        <f>_xlfn.XLOOKUP(E86,'Base SKUs'!E:E,'Base SKUs'!G:G)</f>
        <v>Maximo Thermo Ayous Dark</v>
      </c>
      <c r="K86" t="str">
        <f>_xlfn.XLOOKUP(E86,'Base SKUs'!E:E,'Base SKUs'!H:H)</f>
        <v>VJoint - Square Back</v>
      </c>
      <c r="L86" t="str">
        <f>_xlfn.XLOOKUP(E86,'Base SKUs'!E:E,'Base SKUs'!I:I)</f>
        <v>-</v>
      </c>
      <c r="M86" t="str">
        <f>_xlfn.XLOOKUP(E86,'Base SKUs'!E:E,'Base SKUs'!J:J)</f>
        <v>1x6</v>
      </c>
      <c r="N86">
        <f>_xlfn.XLOOKUP(E86,'Base SKUs'!E:E,'Base SKUs'!K:K)</f>
        <v>15</v>
      </c>
      <c r="O86" t="str">
        <f>_xlfn.XLOOKUP(E86,'Base SKUs'!E:E,'Base SKUs'!C:C)</f>
        <v>Long</v>
      </c>
      <c r="P86" t="s">
        <v>4929</v>
      </c>
    </row>
    <row r="87" spans="1:16" x14ac:dyDescent="0.25">
      <c r="A87" t="s">
        <v>4859</v>
      </c>
      <c r="B87" t="s">
        <v>4839</v>
      </c>
      <c r="C87" t="s">
        <v>4845</v>
      </c>
      <c r="D87" s="11">
        <v>9011</v>
      </c>
      <c r="E87" t="s">
        <v>69</v>
      </c>
      <c r="F87">
        <v>82</v>
      </c>
      <c r="G87" t="str">
        <f>_xlfn.XLOOKUP(E87,'Base SKUs'!E:E,'Base SKUs'!D:D)</f>
        <v>Thermowood</v>
      </c>
      <c r="H87" s="10">
        <f>_xlfn.XLOOKUP(E87,'Base SKUs'!E:E,'Base SKUs'!S:S)</f>
        <v>5.2439999999999995E-3</v>
      </c>
      <c r="I87" s="9">
        <f t="shared" si="1"/>
        <v>0.43</v>
      </c>
      <c r="J87" t="str">
        <f>_xlfn.XLOOKUP(E87,'Base SKUs'!E:E,'Base SKUs'!G:G)</f>
        <v>Maximo Thermo Ayous</v>
      </c>
      <c r="K87" t="str">
        <f>_xlfn.XLOOKUP(E87,'Base SKUs'!E:E,'Base SKUs'!H:H)</f>
        <v>VJoint - Square Back</v>
      </c>
      <c r="L87" t="str">
        <f>_xlfn.XLOOKUP(E87,'Base SKUs'!E:E,'Base SKUs'!I:I)</f>
        <v>-</v>
      </c>
      <c r="M87" t="str">
        <f>_xlfn.XLOOKUP(E87,'Base SKUs'!E:E,'Base SKUs'!J:J)</f>
        <v>1x4</v>
      </c>
      <c r="N87">
        <f>_xlfn.XLOOKUP(E87,'Base SKUs'!E:E,'Base SKUs'!K:K)</f>
        <v>10</v>
      </c>
      <c r="O87" t="str">
        <f>_xlfn.XLOOKUP(E87,'Base SKUs'!E:E,'Base SKUs'!C:C)</f>
        <v>Long</v>
      </c>
      <c r="P87" t="s">
        <v>4929</v>
      </c>
    </row>
    <row r="88" spans="1:16" x14ac:dyDescent="0.25">
      <c r="A88" t="s">
        <v>4859</v>
      </c>
      <c r="B88" t="s">
        <v>4839</v>
      </c>
      <c r="C88" t="s">
        <v>4845</v>
      </c>
      <c r="D88" s="11">
        <v>9011</v>
      </c>
      <c r="E88" t="s">
        <v>70</v>
      </c>
      <c r="F88">
        <v>15</v>
      </c>
      <c r="G88" t="str">
        <f>_xlfn.XLOOKUP(E88,'Base SKUs'!E:E,'Base SKUs'!D:D)</f>
        <v>Thermowood</v>
      </c>
      <c r="H88" s="10">
        <f>_xlfn.XLOOKUP(E88,'Base SKUs'!E:E,'Base SKUs'!S:S)</f>
        <v>4.7196000000000009E-3</v>
      </c>
      <c r="I88" s="9">
        <f t="shared" si="1"/>
        <v>7.0999999999999994E-2</v>
      </c>
      <c r="J88" t="str">
        <f>_xlfn.XLOOKUP(E88,'Base SKUs'!E:E,'Base SKUs'!G:G)</f>
        <v>Maximo Thermo Ayous</v>
      </c>
      <c r="K88" t="str">
        <f>_xlfn.XLOOKUP(E88,'Base SKUs'!E:E,'Base SKUs'!H:H)</f>
        <v>VJoint - Square Back</v>
      </c>
      <c r="L88" t="str">
        <f>_xlfn.XLOOKUP(E88,'Base SKUs'!E:E,'Base SKUs'!I:I)</f>
        <v>-</v>
      </c>
      <c r="M88" t="str">
        <f>_xlfn.XLOOKUP(E88,'Base SKUs'!E:E,'Base SKUs'!J:J)</f>
        <v>1x4</v>
      </c>
      <c r="N88">
        <f>_xlfn.XLOOKUP(E88,'Base SKUs'!E:E,'Base SKUs'!K:K)</f>
        <v>9</v>
      </c>
      <c r="O88" t="str">
        <f>_xlfn.XLOOKUP(E88,'Base SKUs'!E:E,'Base SKUs'!C:C)</f>
        <v>Long</v>
      </c>
      <c r="P88" t="s">
        <v>4929</v>
      </c>
    </row>
    <row r="89" spans="1:16" x14ac:dyDescent="0.25">
      <c r="A89" t="s">
        <v>4859</v>
      </c>
      <c r="B89" t="s">
        <v>4839</v>
      </c>
      <c r="C89" t="s">
        <v>4845</v>
      </c>
      <c r="D89" s="11">
        <v>9011</v>
      </c>
      <c r="E89" t="s">
        <v>71</v>
      </c>
      <c r="F89">
        <v>2</v>
      </c>
      <c r="G89" t="str">
        <f>_xlfn.XLOOKUP(E89,'Base SKUs'!E:E,'Base SKUs'!D:D)</f>
        <v>Thermowood</v>
      </c>
      <c r="H89" s="10">
        <f>_xlfn.XLOOKUP(E89,'Base SKUs'!E:E,'Base SKUs'!S:S)</f>
        <v>7.980000000000001E-3</v>
      </c>
      <c r="I89" s="9">
        <f t="shared" si="1"/>
        <v>1.6E-2</v>
      </c>
      <c r="J89" t="str">
        <f>_xlfn.XLOOKUP(E89,'Base SKUs'!E:E,'Base SKUs'!G:G)</f>
        <v>Maximo Thermo Scandinavian Pine</v>
      </c>
      <c r="K89" t="str">
        <f>_xlfn.XLOOKUP(E89,'Base SKUs'!E:E,'Base SKUs'!H:H)</f>
        <v>VJoint - Square Back</v>
      </c>
      <c r="L89" t="str">
        <f>_xlfn.XLOOKUP(E89,'Base SKUs'!E:E,'Base SKUs'!I:I)</f>
        <v>-</v>
      </c>
      <c r="M89" t="str">
        <f>_xlfn.XLOOKUP(E89,'Base SKUs'!E:E,'Base SKUs'!J:J)</f>
        <v>1x6</v>
      </c>
      <c r="N89">
        <f>_xlfn.XLOOKUP(E89,'Base SKUs'!E:E,'Base SKUs'!K:K)</f>
        <v>10</v>
      </c>
      <c r="O89" t="str">
        <f>_xlfn.XLOOKUP(E89,'Base SKUs'!E:E,'Base SKUs'!C:C)</f>
        <v>Long</v>
      </c>
      <c r="P89" t="s">
        <v>4929</v>
      </c>
    </row>
    <row r="90" spans="1:16" x14ac:dyDescent="0.25">
      <c r="A90" t="s">
        <v>4859</v>
      </c>
      <c r="B90" t="s">
        <v>4839</v>
      </c>
      <c r="C90" t="s">
        <v>4845</v>
      </c>
      <c r="D90" s="11">
        <v>9011</v>
      </c>
      <c r="E90" t="s">
        <v>72</v>
      </c>
      <c r="F90">
        <v>1</v>
      </c>
      <c r="G90" t="str">
        <f>_xlfn.XLOOKUP(E90,'Base SKUs'!E:E,'Base SKUs'!D:D)</f>
        <v>Thermowood</v>
      </c>
      <c r="H90" s="10">
        <f>_xlfn.XLOOKUP(E90,'Base SKUs'!E:E,'Base SKUs'!S:S)</f>
        <v>8.7779999999999993E-3</v>
      </c>
      <c r="I90" s="9">
        <f t="shared" si="1"/>
        <v>8.9999999999999993E-3</v>
      </c>
      <c r="J90" t="str">
        <f>_xlfn.XLOOKUP(E90,'Base SKUs'!E:E,'Base SKUs'!G:G)</f>
        <v>Maximo Thermo Scandinavian Pine</v>
      </c>
      <c r="K90" t="str">
        <f>_xlfn.XLOOKUP(E90,'Base SKUs'!E:E,'Base SKUs'!H:H)</f>
        <v>VJoint - Square Back</v>
      </c>
      <c r="L90" t="str">
        <f>_xlfn.XLOOKUP(E90,'Base SKUs'!E:E,'Base SKUs'!I:I)</f>
        <v>-</v>
      </c>
      <c r="M90" t="str">
        <f>_xlfn.XLOOKUP(E90,'Base SKUs'!E:E,'Base SKUs'!J:J)</f>
        <v>1x6</v>
      </c>
      <c r="N90">
        <f>_xlfn.XLOOKUP(E90,'Base SKUs'!E:E,'Base SKUs'!K:K)</f>
        <v>11</v>
      </c>
      <c r="O90" t="str">
        <f>_xlfn.XLOOKUP(E90,'Base SKUs'!E:E,'Base SKUs'!C:C)</f>
        <v>Long</v>
      </c>
      <c r="P90" t="s">
        <v>4929</v>
      </c>
    </row>
    <row r="91" spans="1:16" x14ac:dyDescent="0.25">
      <c r="A91" t="s">
        <v>4859</v>
      </c>
      <c r="B91" t="s">
        <v>4839</v>
      </c>
      <c r="C91" t="s">
        <v>4845</v>
      </c>
      <c r="D91" s="11">
        <v>9011</v>
      </c>
      <c r="E91" t="s">
        <v>73</v>
      </c>
      <c r="F91">
        <v>9</v>
      </c>
      <c r="G91" t="str">
        <f>_xlfn.XLOOKUP(E91,'Base SKUs'!E:E,'Base SKUs'!D:D)</f>
        <v>Thermowood</v>
      </c>
      <c r="H91" s="10">
        <f>_xlfn.XLOOKUP(E91,'Base SKUs'!E:E,'Base SKUs'!S:S)</f>
        <v>9.5760000000000012E-3</v>
      </c>
      <c r="I91" s="9">
        <f t="shared" si="1"/>
        <v>8.5999999999999993E-2</v>
      </c>
      <c r="J91" t="str">
        <f>_xlfn.XLOOKUP(E91,'Base SKUs'!E:E,'Base SKUs'!G:G)</f>
        <v>Maximo Thermo Scandinavian Pine</v>
      </c>
      <c r="K91" t="str">
        <f>_xlfn.XLOOKUP(E91,'Base SKUs'!E:E,'Base SKUs'!H:H)</f>
        <v>VJoint - Square Back</v>
      </c>
      <c r="L91" t="str">
        <f>_xlfn.XLOOKUP(E91,'Base SKUs'!E:E,'Base SKUs'!I:I)</f>
        <v>-</v>
      </c>
      <c r="M91" t="str">
        <f>_xlfn.XLOOKUP(E91,'Base SKUs'!E:E,'Base SKUs'!J:J)</f>
        <v>1x6</v>
      </c>
      <c r="N91">
        <f>_xlfn.XLOOKUP(E91,'Base SKUs'!E:E,'Base SKUs'!K:K)</f>
        <v>12</v>
      </c>
      <c r="O91" t="str">
        <f>_xlfn.XLOOKUP(E91,'Base SKUs'!E:E,'Base SKUs'!C:C)</f>
        <v>Long</v>
      </c>
      <c r="P91" t="s">
        <v>4929</v>
      </c>
    </row>
    <row r="92" spans="1:16" x14ac:dyDescent="0.25">
      <c r="A92" t="s">
        <v>4859</v>
      </c>
      <c r="B92" t="s">
        <v>4839</v>
      </c>
      <c r="C92" t="s">
        <v>4845</v>
      </c>
      <c r="D92" s="11">
        <v>9011</v>
      </c>
      <c r="E92" t="s">
        <v>74</v>
      </c>
      <c r="F92">
        <v>25</v>
      </c>
      <c r="G92" t="str">
        <f>_xlfn.XLOOKUP(E92,'Base SKUs'!E:E,'Base SKUs'!D:D)</f>
        <v>Thermowood</v>
      </c>
      <c r="H92" s="10">
        <f>_xlfn.XLOOKUP(E92,'Base SKUs'!E:E,'Base SKUs'!S:S)</f>
        <v>1.0374000000000001E-2</v>
      </c>
      <c r="I92" s="9">
        <f t="shared" si="1"/>
        <v>0.25900000000000001</v>
      </c>
      <c r="J92" t="str">
        <f>_xlfn.XLOOKUP(E92,'Base SKUs'!E:E,'Base SKUs'!G:G)</f>
        <v>Maximo Thermo Scandinavian Pine</v>
      </c>
      <c r="K92" t="str">
        <f>_xlfn.XLOOKUP(E92,'Base SKUs'!E:E,'Base SKUs'!H:H)</f>
        <v>VJoint - Square Back</v>
      </c>
      <c r="L92" t="str">
        <f>_xlfn.XLOOKUP(E92,'Base SKUs'!E:E,'Base SKUs'!I:I)</f>
        <v>-</v>
      </c>
      <c r="M92" t="str">
        <f>_xlfn.XLOOKUP(E92,'Base SKUs'!E:E,'Base SKUs'!J:J)</f>
        <v>1x6</v>
      </c>
      <c r="N92">
        <f>_xlfn.XLOOKUP(E92,'Base SKUs'!E:E,'Base SKUs'!K:K)</f>
        <v>13</v>
      </c>
      <c r="O92" t="str">
        <f>_xlfn.XLOOKUP(E92,'Base SKUs'!E:E,'Base SKUs'!C:C)</f>
        <v>Long</v>
      </c>
      <c r="P92" t="s">
        <v>4929</v>
      </c>
    </row>
    <row r="93" spans="1:16" x14ac:dyDescent="0.25">
      <c r="A93" t="s">
        <v>4859</v>
      </c>
      <c r="B93" t="s">
        <v>4839</v>
      </c>
      <c r="C93" t="s">
        <v>4845</v>
      </c>
      <c r="D93" s="11">
        <v>9011</v>
      </c>
      <c r="E93" t="s">
        <v>75</v>
      </c>
      <c r="F93">
        <v>15</v>
      </c>
      <c r="G93" t="str">
        <f>_xlfn.XLOOKUP(E93,'Base SKUs'!E:E,'Base SKUs'!D:D)</f>
        <v>Thermowood</v>
      </c>
      <c r="H93" s="10">
        <f>_xlfn.XLOOKUP(E93,'Base SKUs'!E:E,'Base SKUs'!S:S)</f>
        <v>1.1172E-2</v>
      </c>
      <c r="I93" s="9">
        <f t="shared" si="1"/>
        <v>0.16800000000000001</v>
      </c>
      <c r="J93" t="str">
        <f>_xlfn.XLOOKUP(E93,'Base SKUs'!E:E,'Base SKUs'!G:G)</f>
        <v>Maximo Thermo Scandinavian Pine</v>
      </c>
      <c r="K93" t="str">
        <f>_xlfn.XLOOKUP(E93,'Base SKUs'!E:E,'Base SKUs'!H:H)</f>
        <v>VJoint - Square Back</v>
      </c>
      <c r="L93" t="str">
        <f>_xlfn.XLOOKUP(E93,'Base SKUs'!E:E,'Base SKUs'!I:I)</f>
        <v>-</v>
      </c>
      <c r="M93" t="str">
        <f>_xlfn.XLOOKUP(E93,'Base SKUs'!E:E,'Base SKUs'!J:J)</f>
        <v>1x6</v>
      </c>
      <c r="N93">
        <f>_xlfn.XLOOKUP(E93,'Base SKUs'!E:E,'Base SKUs'!K:K)</f>
        <v>14</v>
      </c>
      <c r="O93" t="str">
        <f>_xlfn.XLOOKUP(E93,'Base SKUs'!E:E,'Base SKUs'!C:C)</f>
        <v>Long</v>
      </c>
      <c r="P93" t="s">
        <v>4929</v>
      </c>
    </row>
    <row r="94" spans="1:16" x14ac:dyDescent="0.25">
      <c r="A94" t="s">
        <v>4859</v>
      </c>
      <c r="B94" t="s">
        <v>4839</v>
      </c>
      <c r="C94" t="s">
        <v>4845</v>
      </c>
      <c r="D94" s="11">
        <v>9011</v>
      </c>
      <c r="E94" t="s">
        <v>76</v>
      </c>
      <c r="F94">
        <v>37</v>
      </c>
      <c r="G94" t="str">
        <f>_xlfn.XLOOKUP(E94,'Base SKUs'!E:E,'Base SKUs'!D:D)</f>
        <v>Thermowood</v>
      </c>
      <c r="H94" s="10">
        <f>_xlfn.XLOOKUP(E94,'Base SKUs'!E:E,'Base SKUs'!S:S)</f>
        <v>1.1970000000000001E-2</v>
      </c>
      <c r="I94" s="9">
        <f t="shared" si="1"/>
        <v>0.443</v>
      </c>
      <c r="J94" t="str">
        <f>_xlfn.XLOOKUP(E94,'Base SKUs'!E:E,'Base SKUs'!G:G)</f>
        <v>Maximo Thermo Scandinavian Pine</v>
      </c>
      <c r="K94" t="str">
        <f>_xlfn.XLOOKUP(E94,'Base SKUs'!E:E,'Base SKUs'!H:H)</f>
        <v>VJoint - Square Back</v>
      </c>
      <c r="L94" t="str">
        <f>_xlfn.XLOOKUP(E94,'Base SKUs'!E:E,'Base SKUs'!I:I)</f>
        <v>-</v>
      </c>
      <c r="M94" t="str">
        <f>_xlfn.XLOOKUP(E94,'Base SKUs'!E:E,'Base SKUs'!J:J)</f>
        <v>1x6</v>
      </c>
      <c r="N94">
        <f>_xlfn.XLOOKUP(E94,'Base SKUs'!E:E,'Base SKUs'!K:K)</f>
        <v>15</v>
      </c>
      <c r="O94" t="str">
        <f>_xlfn.XLOOKUP(E94,'Base SKUs'!E:E,'Base SKUs'!C:C)</f>
        <v>Long</v>
      </c>
      <c r="P94" t="s">
        <v>4929</v>
      </c>
    </row>
    <row r="95" spans="1:16" x14ac:dyDescent="0.25">
      <c r="A95" t="s">
        <v>4859</v>
      </c>
      <c r="B95" t="s">
        <v>4839</v>
      </c>
      <c r="C95" t="s">
        <v>4845</v>
      </c>
      <c r="D95" s="11">
        <v>9011</v>
      </c>
      <c r="E95" t="s">
        <v>77</v>
      </c>
      <c r="F95">
        <v>12</v>
      </c>
      <c r="G95" t="str">
        <f>_xlfn.XLOOKUP(E95,'Base SKUs'!E:E,'Base SKUs'!D:D)</f>
        <v>Thermowood</v>
      </c>
      <c r="H95" s="10">
        <f>_xlfn.XLOOKUP(E95,'Base SKUs'!E:E,'Base SKUs'!S:S)</f>
        <v>1.3565999999999998E-2</v>
      </c>
      <c r="I95" s="9">
        <f t="shared" si="1"/>
        <v>0.16300000000000001</v>
      </c>
      <c r="J95" t="str">
        <f>_xlfn.XLOOKUP(E95,'Base SKUs'!E:E,'Base SKUs'!G:G)</f>
        <v>Maximo Thermo Scandinavian Pine</v>
      </c>
      <c r="K95" t="str">
        <f>_xlfn.XLOOKUP(E95,'Base SKUs'!E:E,'Base SKUs'!H:H)</f>
        <v>VJoint - Square Back</v>
      </c>
      <c r="L95" t="str">
        <f>_xlfn.XLOOKUP(E95,'Base SKUs'!E:E,'Base SKUs'!I:I)</f>
        <v>-</v>
      </c>
      <c r="M95" t="str">
        <f>_xlfn.XLOOKUP(E95,'Base SKUs'!E:E,'Base SKUs'!J:J)</f>
        <v>1x6</v>
      </c>
      <c r="N95">
        <f>_xlfn.XLOOKUP(E95,'Base SKUs'!E:E,'Base SKUs'!K:K)</f>
        <v>17</v>
      </c>
      <c r="O95" t="str">
        <f>_xlfn.XLOOKUP(E95,'Base SKUs'!E:E,'Base SKUs'!C:C)</f>
        <v>Long</v>
      </c>
      <c r="P95" t="s">
        <v>4929</v>
      </c>
    </row>
    <row r="96" spans="1:16" x14ac:dyDescent="0.25">
      <c r="A96" t="s">
        <v>4859</v>
      </c>
      <c r="B96" t="s">
        <v>4839</v>
      </c>
      <c r="C96" t="s">
        <v>4845</v>
      </c>
      <c r="D96" s="11">
        <v>9011</v>
      </c>
      <c r="E96" t="s">
        <v>78</v>
      </c>
      <c r="F96">
        <v>17</v>
      </c>
      <c r="G96" t="str">
        <f>_xlfn.XLOOKUP(E96,'Base SKUs'!E:E,'Base SKUs'!D:D)</f>
        <v>Thermowood</v>
      </c>
      <c r="H96" s="10">
        <f>_xlfn.XLOOKUP(E96,'Base SKUs'!E:E,'Base SKUs'!S:S)</f>
        <v>7.182E-3</v>
      </c>
      <c r="I96" s="9">
        <f t="shared" si="1"/>
        <v>0.122</v>
      </c>
      <c r="J96" t="str">
        <f>_xlfn.XLOOKUP(E96,'Base SKUs'!E:E,'Base SKUs'!G:G)</f>
        <v>Maximo Thermo Scandinavian Pine</v>
      </c>
      <c r="K96" t="str">
        <f>_xlfn.XLOOKUP(E96,'Base SKUs'!E:E,'Base SKUs'!H:H)</f>
        <v>VJoint - Square Back</v>
      </c>
      <c r="L96" t="str">
        <f>_xlfn.XLOOKUP(E96,'Base SKUs'!E:E,'Base SKUs'!I:I)</f>
        <v>-</v>
      </c>
      <c r="M96" t="str">
        <f>_xlfn.XLOOKUP(E96,'Base SKUs'!E:E,'Base SKUs'!J:J)</f>
        <v>1x6</v>
      </c>
      <c r="N96">
        <f>_xlfn.XLOOKUP(E96,'Base SKUs'!E:E,'Base SKUs'!K:K)</f>
        <v>9</v>
      </c>
      <c r="O96" t="str">
        <f>_xlfn.XLOOKUP(E96,'Base SKUs'!E:E,'Base SKUs'!C:C)</f>
        <v>Long</v>
      </c>
      <c r="P96" t="s">
        <v>4929</v>
      </c>
    </row>
    <row r="97" spans="1:16" x14ac:dyDescent="0.25">
      <c r="A97" t="s">
        <v>4859</v>
      </c>
      <c r="B97" t="s">
        <v>4839</v>
      </c>
      <c r="C97" t="s">
        <v>4845</v>
      </c>
      <c r="D97" s="11">
        <v>9011</v>
      </c>
      <c r="E97" t="s">
        <v>79</v>
      </c>
      <c r="F97">
        <v>2</v>
      </c>
      <c r="G97" t="str">
        <f>_xlfn.XLOOKUP(E97,'Base SKUs'!E:E,'Base SKUs'!D:D)</f>
        <v>Thermowood</v>
      </c>
      <c r="H97" s="10">
        <f>_xlfn.XLOOKUP(E97,'Base SKUs'!E:E,'Base SKUs'!S:S)</f>
        <v>6.3E-3</v>
      </c>
      <c r="I97" s="9">
        <f t="shared" si="1"/>
        <v>1.2999999999999999E-2</v>
      </c>
      <c r="J97" t="str">
        <f>_xlfn.XLOOKUP(E97,'Base SKUs'!E:E,'Base SKUs'!G:G)</f>
        <v>Maximo Thermo Ash</v>
      </c>
      <c r="K97" t="str">
        <f>_xlfn.XLOOKUP(E97,'Base SKUs'!E:E,'Base SKUs'!H:H)</f>
        <v>S4S E4E End Match</v>
      </c>
      <c r="L97" t="str">
        <f>_xlfn.XLOOKUP(E97,'Base SKUs'!E:E,'Base SKUs'!I:I)</f>
        <v>-</v>
      </c>
      <c r="M97" t="str">
        <f>_xlfn.XLOOKUP(E97,'Base SKUs'!E:E,'Base SKUs'!J:J)</f>
        <v>5/4x6</v>
      </c>
      <c r="N97">
        <f>_xlfn.XLOOKUP(E97,'Base SKUs'!E:E,'Base SKUs'!K:K)</f>
        <v>6</v>
      </c>
      <c r="O97" t="str">
        <f>_xlfn.XLOOKUP(E97,'Base SKUs'!E:E,'Base SKUs'!C:C)</f>
        <v>Short</v>
      </c>
      <c r="P97" t="s">
        <v>4929</v>
      </c>
    </row>
    <row r="98" spans="1:16" x14ac:dyDescent="0.25">
      <c r="A98" t="s">
        <v>4859</v>
      </c>
      <c r="B98" t="s">
        <v>4839</v>
      </c>
      <c r="C98" t="s">
        <v>4845</v>
      </c>
      <c r="D98" s="11">
        <v>9011</v>
      </c>
      <c r="E98" t="s">
        <v>80</v>
      </c>
      <c r="F98">
        <v>1</v>
      </c>
      <c r="G98" t="str">
        <f>_xlfn.XLOOKUP(E98,'Base SKUs'!E:E,'Base SKUs'!D:D)</f>
        <v>Thermowood</v>
      </c>
      <c r="H98" s="10">
        <f>_xlfn.XLOOKUP(E98,'Base SKUs'!E:E,'Base SKUs'!S:S)</f>
        <v>7.3499999999999998E-3</v>
      </c>
      <c r="I98" s="9">
        <f t="shared" si="1"/>
        <v>7.0000000000000001E-3</v>
      </c>
      <c r="J98" t="str">
        <f>_xlfn.XLOOKUP(E98,'Base SKUs'!E:E,'Base SKUs'!G:G)</f>
        <v>Maximo Thermo Ash</v>
      </c>
      <c r="K98" t="str">
        <f>_xlfn.XLOOKUP(E98,'Base SKUs'!E:E,'Base SKUs'!H:H)</f>
        <v>S4S E4E End Match</v>
      </c>
      <c r="L98" t="str">
        <f>_xlfn.XLOOKUP(E98,'Base SKUs'!E:E,'Base SKUs'!I:I)</f>
        <v>-</v>
      </c>
      <c r="M98" t="str">
        <f>_xlfn.XLOOKUP(E98,'Base SKUs'!E:E,'Base SKUs'!J:J)</f>
        <v>5/4x6</v>
      </c>
      <c r="N98">
        <f>_xlfn.XLOOKUP(E98,'Base SKUs'!E:E,'Base SKUs'!K:K)</f>
        <v>7</v>
      </c>
      <c r="O98" t="str">
        <f>_xlfn.XLOOKUP(E98,'Base SKUs'!E:E,'Base SKUs'!C:C)</f>
        <v>Short</v>
      </c>
      <c r="P98" t="s">
        <v>4929</v>
      </c>
    </row>
    <row r="99" spans="1:16" x14ac:dyDescent="0.25">
      <c r="A99" t="s">
        <v>4859</v>
      </c>
      <c r="B99" t="s">
        <v>4839</v>
      </c>
      <c r="C99" t="s">
        <v>4845</v>
      </c>
      <c r="D99" s="11">
        <v>9011</v>
      </c>
      <c r="E99" t="s">
        <v>81</v>
      </c>
      <c r="F99">
        <v>5</v>
      </c>
      <c r="G99" t="str">
        <f>_xlfn.XLOOKUP(E99,'Base SKUs'!E:E,'Base SKUs'!D:D)</f>
        <v>Thermowood</v>
      </c>
      <c r="H99" s="10">
        <f>_xlfn.XLOOKUP(E99,'Base SKUs'!E:E,'Base SKUs'!S:S)</f>
        <v>1.4489999999999999E-2</v>
      </c>
      <c r="I99" s="9">
        <f t="shared" si="1"/>
        <v>7.1999999999999995E-2</v>
      </c>
      <c r="J99" t="str">
        <f>_xlfn.XLOOKUP(E99,'Base SKUs'!E:E,'Base SKUs'!G:G)</f>
        <v>Maximo Thermo Clear Radiata</v>
      </c>
      <c r="K99" t="str">
        <f>_xlfn.XLOOKUP(E99,'Base SKUs'!E:E,'Base SKUs'!H:H)</f>
        <v>S4S E4E</v>
      </c>
      <c r="L99" t="str">
        <f>_xlfn.XLOOKUP(E99,'Base SKUs'!E:E,'Base SKUs'!I:I)</f>
        <v>OPX</v>
      </c>
      <c r="M99" t="str">
        <f>_xlfn.XLOOKUP(E99,'Base SKUs'!E:E,'Base SKUs'!J:J)</f>
        <v>5/4x6</v>
      </c>
      <c r="N99">
        <f>_xlfn.XLOOKUP(E99,'Base SKUs'!E:E,'Base SKUs'!K:K)</f>
        <v>14</v>
      </c>
      <c r="O99" t="str">
        <f>_xlfn.XLOOKUP(E99,'Base SKUs'!E:E,'Base SKUs'!C:C)</f>
        <v>Long</v>
      </c>
      <c r="P99" t="s">
        <v>4929</v>
      </c>
    </row>
    <row r="100" spans="1:16" x14ac:dyDescent="0.25">
      <c r="A100" t="s">
        <v>4859</v>
      </c>
      <c r="B100" t="s">
        <v>4839</v>
      </c>
      <c r="C100" t="s">
        <v>4845</v>
      </c>
      <c r="D100" s="11">
        <v>9011</v>
      </c>
      <c r="E100" t="s">
        <v>82</v>
      </c>
      <c r="F100">
        <v>5</v>
      </c>
      <c r="G100" t="str">
        <f>_xlfn.XLOOKUP(E100,'Base SKUs'!E:E,'Base SKUs'!D:D)</f>
        <v>Thermowood</v>
      </c>
      <c r="H100" s="10">
        <f>_xlfn.XLOOKUP(E100,'Base SKUs'!E:E,'Base SKUs'!S:S)</f>
        <v>1.10124E-2</v>
      </c>
      <c r="I100" s="9">
        <f t="shared" si="1"/>
        <v>5.5E-2</v>
      </c>
      <c r="J100" t="str">
        <f>_xlfn.XLOOKUP(E100,'Base SKUs'!E:E,'Base SKUs'!G:G)</f>
        <v>Maximo Thermo Clear Radiata</v>
      </c>
      <c r="K100" t="str">
        <f>_xlfn.XLOOKUP(E100,'Base SKUs'!E:E,'Base SKUs'!H:H)</f>
        <v>Nickel Gap</v>
      </c>
      <c r="L100" t="str">
        <f>_xlfn.XLOOKUP(E100,'Base SKUs'!E:E,'Base SKUs'!I:I)</f>
        <v>Pre Finished Black</v>
      </c>
      <c r="M100" t="str">
        <f>_xlfn.XLOOKUP(E100,'Base SKUs'!E:E,'Base SKUs'!J:J)</f>
        <v>1x6</v>
      </c>
      <c r="N100">
        <f>_xlfn.XLOOKUP(E100,'Base SKUs'!E:E,'Base SKUs'!K:K)</f>
        <v>14</v>
      </c>
      <c r="O100" t="str">
        <f>_xlfn.XLOOKUP(E100,'Base SKUs'!E:E,'Base SKUs'!C:C)</f>
        <v>Long</v>
      </c>
      <c r="P100" t="s">
        <v>4929</v>
      </c>
    </row>
    <row r="101" spans="1:16" x14ac:dyDescent="0.25">
      <c r="A101" t="s">
        <v>4859</v>
      </c>
      <c r="B101" t="s">
        <v>4839</v>
      </c>
      <c r="C101" t="s">
        <v>4845</v>
      </c>
      <c r="D101" s="11">
        <v>9011</v>
      </c>
      <c r="E101" t="s">
        <v>86</v>
      </c>
      <c r="F101">
        <v>1</v>
      </c>
      <c r="G101" t="str">
        <f>_xlfn.XLOOKUP(E101,'Base SKUs'!E:E,'Base SKUs'!D:D)</f>
        <v>Thermowood</v>
      </c>
      <c r="H101" s="10">
        <f>_xlfn.XLOOKUP(E101,'Base SKUs'!E:E,'Base SKUs'!S:S)</f>
        <v>7.8659999999999997E-3</v>
      </c>
      <c r="I101" s="9">
        <f t="shared" si="1"/>
        <v>8.0000000000000002E-3</v>
      </c>
      <c r="J101" t="str">
        <f>_xlfn.XLOOKUP(E101,'Base SKUs'!E:E,'Base SKUs'!G:G)</f>
        <v>Maximo Thermo Ayous</v>
      </c>
      <c r="K101" t="str">
        <f>_xlfn.XLOOKUP(E101,'Base SKUs'!E:E,'Base SKUs'!H:H)</f>
        <v>VJoint - Square Back</v>
      </c>
      <c r="L101" t="str">
        <f>_xlfn.XLOOKUP(E101,'Base SKUs'!E:E,'Base SKUs'!I:I)</f>
        <v>-</v>
      </c>
      <c r="M101" t="str">
        <f>_xlfn.XLOOKUP(E101,'Base SKUs'!E:E,'Base SKUs'!J:J)</f>
        <v>1x4</v>
      </c>
      <c r="N101">
        <f>_xlfn.XLOOKUP(E101,'Base SKUs'!E:E,'Base SKUs'!K:K)</f>
        <v>15</v>
      </c>
      <c r="O101" t="str">
        <f>_xlfn.XLOOKUP(E101,'Base SKUs'!E:E,'Base SKUs'!C:C)</f>
        <v>Long</v>
      </c>
      <c r="P101" t="s">
        <v>4929</v>
      </c>
    </row>
    <row r="102" spans="1:16" x14ac:dyDescent="0.25">
      <c r="A102" t="s">
        <v>4859</v>
      </c>
      <c r="B102" t="s">
        <v>4839</v>
      </c>
      <c r="C102" t="s">
        <v>4845</v>
      </c>
      <c r="D102" s="11">
        <v>9011</v>
      </c>
      <c r="E102" t="s">
        <v>88</v>
      </c>
      <c r="F102">
        <v>1</v>
      </c>
      <c r="G102" t="str">
        <f>_xlfn.XLOOKUP(E102,'Base SKUs'!E:E,'Base SKUs'!D:D)</f>
        <v>Thermowood</v>
      </c>
      <c r="H102" s="10">
        <f>_xlfn.XLOOKUP(E102,'Base SKUs'!E:E,'Base SKUs'!S:S)</f>
        <v>7.983854999999998E-3</v>
      </c>
      <c r="I102" s="9">
        <f t="shared" si="1"/>
        <v>8.0000000000000002E-3</v>
      </c>
      <c r="J102" t="str">
        <f>_xlfn.XLOOKUP(E102,'Base SKUs'!E:E,'Base SKUs'!G:G)</f>
        <v>Wawa</v>
      </c>
      <c r="K102" t="str">
        <f>_xlfn.XLOOKUP(E102,'Base SKUs'!E:E,'Base SKUs'!H:H)</f>
        <v>S4S Tongue &amp; Grooved</v>
      </c>
      <c r="L102" t="str">
        <f>_xlfn.XLOOKUP(E102,'Base SKUs'!E:E,'Base SKUs'!I:I)</f>
        <v>-</v>
      </c>
      <c r="M102" t="str">
        <f>_xlfn.XLOOKUP(E102,'Base SKUs'!E:E,'Base SKUs'!J:J)</f>
        <v>1x6</v>
      </c>
      <c r="N102">
        <f>_xlfn.XLOOKUP(E102,'Base SKUs'!E:E,'Base SKUs'!K:K)</f>
        <v>10</v>
      </c>
      <c r="O102" t="str">
        <f>_xlfn.XLOOKUP(E102,'Base SKUs'!E:E,'Base SKUs'!C:C)</f>
        <v>Long</v>
      </c>
      <c r="P102" t="s">
        <v>4929</v>
      </c>
    </row>
    <row r="103" spans="1:16" x14ac:dyDescent="0.25">
      <c r="A103" t="s">
        <v>4859</v>
      </c>
      <c r="B103" t="s">
        <v>4839</v>
      </c>
      <c r="C103" t="s">
        <v>4845</v>
      </c>
      <c r="D103" s="11">
        <v>9011</v>
      </c>
      <c r="E103" t="s">
        <v>90</v>
      </c>
      <c r="F103">
        <v>1</v>
      </c>
      <c r="G103" t="str">
        <f>_xlfn.XLOOKUP(E103,'Base SKUs'!E:E,'Base SKUs'!D:D)</f>
        <v>Thermowood</v>
      </c>
      <c r="H103" s="10">
        <f>_xlfn.XLOOKUP(E103,'Base SKUs'!E:E,'Base SKUs'!S:S)</f>
        <v>6.3839999999999999E-3</v>
      </c>
      <c r="I103" s="9">
        <f t="shared" si="1"/>
        <v>6.0000000000000001E-3</v>
      </c>
      <c r="J103" t="str">
        <f>_xlfn.XLOOKUP(E103,'Base SKUs'!E:E,'Base SKUs'!G:G)</f>
        <v>Maximo Thermo Ayous Dark</v>
      </c>
      <c r="K103" t="str">
        <f>_xlfn.XLOOKUP(E103,'Base SKUs'!E:E,'Base SKUs'!H:H)</f>
        <v>VJoint - Square Back</v>
      </c>
      <c r="L103" t="str">
        <f>_xlfn.XLOOKUP(E103,'Base SKUs'!E:E,'Base SKUs'!I:I)</f>
        <v>-</v>
      </c>
      <c r="M103" t="str">
        <f>_xlfn.XLOOKUP(E103,'Base SKUs'!E:E,'Base SKUs'!J:J)</f>
        <v>1x6</v>
      </c>
      <c r="N103">
        <f>_xlfn.XLOOKUP(E103,'Base SKUs'!E:E,'Base SKUs'!K:K)</f>
        <v>8</v>
      </c>
      <c r="O103" t="str">
        <f>_xlfn.XLOOKUP(E103,'Base SKUs'!E:E,'Base SKUs'!C:C)</f>
        <v>Long</v>
      </c>
      <c r="P103" t="s">
        <v>4929</v>
      </c>
    </row>
    <row r="104" spans="1:16" x14ac:dyDescent="0.25">
      <c r="A104" t="s">
        <v>4859</v>
      </c>
      <c r="B104" t="s">
        <v>4839</v>
      </c>
      <c r="C104" t="s">
        <v>4845</v>
      </c>
      <c r="D104" s="11">
        <v>9011</v>
      </c>
      <c r="E104" t="s">
        <v>91</v>
      </c>
      <c r="F104">
        <v>3</v>
      </c>
      <c r="G104" t="str">
        <f>_xlfn.XLOOKUP(E104,'Base SKUs'!E:E,'Base SKUs'!D:D)</f>
        <v>Norx</v>
      </c>
      <c r="H104" s="10">
        <f>_xlfn.XLOOKUP(E104,'Base SKUs'!E:E,'Base SKUs'!S:S)</f>
        <v>0</v>
      </c>
      <c r="I104" s="9">
        <f t="shared" si="1"/>
        <v>3</v>
      </c>
      <c r="J104" t="str">
        <f>_xlfn.XLOOKUP(E104,'Base SKUs'!E:E,'Base SKUs'!G:G)</f>
        <v>Teak</v>
      </c>
      <c r="K104" t="str">
        <f>_xlfn.XLOOKUP(E104,'Base SKUs'!E:E,'Base SKUs'!H:H)</f>
        <v>L Trim</v>
      </c>
      <c r="L104" t="str">
        <f>_xlfn.XLOOKUP(E104,'Base SKUs'!E:E,'Base SKUs'!I:I)</f>
        <v>-</v>
      </c>
      <c r="M104" t="str">
        <f>_xlfn.XLOOKUP(E104,'Base SKUs'!E:E,'Base SKUs'!J:J)</f>
        <v>2x2</v>
      </c>
      <c r="N104">
        <f>_xlfn.XLOOKUP(E104,'Base SKUs'!E:E,'Base SKUs'!K:K)</f>
        <v>16</v>
      </c>
      <c r="O104" t="str">
        <f>_xlfn.XLOOKUP(E104,'Base SKUs'!E:E,'Base SKUs'!C:C)</f>
        <v>Long</v>
      </c>
      <c r="P104" t="s">
        <v>4929</v>
      </c>
    </row>
    <row r="105" spans="1:16" x14ac:dyDescent="0.25">
      <c r="A105" t="s">
        <v>4859</v>
      </c>
      <c r="B105" t="s">
        <v>4839</v>
      </c>
      <c r="C105" t="s">
        <v>4845</v>
      </c>
      <c r="D105" s="11">
        <v>9011</v>
      </c>
      <c r="E105" t="s">
        <v>92</v>
      </c>
      <c r="F105">
        <v>118</v>
      </c>
      <c r="G105" t="str">
        <f>_xlfn.XLOOKUP(E105,'Base SKUs'!E:E,'Base SKUs'!D:D)</f>
        <v>Thermowood</v>
      </c>
      <c r="H105" s="10">
        <f>_xlfn.XLOOKUP(E105,'Base SKUs'!E:E,'Base SKUs'!S:S)</f>
        <v>1.2585600000000001E-2</v>
      </c>
      <c r="I105" s="9">
        <f t="shared" si="1"/>
        <v>1.4850000000000001</v>
      </c>
      <c r="J105" t="str">
        <f>_xlfn.XLOOKUP(E105,'Base SKUs'!E:E,'Base SKUs'!G:G)</f>
        <v>Maximo Thermo Clear Radiata</v>
      </c>
      <c r="K105" t="str">
        <f>_xlfn.XLOOKUP(E105,'Base SKUs'!E:E,'Base SKUs'!H:H)</f>
        <v>Nickel Gap</v>
      </c>
      <c r="L105" t="str">
        <f>_xlfn.XLOOKUP(E105,'Base SKUs'!E:E,'Base SKUs'!I:I)</f>
        <v>Pre Finished Black</v>
      </c>
      <c r="M105" t="str">
        <f>_xlfn.XLOOKUP(E105,'Base SKUs'!E:E,'Base SKUs'!J:J)</f>
        <v>1x6</v>
      </c>
      <c r="N105">
        <f>_xlfn.XLOOKUP(E105,'Base SKUs'!E:E,'Base SKUs'!K:K)</f>
        <v>16</v>
      </c>
      <c r="O105" t="str">
        <f>_xlfn.XLOOKUP(E105,'Base SKUs'!E:E,'Base SKUs'!C:C)</f>
        <v>Long</v>
      </c>
      <c r="P105" t="s">
        <v>4929</v>
      </c>
    </row>
    <row r="106" spans="1:16" x14ac:dyDescent="0.25">
      <c r="A106" t="s">
        <v>4860</v>
      </c>
      <c r="B106" t="s">
        <v>4839</v>
      </c>
      <c r="C106" t="s">
        <v>4840</v>
      </c>
      <c r="D106" s="11">
        <v>9007</v>
      </c>
      <c r="E106" t="s">
        <v>93</v>
      </c>
      <c r="F106">
        <v>53</v>
      </c>
      <c r="G106" t="str">
        <f>_xlfn.XLOOKUP(E106,'Base SKUs'!E:E,'Base SKUs'!D:D)</f>
        <v>Thermowood</v>
      </c>
      <c r="H106" s="10">
        <f>_xlfn.XLOOKUP(E106,'Base SKUs'!E:E,'Base SKUs'!S:S)</f>
        <v>1.2585600000000001E-2</v>
      </c>
      <c r="I106" s="9">
        <f t="shared" si="1"/>
        <v>0.66700000000000004</v>
      </c>
      <c r="J106" t="str">
        <f>_xlfn.XLOOKUP(E106,'Base SKUs'!E:E,'Base SKUs'!G:G)</f>
        <v>Maximo Thermo Clear Radiata</v>
      </c>
      <c r="K106" t="str">
        <f>_xlfn.XLOOKUP(E106,'Base SKUs'!E:E,'Base SKUs'!H:H)</f>
        <v>S4S E4E</v>
      </c>
      <c r="L106" t="str">
        <f>_xlfn.XLOOKUP(E106,'Base SKUs'!E:E,'Base SKUs'!I:I)</f>
        <v>OPX</v>
      </c>
      <c r="M106" t="str">
        <f>_xlfn.XLOOKUP(E106,'Base SKUs'!E:E,'Base SKUs'!J:J)</f>
        <v>1x6</v>
      </c>
      <c r="N106">
        <f>_xlfn.XLOOKUP(E106,'Base SKUs'!E:E,'Base SKUs'!K:K)</f>
        <v>16</v>
      </c>
      <c r="O106" t="str">
        <f>_xlfn.XLOOKUP(E106,'Base SKUs'!E:E,'Base SKUs'!C:C)</f>
        <v>Long</v>
      </c>
      <c r="P106" t="s">
        <v>4927</v>
      </c>
    </row>
    <row r="107" spans="1:16" x14ac:dyDescent="0.25">
      <c r="A107" t="s">
        <v>4860</v>
      </c>
      <c r="B107" t="s">
        <v>4839</v>
      </c>
      <c r="C107" t="s">
        <v>4840</v>
      </c>
      <c r="D107" s="11">
        <v>9007</v>
      </c>
      <c r="E107" t="s">
        <v>94</v>
      </c>
      <c r="F107">
        <v>12</v>
      </c>
      <c r="G107" t="str">
        <f>_xlfn.XLOOKUP(E107,'Base SKUs'!E:E,'Base SKUs'!D:D)</f>
        <v>Thermowood</v>
      </c>
      <c r="H107" s="10">
        <f>_xlfn.XLOOKUP(E107,'Base SKUs'!E:E,'Base SKUs'!S:S)</f>
        <v>1.4158800000000001E-2</v>
      </c>
      <c r="I107" s="9">
        <f t="shared" si="1"/>
        <v>0.17</v>
      </c>
      <c r="J107" t="str">
        <f>_xlfn.XLOOKUP(E107,'Base SKUs'!E:E,'Base SKUs'!G:G)</f>
        <v>Maximo Thermo Clear Radiata</v>
      </c>
      <c r="K107" t="str">
        <f>_xlfn.XLOOKUP(E107,'Base SKUs'!E:E,'Base SKUs'!H:H)</f>
        <v>S4S E4E</v>
      </c>
      <c r="L107" t="str">
        <f>_xlfn.XLOOKUP(E107,'Base SKUs'!E:E,'Base SKUs'!I:I)</f>
        <v>OPX</v>
      </c>
      <c r="M107" t="str">
        <f>_xlfn.XLOOKUP(E107,'Base SKUs'!E:E,'Base SKUs'!J:J)</f>
        <v>1x6</v>
      </c>
      <c r="N107">
        <f>_xlfn.XLOOKUP(E107,'Base SKUs'!E:E,'Base SKUs'!K:K)</f>
        <v>18</v>
      </c>
      <c r="O107" t="str">
        <f>_xlfn.XLOOKUP(E107,'Base SKUs'!E:E,'Base SKUs'!C:C)</f>
        <v>Long</v>
      </c>
      <c r="P107" t="s">
        <v>4927</v>
      </c>
    </row>
    <row r="108" spans="1:16" x14ac:dyDescent="0.25">
      <c r="A108" t="s">
        <v>4861</v>
      </c>
      <c r="B108" t="s">
        <v>4839</v>
      </c>
      <c r="C108" t="s">
        <v>4862</v>
      </c>
      <c r="D108" s="11">
        <v>9007</v>
      </c>
      <c r="E108" t="s">
        <v>95</v>
      </c>
      <c r="F108">
        <v>84</v>
      </c>
      <c r="G108" t="str">
        <f>_xlfn.XLOOKUP(E108,'Base SKUs'!E:E,'Base SKUs'!D:D)</f>
        <v>Thermowood</v>
      </c>
      <c r="H108" s="10">
        <f>_xlfn.XLOOKUP(E108,'Base SKUs'!E:E,'Base SKUs'!S:S)</f>
        <v>3.192E-3</v>
      </c>
      <c r="I108" s="9">
        <f t="shared" si="1"/>
        <v>0.26800000000000002</v>
      </c>
      <c r="J108" t="str">
        <f>_xlfn.XLOOKUP(E108,'Base SKUs'!E:E,'Base SKUs'!G:G)</f>
        <v>Maximo Thermo Ayous</v>
      </c>
      <c r="K108" t="str">
        <f>_xlfn.XLOOKUP(E108,'Base SKUs'!E:E,'Base SKUs'!H:H)</f>
        <v>VJoint - Nickel Gap</v>
      </c>
      <c r="L108" t="str">
        <f>_xlfn.XLOOKUP(E108,'Base SKUs'!E:E,'Base SKUs'!I:I)</f>
        <v>-</v>
      </c>
      <c r="M108" t="str">
        <f>_xlfn.XLOOKUP(E108,'Base SKUs'!E:E,'Base SKUs'!J:J)</f>
        <v>1x6</v>
      </c>
      <c r="N108">
        <f>_xlfn.XLOOKUP(E108,'Base SKUs'!E:E,'Base SKUs'!K:K)</f>
        <v>4</v>
      </c>
      <c r="O108" t="str">
        <f>_xlfn.XLOOKUP(E108,'Base SKUs'!E:E,'Base SKUs'!C:C)</f>
        <v>Short</v>
      </c>
      <c r="P108" t="s">
        <v>4927</v>
      </c>
    </row>
    <row r="109" spans="1:16" x14ac:dyDescent="0.25">
      <c r="A109" t="s">
        <v>4861</v>
      </c>
      <c r="B109" t="s">
        <v>4839</v>
      </c>
      <c r="C109" t="s">
        <v>4862</v>
      </c>
      <c r="D109" s="11">
        <v>9007</v>
      </c>
      <c r="E109" t="s">
        <v>96</v>
      </c>
      <c r="F109">
        <v>84</v>
      </c>
      <c r="G109" t="str">
        <f>_xlfn.XLOOKUP(E109,'Base SKUs'!E:E,'Base SKUs'!D:D)</f>
        <v>Thermowood</v>
      </c>
      <c r="H109" s="10">
        <f>_xlfn.XLOOKUP(E109,'Base SKUs'!E:E,'Base SKUs'!S:S)</f>
        <v>4.7880000000000006E-3</v>
      </c>
      <c r="I109" s="9">
        <f t="shared" si="1"/>
        <v>0.40200000000000002</v>
      </c>
      <c r="J109" t="str">
        <f>_xlfn.XLOOKUP(E109,'Base SKUs'!E:E,'Base SKUs'!G:G)</f>
        <v>Maximo Thermo Ayous</v>
      </c>
      <c r="K109" t="str">
        <f>_xlfn.XLOOKUP(E109,'Base SKUs'!E:E,'Base SKUs'!H:H)</f>
        <v>VJoint - Nickel Gap</v>
      </c>
      <c r="L109" t="str">
        <f>_xlfn.XLOOKUP(E109,'Base SKUs'!E:E,'Base SKUs'!I:I)</f>
        <v>-</v>
      </c>
      <c r="M109" t="str">
        <f>_xlfn.XLOOKUP(E109,'Base SKUs'!E:E,'Base SKUs'!J:J)</f>
        <v>1x6</v>
      </c>
      <c r="N109">
        <f>_xlfn.XLOOKUP(E109,'Base SKUs'!E:E,'Base SKUs'!K:K)</f>
        <v>6</v>
      </c>
      <c r="O109" t="str">
        <f>_xlfn.XLOOKUP(E109,'Base SKUs'!E:E,'Base SKUs'!C:C)</f>
        <v>Short</v>
      </c>
      <c r="P109" t="s">
        <v>4927</v>
      </c>
    </row>
    <row r="110" spans="1:16" x14ac:dyDescent="0.25">
      <c r="A110" t="s">
        <v>4861</v>
      </c>
      <c r="B110" t="s">
        <v>4839</v>
      </c>
      <c r="C110" t="s">
        <v>4862</v>
      </c>
      <c r="D110" s="11">
        <v>9007</v>
      </c>
      <c r="E110" t="s">
        <v>97</v>
      </c>
      <c r="F110">
        <v>4</v>
      </c>
      <c r="G110" t="str">
        <f>_xlfn.XLOOKUP(E110,'Base SKUs'!E:E,'Base SKUs'!D:D)</f>
        <v>Thermowood</v>
      </c>
      <c r="H110" s="10">
        <f>_xlfn.XLOOKUP(E110,'Base SKUs'!E:E,'Base SKUs'!S:S)</f>
        <v>5.5859999999999998E-3</v>
      </c>
      <c r="I110" s="9">
        <f t="shared" si="1"/>
        <v>2.1999999999999999E-2</v>
      </c>
      <c r="J110" t="str">
        <f>_xlfn.XLOOKUP(E110,'Base SKUs'!E:E,'Base SKUs'!G:G)</f>
        <v>Maximo Thermo Ayous</v>
      </c>
      <c r="K110" t="str">
        <f>_xlfn.XLOOKUP(E110,'Base SKUs'!E:E,'Base SKUs'!H:H)</f>
        <v>VJoint - Nickel Gap</v>
      </c>
      <c r="L110" t="str">
        <f>_xlfn.XLOOKUP(E110,'Base SKUs'!E:E,'Base SKUs'!I:I)</f>
        <v>-</v>
      </c>
      <c r="M110" t="str">
        <f>_xlfn.XLOOKUP(E110,'Base SKUs'!E:E,'Base SKUs'!J:J)</f>
        <v>1x6</v>
      </c>
      <c r="N110">
        <f>_xlfn.XLOOKUP(E110,'Base SKUs'!E:E,'Base SKUs'!K:K)</f>
        <v>7</v>
      </c>
      <c r="O110" t="str">
        <f>_xlfn.XLOOKUP(E110,'Base SKUs'!E:E,'Base SKUs'!C:C)</f>
        <v>Short</v>
      </c>
      <c r="P110" t="s">
        <v>4927</v>
      </c>
    </row>
    <row r="111" spans="1:16" x14ac:dyDescent="0.25">
      <c r="A111" t="s">
        <v>4861</v>
      </c>
      <c r="B111" t="s">
        <v>4839</v>
      </c>
      <c r="C111" t="s">
        <v>4862</v>
      </c>
      <c r="D111" s="11">
        <v>9007</v>
      </c>
      <c r="E111" t="s">
        <v>50</v>
      </c>
      <c r="F111">
        <v>6</v>
      </c>
      <c r="G111" t="str">
        <f>_xlfn.XLOOKUP(E111,'Base SKUs'!E:E,'Base SKUs'!D:D)</f>
        <v>Thermowood</v>
      </c>
      <c r="H111" s="10">
        <f>_xlfn.XLOOKUP(E111,'Base SKUs'!E:E,'Base SKUs'!S:S)</f>
        <v>8.7779999999999993E-3</v>
      </c>
      <c r="I111" s="9">
        <f t="shared" si="1"/>
        <v>5.2999999999999999E-2</v>
      </c>
      <c r="J111" t="str">
        <f>_xlfn.XLOOKUP(E111,'Base SKUs'!E:E,'Base SKUs'!G:G)</f>
        <v>Maximo Thermo Ayous</v>
      </c>
      <c r="K111" t="str">
        <f>_xlfn.XLOOKUP(E111,'Base SKUs'!E:E,'Base SKUs'!H:H)</f>
        <v>VJoint - Nickel Gap</v>
      </c>
      <c r="L111" t="str">
        <f>_xlfn.XLOOKUP(E111,'Base SKUs'!E:E,'Base SKUs'!I:I)</f>
        <v>-</v>
      </c>
      <c r="M111" t="str">
        <f>_xlfn.XLOOKUP(E111,'Base SKUs'!E:E,'Base SKUs'!J:J)</f>
        <v>1x6</v>
      </c>
      <c r="N111">
        <f>_xlfn.XLOOKUP(E111,'Base SKUs'!E:E,'Base SKUs'!K:K)</f>
        <v>11</v>
      </c>
      <c r="O111" t="str">
        <f>_xlfn.XLOOKUP(E111,'Base SKUs'!E:E,'Base SKUs'!C:C)</f>
        <v>Long</v>
      </c>
      <c r="P111" t="s">
        <v>4927</v>
      </c>
    </row>
    <row r="112" spans="1:16" x14ac:dyDescent="0.25">
      <c r="A112" t="s">
        <v>4861</v>
      </c>
      <c r="B112" t="s">
        <v>4839</v>
      </c>
      <c r="C112" t="s">
        <v>4862</v>
      </c>
      <c r="D112" s="11">
        <v>9007</v>
      </c>
      <c r="E112" t="s">
        <v>6</v>
      </c>
      <c r="F112">
        <v>11</v>
      </c>
      <c r="G112" t="str">
        <f>_xlfn.XLOOKUP(E112,'Base SKUs'!E:E,'Base SKUs'!D:D)</f>
        <v>Thermowood</v>
      </c>
      <c r="H112" s="10">
        <f>_xlfn.XLOOKUP(E112,'Base SKUs'!E:E,'Base SKUs'!S:S)</f>
        <v>1.1172E-2</v>
      </c>
      <c r="I112" s="9">
        <f t="shared" si="1"/>
        <v>0.123</v>
      </c>
      <c r="J112" t="str">
        <f>_xlfn.XLOOKUP(E112,'Base SKUs'!E:E,'Base SKUs'!G:G)</f>
        <v>Maximo Thermo Ayous</v>
      </c>
      <c r="K112" t="str">
        <f>_xlfn.XLOOKUP(E112,'Base SKUs'!E:E,'Base SKUs'!H:H)</f>
        <v>VJoint - Nickel Gap</v>
      </c>
      <c r="L112" t="str">
        <f>_xlfn.XLOOKUP(E112,'Base SKUs'!E:E,'Base SKUs'!I:I)</f>
        <v>-</v>
      </c>
      <c r="M112" t="str">
        <f>_xlfn.XLOOKUP(E112,'Base SKUs'!E:E,'Base SKUs'!J:J)</f>
        <v>1x6</v>
      </c>
      <c r="N112">
        <f>_xlfn.XLOOKUP(E112,'Base SKUs'!E:E,'Base SKUs'!K:K)</f>
        <v>14</v>
      </c>
      <c r="O112" t="str">
        <f>_xlfn.XLOOKUP(E112,'Base SKUs'!E:E,'Base SKUs'!C:C)</f>
        <v>Long</v>
      </c>
      <c r="P112" t="s">
        <v>4927</v>
      </c>
    </row>
    <row r="113" spans="1:16" x14ac:dyDescent="0.25">
      <c r="A113" t="s">
        <v>4861</v>
      </c>
      <c r="B113" t="s">
        <v>4839</v>
      </c>
      <c r="C113" t="s">
        <v>4862</v>
      </c>
      <c r="D113" s="11">
        <v>9007</v>
      </c>
      <c r="E113" t="s">
        <v>41</v>
      </c>
      <c r="F113">
        <v>310</v>
      </c>
      <c r="G113" t="str">
        <f>_xlfn.XLOOKUP(E113,'Base SKUs'!E:E,'Base SKUs'!D:D)</f>
        <v>Thermowood</v>
      </c>
      <c r="H113" s="10">
        <f>_xlfn.XLOOKUP(E113,'Base SKUs'!E:E,'Base SKUs'!S:S)</f>
        <v>4.7880000000000006E-3</v>
      </c>
      <c r="I113" s="9">
        <f t="shared" si="1"/>
        <v>1.484</v>
      </c>
      <c r="J113" t="str">
        <f>_xlfn.XLOOKUP(E113,'Base SKUs'!E:E,'Base SKUs'!G:G)</f>
        <v>Maximo Thermo Ayous</v>
      </c>
      <c r="K113" t="str">
        <f>_xlfn.XLOOKUP(E113,'Base SKUs'!E:E,'Base SKUs'!H:H)</f>
        <v>VJoint - Square Back</v>
      </c>
      <c r="L113" t="str">
        <f>_xlfn.XLOOKUP(E113,'Base SKUs'!E:E,'Base SKUs'!I:I)</f>
        <v>-</v>
      </c>
      <c r="M113" t="str">
        <f>_xlfn.XLOOKUP(E113,'Base SKUs'!E:E,'Base SKUs'!J:J)</f>
        <v>1x6</v>
      </c>
      <c r="N113">
        <f>_xlfn.XLOOKUP(E113,'Base SKUs'!E:E,'Base SKUs'!K:K)</f>
        <v>6</v>
      </c>
      <c r="O113" t="str">
        <f>_xlfn.XLOOKUP(E113,'Base SKUs'!E:E,'Base SKUs'!C:C)</f>
        <v>Short</v>
      </c>
      <c r="P113" t="s">
        <v>4927</v>
      </c>
    </row>
    <row r="114" spans="1:16" x14ac:dyDescent="0.25">
      <c r="A114" t="s">
        <v>4861</v>
      </c>
      <c r="B114" t="s">
        <v>4839</v>
      </c>
      <c r="C114" t="s">
        <v>4862</v>
      </c>
      <c r="D114" s="11">
        <v>9007</v>
      </c>
      <c r="E114" t="s">
        <v>98</v>
      </c>
      <c r="F114">
        <v>10</v>
      </c>
      <c r="G114" t="str">
        <f>_xlfn.XLOOKUP(E114,'Base SKUs'!E:E,'Base SKUs'!D:D)</f>
        <v>Thermowood</v>
      </c>
      <c r="H114" s="10">
        <f>_xlfn.XLOOKUP(E114,'Base SKUs'!E:E,'Base SKUs'!S:S)</f>
        <v>5.5859999999999998E-3</v>
      </c>
      <c r="I114" s="9">
        <f t="shared" si="1"/>
        <v>5.6000000000000001E-2</v>
      </c>
      <c r="J114" t="str">
        <f>_xlfn.XLOOKUP(E114,'Base SKUs'!E:E,'Base SKUs'!G:G)</f>
        <v>Maximo Thermo Ayous</v>
      </c>
      <c r="K114" t="str">
        <f>_xlfn.XLOOKUP(E114,'Base SKUs'!E:E,'Base SKUs'!H:H)</f>
        <v>VJoint - Square Back</v>
      </c>
      <c r="L114" t="str">
        <f>_xlfn.XLOOKUP(E114,'Base SKUs'!E:E,'Base SKUs'!I:I)</f>
        <v>-</v>
      </c>
      <c r="M114" t="str">
        <f>_xlfn.XLOOKUP(E114,'Base SKUs'!E:E,'Base SKUs'!J:J)</f>
        <v>1x6</v>
      </c>
      <c r="N114">
        <f>_xlfn.XLOOKUP(E114,'Base SKUs'!E:E,'Base SKUs'!K:K)</f>
        <v>7</v>
      </c>
      <c r="O114" t="str">
        <f>_xlfn.XLOOKUP(E114,'Base SKUs'!E:E,'Base SKUs'!C:C)</f>
        <v>Short</v>
      </c>
      <c r="P114" t="s">
        <v>4927</v>
      </c>
    </row>
    <row r="115" spans="1:16" x14ac:dyDescent="0.25">
      <c r="A115" t="s">
        <v>4861</v>
      </c>
      <c r="B115" t="s">
        <v>4839</v>
      </c>
      <c r="C115" t="s">
        <v>4862</v>
      </c>
      <c r="D115" s="11">
        <v>9007</v>
      </c>
      <c r="E115" t="s">
        <v>31</v>
      </c>
      <c r="F115">
        <v>15</v>
      </c>
      <c r="G115" t="str">
        <f>_xlfn.XLOOKUP(E115,'Base SKUs'!E:E,'Base SKUs'!D:D)</f>
        <v>Thermowood</v>
      </c>
      <c r="H115" s="10">
        <f>_xlfn.XLOOKUP(E115,'Base SKUs'!E:E,'Base SKUs'!S:S)</f>
        <v>6.3839999999999999E-3</v>
      </c>
      <c r="I115" s="9">
        <f t="shared" si="1"/>
        <v>9.6000000000000002E-2</v>
      </c>
      <c r="J115" t="str">
        <f>_xlfn.XLOOKUP(E115,'Base SKUs'!E:E,'Base SKUs'!G:G)</f>
        <v>Maximo Thermo Ayous</v>
      </c>
      <c r="K115" t="str">
        <f>_xlfn.XLOOKUP(E115,'Base SKUs'!E:E,'Base SKUs'!H:H)</f>
        <v>VJoint - Square Back</v>
      </c>
      <c r="L115" t="str">
        <f>_xlfn.XLOOKUP(E115,'Base SKUs'!E:E,'Base SKUs'!I:I)</f>
        <v>-</v>
      </c>
      <c r="M115" t="str">
        <f>_xlfn.XLOOKUP(E115,'Base SKUs'!E:E,'Base SKUs'!J:J)</f>
        <v>1x6</v>
      </c>
      <c r="N115">
        <f>_xlfn.XLOOKUP(E115,'Base SKUs'!E:E,'Base SKUs'!K:K)</f>
        <v>8</v>
      </c>
      <c r="O115" t="str">
        <f>_xlfn.XLOOKUP(E115,'Base SKUs'!E:E,'Base SKUs'!C:C)</f>
        <v>Long</v>
      </c>
      <c r="P115" t="s">
        <v>4927</v>
      </c>
    </row>
    <row r="116" spans="1:16" x14ac:dyDescent="0.25">
      <c r="A116" t="s">
        <v>4861</v>
      </c>
      <c r="B116" t="s">
        <v>4839</v>
      </c>
      <c r="C116" t="s">
        <v>4862</v>
      </c>
      <c r="D116" s="11">
        <v>9007</v>
      </c>
      <c r="E116" t="s">
        <v>33</v>
      </c>
      <c r="F116">
        <v>22</v>
      </c>
      <c r="G116" t="str">
        <f>_xlfn.XLOOKUP(E116,'Base SKUs'!E:E,'Base SKUs'!D:D)</f>
        <v>Thermowood</v>
      </c>
      <c r="H116" s="10">
        <f>_xlfn.XLOOKUP(E116,'Base SKUs'!E:E,'Base SKUs'!S:S)</f>
        <v>7.980000000000001E-3</v>
      </c>
      <c r="I116" s="9">
        <f t="shared" si="1"/>
        <v>0.17599999999999999</v>
      </c>
      <c r="J116" t="str">
        <f>_xlfn.XLOOKUP(E116,'Base SKUs'!E:E,'Base SKUs'!G:G)</f>
        <v>Maximo Thermo Ayous</v>
      </c>
      <c r="K116" t="str">
        <f>_xlfn.XLOOKUP(E116,'Base SKUs'!E:E,'Base SKUs'!H:H)</f>
        <v>VJoint - Square Back</v>
      </c>
      <c r="L116" t="str">
        <f>_xlfn.XLOOKUP(E116,'Base SKUs'!E:E,'Base SKUs'!I:I)</f>
        <v>-</v>
      </c>
      <c r="M116" t="str">
        <f>_xlfn.XLOOKUP(E116,'Base SKUs'!E:E,'Base SKUs'!J:J)</f>
        <v>1x6</v>
      </c>
      <c r="N116">
        <f>_xlfn.XLOOKUP(E116,'Base SKUs'!E:E,'Base SKUs'!K:K)</f>
        <v>10</v>
      </c>
      <c r="O116" t="str">
        <f>_xlfn.XLOOKUP(E116,'Base SKUs'!E:E,'Base SKUs'!C:C)</f>
        <v>Long</v>
      </c>
      <c r="P116" t="s">
        <v>4927</v>
      </c>
    </row>
    <row r="117" spans="1:16" x14ac:dyDescent="0.25">
      <c r="A117" t="s">
        <v>4861</v>
      </c>
      <c r="B117" t="s">
        <v>4839</v>
      </c>
      <c r="C117" t="s">
        <v>4862</v>
      </c>
      <c r="D117" s="11">
        <v>9007</v>
      </c>
      <c r="E117" t="s">
        <v>99</v>
      </c>
      <c r="F117">
        <v>23</v>
      </c>
      <c r="G117" t="str">
        <f>_xlfn.XLOOKUP(E117,'Base SKUs'!E:E,'Base SKUs'!D:D)</f>
        <v>Thermowood</v>
      </c>
      <c r="H117" s="10">
        <f>_xlfn.XLOOKUP(E117,'Base SKUs'!E:E,'Base SKUs'!S:S)</f>
        <v>8.7779999999999993E-3</v>
      </c>
      <c r="I117" s="9">
        <f t="shared" si="1"/>
        <v>0.20200000000000001</v>
      </c>
      <c r="J117" t="str">
        <f>_xlfn.XLOOKUP(E117,'Base SKUs'!E:E,'Base SKUs'!G:G)</f>
        <v>Maximo Thermo Ayous</v>
      </c>
      <c r="K117" t="str">
        <f>_xlfn.XLOOKUP(E117,'Base SKUs'!E:E,'Base SKUs'!H:H)</f>
        <v>VJoint - Square Back</v>
      </c>
      <c r="L117" t="str">
        <f>_xlfn.XLOOKUP(E117,'Base SKUs'!E:E,'Base SKUs'!I:I)</f>
        <v>-</v>
      </c>
      <c r="M117" t="str">
        <f>_xlfn.XLOOKUP(E117,'Base SKUs'!E:E,'Base SKUs'!J:J)</f>
        <v>1x6</v>
      </c>
      <c r="N117">
        <f>_xlfn.XLOOKUP(E117,'Base SKUs'!E:E,'Base SKUs'!K:K)</f>
        <v>11</v>
      </c>
      <c r="O117" t="str">
        <f>_xlfn.XLOOKUP(E117,'Base SKUs'!E:E,'Base SKUs'!C:C)</f>
        <v>Long</v>
      </c>
      <c r="P117" t="s">
        <v>4927</v>
      </c>
    </row>
    <row r="118" spans="1:16" x14ac:dyDescent="0.25">
      <c r="A118" t="s">
        <v>4861</v>
      </c>
      <c r="B118" t="s">
        <v>4839</v>
      </c>
      <c r="C118" t="s">
        <v>4862</v>
      </c>
      <c r="D118" s="11">
        <v>9007</v>
      </c>
      <c r="E118" t="s">
        <v>34</v>
      </c>
      <c r="F118">
        <v>3</v>
      </c>
      <c r="G118" t="str">
        <f>_xlfn.XLOOKUP(E118,'Base SKUs'!E:E,'Base SKUs'!D:D)</f>
        <v>Thermowood</v>
      </c>
      <c r="H118" s="10">
        <f>_xlfn.XLOOKUP(E118,'Base SKUs'!E:E,'Base SKUs'!S:S)</f>
        <v>1.1172E-2</v>
      </c>
      <c r="I118" s="9">
        <f t="shared" si="1"/>
        <v>3.4000000000000002E-2</v>
      </c>
      <c r="J118" t="str">
        <f>_xlfn.XLOOKUP(E118,'Base SKUs'!E:E,'Base SKUs'!G:G)</f>
        <v>Maximo Thermo Ayous</v>
      </c>
      <c r="K118" t="str">
        <f>_xlfn.XLOOKUP(E118,'Base SKUs'!E:E,'Base SKUs'!H:H)</f>
        <v>VJoint - Square Back</v>
      </c>
      <c r="L118" t="str">
        <f>_xlfn.XLOOKUP(E118,'Base SKUs'!E:E,'Base SKUs'!I:I)</f>
        <v>-</v>
      </c>
      <c r="M118" t="str">
        <f>_xlfn.XLOOKUP(E118,'Base SKUs'!E:E,'Base SKUs'!J:J)</f>
        <v>1x6</v>
      </c>
      <c r="N118">
        <f>_xlfn.XLOOKUP(E118,'Base SKUs'!E:E,'Base SKUs'!K:K)</f>
        <v>14</v>
      </c>
      <c r="O118" t="str">
        <f>_xlfn.XLOOKUP(E118,'Base SKUs'!E:E,'Base SKUs'!C:C)</f>
        <v>Long</v>
      </c>
      <c r="P118" t="s">
        <v>4927</v>
      </c>
    </row>
    <row r="119" spans="1:16" x14ac:dyDescent="0.25">
      <c r="A119" t="s">
        <v>4861</v>
      </c>
      <c r="B119" t="s">
        <v>4839</v>
      </c>
      <c r="C119" t="s">
        <v>4862</v>
      </c>
      <c r="D119" s="11">
        <v>9007</v>
      </c>
      <c r="E119" t="s">
        <v>101</v>
      </c>
      <c r="F119">
        <v>16</v>
      </c>
      <c r="G119" t="str">
        <f>_xlfn.XLOOKUP(E119,'Base SKUs'!E:E,'Base SKUs'!D:D)</f>
        <v>Thermowood</v>
      </c>
      <c r="H119" s="10">
        <f>_xlfn.XLOOKUP(E119,'Base SKUs'!E:E,'Base SKUs'!S:S)</f>
        <v>1.3565999999999998E-2</v>
      </c>
      <c r="I119" s="9">
        <f t="shared" si="1"/>
        <v>0.217</v>
      </c>
      <c r="J119" t="str">
        <f>_xlfn.XLOOKUP(E119,'Base SKUs'!E:E,'Base SKUs'!G:G)</f>
        <v>Maximo Thermo Ayous</v>
      </c>
      <c r="K119" t="str">
        <f>_xlfn.XLOOKUP(E119,'Base SKUs'!E:E,'Base SKUs'!H:H)</f>
        <v>VJoint - Square Back</v>
      </c>
      <c r="L119" t="str">
        <f>_xlfn.XLOOKUP(E119,'Base SKUs'!E:E,'Base SKUs'!I:I)</f>
        <v>-</v>
      </c>
      <c r="M119" t="str">
        <f>_xlfn.XLOOKUP(E119,'Base SKUs'!E:E,'Base SKUs'!J:J)</f>
        <v>1x6</v>
      </c>
      <c r="N119">
        <f>_xlfn.XLOOKUP(E119,'Base SKUs'!E:E,'Base SKUs'!K:K)</f>
        <v>17</v>
      </c>
      <c r="O119" t="str">
        <f>_xlfn.XLOOKUP(E119,'Base SKUs'!E:E,'Base SKUs'!C:C)</f>
        <v>Long</v>
      </c>
      <c r="P119" t="s">
        <v>4927</v>
      </c>
    </row>
    <row r="120" spans="1:16" x14ac:dyDescent="0.25">
      <c r="A120" t="s">
        <v>4863</v>
      </c>
      <c r="B120" t="s">
        <v>4839</v>
      </c>
      <c r="C120" t="s">
        <v>4864</v>
      </c>
      <c r="D120" s="11">
        <v>9007</v>
      </c>
      <c r="E120" t="s">
        <v>102</v>
      </c>
      <c r="F120">
        <v>34</v>
      </c>
      <c r="G120" t="str">
        <f>_xlfn.XLOOKUP(E120,'Base SKUs'!E:E,'Base SKUs'!D:D)</f>
        <v>Thermowood</v>
      </c>
      <c r="H120" s="10">
        <f>_xlfn.XLOOKUP(E120,'Base SKUs'!E:E,'Base SKUs'!S:S)</f>
        <v>1.512E-2</v>
      </c>
      <c r="I120" s="9">
        <f t="shared" si="1"/>
        <v>0.51400000000000001</v>
      </c>
      <c r="J120" t="str">
        <f>_xlfn.XLOOKUP(E120,'Base SKUs'!E:E,'Base SKUs'!G:G)</f>
        <v>Maximo Thermo Ayous</v>
      </c>
      <c r="K120" t="str">
        <f>_xlfn.XLOOKUP(E120,'Base SKUs'!E:E,'Base SKUs'!H:H)</f>
        <v>S4S E4E</v>
      </c>
      <c r="L120" t="str">
        <f>_xlfn.XLOOKUP(E120,'Base SKUs'!E:E,'Base SKUs'!I:I)</f>
        <v>-</v>
      </c>
      <c r="M120" t="str">
        <f>_xlfn.XLOOKUP(E120,'Base SKUs'!E:E,'Base SKUs'!J:J)</f>
        <v>2x6</v>
      </c>
      <c r="N120">
        <f>_xlfn.XLOOKUP(E120,'Base SKUs'!E:E,'Base SKUs'!K:K)</f>
        <v>9</v>
      </c>
      <c r="O120" t="str">
        <f>_xlfn.XLOOKUP(E120,'Base SKUs'!E:E,'Base SKUs'!C:C)</f>
        <v>Long</v>
      </c>
      <c r="P120" t="s">
        <v>4927</v>
      </c>
    </row>
    <row r="121" spans="1:16" x14ac:dyDescent="0.25">
      <c r="A121" t="s">
        <v>4863</v>
      </c>
      <c r="B121" t="s">
        <v>4839</v>
      </c>
      <c r="C121" t="s">
        <v>4864</v>
      </c>
      <c r="D121" s="11">
        <v>9007</v>
      </c>
      <c r="E121" t="s">
        <v>103</v>
      </c>
      <c r="F121">
        <v>1</v>
      </c>
      <c r="G121" t="str">
        <f>_xlfn.XLOOKUP(E121,'Base SKUs'!E:E,'Base SKUs'!D:D)</f>
        <v>Thermowood</v>
      </c>
      <c r="H121" s="10">
        <f>_xlfn.XLOOKUP(E121,'Base SKUs'!E:E,'Base SKUs'!S:S)</f>
        <v>1.6800000000000002E-2</v>
      </c>
      <c r="I121" s="9">
        <f t="shared" si="1"/>
        <v>1.7000000000000001E-2</v>
      </c>
      <c r="J121" t="str">
        <f>_xlfn.XLOOKUP(E121,'Base SKUs'!E:E,'Base SKUs'!G:G)</f>
        <v>Maximo Thermo Ayous</v>
      </c>
      <c r="K121" t="str">
        <f>_xlfn.XLOOKUP(E121,'Base SKUs'!E:E,'Base SKUs'!H:H)</f>
        <v>S4S E4E</v>
      </c>
      <c r="L121" t="str">
        <f>_xlfn.XLOOKUP(E121,'Base SKUs'!E:E,'Base SKUs'!I:I)</f>
        <v>-</v>
      </c>
      <c r="M121" t="str">
        <f>_xlfn.XLOOKUP(E121,'Base SKUs'!E:E,'Base SKUs'!J:J)</f>
        <v>2x6</v>
      </c>
      <c r="N121">
        <f>_xlfn.XLOOKUP(E121,'Base SKUs'!E:E,'Base SKUs'!K:K)</f>
        <v>10</v>
      </c>
      <c r="O121" t="str">
        <f>_xlfn.XLOOKUP(E121,'Base SKUs'!E:E,'Base SKUs'!C:C)</f>
        <v>Long</v>
      </c>
      <c r="P121" t="s">
        <v>4927</v>
      </c>
    </row>
    <row r="122" spans="1:16" x14ac:dyDescent="0.25">
      <c r="A122" t="s">
        <v>4865</v>
      </c>
      <c r="B122" t="s">
        <v>4839</v>
      </c>
      <c r="C122" t="s">
        <v>4840</v>
      </c>
      <c r="D122" s="11">
        <v>9007</v>
      </c>
      <c r="E122" t="s">
        <v>50</v>
      </c>
      <c r="F122">
        <v>2</v>
      </c>
      <c r="G122" t="str">
        <f>_xlfn.XLOOKUP(E122,'Base SKUs'!E:E,'Base SKUs'!D:D)</f>
        <v>Thermowood</v>
      </c>
      <c r="H122" s="10">
        <f>_xlfn.XLOOKUP(E122,'Base SKUs'!E:E,'Base SKUs'!S:S)</f>
        <v>8.7779999999999993E-3</v>
      </c>
      <c r="I122" s="9">
        <f t="shared" si="1"/>
        <v>1.7999999999999999E-2</v>
      </c>
      <c r="J122" t="str">
        <f>_xlfn.XLOOKUP(E122,'Base SKUs'!E:E,'Base SKUs'!G:G)</f>
        <v>Maximo Thermo Ayous</v>
      </c>
      <c r="K122" t="str">
        <f>_xlfn.XLOOKUP(E122,'Base SKUs'!E:E,'Base SKUs'!H:H)</f>
        <v>VJoint - Nickel Gap</v>
      </c>
      <c r="L122" t="str">
        <f>_xlfn.XLOOKUP(E122,'Base SKUs'!E:E,'Base SKUs'!I:I)</f>
        <v>-</v>
      </c>
      <c r="M122" t="str">
        <f>_xlfn.XLOOKUP(E122,'Base SKUs'!E:E,'Base SKUs'!J:J)</f>
        <v>1x6</v>
      </c>
      <c r="N122">
        <f>_xlfn.XLOOKUP(E122,'Base SKUs'!E:E,'Base SKUs'!K:K)</f>
        <v>11</v>
      </c>
      <c r="O122" t="str">
        <f>_xlfn.XLOOKUP(E122,'Base SKUs'!E:E,'Base SKUs'!C:C)</f>
        <v>Long</v>
      </c>
      <c r="P122" t="s">
        <v>4927</v>
      </c>
    </row>
    <row r="123" spans="1:16" x14ac:dyDescent="0.25">
      <c r="A123" t="s">
        <v>4865</v>
      </c>
      <c r="B123" t="s">
        <v>4839</v>
      </c>
      <c r="C123" t="s">
        <v>4840</v>
      </c>
      <c r="D123" s="11">
        <v>9007</v>
      </c>
      <c r="E123" t="s">
        <v>41</v>
      </c>
      <c r="F123">
        <v>18</v>
      </c>
      <c r="G123" t="str">
        <f>_xlfn.XLOOKUP(E123,'Base SKUs'!E:E,'Base SKUs'!D:D)</f>
        <v>Thermowood</v>
      </c>
      <c r="H123" s="10">
        <f>_xlfn.XLOOKUP(E123,'Base SKUs'!E:E,'Base SKUs'!S:S)</f>
        <v>4.7880000000000006E-3</v>
      </c>
      <c r="I123" s="9">
        <f t="shared" si="1"/>
        <v>8.5999999999999993E-2</v>
      </c>
      <c r="J123" t="str">
        <f>_xlfn.XLOOKUP(E123,'Base SKUs'!E:E,'Base SKUs'!G:G)</f>
        <v>Maximo Thermo Ayous</v>
      </c>
      <c r="K123" t="str">
        <f>_xlfn.XLOOKUP(E123,'Base SKUs'!E:E,'Base SKUs'!H:H)</f>
        <v>VJoint - Square Back</v>
      </c>
      <c r="L123" t="str">
        <f>_xlfn.XLOOKUP(E123,'Base SKUs'!E:E,'Base SKUs'!I:I)</f>
        <v>-</v>
      </c>
      <c r="M123" t="str">
        <f>_xlfn.XLOOKUP(E123,'Base SKUs'!E:E,'Base SKUs'!J:J)</f>
        <v>1x6</v>
      </c>
      <c r="N123">
        <f>_xlfn.XLOOKUP(E123,'Base SKUs'!E:E,'Base SKUs'!K:K)</f>
        <v>6</v>
      </c>
      <c r="O123" t="str">
        <f>_xlfn.XLOOKUP(E123,'Base SKUs'!E:E,'Base SKUs'!C:C)</f>
        <v>Short</v>
      </c>
      <c r="P123" t="s">
        <v>4927</v>
      </c>
    </row>
    <row r="124" spans="1:16" x14ac:dyDescent="0.25">
      <c r="A124" t="s">
        <v>4865</v>
      </c>
      <c r="B124" t="s">
        <v>4839</v>
      </c>
      <c r="C124" t="s">
        <v>4840</v>
      </c>
      <c r="D124" s="11">
        <v>9007</v>
      </c>
      <c r="E124" t="s">
        <v>31</v>
      </c>
      <c r="F124">
        <v>90</v>
      </c>
      <c r="G124" t="str">
        <f>_xlfn.XLOOKUP(E124,'Base SKUs'!E:E,'Base SKUs'!D:D)</f>
        <v>Thermowood</v>
      </c>
      <c r="H124" s="10">
        <f>_xlfn.XLOOKUP(E124,'Base SKUs'!E:E,'Base SKUs'!S:S)</f>
        <v>6.3839999999999999E-3</v>
      </c>
      <c r="I124" s="9">
        <f t="shared" si="1"/>
        <v>0.57499999999999996</v>
      </c>
      <c r="J124" t="str">
        <f>_xlfn.XLOOKUP(E124,'Base SKUs'!E:E,'Base SKUs'!G:G)</f>
        <v>Maximo Thermo Ayous</v>
      </c>
      <c r="K124" t="str">
        <f>_xlfn.XLOOKUP(E124,'Base SKUs'!E:E,'Base SKUs'!H:H)</f>
        <v>VJoint - Square Back</v>
      </c>
      <c r="L124" t="str">
        <f>_xlfn.XLOOKUP(E124,'Base SKUs'!E:E,'Base SKUs'!I:I)</f>
        <v>-</v>
      </c>
      <c r="M124" t="str">
        <f>_xlfn.XLOOKUP(E124,'Base SKUs'!E:E,'Base SKUs'!J:J)</f>
        <v>1x6</v>
      </c>
      <c r="N124">
        <f>_xlfn.XLOOKUP(E124,'Base SKUs'!E:E,'Base SKUs'!K:K)</f>
        <v>8</v>
      </c>
      <c r="O124" t="str">
        <f>_xlfn.XLOOKUP(E124,'Base SKUs'!E:E,'Base SKUs'!C:C)</f>
        <v>Long</v>
      </c>
      <c r="P124" t="s">
        <v>4927</v>
      </c>
    </row>
    <row r="125" spans="1:16" x14ac:dyDescent="0.25">
      <c r="A125" t="s">
        <v>4865</v>
      </c>
      <c r="B125" t="s">
        <v>4839</v>
      </c>
      <c r="C125" t="s">
        <v>4840</v>
      </c>
      <c r="D125" s="11">
        <v>9007</v>
      </c>
      <c r="E125" t="s">
        <v>33</v>
      </c>
      <c r="F125">
        <v>73</v>
      </c>
      <c r="G125" t="str">
        <f>_xlfn.XLOOKUP(E125,'Base SKUs'!E:E,'Base SKUs'!D:D)</f>
        <v>Thermowood</v>
      </c>
      <c r="H125" s="10">
        <f>_xlfn.XLOOKUP(E125,'Base SKUs'!E:E,'Base SKUs'!S:S)</f>
        <v>7.980000000000001E-3</v>
      </c>
      <c r="I125" s="9">
        <f t="shared" si="1"/>
        <v>0.58299999999999996</v>
      </c>
      <c r="J125" t="str">
        <f>_xlfn.XLOOKUP(E125,'Base SKUs'!E:E,'Base SKUs'!G:G)</f>
        <v>Maximo Thermo Ayous</v>
      </c>
      <c r="K125" t="str">
        <f>_xlfn.XLOOKUP(E125,'Base SKUs'!E:E,'Base SKUs'!H:H)</f>
        <v>VJoint - Square Back</v>
      </c>
      <c r="L125" t="str">
        <f>_xlfn.XLOOKUP(E125,'Base SKUs'!E:E,'Base SKUs'!I:I)</f>
        <v>-</v>
      </c>
      <c r="M125" t="str">
        <f>_xlfn.XLOOKUP(E125,'Base SKUs'!E:E,'Base SKUs'!J:J)</f>
        <v>1x6</v>
      </c>
      <c r="N125">
        <f>_xlfn.XLOOKUP(E125,'Base SKUs'!E:E,'Base SKUs'!K:K)</f>
        <v>10</v>
      </c>
      <c r="O125" t="str">
        <f>_xlfn.XLOOKUP(E125,'Base SKUs'!E:E,'Base SKUs'!C:C)</f>
        <v>Long</v>
      </c>
      <c r="P125" t="s">
        <v>4927</v>
      </c>
    </row>
    <row r="126" spans="1:16" x14ac:dyDescent="0.25">
      <c r="A126" t="s">
        <v>4865</v>
      </c>
      <c r="B126" t="s">
        <v>4839</v>
      </c>
      <c r="C126" t="s">
        <v>4840</v>
      </c>
      <c r="D126" s="11">
        <v>9007</v>
      </c>
      <c r="E126" t="s">
        <v>99</v>
      </c>
      <c r="F126">
        <v>121</v>
      </c>
      <c r="G126" t="str">
        <f>_xlfn.XLOOKUP(E126,'Base SKUs'!E:E,'Base SKUs'!D:D)</f>
        <v>Thermowood</v>
      </c>
      <c r="H126" s="10">
        <f>_xlfn.XLOOKUP(E126,'Base SKUs'!E:E,'Base SKUs'!S:S)</f>
        <v>8.7779999999999993E-3</v>
      </c>
      <c r="I126" s="9">
        <f t="shared" si="1"/>
        <v>1.0620000000000001</v>
      </c>
      <c r="J126" t="str">
        <f>_xlfn.XLOOKUP(E126,'Base SKUs'!E:E,'Base SKUs'!G:G)</f>
        <v>Maximo Thermo Ayous</v>
      </c>
      <c r="K126" t="str">
        <f>_xlfn.XLOOKUP(E126,'Base SKUs'!E:E,'Base SKUs'!H:H)</f>
        <v>VJoint - Square Back</v>
      </c>
      <c r="L126" t="str">
        <f>_xlfn.XLOOKUP(E126,'Base SKUs'!E:E,'Base SKUs'!I:I)</f>
        <v>-</v>
      </c>
      <c r="M126" t="str">
        <f>_xlfn.XLOOKUP(E126,'Base SKUs'!E:E,'Base SKUs'!J:J)</f>
        <v>1x6</v>
      </c>
      <c r="N126">
        <f>_xlfn.XLOOKUP(E126,'Base SKUs'!E:E,'Base SKUs'!K:K)</f>
        <v>11</v>
      </c>
      <c r="O126" t="str">
        <f>_xlfn.XLOOKUP(E126,'Base SKUs'!E:E,'Base SKUs'!C:C)</f>
        <v>Long</v>
      </c>
      <c r="P126" t="s">
        <v>4927</v>
      </c>
    </row>
    <row r="127" spans="1:16" x14ac:dyDescent="0.25">
      <c r="A127" t="s">
        <v>4866</v>
      </c>
      <c r="B127" t="s">
        <v>4839</v>
      </c>
      <c r="C127" t="s">
        <v>4840</v>
      </c>
      <c r="D127" s="11">
        <v>9007</v>
      </c>
      <c r="E127" t="s">
        <v>104</v>
      </c>
      <c r="F127">
        <v>84</v>
      </c>
      <c r="G127" t="str">
        <f>_xlfn.XLOOKUP(E127,'Base SKUs'!E:E,'Base SKUs'!D:D)</f>
        <v>Hardwoods</v>
      </c>
      <c r="H127" s="10">
        <f>_xlfn.XLOOKUP(E127,'Base SKUs'!E:E,'Base SKUs'!S:S)</f>
        <v>2.9201748047999999E-2</v>
      </c>
      <c r="I127" s="9">
        <f t="shared" si="1"/>
        <v>2.4529999999999998</v>
      </c>
      <c r="J127" t="str">
        <f>_xlfn.XLOOKUP(E127,'Base SKUs'!E:E,'Base SKUs'!G:G)</f>
        <v>Ipe</v>
      </c>
      <c r="K127" t="str">
        <f>_xlfn.XLOOKUP(E127,'Base SKUs'!E:E,'Base SKUs'!H:H)</f>
        <v>S4S E4E</v>
      </c>
      <c r="L127" t="str">
        <f>_xlfn.XLOOKUP(E127,'Base SKUs'!E:E,'Base SKUs'!I:I)</f>
        <v>-</v>
      </c>
      <c r="M127" t="str">
        <f>_xlfn.XLOOKUP(E127,'Base SKUs'!E:E,'Base SKUs'!J:J)</f>
        <v>2x6</v>
      </c>
      <c r="N127">
        <f>_xlfn.XLOOKUP(E127,'Base SKUs'!E:E,'Base SKUs'!K:K)</f>
        <v>18</v>
      </c>
      <c r="O127" t="str">
        <f>_xlfn.XLOOKUP(E127,'Base SKUs'!E:E,'Base SKUs'!C:C)</f>
        <v>Long</v>
      </c>
      <c r="P127" t="s">
        <v>4927</v>
      </c>
    </row>
    <row r="128" spans="1:16" x14ac:dyDescent="0.25">
      <c r="A128" t="s">
        <v>4867</v>
      </c>
      <c r="B128" t="s">
        <v>4839</v>
      </c>
      <c r="C128" t="s">
        <v>4840</v>
      </c>
      <c r="D128" s="11">
        <v>9007</v>
      </c>
      <c r="E128" t="s">
        <v>105</v>
      </c>
      <c r="F128">
        <v>18</v>
      </c>
      <c r="G128" t="str">
        <f>_xlfn.XLOOKUP(E128,'Base SKUs'!E:E,'Base SKUs'!D:D)</f>
        <v>Thermowood</v>
      </c>
      <c r="H128" s="10">
        <f>_xlfn.XLOOKUP(E128,'Base SKUs'!E:E,'Base SKUs'!S:S)</f>
        <v>5.5062000000000002E-3</v>
      </c>
      <c r="I128" s="9">
        <f t="shared" si="1"/>
        <v>9.9000000000000005E-2</v>
      </c>
      <c r="J128" t="str">
        <f>_xlfn.XLOOKUP(E128,'Base SKUs'!E:E,'Base SKUs'!G:G)</f>
        <v>Maximo Thermo Clear Radiata</v>
      </c>
      <c r="K128" t="str">
        <f>_xlfn.XLOOKUP(E128,'Base SKUs'!E:E,'Base SKUs'!H:H)</f>
        <v>S4S E4E</v>
      </c>
      <c r="L128" t="str">
        <f>_xlfn.XLOOKUP(E128,'Base SKUs'!E:E,'Base SKUs'!I:I)</f>
        <v>OPX</v>
      </c>
      <c r="M128" t="str">
        <f>_xlfn.XLOOKUP(E128,'Base SKUs'!E:E,'Base SKUs'!J:J)</f>
        <v>1x6</v>
      </c>
      <c r="N128">
        <f>_xlfn.XLOOKUP(E128,'Base SKUs'!E:E,'Base SKUs'!K:K)</f>
        <v>7</v>
      </c>
      <c r="O128" t="str">
        <f>_xlfn.XLOOKUP(E128,'Base SKUs'!E:E,'Base SKUs'!C:C)</f>
        <v>Short</v>
      </c>
      <c r="P128" t="s">
        <v>4927</v>
      </c>
    </row>
    <row r="129" spans="1:16" x14ac:dyDescent="0.25">
      <c r="A129" t="s">
        <v>4867</v>
      </c>
      <c r="B129" t="s">
        <v>4839</v>
      </c>
      <c r="C129" t="s">
        <v>4840</v>
      </c>
      <c r="D129" s="11">
        <v>9007</v>
      </c>
      <c r="E129" t="s">
        <v>106</v>
      </c>
      <c r="F129">
        <v>6</v>
      </c>
      <c r="G129" t="str">
        <f>_xlfn.XLOOKUP(E129,'Base SKUs'!E:E,'Base SKUs'!D:D)</f>
        <v>Thermowood</v>
      </c>
      <c r="H129" s="10">
        <f>_xlfn.XLOOKUP(E129,'Base SKUs'!E:E,'Base SKUs'!S:S)</f>
        <v>7.0794000000000004E-3</v>
      </c>
      <c r="I129" s="9">
        <f t="shared" si="1"/>
        <v>4.2000000000000003E-2</v>
      </c>
      <c r="J129" t="str">
        <f>_xlfn.XLOOKUP(E129,'Base SKUs'!E:E,'Base SKUs'!G:G)</f>
        <v>Maximo Thermo Clear Radiata</v>
      </c>
      <c r="K129" t="str">
        <f>_xlfn.XLOOKUP(E129,'Base SKUs'!E:E,'Base SKUs'!H:H)</f>
        <v>S4S E4E</v>
      </c>
      <c r="L129" t="str">
        <f>_xlfn.XLOOKUP(E129,'Base SKUs'!E:E,'Base SKUs'!I:I)</f>
        <v>OPX</v>
      </c>
      <c r="M129" t="str">
        <f>_xlfn.XLOOKUP(E129,'Base SKUs'!E:E,'Base SKUs'!J:J)</f>
        <v>1x6</v>
      </c>
      <c r="N129">
        <f>_xlfn.XLOOKUP(E129,'Base SKUs'!E:E,'Base SKUs'!K:K)</f>
        <v>9</v>
      </c>
      <c r="O129" t="str">
        <f>_xlfn.XLOOKUP(E129,'Base SKUs'!E:E,'Base SKUs'!C:C)</f>
        <v>Long</v>
      </c>
      <c r="P129" t="s">
        <v>4927</v>
      </c>
    </row>
    <row r="130" spans="1:16" x14ac:dyDescent="0.25">
      <c r="A130" t="s">
        <v>4867</v>
      </c>
      <c r="B130" t="s">
        <v>4839</v>
      </c>
      <c r="C130" t="s">
        <v>4840</v>
      </c>
      <c r="D130" s="11">
        <v>9007</v>
      </c>
      <c r="E130" t="s">
        <v>107</v>
      </c>
      <c r="F130">
        <v>1</v>
      </c>
      <c r="G130" t="str">
        <f>_xlfn.XLOOKUP(E130,'Base SKUs'!E:E,'Base SKUs'!D:D)</f>
        <v>Thermowood</v>
      </c>
      <c r="H130" s="10">
        <f>_xlfn.XLOOKUP(E130,'Base SKUs'!E:E,'Base SKUs'!S:S)</f>
        <v>7.8659999999999997E-3</v>
      </c>
      <c r="I130" s="9">
        <f t="shared" ref="I130:I193" si="2">IF(OR(G130="Norx",K130="Tiles"),ROUND(F130,3),ROUND(F130*H130,3))</f>
        <v>8.0000000000000002E-3</v>
      </c>
      <c r="J130" t="str">
        <f>_xlfn.XLOOKUP(E130,'Base SKUs'!E:E,'Base SKUs'!G:G)</f>
        <v>Maximo Thermo Clear Radiata</v>
      </c>
      <c r="K130" t="str">
        <f>_xlfn.XLOOKUP(E130,'Base SKUs'!E:E,'Base SKUs'!H:H)</f>
        <v>S4S E4E</v>
      </c>
      <c r="L130" t="str">
        <f>_xlfn.XLOOKUP(E130,'Base SKUs'!E:E,'Base SKUs'!I:I)</f>
        <v>OPX</v>
      </c>
      <c r="M130" t="str">
        <f>_xlfn.XLOOKUP(E130,'Base SKUs'!E:E,'Base SKUs'!J:J)</f>
        <v>1x6</v>
      </c>
      <c r="N130">
        <f>_xlfn.XLOOKUP(E130,'Base SKUs'!E:E,'Base SKUs'!K:K)</f>
        <v>10</v>
      </c>
      <c r="O130" t="str">
        <f>_xlfn.XLOOKUP(E130,'Base SKUs'!E:E,'Base SKUs'!C:C)</f>
        <v>Long</v>
      </c>
      <c r="P130" t="s">
        <v>4927</v>
      </c>
    </row>
    <row r="131" spans="1:16" x14ac:dyDescent="0.25">
      <c r="A131" t="s">
        <v>4867</v>
      </c>
      <c r="B131" t="s">
        <v>4839</v>
      </c>
      <c r="C131" t="s">
        <v>4840</v>
      </c>
      <c r="D131" s="11">
        <v>9007</v>
      </c>
      <c r="E131" t="s">
        <v>108</v>
      </c>
      <c r="F131">
        <v>8</v>
      </c>
      <c r="G131" t="str">
        <f>_xlfn.XLOOKUP(E131,'Base SKUs'!E:E,'Base SKUs'!D:D)</f>
        <v>Thermowood</v>
      </c>
      <c r="H131" s="10">
        <f>_xlfn.XLOOKUP(E131,'Base SKUs'!E:E,'Base SKUs'!S:S)</f>
        <v>9.4392E-3</v>
      </c>
      <c r="I131" s="9">
        <f t="shared" si="2"/>
        <v>7.5999999999999998E-2</v>
      </c>
      <c r="J131" t="str">
        <f>_xlfn.XLOOKUP(E131,'Base SKUs'!E:E,'Base SKUs'!G:G)</f>
        <v>Maximo Thermo Clear Radiata</v>
      </c>
      <c r="K131" t="str">
        <f>_xlfn.XLOOKUP(E131,'Base SKUs'!E:E,'Base SKUs'!H:H)</f>
        <v>S4S E4E</v>
      </c>
      <c r="L131" t="str">
        <f>_xlfn.XLOOKUP(E131,'Base SKUs'!E:E,'Base SKUs'!I:I)</f>
        <v>OPX</v>
      </c>
      <c r="M131" t="str">
        <f>_xlfn.XLOOKUP(E131,'Base SKUs'!E:E,'Base SKUs'!J:J)</f>
        <v>1x6</v>
      </c>
      <c r="N131">
        <f>_xlfn.XLOOKUP(E131,'Base SKUs'!E:E,'Base SKUs'!K:K)</f>
        <v>12</v>
      </c>
      <c r="O131" t="str">
        <f>_xlfn.XLOOKUP(E131,'Base SKUs'!E:E,'Base SKUs'!C:C)</f>
        <v>Long</v>
      </c>
      <c r="P131" t="s">
        <v>4927</v>
      </c>
    </row>
    <row r="132" spans="1:16" x14ac:dyDescent="0.25">
      <c r="A132" t="s">
        <v>4867</v>
      </c>
      <c r="B132" t="s">
        <v>4839</v>
      </c>
      <c r="C132" t="s">
        <v>4840</v>
      </c>
      <c r="D132" s="11">
        <v>9007</v>
      </c>
      <c r="E132" t="s">
        <v>109</v>
      </c>
      <c r="F132">
        <v>4</v>
      </c>
      <c r="G132" t="str">
        <f>_xlfn.XLOOKUP(E132,'Base SKUs'!E:E,'Base SKUs'!D:D)</f>
        <v>Thermowood</v>
      </c>
      <c r="H132" s="10">
        <f>_xlfn.XLOOKUP(E132,'Base SKUs'!E:E,'Base SKUs'!S:S)</f>
        <v>1.10124E-2</v>
      </c>
      <c r="I132" s="9">
        <f t="shared" si="2"/>
        <v>4.3999999999999997E-2</v>
      </c>
      <c r="J132" t="str">
        <f>_xlfn.XLOOKUP(E132,'Base SKUs'!E:E,'Base SKUs'!G:G)</f>
        <v>Maximo Thermo Clear Radiata</v>
      </c>
      <c r="K132" t="str">
        <f>_xlfn.XLOOKUP(E132,'Base SKUs'!E:E,'Base SKUs'!H:H)</f>
        <v>S4S E4E</v>
      </c>
      <c r="L132" t="str">
        <f>_xlfn.XLOOKUP(E132,'Base SKUs'!E:E,'Base SKUs'!I:I)</f>
        <v>OPX</v>
      </c>
      <c r="M132" t="str">
        <f>_xlfn.XLOOKUP(E132,'Base SKUs'!E:E,'Base SKUs'!J:J)</f>
        <v>1x6</v>
      </c>
      <c r="N132">
        <f>_xlfn.XLOOKUP(E132,'Base SKUs'!E:E,'Base SKUs'!K:K)</f>
        <v>14</v>
      </c>
      <c r="O132" t="str">
        <f>_xlfn.XLOOKUP(E132,'Base SKUs'!E:E,'Base SKUs'!C:C)</f>
        <v>Long</v>
      </c>
      <c r="P132" t="s">
        <v>4927</v>
      </c>
    </row>
    <row r="133" spans="1:16" x14ac:dyDescent="0.25">
      <c r="A133" t="s">
        <v>4867</v>
      </c>
      <c r="B133" t="s">
        <v>4839</v>
      </c>
      <c r="C133" t="s">
        <v>4840</v>
      </c>
      <c r="D133" s="11">
        <v>9007</v>
      </c>
      <c r="E133" t="s">
        <v>93</v>
      </c>
      <c r="F133">
        <v>1</v>
      </c>
      <c r="G133" t="str">
        <f>_xlfn.XLOOKUP(E133,'Base SKUs'!E:E,'Base SKUs'!D:D)</f>
        <v>Thermowood</v>
      </c>
      <c r="H133" s="10">
        <f>_xlfn.XLOOKUP(E133,'Base SKUs'!E:E,'Base SKUs'!S:S)</f>
        <v>1.2585600000000001E-2</v>
      </c>
      <c r="I133" s="9">
        <f t="shared" si="2"/>
        <v>1.2999999999999999E-2</v>
      </c>
      <c r="J133" t="str">
        <f>_xlfn.XLOOKUP(E133,'Base SKUs'!E:E,'Base SKUs'!G:G)</f>
        <v>Maximo Thermo Clear Radiata</v>
      </c>
      <c r="K133" t="str">
        <f>_xlfn.XLOOKUP(E133,'Base SKUs'!E:E,'Base SKUs'!H:H)</f>
        <v>S4S E4E</v>
      </c>
      <c r="L133" t="str">
        <f>_xlfn.XLOOKUP(E133,'Base SKUs'!E:E,'Base SKUs'!I:I)</f>
        <v>OPX</v>
      </c>
      <c r="M133" t="str">
        <f>_xlfn.XLOOKUP(E133,'Base SKUs'!E:E,'Base SKUs'!J:J)</f>
        <v>1x6</v>
      </c>
      <c r="N133">
        <f>_xlfn.XLOOKUP(E133,'Base SKUs'!E:E,'Base SKUs'!K:K)</f>
        <v>16</v>
      </c>
      <c r="O133" t="str">
        <f>_xlfn.XLOOKUP(E133,'Base SKUs'!E:E,'Base SKUs'!C:C)</f>
        <v>Long</v>
      </c>
      <c r="P133" t="s">
        <v>4927</v>
      </c>
    </row>
    <row r="134" spans="1:16" x14ac:dyDescent="0.25">
      <c r="A134" t="s">
        <v>4867</v>
      </c>
      <c r="B134" t="s">
        <v>4839</v>
      </c>
      <c r="C134" t="s">
        <v>4840</v>
      </c>
      <c r="D134" s="11">
        <v>9007</v>
      </c>
      <c r="E134" t="s">
        <v>100</v>
      </c>
      <c r="F134">
        <v>3</v>
      </c>
      <c r="G134" t="str">
        <f>_xlfn.XLOOKUP(E134,'Base SKUs'!E:E,'Base SKUs'!D:D)</f>
        <v>Thermowood</v>
      </c>
      <c r="H134" s="10">
        <f>_xlfn.XLOOKUP(E134,'Base SKUs'!E:E,'Base SKUs'!S:S)</f>
        <v>1.1970000000000001E-2</v>
      </c>
      <c r="I134" s="9">
        <f t="shared" si="2"/>
        <v>3.5999999999999997E-2</v>
      </c>
      <c r="J134" t="str">
        <f>_xlfn.XLOOKUP(E134,'Base SKUs'!E:E,'Base SKUs'!G:G)</f>
        <v>Maximo Thermo Ayous</v>
      </c>
      <c r="K134" t="str">
        <f>_xlfn.XLOOKUP(E134,'Base SKUs'!E:E,'Base SKUs'!H:H)</f>
        <v>VJoint - Square Back</v>
      </c>
      <c r="L134" t="str">
        <f>_xlfn.XLOOKUP(E134,'Base SKUs'!E:E,'Base SKUs'!I:I)</f>
        <v>-</v>
      </c>
      <c r="M134" t="str">
        <f>_xlfn.XLOOKUP(E134,'Base SKUs'!E:E,'Base SKUs'!J:J)</f>
        <v>1x6</v>
      </c>
      <c r="N134">
        <f>_xlfn.XLOOKUP(E134,'Base SKUs'!E:E,'Base SKUs'!K:K)</f>
        <v>15</v>
      </c>
      <c r="O134" t="str">
        <f>_xlfn.XLOOKUP(E134,'Base SKUs'!E:E,'Base SKUs'!C:C)</f>
        <v>Long</v>
      </c>
      <c r="P134" t="s">
        <v>4927</v>
      </c>
    </row>
    <row r="135" spans="1:16" x14ac:dyDescent="0.25">
      <c r="A135" t="s">
        <v>4868</v>
      </c>
      <c r="B135" t="s">
        <v>4839</v>
      </c>
      <c r="C135" t="s">
        <v>4840</v>
      </c>
      <c r="D135" s="11">
        <v>9007</v>
      </c>
      <c r="E135" t="s">
        <v>69</v>
      </c>
      <c r="F135">
        <v>15</v>
      </c>
      <c r="G135" t="str">
        <f>_xlfn.XLOOKUP(E135,'Base SKUs'!E:E,'Base SKUs'!D:D)</f>
        <v>Thermowood</v>
      </c>
      <c r="H135" s="10">
        <f>_xlfn.XLOOKUP(E135,'Base SKUs'!E:E,'Base SKUs'!S:S)</f>
        <v>5.2439999999999995E-3</v>
      </c>
      <c r="I135" s="9">
        <f t="shared" si="2"/>
        <v>7.9000000000000001E-2</v>
      </c>
      <c r="J135" t="str">
        <f>_xlfn.XLOOKUP(E135,'Base SKUs'!E:E,'Base SKUs'!G:G)</f>
        <v>Maximo Thermo Ayous</v>
      </c>
      <c r="K135" t="str">
        <f>_xlfn.XLOOKUP(E135,'Base SKUs'!E:E,'Base SKUs'!H:H)</f>
        <v>VJoint - Square Back</v>
      </c>
      <c r="L135" t="str">
        <f>_xlfn.XLOOKUP(E135,'Base SKUs'!E:E,'Base SKUs'!I:I)</f>
        <v>-</v>
      </c>
      <c r="M135" t="str">
        <f>_xlfn.XLOOKUP(E135,'Base SKUs'!E:E,'Base SKUs'!J:J)</f>
        <v>1x4</v>
      </c>
      <c r="N135">
        <f>_xlfn.XLOOKUP(E135,'Base SKUs'!E:E,'Base SKUs'!K:K)</f>
        <v>10</v>
      </c>
      <c r="O135" t="str">
        <f>_xlfn.XLOOKUP(E135,'Base SKUs'!E:E,'Base SKUs'!C:C)</f>
        <v>Long</v>
      </c>
      <c r="P135" t="s">
        <v>4927</v>
      </c>
    </row>
    <row r="136" spans="1:16" x14ac:dyDescent="0.25">
      <c r="A136" t="s">
        <v>4868</v>
      </c>
      <c r="B136" t="s">
        <v>4839</v>
      </c>
      <c r="C136" t="s">
        <v>4840</v>
      </c>
      <c r="D136" s="11">
        <v>9007</v>
      </c>
      <c r="E136" t="s">
        <v>110</v>
      </c>
      <c r="F136">
        <v>10</v>
      </c>
      <c r="G136" t="str">
        <f>_xlfn.XLOOKUP(E136,'Base SKUs'!E:E,'Base SKUs'!D:D)</f>
        <v>Thermowood</v>
      </c>
      <c r="H136" s="10">
        <f>_xlfn.XLOOKUP(E136,'Base SKUs'!E:E,'Base SKUs'!S:S)</f>
        <v>7.3415999999999993E-3</v>
      </c>
      <c r="I136" s="9">
        <f t="shared" si="2"/>
        <v>7.2999999999999995E-2</v>
      </c>
      <c r="J136" t="str">
        <f>_xlfn.XLOOKUP(E136,'Base SKUs'!E:E,'Base SKUs'!G:G)</f>
        <v>Maximo Thermo Ayous</v>
      </c>
      <c r="K136" t="str">
        <f>_xlfn.XLOOKUP(E136,'Base SKUs'!E:E,'Base SKUs'!H:H)</f>
        <v>VJoint - Square Back</v>
      </c>
      <c r="L136" t="str">
        <f>_xlfn.XLOOKUP(E136,'Base SKUs'!E:E,'Base SKUs'!I:I)</f>
        <v>-</v>
      </c>
      <c r="M136" t="str">
        <f>_xlfn.XLOOKUP(E136,'Base SKUs'!E:E,'Base SKUs'!J:J)</f>
        <v>1x4</v>
      </c>
      <c r="N136">
        <f>_xlfn.XLOOKUP(E136,'Base SKUs'!E:E,'Base SKUs'!K:K)</f>
        <v>14</v>
      </c>
      <c r="O136" t="str">
        <f>_xlfn.XLOOKUP(E136,'Base SKUs'!E:E,'Base SKUs'!C:C)</f>
        <v>Long</v>
      </c>
      <c r="P136" t="s">
        <v>4927</v>
      </c>
    </row>
    <row r="137" spans="1:16" x14ac:dyDescent="0.25">
      <c r="A137" t="s">
        <v>4869</v>
      </c>
      <c r="B137" t="s">
        <v>4870</v>
      </c>
      <c r="C137" t="s">
        <v>4871</v>
      </c>
      <c r="D137" s="11">
        <v>9007</v>
      </c>
      <c r="E137" t="s">
        <v>111</v>
      </c>
      <c r="F137">
        <v>39</v>
      </c>
      <c r="G137" t="str">
        <f>_xlfn.XLOOKUP(E137,'Base SKUs'!E:E,'Base SKUs'!D:D)</f>
        <v>Hardwoods</v>
      </c>
      <c r="H137" s="10">
        <f>_xlfn.XLOOKUP(E137,'Base SKUs'!E:E,'Base SKUs'!S:S)</f>
        <v>4.0557983399999997E-3</v>
      </c>
      <c r="I137" s="9">
        <f t="shared" si="2"/>
        <v>0.158</v>
      </c>
      <c r="J137" t="str">
        <f>_xlfn.XLOOKUP(E137,'Base SKUs'!E:E,'Base SKUs'!G:G)</f>
        <v>Cumaru</v>
      </c>
      <c r="K137" t="str">
        <f>_xlfn.XLOOKUP(E137,'Base SKUs'!E:E,'Base SKUs'!H:H)</f>
        <v>S4S E4E</v>
      </c>
      <c r="L137" t="str">
        <f>_xlfn.XLOOKUP(E137,'Base SKUs'!E:E,'Base SKUs'!I:I)</f>
        <v>-</v>
      </c>
      <c r="M137" t="str">
        <f>_xlfn.XLOOKUP(E137,'Base SKUs'!E:E,'Base SKUs'!J:J)</f>
        <v>1x6</v>
      </c>
      <c r="N137">
        <f>_xlfn.XLOOKUP(E137,'Base SKUs'!E:E,'Base SKUs'!K:K)</f>
        <v>5</v>
      </c>
      <c r="O137" t="str">
        <f>_xlfn.XLOOKUP(E137,'Base SKUs'!E:E,'Base SKUs'!C:C)</f>
        <v>Short</v>
      </c>
      <c r="P137" t="s">
        <v>4929</v>
      </c>
    </row>
    <row r="138" spans="1:16" x14ac:dyDescent="0.25">
      <c r="A138" t="s">
        <v>4869</v>
      </c>
      <c r="B138" t="s">
        <v>4870</v>
      </c>
      <c r="C138" t="s">
        <v>4871</v>
      </c>
      <c r="D138" s="11">
        <v>9007</v>
      </c>
      <c r="E138" t="s">
        <v>112</v>
      </c>
      <c r="F138">
        <v>1</v>
      </c>
      <c r="G138" t="str">
        <f>_xlfn.XLOOKUP(E138,'Base SKUs'!E:E,'Base SKUs'!D:D)</f>
        <v>Hardwoods</v>
      </c>
      <c r="H138" s="10">
        <f>_xlfn.XLOOKUP(E138,'Base SKUs'!E:E,'Base SKUs'!S:S)</f>
        <v>7.3004370119999999E-3</v>
      </c>
      <c r="I138" s="9">
        <f t="shared" si="2"/>
        <v>7.0000000000000001E-3</v>
      </c>
      <c r="J138" t="str">
        <f>_xlfn.XLOOKUP(E138,'Base SKUs'!E:E,'Base SKUs'!G:G)</f>
        <v>Cumaru</v>
      </c>
      <c r="K138" t="str">
        <f>_xlfn.XLOOKUP(E138,'Base SKUs'!E:E,'Base SKUs'!H:H)</f>
        <v>S4S E4E</v>
      </c>
      <c r="L138" t="str">
        <f>_xlfn.XLOOKUP(E138,'Base SKUs'!E:E,'Base SKUs'!I:I)</f>
        <v>-</v>
      </c>
      <c r="M138" t="str">
        <f>_xlfn.XLOOKUP(E138,'Base SKUs'!E:E,'Base SKUs'!J:J)</f>
        <v>1x6</v>
      </c>
      <c r="N138">
        <f>_xlfn.XLOOKUP(E138,'Base SKUs'!E:E,'Base SKUs'!K:K)</f>
        <v>9</v>
      </c>
      <c r="O138" t="str">
        <f>_xlfn.XLOOKUP(E138,'Base SKUs'!E:E,'Base SKUs'!C:C)</f>
        <v>Long</v>
      </c>
      <c r="P138" t="s">
        <v>4929</v>
      </c>
    </row>
    <row r="139" spans="1:16" x14ac:dyDescent="0.25">
      <c r="A139" t="s">
        <v>4869</v>
      </c>
      <c r="B139" t="s">
        <v>4870</v>
      </c>
      <c r="C139" t="s">
        <v>4871</v>
      </c>
      <c r="D139" s="11">
        <v>9007</v>
      </c>
      <c r="E139" t="s">
        <v>113</v>
      </c>
      <c r="F139">
        <v>11</v>
      </c>
      <c r="G139" t="str">
        <f>_xlfn.XLOOKUP(E139,'Base SKUs'!E:E,'Base SKUs'!D:D)</f>
        <v>Hardwoods</v>
      </c>
      <c r="H139" s="10">
        <f>_xlfn.XLOOKUP(E139,'Base SKUs'!E:E,'Base SKUs'!S:S)</f>
        <v>1.2861796857E-2</v>
      </c>
      <c r="I139" s="9">
        <f t="shared" si="2"/>
        <v>0.14099999999999999</v>
      </c>
      <c r="J139" t="str">
        <f>_xlfn.XLOOKUP(E139,'Base SKUs'!E:E,'Base SKUs'!G:G)</f>
        <v>Cumaru</v>
      </c>
      <c r="K139" t="str">
        <f>_xlfn.XLOOKUP(E139,'Base SKUs'!E:E,'Base SKUs'!H:H)</f>
        <v>S4S E4E</v>
      </c>
      <c r="L139" t="str">
        <f>_xlfn.XLOOKUP(E139,'Base SKUs'!E:E,'Base SKUs'!I:I)</f>
        <v>-</v>
      </c>
      <c r="M139" t="str">
        <f>_xlfn.XLOOKUP(E139,'Base SKUs'!E:E,'Base SKUs'!J:J)</f>
        <v>1x6 Plus</v>
      </c>
      <c r="N139">
        <f>_xlfn.XLOOKUP(E139,'Base SKUs'!E:E,'Base SKUs'!K:K)</f>
        <v>13</v>
      </c>
      <c r="O139" t="str">
        <f>_xlfn.XLOOKUP(E139,'Base SKUs'!E:E,'Base SKUs'!C:C)</f>
        <v>Long</v>
      </c>
      <c r="P139" t="s">
        <v>4929</v>
      </c>
    </row>
    <row r="140" spans="1:16" x14ac:dyDescent="0.25">
      <c r="A140" t="s">
        <v>4869</v>
      </c>
      <c r="B140" t="s">
        <v>4870</v>
      </c>
      <c r="C140" t="s">
        <v>4871</v>
      </c>
      <c r="D140" s="11">
        <v>9007</v>
      </c>
      <c r="E140" t="s">
        <v>114</v>
      </c>
      <c r="F140">
        <v>14</v>
      </c>
      <c r="G140" t="str">
        <f>_xlfn.XLOOKUP(E140,'Base SKUs'!E:E,'Base SKUs'!D:D)</f>
        <v>Hardwoods</v>
      </c>
      <c r="H140" s="10">
        <f>_xlfn.XLOOKUP(E140,'Base SKUs'!E:E,'Base SKUs'!S:S)</f>
        <v>1.3789714356000002E-2</v>
      </c>
      <c r="I140" s="9">
        <f t="shared" si="2"/>
        <v>0.193</v>
      </c>
      <c r="J140" t="str">
        <f>_xlfn.XLOOKUP(E140,'Base SKUs'!E:E,'Base SKUs'!G:G)</f>
        <v>Cumaru</v>
      </c>
      <c r="K140" t="str">
        <f>_xlfn.XLOOKUP(E140,'Base SKUs'!E:E,'Base SKUs'!H:H)</f>
        <v>S4S E4E</v>
      </c>
      <c r="L140" t="str">
        <f>_xlfn.XLOOKUP(E140,'Base SKUs'!E:E,'Base SKUs'!I:I)</f>
        <v>-</v>
      </c>
      <c r="M140" t="str">
        <f>_xlfn.XLOOKUP(E140,'Base SKUs'!E:E,'Base SKUs'!J:J)</f>
        <v>1x6</v>
      </c>
      <c r="N140">
        <f>_xlfn.XLOOKUP(E140,'Base SKUs'!E:E,'Base SKUs'!K:K)</f>
        <v>17</v>
      </c>
      <c r="O140" t="str">
        <f>_xlfn.XLOOKUP(E140,'Base SKUs'!E:E,'Base SKUs'!C:C)</f>
        <v>Long</v>
      </c>
      <c r="P140" t="s">
        <v>4929</v>
      </c>
    </row>
    <row r="141" spans="1:16" x14ac:dyDescent="0.25">
      <c r="A141" t="s">
        <v>4872</v>
      </c>
      <c r="B141" t="s">
        <v>4839</v>
      </c>
      <c r="C141" t="s">
        <v>4840</v>
      </c>
      <c r="D141" s="11">
        <v>9007</v>
      </c>
      <c r="E141" t="s">
        <v>44</v>
      </c>
      <c r="F141">
        <v>1</v>
      </c>
      <c r="G141" t="str">
        <f>_xlfn.XLOOKUP(E141,'Base SKUs'!E:E,'Base SKUs'!D:D)</f>
        <v>Thermowood</v>
      </c>
      <c r="H141" s="10">
        <f>_xlfn.XLOOKUP(E141,'Base SKUs'!E:E,'Base SKUs'!S:S)</f>
        <v>7.8659999999999997E-3</v>
      </c>
      <c r="I141" s="9">
        <f t="shared" si="2"/>
        <v>8.0000000000000002E-3</v>
      </c>
      <c r="J141" t="str">
        <f>_xlfn.XLOOKUP(E141,'Base SKUs'!E:E,'Base SKUs'!G:G)</f>
        <v>Maximo Thermo Clear Radiata</v>
      </c>
      <c r="K141" t="str">
        <f>_xlfn.XLOOKUP(E141,'Base SKUs'!E:E,'Base SKUs'!H:H)</f>
        <v>Nickel Gap</v>
      </c>
      <c r="L141" t="str">
        <f>_xlfn.XLOOKUP(E141,'Base SKUs'!E:E,'Base SKUs'!I:I)</f>
        <v>OPX</v>
      </c>
      <c r="M141" t="str">
        <f>_xlfn.XLOOKUP(E141,'Base SKUs'!E:E,'Base SKUs'!J:J)</f>
        <v>1x6</v>
      </c>
      <c r="N141">
        <f>_xlfn.XLOOKUP(E141,'Base SKUs'!E:E,'Base SKUs'!K:K)</f>
        <v>10</v>
      </c>
      <c r="O141" t="str">
        <f>_xlfn.XLOOKUP(E141,'Base SKUs'!E:E,'Base SKUs'!C:C)</f>
        <v>Long</v>
      </c>
      <c r="P141" t="s">
        <v>4927</v>
      </c>
    </row>
    <row r="142" spans="1:16" x14ac:dyDescent="0.25">
      <c r="A142" t="s">
        <v>4872</v>
      </c>
      <c r="B142" t="s">
        <v>4839</v>
      </c>
      <c r="C142" t="s">
        <v>4840</v>
      </c>
      <c r="D142" s="11">
        <v>9007</v>
      </c>
      <c r="E142" t="s">
        <v>119</v>
      </c>
      <c r="F142">
        <v>2</v>
      </c>
      <c r="G142" t="str">
        <f>_xlfn.XLOOKUP(E142,'Base SKUs'!E:E,'Base SKUs'!D:D)</f>
        <v>Thermowood</v>
      </c>
      <c r="H142" s="10">
        <f>_xlfn.XLOOKUP(E142,'Base SKUs'!E:E,'Base SKUs'!S:S)</f>
        <v>1.10124E-2</v>
      </c>
      <c r="I142" s="9">
        <f t="shared" si="2"/>
        <v>2.1999999999999999E-2</v>
      </c>
      <c r="J142" t="str">
        <f>_xlfn.XLOOKUP(E142,'Base SKUs'!E:E,'Base SKUs'!G:G)</f>
        <v>Maximo Thermo Clear Radiata</v>
      </c>
      <c r="K142" t="str">
        <f>_xlfn.XLOOKUP(E142,'Base SKUs'!E:E,'Base SKUs'!H:H)</f>
        <v>Nickel Gap</v>
      </c>
      <c r="L142" t="str">
        <f>_xlfn.XLOOKUP(E142,'Base SKUs'!E:E,'Base SKUs'!I:I)</f>
        <v>OPX</v>
      </c>
      <c r="M142" t="str">
        <f>_xlfn.XLOOKUP(E142,'Base SKUs'!E:E,'Base SKUs'!J:J)</f>
        <v>1x6</v>
      </c>
      <c r="N142">
        <f>_xlfn.XLOOKUP(E142,'Base SKUs'!E:E,'Base SKUs'!K:K)</f>
        <v>14</v>
      </c>
      <c r="O142" t="str">
        <f>_xlfn.XLOOKUP(E142,'Base SKUs'!E:E,'Base SKUs'!C:C)</f>
        <v>Long</v>
      </c>
      <c r="P142" t="s">
        <v>4927</v>
      </c>
    </row>
    <row r="143" spans="1:16" x14ac:dyDescent="0.25">
      <c r="A143" t="s">
        <v>4872</v>
      </c>
      <c r="B143" t="s">
        <v>4839</v>
      </c>
      <c r="C143" t="s">
        <v>4840</v>
      </c>
      <c r="D143" s="11">
        <v>9007</v>
      </c>
      <c r="E143" t="s">
        <v>120</v>
      </c>
      <c r="F143">
        <v>5</v>
      </c>
      <c r="G143" t="str">
        <f>_xlfn.XLOOKUP(E143,'Base SKUs'!E:E,'Base SKUs'!D:D)</f>
        <v>Thermowood</v>
      </c>
      <c r="H143" s="10">
        <f>_xlfn.XLOOKUP(E143,'Base SKUs'!E:E,'Base SKUs'!S:S)</f>
        <v>1.4158800000000001E-2</v>
      </c>
      <c r="I143" s="9">
        <f t="shared" si="2"/>
        <v>7.0999999999999994E-2</v>
      </c>
      <c r="J143" t="str">
        <f>_xlfn.XLOOKUP(E143,'Base SKUs'!E:E,'Base SKUs'!G:G)</f>
        <v>Maximo Thermo Clear Radiata</v>
      </c>
      <c r="K143" t="str">
        <f>_xlfn.XLOOKUP(E143,'Base SKUs'!E:E,'Base SKUs'!H:H)</f>
        <v>Nickel Gap</v>
      </c>
      <c r="L143" t="str">
        <f>_xlfn.XLOOKUP(E143,'Base SKUs'!E:E,'Base SKUs'!I:I)</f>
        <v>OPX</v>
      </c>
      <c r="M143" t="str">
        <f>_xlfn.XLOOKUP(E143,'Base SKUs'!E:E,'Base SKUs'!J:J)</f>
        <v>1x6</v>
      </c>
      <c r="N143">
        <f>_xlfn.XLOOKUP(E143,'Base SKUs'!E:E,'Base SKUs'!K:K)</f>
        <v>18</v>
      </c>
      <c r="O143" t="str">
        <f>_xlfn.XLOOKUP(E143,'Base SKUs'!E:E,'Base SKUs'!C:C)</f>
        <v>Long</v>
      </c>
      <c r="P143" t="s">
        <v>4927</v>
      </c>
    </row>
    <row r="144" spans="1:16" x14ac:dyDescent="0.25">
      <c r="A144" t="s">
        <v>4873</v>
      </c>
      <c r="B144" t="s">
        <v>4844</v>
      </c>
      <c r="C144" t="s">
        <v>4845</v>
      </c>
      <c r="D144" s="11">
        <v>9007</v>
      </c>
      <c r="E144" t="s">
        <v>121</v>
      </c>
      <c r="F144">
        <v>1640</v>
      </c>
      <c r="G144" t="str">
        <f>_xlfn.XLOOKUP(E144,'Base SKUs'!E:E,'Base SKUs'!D:D)</f>
        <v>Hardwoods</v>
      </c>
      <c r="H144" s="10">
        <f>_xlfn.XLOOKUP(E144,'Base SKUs'!E:E,'Base SKUs'!S:S)</f>
        <v>8.1803360000000012E-4</v>
      </c>
      <c r="I144" s="9">
        <f t="shared" si="2"/>
        <v>1640</v>
      </c>
      <c r="J144" t="str">
        <f>_xlfn.XLOOKUP(E144,'Base SKUs'!E:E,'Base SKUs'!G:G)</f>
        <v>IpeB</v>
      </c>
      <c r="K144" t="str">
        <f>_xlfn.XLOOKUP(E144,'Base SKUs'!E:E,'Base SKUs'!H:H)</f>
        <v>Tiles</v>
      </c>
      <c r="L144" t="str">
        <f>_xlfn.XLOOKUP(E144,'Base SKUs'!E:E,'Base SKUs'!I:I)</f>
        <v>-</v>
      </c>
      <c r="M144" t="str">
        <f>_xlfn.XLOOKUP(E144,'Base SKUs'!E:E,'Base SKUs'!J:J)</f>
        <v>24x24</v>
      </c>
      <c r="N144">
        <f>_xlfn.XLOOKUP(E144,'Base SKUs'!E:E,'Base SKUs'!K:K)</f>
        <v>24</v>
      </c>
      <c r="O144" t="str">
        <f>_xlfn.XLOOKUP(E144,'Base SKUs'!E:E,'Base SKUs'!C:C)</f>
        <v>Tiles</v>
      </c>
      <c r="P144" t="s">
        <v>4927</v>
      </c>
    </row>
    <row r="145" spans="1:16" x14ac:dyDescent="0.25">
      <c r="A145" t="s">
        <v>4874</v>
      </c>
      <c r="B145" t="s">
        <v>4839</v>
      </c>
      <c r="C145" t="s">
        <v>4840</v>
      </c>
      <c r="D145" s="11">
        <v>9007</v>
      </c>
      <c r="E145" t="s">
        <v>97</v>
      </c>
      <c r="F145">
        <v>6</v>
      </c>
      <c r="G145" t="str">
        <f>_xlfn.XLOOKUP(E145,'Base SKUs'!E:E,'Base SKUs'!D:D)</f>
        <v>Thermowood</v>
      </c>
      <c r="H145" s="10">
        <f>_xlfn.XLOOKUP(E145,'Base SKUs'!E:E,'Base SKUs'!S:S)</f>
        <v>5.5859999999999998E-3</v>
      </c>
      <c r="I145" s="9">
        <f t="shared" si="2"/>
        <v>3.4000000000000002E-2</v>
      </c>
      <c r="J145" t="str">
        <f>_xlfn.XLOOKUP(E145,'Base SKUs'!E:E,'Base SKUs'!G:G)</f>
        <v>Maximo Thermo Ayous</v>
      </c>
      <c r="K145" t="str">
        <f>_xlfn.XLOOKUP(E145,'Base SKUs'!E:E,'Base SKUs'!H:H)</f>
        <v>VJoint - Nickel Gap</v>
      </c>
      <c r="L145" t="str">
        <f>_xlfn.XLOOKUP(E145,'Base SKUs'!E:E,'Base SKUs'!I:I)</f>
        <v>-</v>
      </c>
      <c r="M145" t="str">
        <f>_xlfn.XLOOKUP(E145,'Base SKUs'!E:E,'Base SKUs'!J:J)</f>
        <v>1x6</v>
      </c>
      <c r="N145">
        <f>_xlfn.XLOOKUP(E145,'Base SKUs'!E:E,'Base SKUs'!K:K)</f>
        <v>7</v>
      </c>
      <c r="O145" t="str">
        <f>_xlfn.XLOOKUP(E145,'Base SKUs'!E:E,'Base SKUs'!C:C)</f>
        <v>Short</v>
      </c>
      <c r="P145" t="s">
        <v>4927</v>
      </c>
    </row>
    <row r="146" spans="1:16" x14ac:dyDescent="0.25">
      <c r="A146" t="s">
        <v>4874</v>
      </c>
      <c r="B146" t="s">
        <v>4839</v>
      </c>
      <c r="C146" t="s">
        <v>4840</v>
      </c>
      <c r="D146" s="11">
        <v>9007</v>
      </c>
      <c r="E146" t="s">
        <v>14</v>
      </c>
      <c r="F146">
        <v>4</v>
      </c>
      <c r="G146" t="str">
        <f>_xlfn.XLOOKUP(E146,'Base SKUs'!E:E,'Base SKUs'!D:D)</f>
        <v>Thermowood</v>
      </c>
      <c r="H146" s="10">
        <f>_xlfn.XLOOKUP(E146,'Base SKUs'!E:E,'Base SKUs'!S:S)</f>
        <v>6.3839999999999999E-3</v>
      </c>
      <c r="I146" s="9">
        <f t="shared" si="2"/>
        <v>2.5999999999999999E-2</v>
      </c>
      <c r="J146" t="str">
        <f>_xlfn.XLOOKUP(E146,'Base SKUs'!E:E,'Base SKUs'!G:G)</f>
        <v>Maximo Thermo Ayous</v>
      </c>
      <c r="K146" t="str">
        <f>_xlfn.XLOOKUP(E146,'Base SKUs'!E:E,'Base SKUs'!H:H)</f>
        <v>VJoint - Nickel Gap</v>
      </c>
      <c r="L146" t="str">
        <f>_xlfn.XLOOKUP(E146,'Base SKUs'!E:E,'Base SKUs'!I:I)</f>
        <v>-</v>
      </c>
      <c r="M146" t="str">
        <f>_xlfn.XLOOKUP(E146,'Base SKUs'!E:E,'Base SKUs'!J:J)</f>
        <v>1x6</v>
      </c>
      <c r="N146">
        <f>_xlfn.XLOOKUP(E146,'Base SKUs'!E:E,'Base SKUs'!K:K)</f>
        <v>8</v>
      </c>
      <c r="O146" t="str">
        <f>_xlfn.XLOOKUP(E146,'Base SKUs'!E:E,'Base SKUs'!C:C)</f>
        <v>Long</v>
      </c>
      <c r="P146" t="s">
        <v>4927</v>
      </c>
    </row>
    <row r="147" spans="1:16" x14ac:dyDescent="0.25">
      <c r="A147" t="s">
        <v>4874</v>
      </c>
      <c r="B147" t="s">
        <v>4839</v>
      </c>
      <c r="C147" t="s">
        <v>4840</v>
      </c>
      <c r="D147" s="11">
        <v>9007</v>
      </c>
      <c r="E147" t="s">
        <v>122</v>
      </c>
      <c r="F147">
        <v>5</v>
      </c>
      <c r="G147" t="str">
        <f>_xlfn.XLOOKUP(E147,'Base SKUs'!E:E,'Base SKUs'!D:D)</f>
        <v>Thermowood</v>
      </c>
      <c r="H147" s="10">
        <f>_xlfn.XLOOKUP(E147,'Base SKUs'!E:E,'Base SKUs'!S:S)</f>
        <v>1.0374000000000001E-2</v>
      </c>
      <c r="I147" s="9">
        <f t="shared" si="2"/>
        <v>5.1999999999999998E-2</v>
      </c>
      <c r="J147" t="str">
        <f>_xlfn.XLOOKUP(E147,'Base SKUs'!E:E,'Base SKUs'!G:G)</f>
        <v>Maximo Thermo Ayous</v>
      </c>
      <c r="K147" t="str">
        <f>_xlfn.XLOOKUP(E147,'Base SKUs'!E:E,'Base SKUs'!H:H)</f>
        <v>VJoint - Nickel Gap</v>
      </c>
      <c r="L147" t="str">
        <f>_xlfn.XLOOKUP(E147,'Base SKUs'!E:E,'Base SKUs'!I:I)</f>
        <v>-</v>
      </c>
      <c r="M147" t="str">
        <f>_xlfn.XLOOKUP(E147,'Base SKUs'!E:E,'Base SKUs'!J:J)</f>
        <v>1x6</v>
      </c>
      <c r="N147">
        <f>_xlfn.XLOOKUP(E147,'Base SKUs'!E:E,'Base SKUs'!K:K)</f>
        <v>13</v>
      </c>
      <c r="O147" t="str">
        <f>_xlfn.XLOOKUP(E147,'Base SKUs'!E:E,'Base SKUs'!C:C)</f>
        <v>Long</v>
      </c>
      <c r="P147" t="s">
        <v>4927</v>
      </c>
    </row>
    <row r="148" spans="1:16" x14ac:dyDescent="0.25">
      <c r="A148" t="s">
        <v>4875</v>
      </c>
      <c r="B148" t="s">
        <v>4839</v>
      </c>
      <c r="C148" t="s">
        <v>4840</v>
      </c>
      <c r="D148" s="11">
        <v>9011</v>
      </c>
      <c r="E148" t="s">
        <v>123</v>
      </c>
      <c r="F148">
        <v>39</v>
      </c>
      <c r="G148" t="str">
        <f>_xlfn.XLOOKUP(E148,'Base SKUs'!E:E,'Base SKUs'!D:D)</f>
        <v>Hardwoods</v>
      </c>
      <c r="H148" s="10">
        <f>_xlfn.XLOOKUP(E148,'Base SKUs'!E:E,'Base SKUs'!S:S)</f>
        <v>8.1803360000000012E-4</v>
      </c>
      <c r="I148" s="9">
        <f t="shared" si="2"/>
        <v>39</v>
      </c>
      <c r="J148" t="str">
        <f>_xlfn.XLOOKUP(E148,'Base SKUs'!E:E,'Base SKUs'!G:G)</f>
        <v>Cumaru</v>
      </c>
      <c r="K148" t="str">
        <f>_xlfn.XLOOKUP(E148,'Base SKUs'!E:E,'Base SKUs'!H:H)</f>
        <v>Tiles</v>
      </c>
      <c r="L148" t="str">
        <f>_xlfn.XLOOKUP(E148,'Base SKUs'!E:E,'Base SKUs'!I:I)</f>
        <v>-</v>
      </c>
      <c r="M148" t="str">
        <f>_xlfn.XLOOKUP(E148,'Base SKUs'!E:E,'Base SKUs'!J:J)</f>
        <v>24x24</v>
      </c>
      <c r="N148">
        <f>_xlfn.XLOOKUP(E148,'Base SKUs'!E:E,'Base SKUs'!K:K)</f>
        <v>24</v>
      </c>
      <c r="O148" t="str">
        <f>_xlfn.XLOOKUP(E148,'Base SKUs'!E:E,'Base SKUs'!C:C)</f>
        <v>Tiles</v>
      </c>
      <c r="P148" t="s">
        <v>4927</v>
      </c>
    </row>
    <row r="149" spans="1:16" x14ac:dyDescent="0.25">
      <c r="A149" t="s">
        <v>4875</v>
      </c>
      <c r="B149" t="s">
        <v>4839</v>
      </c>
      <c r="C149" t="s">
        <v>4840</v>
      </c>
      <c r="D149" s="11">
        <v>9011</v>
      </c>
      <c r="E149" t="s">
        <v>124</v>
      </c>
      <c r="F149">
        <v>5</v>
      </c>
      <c r="G149" t="str">
        <f>_xlfn.XLOOKUP(E149,'Base SKUs'!E:E,'Base SKUs'!D:D)</f>
        <v>Hardwoods</v>
      </c>
      <c r="H149" s="10">
        <f>_xlfn.XLOOKUP(E149,'Base SKUs'!E:E,'Base SKUs'!S:S)</f>
        <v>5.3094087360000004E-3</v>
      </c>
      <c r="I149" s="9">
        <f t="shared" si="2"/>
        <v>2.7E-2</v>
      </c>
      <c r="J149" t="str">
        <f>_xlfn.XLOOKUP(E149,'Base SKUs'!E:E,'Base SKUs'!G:G)</f>
        <v>Ipe</v>
      </c>
      <c r="K149" t="str">
        <f>_xlfn.XLOOKUP(E149,'Base SKUs'!E:E,'Base SKUs'!H:H)</f>
        <v>S4S E4E</v>
      </c>
      <c r="L149" t="str">
        <f>_xlfn.XLOOKUP(E149,'Base SKUs'!E:E,'Base SKUs'!I:I)</f>
        <v>-</v>
      </c>
      <c r="M149" t="str">
        <f>_xlfn.XLOOKUP(E149,'Base SKUs'!E:E,'Base SKUs'!J:J)</f>
        <v>2x2</v>
      </c>
      <c r="N149">
        <f>_xlfn.XLOOKUP(E149,'Base SKUs'!E:E,'Base SKUs'!K:K)</f>
        <v>12</v>
      </c>
      <c r="O149" t="str">
        <f>_xlfn.XLOOKUP(E149,'Base SKUs'!E:E,'Base SKUs'!C:C)</f>
        <v>Long</v>
      </c>
      <c r="P149" t="s">
        <v>4927</v>
      </c>
    </row>
    <row r="150" spans="1:16" x14ac:dyDescent="0.25">
      <c r="A150" t="s">
        <v>4875</v>
      </c>
      <c r="B150" t="s">
        <v>4839</v>
      </c>
      <c r="C150" t="s">
        <v>4840</v>
      </c>
      <c r="D150" s="11">
        <v>9011</v>
      </c>
      <c r="E150" t="s">
        <v>125</v>
      </c>
      <c r="F150">
        <v>71</v>
      </c>
      <c r="G150" t="str">
        <f>_xlfn.XLOOKUP(E150,'Base SKUs'!E:E,'Base SKUs'!D:D)</f>
        <v>Hardwoods</v>
      </c>
      <c r="H150" s="10">
        <f>_xlfn.XLOOKUP(E150,'Base SKUs'!E:E,'Base SKUs'!S:S)</f>
        <v>7.9641131039999997E-3</v>
      </c>
      <c r="I150" s="9">
        <f t="shared" si="2"/>
        <v>0.56499999999999995</v>
      </c>
      <c r="J150" t="str">
        <f>_xlfn.XLOOKUP(E150,'Base SKUs'!E:E,'Base SKUs'!G:G)</f>
        <v>Ipe</v>
      </c>
      <c r="K150" t="str">
        <f>_xlfn.XLOOKUP(E150,'Base SKUs'!E:E,'Base SKUs'!H:H)</f>
        <v>S4S E4E</v>
      </c>
      <c r="L150" t="str">
        <f>_xlfn.XLOOKUP(E150,'Base SKUs'!E:E,'Base SKUs'!I:I)</f>
        <v>-</v>
      </c>
      <c r="M150" t="str">
        <f>_xlfn.XLOOKUP(E150,'Base SKUs'!E:E,'Base SKUs'!J:J)</f>
        <v>2x2</v>
      </c>
      <c r="N150">
        <f>_xlfn.XLOOKUP(E150,'Base SKUs'!E:E,'Base SKUs'!K:K)</f>
        <v>18</v>
      </c>
      <c r="O150" t="str">
        <f>_xlfn.XLOOKUP(E150,'Base SKUs'!E:E,'Base SKUs'!C:C)</f>
        <v>Long</v>
      </c>
      <c r="P150" t="s">
        <v>4927</v>
      </c>
    </row>
    <row r="151" spans="1:16" x14ac:dyDescent="0.25">
      <c r="A151" t="s">
        <v>4875</v>
      </c>
      <c r="B151" t="s">
        <v>4839</v>
      </c>
      <c r="C151" t="s">
        <v>4840</v>
      </c>
      <c r="D151" s="11">
        <v>9011</v>
      </c>
      <c r="E151" t="s">
        <v>126</v>
      </c>
      <c r="F151">
        <v>31</v>
      </c>
      <c r="G151" t="str">
        <f>_xlfn.XLOOKUP(E151,'Base SKUs'!E:E,'Base SKUs'!D:D)</f>
        <v>Hardwoods</v>
      </c>
      <c r="H151" s="10">
        <f>_xlfn.XLOOKUP(E151,'Base SKUs'!E:E,'Base SKUs'!S:S)</f>
        <v>1.0323850320000001E-2</v>
      </c>
      <c r="I151" s="9">
        <f t="shared" si="2"/>
        <v>0.32</v>
      </c>
      <c r="J151" t="str">
        <f>_xlfn.XLOOKUP(E151,'Base SKUs'!E:E,'Base SKUs'!G:G)</f>
        <v>Ipe</v>
      </c>
      <c r="K151" t="str">
        <f>_xlfn.XLOOKUP(E151,'Base SKUs'!E:E,'Base SKUs'!H:H)</f>
        <v>S4S E4E</v>
      </c>
      <c r="L151" t="str">
        <f>_xlfn.XLOOKUP(E151,'Base SKUs'!E:E,'Base SKUs'!I:I)</f>
        <v>-</v>
      </c>
      <c r="M151" t="str">
        <f>_xlfn.XLOOKUP(E151,'Base SKUs'!E:E,'Base SKUs'!J:J)</f>
        <v>2x4</v>
      </c>
      <c r="N151">
        <f>_xlfn.XLOOKUP(E151,'Base SKUs'!E:E,'Base SKUs'!K:K)</f>
        <v>10</v>
      </c>
      <c r="O151" t="str">
        <f>_xlfn.XLOOKUP(E151,'Base SKUs'!E:E,'Base SKUs'!C:C)</f>
        <v>Long</v>
      </c>
      <c r="P151" t="s">
        <v>4927</v>
      </c>
    </row>
    <row r="152" spans="1:16" x14ac:dyDescent="0.25">
      <c r="A152" t="s">
        <v>4875</v>
      </c>
      <c r="B152" t="s">
        <v>4839</v>
      </c>
      <c r="C152" t="s">
        <v>4840</v>
      </c>
      <c r="D152" s="11">
        <v>9011</v>
      </c>
      <c r="E152" t="s">
        <v>127</v>
      </c>
      <c r="F152">
        <v>72</v>
      </c>
      <c r="G152" t="str">
        <f>_xlfn.XLOOKUP(E152,'Base SKUs'!E:E,'Base SKUs'!D:D)</f>
        <v>Hardwoods</v>
      </c>
      <c r="H152" s="10">
        <f>_xlfn.XLOOKUP(E152,'Base SKUs'!E:E,'Base SKUs'!S:S)</f>
        <v>1.4453390448E-2</v>
      </c>
      <c r="I152" s="9">
        <f t="shared" si="2"/>
        <v>1.0409999999999999</v>
      </c>
      <c r="J152" t="str">
        <f>_xlfn.XLOOKUP(E152,'Base SKUs'!E:E,'Base SKUs'!G:G)</f>
        <v>Ipe</v>
      </c>
      <c r="K152" t="str">
        <f>_xlfn.XLOOKUP(E152,'Base SKUs'!E:E,'Base SKUs'!H:H)</f>
        <v>S4S E4E</v>
      </c>
      <c r="L152" t="str">
        <f>_xlfn.XLOOKUP(E152,'Base SKUs'!E:E,'Base SKUs'!I:I)</f>
        <v>-</v>
      </c>
      <c r="M152" t="str">
        <f>_xlfn.XLOOKUP(E152,'Base SKUs'!E:E,'Base SKUs'!J:J)</f>
        <v>2x4</v>
      </c>
      <c r="N152">
        <f>_xlfn.XLOOKUP(E152,'Base SKUs'!E:E,'Base SKUs'!K:K)</f>
        <v>14</v>
      </c>
      <c r="O152" t="str">
        <f>_xlfn.XLOOKUP(E152,'Base SKUs'!E:E,'Base SKUs'!C:C)</f>
        <v>Long</v>
      </c>
      <c r="P152" t="s">
        <v>4927</v>
      </c>
    </row>
    <row r="153" spans="1:16" x14ac:dyDescent="0.25">
      <c r="A153" t="s">
        <v>4875</v>
      </c>
      <c r="B153" t="s">
        <v>4839</v>
      </c>
      <c r="C153" t="s">
        <v>4840</v>
      </c>
      <c r="D153" s="11">
        <v>9011</v>
      </c>
      <c r="E153" t="s">
        <v>128</v>
      </c>
      <c r="F153">
        <v>22</v>
      </c>
      <c r="G153" t="str">
        <f>_xlfn.XLOOKUP(E153,'Base SKUs'!E:E,'Base SKUs'!D:D)</f>
        <v>Hardwoods</v>
      </c>
      <c r="H153" s="10">
        <f>_xlfn.XLOOKUP(E153,'Base SKUs'!E:E,'Base SKUs'!S:S)</f>
        <v>1.6223193359999999E-2</v>
      </c>
      <c r="I153" s="9">
        <f t="shared" si="2"/>
        <v>0.35699999999999998</v>
      </c>
      <c r="J153" t="str">
        <f>_xlfn.XLOOKUP(E153,'Base SKUs'!E:E,'Base SKUs'!G:G)</f>
        <v>Ipe</v>
      </c>
      <c r="K153" t="str">
        <f>_xlfn.XLOOKUP(E153,'Base SKUs'!E:E,'Base SKUs'!H:H)</f>
        <v>S4S E4E</v>
      </c>
      <c r="L153" t="str">
        <f>_xlfn.XLOOKUP(E153,'Base SKUs'!E:E,'Base SKUs'!I:I)</f>
        <v>-</v>
      </c>
      <c r="M153" t="str">
        <f>_xlfn.XLOOKUP(E153,'Base SKUs'!E:E,'Base SKUs'!J:J)</f>
        <v>2x6</v>
      </c>
      <c r="N153">
        <f>_xlfn.XLOOKUP(E153,'Base SKUs'!E:E,'Base SKUs'!K:K)</f>
        <v>10</v>
      </c>
      <c r="O153" t="str">
        <f>_xlfn.XLOOKUP(E153,'Base SKUs'!E:E,'Base SKUs'!C:C)</f>
        <v>Long</v>
      </c>
      <c r="P153" t="s">
        <v>4927</v>
      </c>
    </row>
    <row r="154" spans="1:16" x14ac:dyDescent="0.25">
      <c r="A154" t="s">
        <v>4875</v>
      </c>
      <c r="B154" t="s">
        <v>4839</v>
      </c>
      <c r="C154" t="s">
        <v>4840</v>
      </c>
      <c r="D154" s="11">
        <v>9011</v>
      </c>
      <c r="E154" t="s">
        <v>104</v>
      </c>
      <c r="F154">
        <v>14</v>
      </c>
      <c r="G154" t="str">
        <f>_xlfn.XLOOKUP(E154,'Base SKUs'!E:E,'Base SKUs'!D:D)</f>
        <v>Hardwoods</v>
      </c>
      <c r="H154" s="10">
        <f>_xlfn.XLOOKUP(E154,'Base SKUs'!E:E,'Base SKUs'!S:S)</f>
        <v>2.9201748047999999E-2</v>
      </c>
      <c r="I154" s="9">
        <f t="shared" si="2"/>
        <v>0.40899999999999997</v>
      </c>
      <c r="J154" t="str">
        <f>_xlfn.XLOOKUP(E154,'Base SKUs'!E:E,'Base SKUs'!G:G)</f>
        <v>Ipe</v>
      </c>
      <c r="K154" t="str">
        <f>_xlfn.XLOOKUP(E154,'Base SKUs'!E:E,'Base SKUs'!H:H)</f>
        <v>S4S E4E</v>
      </c>
      <c r="L154" t="str">
        <f>_xlfn.XLOOKUP(E154,'Base SKUs'!E:E,'Base SKUs'!I:I)</f>
        <v>-</v>
      </c>
      <c r="M154" t="str">
        <f>_xlfn.XLOOKUP(E154,'Base SKUs'!E:E,'Base SKUs'!J:J)</f>
        <v>2x6</v>
      </c>
      <c r="N154">
        <f>_xlfn.XLOOKUP(E154,'Base SKUs'!E:E,'Base SKUs'!K:K)</f>
        <v>18</v>
      </c>
      <c r="O154" t="str">
        <f>_xlfn.XLOOKUP(E154,'Base SKUs'!E:E,'Base SKUs'!C:C)</f>
        <v>Long</v>
      </c>
      <c r="P154" t="s">
        <v>4927</v>
      </c>
    </row>
    <row r="155" spans="1:16" x14ac:dyDescent="0.25">
      <c r="A155" t="s">
        <v>4875</v>
      </c>
      <c r="B155" t="s">
        <v>4839</v>
      </c>
      <c r="C155" t="s">
        <v>4840</v>
      </c>
      <c r="D155" s="11">
        <v>9011</v>
      </c>
      <c r="E155" t="s">
        <v>129</v>
      </c>
      <c r="F155">
        <v>10</v>
      </c>
      <c r="G155" t="str">
        <f>_xlfn.XLOOKUP(E155,'Base SKUs'!E:E,'Base SKUs'!D:D)</f>
        <v>Hardwoods</v>
      </c>
      <c r="H155" s="10">
        <f>_xlfn.XLOOKUP(E155,'Base SKUs'!E:E,'Base SKUs'!S:S)</f>
        <v>4.9898609879999993E-2</v>
      </c>
      <c r="I155" s="9">
        <f t="shared" si="2"/>
        <v>0.499</v>
      </c>
      <c r="J155" t="str">
        <f>_xlfn.XLOOKUP(E155,'Base SKUs'!E:E,'Base SKUs'!G:G)</f>
        <v>Ipe</v>
      </c>
      <c r="K155" t="str">
        <f>_xlfn.XLOOKUP(E155,'Base SKUs'!E:E,'Base SKUs'!H:H)</f>
        <v>S4S E4E</v>
      </c>
      <c r="L155" t="str">
        <f>_xlfn.XLOOKUP(E155,'Base SKUs'!E:E,'Base SKUs'!I:I)</f>
        <v>-</v>
      </c>
      <c r="M155" t="str">
        <f>_xlfn.XLOOKUP(E155,'Base SKUs'!E:E,'Base SKUs'!J:J)</f>
        <v>3x8</v>
      </c>
      <c r="N155">
        <f>_xlfn.XLOOKUP(E155,'Base SKUs'!E:E,'Base SKUs'!K:K)</f>
        <v>14</v>
      </c>
      <c r="O155" t="str">
        <f>_xlfn.XLOOKUP(E155,'Base SKUs'!E:E,'Base SKUs'!C:C)</f>
        <v>Long</v>
      </c>
      <c r="P155" t="s">
        <v>4927</v>
      </c>
    </row>
    <row r="156" spans="1:16" x14ac:dyDescent="0.25">
      <c r="A156" t="s">
        <v>4875</v>
      </c>
      <c r="B156" t="s">
        <v>4839</v>
      </c>
      <c r="C156" t="s">
        <v>4840</v>
      </c>
      <c r="D156" s="11">
        <v>9011</v>
      </c>
      <c r="E156" t="s">
        <v>130</v>
      </c>
      <c r="F156">
        <v>4</v>
      </c>
      <c r="G156" t="str">
        <f>_xlfn.XLOOKUP(E156,'Base SKUs'!E:E,'Base SKUs'!D:D)</f>
        <v>Hardwoods</v>
      </c>
      <c r="H156" s="10">
        <f>_xlfn.XLOOKUP(E156,'Base SKUs'!E:E,'Base SKUs'!S:S)</f>
        <v>6.4155355560000002E-2</v>
      </c>
      <c r="I156" s="9">
        <f t="shared" si="2"/>
        <v>0.25700000000000001</v>
      </c>
      <c r="J156" t="str">
        <f>_xlfn.XLOOKUP(E156,'Base SKUs'!E:E,'Base SKUs'!G:G)</f>
        <v>Ipe</v>
      </c>
      <c r="K156" t="str">
        <f>_xlfn.XLOOKUP(E156,'Base SKUs'!E:E,'Base SKUs'!H:H)</f>
        <v>S4S E4E</v>
      </c>
      <c r="L156" t="str">
        <f>_xlfn.XLOOKUP(E156,'Base SKUs'!E:E,'Base SKUs'!I:I)</f>
        <v>-</v>
      </c>
      <c r="M156" t="str">
        <f>_xlfn.XLOOKUP(E156,'Base SKUs'!E:E,'Base SKUs'!J:J)</f>
        <v>3x8</v>
      </c>
      <c r="N156">
        <f>_xlfn.XLOOKUP(E156,'Base SKUs'!E:E,'Base SKUs'!K:K)</f>
        <v>18</v>
      </c>
      <c r="O156" t="str">
        <f>_xlfn.XLOOKUP(E156,'Base SKUs'!E:E,'Base SKUs'!C:C)</f>
        <v>Long</v>
      </c>
      <c r="P156" t="s">
        <v>4927</v>
      </c>
    </row>
    <row r="157" spans="1:16" x14ac:dyDescent="0.25">
      <c r="A157" t="s">
        <v>4875</v>
      </c>
      <c r="B157" t="s">
        <v>4839</v>
      </c>
      <c r="C157" t="s">
        <v>4840</v>
      </c>
      <c r="D157" s="11">
        <v>9011</v>
      </c>
      <c r="E157" t="s">
        <v>53</v>
      </c>
      <c r="F157">
        <v>5</v>
      </c>
      <c r="G157" t="str">
        <f>_xlfn.XLOOKUP(E157,'Base SKUs'!E:E,'Base SKUs'!D:D)</f>
        <v>Hardwoods</v>
      </c>
      <c r="H157" s="10">
        <f>_xlfn.XLOOKUP(E157,'Base SKUs'!E:E,'Base SKUs'!S:S)</f>
        <v>7.1382050783999992E-2</v>
      </c>
      <c r="I157" s="9">
        <f t="shared" si="2"/>
        <v>0.35699999999999998</v>
      </c>
      <c r="J157" t="str">
        <f>_xlfn.XLOOKUP(E157,'Base SKUs'!E:E,'Base SKUs'!G:G)</f>
        <v>Ipe</v>
      </c>
      <c r="K157" t="str">
        <f>_xlfn.XLOOKUP(E157,'Base SKUs'!E:E,'Base SKUs'!H:H)</f>
        <v>S4S E4E</v>
      </c>
      <c r="L157" t="str">
        <f>_xlfn.XLOOKUP(E157,'Base SKUs'!E:E,'Base SKUs'!I:I)</f>
        <v>-</v>
      </c>
      <c r="M157" t="str">
        <f>_xlfn.XLOOKUP(E157,'Base SKUs'!E:E,'Base SKUs'!J:J)</f>
        <v>6x6</v>
      </c>
      <c r="N157">
        <f>_xlfn.XLOOKUP(E157,'Base SKUs'!E:E,'Base SKUs'!K:K)</f>
        <v>12</v>
      </c>
      <c r="O157" t="str">
        <f>_xlfn.XLOOKUP(E157,'Base SKUs'!E:E,'Base SKUs'!C:C)</f>
        <v>Long</v>
      </c>
      <c r="P157" t="s">
        <v>4927</v>
      </c>
    </row>
    <row r="158" spans="1:16" x14ac:dyDescent="0.25">
      <c r="A158" t="s">
        <v>4875</v>
      </c>
      <c r="B158" t="s">
        <v>4839</v>
      </c>
      <c r="C158" t="s">
        <v>4840</v>
      </c>
      <c r="D158" s="11">
        <v>9011</v>
      </c>
      <c r="E158" t="s">
        <v>131</v>
      </c>
      <c r="F158">
        <v>119</v>
      </c>
      <c r="G158" t="str">
        <f>_xlfn.XLOOKUP(E158,'Base SKUs'!E:E,'Base SKUs'!D:D)</f>
        <v>Hardwoods</v>
      </c>
      <c r="H158" s="10">
        <f>_xlfn.XLOOKUP(E158,'Base SKUs'!E:E,'Base SKUs'!S:S)</f>
        <v>3.2446386719999997E-3</v>
      </c>
      <c r="I158" s="9">
        <f t="shared" si="2"/>
        <v>0.38600000000000001</v>
      </c>
      <c r="J158" t="str">
        <f>_xlfn.XLOOKUP(E158,'Base SKUs'!E:E,'Base SKUs'!G:G)</f>
        <v>Ipe</v>
      </c>
      <c r="K158" t="str">
        <f>_xlfn.XLOOKUP(E158,'Base SKUs'!E:E,'Base SKUs'!H:H)</f>
        <v>S4S E4E</v>
      </c>
      <c r="L158" t="str">
        <f>_xlfn.XLOOKUP(E158,'Base SKUs'!E:E,'Base SKUs'!I:I)</f>
        <v>-</v>
      </c>
      <c r="M158" t="str">
        <f>_xlfn.XLOOKUP(E158,'Base SKUs'!E:E,'Base SKUs'!J:J)</f>
        <v>1x6</v>
      </c>
      <c r="N158">
        <f>_xlfn.XLOOKUP(E158,'Base SKUs'!E:E,'Base SKUs'!K:K)</f>
        <v>4</v>
      </c>
      <c r="O158" t="str">
        <f>_xlfn.XLOOKUP(E158,'Base SKUs'!E:E,'Base SKUs'!C:C)</f>
        <v>Short</v>
      </c>
      <c r="P158" t="s">
        <v>4927</v>
      </c>
    </row>
    <row r="159" spans="1:16" x14ac:dyDescent="0.25">
      <c r="A159" t="s">
        <v>4875</v>
      </c>
      <c r="B159" t="s">
        <v>4839</v>
      </c>
      <c r="C159" t="s">
        <v>4840</v>
      </c>
      <c r="D159" s="11">
        <v>9011</v>
      </c>
      <c r="E159" t="s">
        <v>132</v>
      </c>
      <c r="F159">
        <v>25</v>
      </c>
      <c r="G159" t="str">
        <f>_xlfn.XLOOKUP(E159,'Base SKUs'!E:E,'Base SKUs'!D:D)</f>
        <v>Hardwoods</v>
      </c>
      <c r="H159" s="10">
        <f>_xlfn.XLOOKUP(E159,'Base SKUs'!E:E,'Base SKUs'!S:S)</f>
        <v>4.8669580079999993E-3</v>
      </c>
      <c r="I159" s="9">
        <f t="shared" si="2"/>
        <v>0.122</v>
      </c>
      <c r="J159" t="str">
        <f>_xlfn.XLOOKUP(E159,'Base SKUs'!E:E,'Base SKUs'!G:G)</f>
        <v>Ipe</v>
      </c>
      <c r="K159" t="str">
        <f>_xlfn.XLOOKUP(E159,'Base SKUs'!E:E,'Base SKUs'!H:H)</f>
        <v>S4S E4E</v>
      </c>
      <c r="L159" t="str">
        <f>_xlfn.XLOOKUP(E159,'Base SKUs'!E:E,'Base SKUs'!I:I)</f>
        <v>-</v>
      </c>
      <c r="M159" t="str">
        <f>_xlfn.XLOOKUP(E159,'Base SKUs'!E:E,'Base SKUs'!J:J)</f>
        <v>1x6</v>
      </c>
      <c r="N159">
        <f>_xlfn.XLOOKUP(E159,'Base SKUs'!E:E,'Base SKUs'!K:K)</f>
        <v>6</v>
      </c>
      <c r="O159" t="str">
        <f>_xlfn.XLOOKUP(E159,'Base SKUs'!E:E,'Base SKUs'!C:C)</f>
        <v>Short</v>
      </c>
      <c r="P159" t="s">
        <v>4927</v>
      </c>
    </row>
    <row r="160" spans="1:16" x14ac:dyDescent="0.25">
      <c r="A160" t="s">
        <v>4875</v>
      </c>
      <c r="B160" t="s">
        <v>4839</v>
      </c>
      <c r="C160" t="s">
        <v>4840</v>
      </c>
      <c r="D160" s="11">
        <v>9011</v>
      </c>
      <c r="E160" t="s">
        <v>133</v>
      </c>
      <c r="F160">
        <v>4</v>
      </c>
      <c r="G160" t="str">
        <f>_xlfn.XLOOKUP(E160,'Base SKUs'!E:E,'Base SKUs'!D:D)</f>
        <v>Hardwoods</v>
      </c>
      <c r="H160" s="10">
        <f>_xlfn.XLOOKUP(E160,'Base SKUs'!E:E,'Base SKUs'!S:S)</f>
        <v>6.4892773439999985E-3</v>
      </c>
      <c r="I160" s="9">
        <f t="shared" si="2"/>
        <v>2.5999999999999999E-2</v>
      </c>
      <c r="J160" t="str">
        <f>_xlfn.XLOOKUP(E160,'Base SKUs'!E:E,'Base SKUs'!G:G)</f>
        <v>Ipe</v>
      </c>
      <c r="K160" t="str">
        <f>_xlfn.XLOOKUP(E160,'Base SKUs'!E:E,'Base SKUs'!H:H)</f>
        <v>Grooved</v>
      </c>
      <c r="L160" t="str">
        <f>_xlfn.XLOOKUP(E160,'Base SKUs'!E:E,'Base SKUs'!I:I)</f>
        <v>-</v>
      </c>
      <c r="M160" t="str">
        <f>_xlfn.XLOOKUP(E160,'Base SKUs'!E:E,'Base SKUs'!J:J)</f>
        <v>5/4x6</v>
      </c>
      <c r="N160">
        <f>_xlfn.XLOOKUP(E160,'Base SKUs'!E:E,'Base SKUs'!K:K)</f>
        <v>6</v>
      </c>
      <c r="O160" t="str">
        <f>_xlfn.XLOOKUP(E160,'Base SKUs'!E:E,'Base SKUs'!C:C)</f>
        <v>Short</v>
      </c>
      <c r="P160" t="s">
        <v>4927</v>
      </c>
    </row>
    <row r="161" spans="1:16" x14ac:dyDescent="0.25">
      <c r="A161" t="s">
        <v>4875</v>
      </c>
      <c r="B161" t="s">
        <v>4839</v>
      </c>
      <c r="C161" t="s">
        <v>4840</v>
      </c>
      <c r="D161" s="11">
        <v>9011</v>
      </c>
      <c r="E161" t="s">
        <v>134</v>
      </c>
      <c r="F161">
        <v>32</v>
      </c>
      <c r="G161" t="str">
        <f>_xlfn.XLOOKUP(E161,'Base SKUs'!E:E,'Base SKUs'!D:D)</f>
        <v>Norx</v>
      </c>
      <c r="H161" s="10">
        <f>_xlfn.XLOOKUP(E161,'Base SKUs'!E:E,'Base SKUs'!S:S)</f>
        <v>0</v>
      </c>
      <c r="I161" s="9">
        <f t="shared" si="2"/>
        <v>32</v>
      </c>
      <c r="J161" t="str">
        <f>_xlfn.XLOOKUP(E161,'Base SKUs'!E:E,'Base SKUs'!G:G)</f>
        <v>Empire State</v>
      </c>
      <c r="K161" t="str">
        <f>_xlfn.XLOOKUP(E161,'Base SKUs'!E:E,'Base SKUs'!H:H)</f>
        <v>Profile</v>
      </c>
      <c r="L161" t="str">
        <f>_xlfn.XLOOKUP(E161,'Base SKUs'!E:E,'Base SKUs'!I:I)</f>
        <v>-</v>
      </c>
      <c r="M161" t="str">
        <f>_xlfn.XLOOKUP(E161,'Base SKUs'!E:E,'Base SKUs'!J:J)</f>
        <v>1x6</v>
      </c>
      <c r="N161">
        <f>_xlfn.XLOOKUP(E161,'Base SKUs'!E:E,'Base SKUs'!K:K)</f>
        <v>16</v>
      </c>
      <c r="O161" t="str">
        <f>_xlfn.XLOOKUP(E161,'Base SKUs'!E:E,'Base SKUs'!C:C)</f>
        <v>Long</v>
      </c>
      <c r="P161" t="s">
        <v>4927</v>
      </c>
    </row>
    <row r="162" spans="1:16" x14ac:dyDescent="0.25">
      <c r="A162" t="s">
        <v>4875</v>
      </c>
      <c r="B162" t="s">
        <v>4839</v>
      </c>
      <c r="C162" t="s">
        <v>4840</v>
      </c>
      <c r="D162" s="11">
        <v>9011</v>
      </c>
      <c r="E162" t="s">
        <v>135</v>
      </c>
      <c r="F162">
        <v>100</v>
      </c>
      <c r="G162" t="str">
        <f>_xlfn.XLOOKUP(E162,'Base SKUs'!E:E,'Base SKUs'!D:D)</f>
        <v>Norx</v>
      </c>
      <c r="H162" s="10">
        <f>_xlfn.XLOOKUP(E162,'Base SKUs'!E:E,'Base SKUs'!S:S)</f>
        <v>0</v>
      </c>
      <c r="I162" s="9">
        <f t="shared" si="2"/>
        <v>100</v>
      </c>
      <c r="J162" t="str">
        <f>_xlfn.XLOOKUP(E162,'Base SKUs'!E:E,'Base SKUs'!G:G)</f>
        <v>Rockefeller</v>
      </c>
      <c r="K162" t="str">
        <f>_xlfn.XLOOKUP(E162,'Base SKUs'!E:E,'Base SKUs'!H:H)</f>
        <v>Profile</v>
      </c>
      <c r="L162" t="str">
        <f>_xlfn.XLOOKUP(E162,'Base SKUs'!E:E,'Base SKUs'!I:I)</f>
        <v>-</v>
      </c>
      <c r="M162" t="str">
        <f>_xlfn.XLOOKUP(E162,'Base SKUs'!E:E,'Base SKUs'!J:J)</f>
        <v>1x6</v>
      </c>
      <c r="N162">
        <f>_xlfn.XLOOKUP(E162,'Base SKUs'!E:E,'Base SKUs'!K:K)</f>
        <v>16</v>
      </c>
      <c r="O162" t="str">
        <f>_xlfn.XLOOKUP(E162,'Base SKUs'!E:E,'Base SKUs'!C:C)</f>
        <v>Long</v>
      </c>
      <c r="P162" t="s">
        <v>4927</v>
      </c>
    </row>
    <row r="163" spans="1:16" x14ac:dyDescent="0.25">
      <c r="A163" t="s">
        <v>4875</v>
      </c>
      <c r="B163" t="s">
        <v>4839</v>
      </c>
      <c r="C163" t="s">
        <v>4840</v>
      </c>
      <c r="D163" s="11">
        <v>9011</v>
      </c>
      <c r="E163" t="s">
        <v>136</v>
      </c>
      <c r="F163">
        <v>1</v>
      </c>
      <c r="G163" t="str">
        <f>_xlfn.XLOOKUP(E163,'Base SKUs'!E:E,'Base SKUs'!D:D)</f>
        <v>Norx</v>
      </c>
      <c r="H163" s="10">
        <f>_xlfn.XLOOKUP(E163,'Base SKUs'!E:E,'Base SKUs'!S:S)</f>
        <v>0</v>
      </c>
      <c r="I163" s="9">
        <f t="shared" si="2"/>
        <v>1</v>
      </c>
      <c r="J163" t="str">
        <f>_xlfn.XLOOKUP(E163,'Base SKUs'!E:E,'Base SKUs'!G:G)</f>
        <v>Ipe</v>
      </c>
      <c r="K163" t="str">
        <f>_xlfn.XLOOKUP(E163,'Base SKUs'!E:E,'Base SKUs'!H:H)</f>
        <v>Profile</v>
      </c>
      <c r="L163" t="str">
        <f>_xlfn.XLOOKUP(E163,'Base SKUs'!E:E,'Base SKUs'!I:I)</f>
        <v>-</v>
      </c>
      <c r="M163" t="str">
        <f>_xlfn.XLOOKUP(E163,'Base SKUs'!E:E,'Base SKUs'!J:J)</f>
        <v>1x8</v>
      </c>
      <c r="N163">
        <f>_xlfn.XLOOKUP(E163,'Base SKUs'!E:E,'Base SKUs'!K:K)</f>
        <v>16</v>
      </c>
      <c r="O163" t="str">
        <f>_xlfn.XLOOKUP(E163,'Base SKUs'!E:E,'Base SKUs'!C:C)</f>
        <v>Long</v>
      </c>
      <c r="P163" t="s">
        <v>4927</v>
      </c>
    </row>
    <row r="164" spans="1:16" x14ac:dyDescent="0.25">
      <c r="A164" t="s">
        <v>4875</v>
      </c>
      <c r="B164" t="s">
        <v>4839</v>
      </c>
      <c r="C164" t="s">
        <v>4840</v>
      </c>
      <c r="D164" s="11">
        <v>9011</v>
      </c>
      <c r="E164" t="s">
        <v>92</v>
      </c>
      <c r="F164">
        <v>327</v>
      </c>
      <c r="G164" t="str">
        <f>_xlfn.XLOOKUP(E164,'Base SKUs'!E:E,'Base SKUs'!D:D)</f>
        <v>Thermowood</v>
      </c>
      <c r="H164" s="10">
        <f>_xlfn.XLOOKUP(E164,'Base SKUs'!E:E,'Base SKUs'!S:S)</f>
        <v>1.2585600000000001E-2</v>
      </c>
      <c r="I164" s="9">
        <f t="shared" si="2"/>
        <v>4.1150000000000002</v>
      </c>
      <c r="J164" t="str">
        <f>_xlfn.XLOOKUP(E164,'Base SKUs'!E:E,'Base SKUs'!G:G)</f>
        <v>Maximo Thermo Clear Radiata</v>
      </c>
      <c r="K164" t="str">
        <f>_xlfn.XLOOKUP(E164,'Base SKUs'!E:E,'Base SKUs'!H:H)</f>
        <v>Nickel Gap</v>
      </c>
      <c r="L164" t="str">
        <f>_xlfn.XLOOKUP(E164,'Base SKUs'!E:E,'Base SKUs'!I:I)</f>
        <v>Pre Finished Black</v>
      </c>
      <c r="M164" t="str">
        <f>_xlfn.XLOOKUP(E164,'Base SKUs'!E:E,'Base SKUs'!J:J)</f>
        <v>1x6</v>
      </c>
      <c r="N164">
        <f>_xlfn.XLOOKUP(E164,'Base SKUs'!E:E,'Base SKUs'!K:K)</f>
        <v>16</v>
      </c>
      <c r="O164" t="str">
        <f>_xlfn.XLOOKUP(E164,'Base SKUs'!E:E,'Base SKUs'!C:C)</f>
        <v>Long</v>
      </c>
      <c r="P164" t="s">
        <v>4927</v>
      </c>
    </row>
    <row r="165" spans="1:16" x14ac:dyDescent="0.25">
      <c r="A165" t="s">
        <v>4875</v>
      </c>
      <c r="B165" t="s">
        <v>4839</v>
      </c>
      <c r="C165" t="s">
        <v>4840</v>
      </c>
      <c r="D165" s="11">
        <v>9011</v>
      </c>
      <c r="E165" t="s">
        <v>84</v>
      </c>
      <c r="F165">
        <v>9</v>
      </c>
      <c r="G165" t="str">
        <f>_xlfn.XLOOKUP(E165,'Base SKUs'!E:E,'Base SKUs'!D:D)</f>
        <v>Thermowood</v>
      </c>
      <c r="H165" s="10">
        <f>_xlfn.XLOOKUP(E165,'Base SKUs'!E:E,'Base SKUs'!S:S)</f>
        <v>1.0374000000000001E-2</v>
      </c>
      <c r="I165" s="9">
        <f t="shared" si="2"/>
        <v>9.2999999999999999E-2</v>
      </c>
      <c r="J165" t="str">
        <f>_xlfn.XLOOKUP(E165,'Base SKUs'!E:E,'Base SKUs'!G:G)</f>
        <v>Maximo Thermo Ayous Dark</v>
      </c>
      <c r="K165" t="str">
        <f>_xlfn.XLOOKUP(E165,'Base SKUs'!E:E,'Base SKUs'!H:H)</f>
        <v>VJoint - Square Back</v>
      </c>
      <c r="L165" t="str">
        <f>_xlfn.XLOOKUP(E165,'Base SKUs'!E:E,'Base SKUs'!I:I)</f>
        <v>-</v>
      </c>
      <c r="M165" t="str">
        <f>_xlfn.XLOOKUP(E165,'Base SKUs'!E:E,'Base SKUs'!J:J)</f>
        <v>1x6</v>
      </c>
      <c r="N165">
        <f>_xlfn.XLOOKUP(E165,'Base SKUs'!E:E,'Base SKUs'!K:K)</f>
        <v>13</v>
      </c>
      <c r="O165" t="str">
        <f>_xlfn.XLOOKUP(E165,'Base SKUs'!E:E,'Base SKUs'!C:C)</f>
        <v>Long</v>
      </c>
      <c r="P165" t="s">
        <v>4927</v>
      </c>
    </row>
    <row r="166" spans="1:16" x14ac:dyDescent="0.25">
      <c r="A166" t="s">
        <v>4875</v>
      </c>
      <c r="B166" t="s">
        <v>4839</v>
      </c>
      <c r="C166" t="s">
        <v>4840</v>
      </c>
      <c r="D166" s="11">
        <v>9011</v>
      </c>
      <c r="E166" t="s">
        <v>137</v>
      </c>
      <c r="F166">
        <v>61</v>
      </c>
      <c r="G166" t="str">
        <f>_xlfn.XLOOKUP(E166,'Base SKUs'!E:E,'Base SKUs'!D:D)</f>
        <v>Thermowood</v>
      </c>
      <c r="H166" s="10">
        <f>_xlfn.XLOOKUP(E166,'Base SKUs'!E:E,'Base SKUs'!S:S)</f>
        <v>3.6707999999999997E-3</v>
      </c>
      <c r="I166" s="9">
        <f t="shared" si="2"/>
        <v>0.224</v>
      </c>
      <c r="J166" t="str">
        <f>_xlfn.XLOOKUP(E166,'Base SKUs'!E:E,'Base SKUs'!G:G)</f>
        <v>Maximo Thermo Ayous</v>
      </c>
      <c r="K166" t="str">
        <f>_xlfn.XLOOKUP(E166,'Base SKUs'!E:E,'Base SKUs'!H:H)</f>
        <v>VJoint - Square Back</v>
      </c>
      <c r="L166" t="str">
        <f>_xlfn.XLOOKUP(E166,'Base SKUs'!E:E,'Base SKUs'!I:I)</f>
        <v>-</v>
      </c>
      <c r="M166" t="str">
        <f>_xlfn.XLOOKUP(E166,'Base SKUs'!E:E,'Base SKUs'!J:J)</f>
        <v>1x4</v>
      </c>
      <c r="N166">
        <f>_xlfn.XLOOKUP(E166,'Base SKUs'!E:E,'Base SKUs'!K:K)</f>
        <v>7</v>
      </c>
      <c r="O166" t="str">
        <f>_xlfn.XLOOKUP(E166,'Base SKUs'!E:E,'Base SKUs'!C:C)</f>
        <v>Short</v>
      </c>
      <c r="P166" t="s">
        <v>4927</v>
      </c>
    </row>
    <row r="167" spans="1:16" x14ac:dyDescent="0.25">
      <c r="A167" t="s">
        <v>4875</v>
      </c>
      <c r="B167" t="s">
        <v>4839</v>
      </c>
      <c r="C167" t="s">
        <v>4840</v>
      </c>
      <c r="D167" s="11">
        <v>9011</v>
      </c>
      <c r="E167" t="s">
        <v>89</v>
      </c>
      <c r="F167">
        <v>3</v>
      </c>
      <c r="G167" t="str">
        <f>_xlfn.XLOOKUP(E167,'Base SKUs'!E:E,'Base SKUs'!D:D)</f>
        <v>Thermowood</v>
      </c>
      <c r="H167" s="10">
        <f>_xlfn.XLOOKUP(E167,'Base SKUs'!E:E,'Base SKUs'!S:S)</f>
        <v>9.5806259999999983E-3</v>
      </c>
      <c r="I167" s="9">
        <f t="shared" si="2"/>
        <v>2.9000000000000001E-2</v>
      </c>
      <c r="J167" t="str">
        <f>_xlfn.XLOOKUP(E167,'Base SKUs'!E:E,'Base SKUs'!G:G)</f>
        <v>Wawa</v>
      </c>
      <c r="K167" t="str">
        <f>_xlfn.XLOOKUP(E167,'Base SKUs'!E:E,'Base SKUs'!H:H)</f>
        <v>S4S Tongue &amp; Grooved</v>
      </c>
      <c r="L167" t="str">
        <f>_xlfn.XLOOKUP(E167,'Base SKUs'!E:E,'Base SKUs'!I:I)</f>
        <v>-</v>
      </c>
      <c r="M167" t="str">
        <f>_xlfn.XLOOKUP(E167,'Base SKUs'!E:E,'Base SKUs'!J:J)</f>
        <v>1x6</v>
      </c>
      <c r="N167">
        <f>_xlfn.XLOOKUP(E167,'Base SKUs'!E:E,'Base SKUs'!K:K)</f>
        <v>12</v>
      </c>
      <c r="O167" t="str">
        <f>_xlfn.XLOOKUP(E167,'Base SKUs'!E:E,'Base SKUs'!C:C)</f>
        <v>Long</v>
      </c>
      <c r="P167" t="s">
        <v>4927</v>
      </c>
    </row>
    <row r="168" spans="1:16" x14ac:dyDescent="0.25">
      <c r="A168" t="s">
        <v>4875</v>
      </c>
      <c r="B168" t="s">
        <v>4839</v>
      </c>
      <c r="C168" t="s">
        <v>4840</v>
      </c>
      <c r="D168" s="11">
        <v>9011</v>
      </c>
      <c r="E168" t="s">
        <v>138</v>
      </c>
      <c r="F168">
        <v>10</v>
      </c>
      <c r="G168" t="str">
        <f>_xlfn.XLOOKUP(E168,'Base SKUs'!E:E,'Base SKUs'!D:D)</f>
        <v>Thermowood</v>
      </c>
      <c r="H168" s="10">
        <f>_xlfn.XLOOKUP(E168,'Base SKUs'!E:E,'Base SKUs'!S:S)</f>
        <v>5.3820000000000005E-3</v>
      </c>
      <c r="I168" s="9">
        <f t="shared" si="2"/>
        <v>5.3999999999999999E-2</v>
      </c>
      <c r="J168" t="str">
        <f>_xlfn.XLOOKUP(E168,'Base SKUs'!E:E,'Base SKUs'!G:G)</f>
        <v>Maximo Thermo Scandinavian Pine</v>
      </c>
      <c r="K168" t="str">
        <f>_xlfn.XLOOKUP(E168,'Base SKUs'!E:E,'Base SKUs'!H:H)</f>
        <v>VJoint - Square Back</v>
      </c>
      <c r="L168" t="str">
        <f>_xlfn.XLOOKUP(E168,'Base SKUs'!E:E,'Base SKUs'!I:I)</f>
        <v>-</v>
      </c>
      <c r="M168" t="str">
        <f>_xlfn.XLOOKUP(E168,'Base SKUs'!E:E,'Base SKUs'!J:J)</f>
        <v>5/8x4</v>
      </c>
      <c r="N168">
        <f>_xlfn.XLOOKUP(E168,'Base SKUs'!E:E,'Base SKUs'!K:K)</f>
        <v>13</v>
      </c>
      <c r="O168" t="str">
        <f>_xlfn.XLOOKUP(E168,'Base SKUs'!E:E,'Base SKUs'!C:C)</f>
        <v>Long</v>
      </c>
      <c r="P168" t="s">
        <v>4927</v>
      </c>
    </row>
    <row r="169" spans="1:16" x14ac:dyDescent="0.25">
      <c r="A169" t="s">
        <v>4876</v>
      </c>
      <c r="B169" t="s">
        <v>4839</v>
      </c>
      <c r="C169" t="s">
        <v>4877</v>
      </c>
      <c r="D169" s="11">
        <v>9007</v>
      </c>
      <c r="E169" t="s">
        <v>139</v>
      </c>
      <c r="F169">
        <v>1</v>
      </c>
      <c r="G169" t="str">
        <f>_xlfn.XLOOKUP(E169,'Base SKUs'!E:E,'Base SKUs'!D:D)</f>
        <v>Hardwoods</v>
      </c>
      <c r="H169" s="10">
        <f>_xlfn.XLOOKUP(E169,'Base SKUs'!E:E,'Base SKUs'!S:S)</f>
        <v>3.0971550959999997E-2</v>
      </c>
      <c r="I169" s="9">
        <f t="shared" si="2"/>
        <v>3.1E-2</v>
      </c>
      <c r="J169" t="str">
        <f>_xlfn.XLOOKUP(E169,'Base SKUs'!E:E,'Base SKUs'!G:G)</f>
        <v>Ipe</v>
      </c>
      <c r="K169" t="str">
        <f>_xlfn.XLOOKUP(E169,'Base SKUs'!E:E,'Base SKUs'!H:H)</f>
        <v>S4S E4E</v>
      </c>
      <c r="L169" t="str">
        <f>_xlfn.XLOOKUP(E169,'Base SKUs'!E:E,'Base SKUs'!I:I)</f>
        <v>-</v>
      </c>
      <c r="M169" t="str">
        <f>_xlfn.XLOOKUP(E169,'Base SKUs'!E:E,'Base SKUs'!J:J)</f>
        <v>5/4x12</v>
      </c>
      <c r="N169">
        <f>_xlfn.XLOOKUP(E169,'Base SKUs'!E:E,'Base SKUs'!K:K)</f>
        <v>14</v>
      </c>
      <c r="O169" t="str">
        <f>_xlfn.XLOOKUP(E169,'Base SKUs'!E:E,'Base SKUs'!C:C)</f>
        <v>Long</v>
      </c>
      <c r="P169" t="s">
        <v>4929</v>
      </c>
    </row>
    <row r="170" spans="1:16" x14ac:dyDescent="0.25">
      <c r="A170" t="s">
        <v>4878</v>
      </c>
      <c r="B170" t="s">
        <v>4839</v>
      </c>
      <c r="C170" t="s">
        <v>4879</v>
      </c>
      <c r="D170" s="11">
        <v>9007</v>
      </c>
      <c r="E170" t="s">
        <v>97</v>
      </c>
      <c r="F170">
        <v>7</v>
      </c>
      <c r="G170" t="str">
        <f>_xlfn.XLOOKUP(E170,'Base SKUs'!E:E,'Base SKUs'!D:D)</f>
        <v>Thermowood</v>
      </c>
      <c r="H170" s="10">
        <f>_xlfn.XLOOKUP(E170,'Base SKUs'!E:E,'Base SKUs'!S:S)</f>
        <v>5.5859999999999998E-3</v>
      </c>
      <c r="I170" s="9">
        <f t="shared" si="2"/>
        <v>3.9E-2</v>
      </c>
      <c r="J170" t="str">
        <f>_xlfn.XLOOKUP(E170,'Base SKUs'!E:E,'Base SKUs'!G:G)</f>
        <v>Maximo Thermo Ayous</v>
      </c>
      <c r="K170" t="str">
        <f>_xlfn.XLOOKUP(E170,'Base SKUs'!E:E,'Base SKUs'!H:H)</f>
        <v>VJoint - Nickel Gap</v>
      </c>
      <c r="L170" t="str">
        <f>_xlfn.XLOOKUP(E170,'Base SKUs'!E:E,'Base SKUs'!I:I)</f>
        <v>-</v>
      </c>
      <c r="M170" t="str">
        <f>_xlfn.XLOOKUP(E170,'Base SKUs'!E:E,'Base SKUs'!J:J)</f>
        <v>1x6</v>
      </c>
      <c r="N170">
        <f>_xlfn.XLOOKUP(E170,'Base SKUs'!E:E,'Base SKUs'!K:K)</f>
        <v>7</v>
      </c>
      <c r="O170" t="str">
        <f>_xlfn.XLOOKUP(E170,'Base SKUs'!E:E,'Base SKUs'!C:C)</f>
        <v>Short</v>
      </c>
      <c r="P170" t="s">
        <v>4927</v>
      </c>
    </row>
    <row r="171" spans="1:16" x14ac:dyDescent="0.25">
      <c r="A171" t="s">
        <v>4878</v>
      </c>
      <c r="B171" t="s">
        <v>4839</v>
      </c>
      <c r="C171" t="s">
        <v>4879</v>
      </c>
      <c r="D171" s="11">
        <v>9007</v>
      </c>
      <c r="E171" t="s">
        <v>14</v>
      </c>
      <c r="F171">
        <v>44</v>
      </c>
      <c r="G171" t="str">
        <f>_xlfn.XLOOKUP(E171,'Base SKUs'!E:E,'Base SKUs'!D:D)</f>
        <v>Thermowood</v>
      </c>
      <c r="H171" s="10">
        <f>_xlfn.XLOOKUP(E171,'Base SKUs'!E:E,'Base SKUs'!S:S)</f>
        <v>6.3839999999999999E-3</v>
      </c>
      <c r="I171" s="9">
        <f t="shared" si="2"/>
        <v>0.28100000000000003</v>
      </c>
      <c r="J171" t="str">
        <f>_xlfn.XLOOKUP(E171,'Base SKUs'!E:E,'Base SKUs'!G:G)</f>
        <v>Maximo Thermo Ayous</v>
      </c>
      <c r="K171" t="str">
        <f>_xlfn.XLOOKUP(E171,'Base SKUs'!E:E,'Base SKUs'!H:H)</f>
        <v>VJoint - Nickel Gap</v>
      </c>
      <c r="L171" t="str">
        <f>_xlfn.XLOOKUP(E171,'Base SKUs'!E:E,'Base SKUs'!I:I)</f>
        <v>-</v>
      </c>
      <c r="M171" t="str">
        <f>_xlfn.XLOOKUP(E171,'Base SKUs'!E:E,'Base SKUs'!J:J)</f>
        <v>1x6</v>
      </c>
      <c r="N171">
        <f>_xlfn.XLOOKUP(E171,'Base SKUs'!E:E,'Base SKUs'!K:K)</f>
        <v>8</v>
      </c>
      <c r="O171" t="str">
        <f>_xlfn.XLOOKUP(E171,'Base SKUs'!E:E,'Base SKUs'!C:C)</f>
        <v>Long</v>
      </c>
      <c r="P171" t="s">
        <v>4927</v>
      </c>
    </row>
    <row r="172" spans="1:16" x14ac:dyDescent="0.25">
      <c r="A172" t="s">
        <v>4878</v>
      </c>
      <c r="B172" t="s">
        <v>4839</v>
      </c>
      <c r="C172" t="s">
        <v>4879</v>
      </c>
      <c r="D172" s="11">
        <v>9007</v>
      </c>
      <c r="E172" t="s">
        <v>122</v>
      </c>
      <c r="F172">
        <v>42</v>
      </c>
      <c r="G172" t="str">
        <f>_xlfn.XLOOKUP(E172,'Base SKUs'!E:E,'Base SKUs'!D:D)</f>
        <v>Thermowood</v>
      </c>
      <c r="H172" s="10">
        <f>_xlfn.XLOOKUP(E172,'Base SKUs'!E:E,'Base SKUs'!S:S)</f>
        <v>1.0374000000000001E-2</v>
      </c>
      <c r="I172" s="9">
        <f t="shared" si="2"/>
        <v>0.436</v>
      </c>
      <c r="J172" t="str">
        <f>_xlfn.XLOOKUP(E172,'Base SKUs'!E:E,'Base SKUs'!G:G)</f>
        <v>Maximo Thermo Ayous</v>
      </c>
      <c r="K172" t="str">
        <f>_xlfn.XLOOKUP(E172,'Base SKUs'!E:E,'Base SKUs'!H:H)</f>
        <v>VJoint - Nickel Gap</v>
      </c>
      <c r="L172" t="str">
        <f>_xlfn.XLOOKUP(E172,'Base SKUs'!E:E,'Base SKUs'!I:I)</f>
        <v>-</v>
      </c>
      <c r="M172" t="str">
        <f>_xlfn.XLOOKUP(E172,'Base SKUs'!E:E,'Base SKUs'!J:J)</f>
        <v>1x6</v>
      </c>
      <c r="N172">
        <f>_xlfn.XLOOKUP(E172,'Base SKUs'!E:E,'Base SKUs'!K:K)</f>
        <v>13</v>
      </c>
      <c r="O172" t="str">
        <f>_xlfn.XLOOKUP(E172,'Base SKUs'!E:E,'Base SKUs'!C:C)</f>
        <v>Long</v>
      </c>
      <c r="P172" t="s">
        <v>4927</v>
      </c>
    </row>
    <row r="173" spans="1:16" x14ac:dyDescent="0.25">
      <c r="A173" t="s">
        <v>4878</v>
      </c>
      <c r="B173" t="s">
        <v>4839</v>
      </c>
      <c r="C173" t="s">
        <v>4879</v>
      </c>
      <c r="D173" s="11">
        <v>9007</v>
      </c>
      <c r="E173" t="s">
        <v>96</v>
      </c>
      <c r="F173">
        <v>1</v>
      </c>
      <c r="G173" t="str">
        <f>_xlfn.XLOOKUP(E173,'Base SKUs'!E:E,'Base SKUs'!D:D)</f>
        <v>Thermowood</v>
      </c>
      <c r="H173" s="10">
        <f>_xlfn.XLOOKUP(E173,'Base SKUs'!E:E,'Base SKUs'!S:S)</f>
        <v>4.7880000000000006E-3</v>
      </c>
      <c r="I173" s="9">
        <f t="shared" si="2"/>
        <v>5.0000000000000001E-3</v>
      </c>
      <c r="J173" t="str">
        <f>_xlfn.XLOOKUP(E173,'Base SKUs'!E:E,'Base SKUs'!G:G)</f>
        <v>Maximo Thermo Ayous</v>
      </c>
      <c r="K173" t="str">
        <f>_xlfn.XLOOKUP(E173,'Base SKUs'!E:E,'Base SKUs'!H:H)</f>
        <v>VJoint - Nickel Gap</v>
      </c>
      <c r="L173" t="str">
        <f>_xlfn.XLOOKUP(E173,'Base SKUs'!E:E,'Base SKUs'!I:I)</f>
        <v>-</v>
      </c>
      <c r="M173" t="str">
        <f>_xlfn.XLOOKUP(E173,'Base SKUs'!E:E,'Base SKUs'!J:J)</f>
        <v>1x6</v>
      </c>
      <c r="N173">
        <f>_xlfn.XLOOKUP(E173,'Base SKUs'!E:E,'Base SKUs'!K:K)</f>
        <v>6</v>
      </c>
      <c r="O173" t="str">
        <f>_xlfn.XLOOKUP(E173,'Base SKUs'!E:E,'Base SKUs'!C:C)</f>
        <v>Short</v>
      </c>
      <c r="P173" t="s">
        <v>4927</v>
      </c>
    </row>
    <row r="174" spans="1:16" x14ac:dyDescent="0.25">
      <c r="A174" t="s">
        <v>4878</v>
      </c>
      <c r="B174" t="s">
        <v>4839</v>
      </c>
      <c r="C174" t="s">
        <v>4879</v>
      </c>
      <c r="D174" s="11">
        <v>9007</v>
      </c>
      <c r="E174" t="s">
        <v>49</v>
      </c>
      <c r="F174">
        <v>19</v>
      </c>
      <c r="G174" t="str">
        <f>_xlfn.XLOOKUP(E174,'Base SKUs'!E:E,'Base SKUs'!D:D)</f>
        <v>Thermowood</v>
      </c>
      <c r="H174" s="10">
        <f>_xlfn.XLOOKUP(E174,'Base SKUs'!E:E,'Base SKUs'!S:S)</f>
        <v>7.980000000000001E-3</v>
      </c>
      <c r="I174" s="9">
        <f t="shared" si="2"/>
        <v>0.152</v>
      </c>
      <c r="J174" t="str">
        <f>_xlfn.XLOOKUP(E174,'Base SKUs'!E:E,'Base SKUs'!G:G)</f>
        <v>Maximo Thermo Ayous</v>
      </c>
      <c r="K174" t="str">
        <f>_xlfn.XLOOKUP(E174,'Base SKUs'!E:E,'Base SKUs'!H:H)</f>
        <v>VJoint - Nickel Gap</v>
      </c>
      <c r="L174" t="str">
        <f>_xlfn.XLOOKUP(E174,'Base SKUs'!E:E,'Base SKUs'!I:I)</f>
        <v>-</v>
      </c>
      <c r="M174" t="str">
        <f>_xlfn.XLOOKUP(E174,'Base SKUs'!E:E,'Base SKUs'!J:J)</f>
        <v>1x6</v>
      </c>
      <c r="N174">
        <f>_xlfn.XLOOKUP(E174,'Base SKUs'!E:E,'Base SKUs'!K:K)</f>
        <v>10</v>
      </c>
      <c r="O174" t="str">
        <f>_xlfn.XLOOKUP(E174,'Base SKUs'!E:E,'Base SKUs'!C:C)</f>
        <v>Long</v>
      </c>
      <c r="P174" t="s">
        <v>4927</v>
      </c>
    </row>
    <row r="175" spans="1:16" x14ac:dyDescent="0.25">
      <c r="A175" t="s">
        <v>4880</v>
      </c>
      <c r="B175" t="s">
        <v>4839</v>
      </c>
      <c r="C175" t="s">
        <v>4840</v>
      </c>
      <c r="D175" s="11">
        <v>9008</v>
      </c>
      <c r="E175" t="s">
        <v>141</v>
      </c>
      <c r="F175">
        <v>1</v>
      </c>
      <c r="G175" t="str">
        <f>_xlfn.XLOOKUP(E175,'Base SKUs'!E:E,'Base SKUs'!D:D)</f>
        <v>Thermowood</v>
      </c>
      <c r="H175" s="10">
        <f>_xlfn.XLOOKUP(E175,'Base SKUs'!E:E,'Base SKUs'!S:S)</f>
        <v>7.980000000000001E-3</v>
      </c>
      <c r="I175" s="9">
        <f t="shared" si="2"/>
        <v>8.0000000000000002E-3</v>
      </c>
      <c r="J175" t="str">
        <f>_xlfn.XLOOKUP(E175,'Base SKUs'!E:E,'Base SKUs'!G:G)</f>
        <v>Maximo Thermo Scandinavian Pine</v>
      </c>
      <c r="K175" t="str">
        <f>_xlfn.XLOOKUP(E175,'Base SKUs'!E:E,'Base SKUs'!H:H)</f>
        <v>VJoint - Nickel Gap</v>
      </c>
      <c r="L175" t="str">
        <f>_xlfn.XLOOKUP(E175,'Base SKUs'!E:E,'Base SKUs'!I:I)</f>
        <v>-</v>
      </c>
      <c r="M175" t="str">
        <f>_xlfn.XLOOKUP(E175,'Base SKUs'!E:E,'Base SKUs'!J:J)</f>
        <v>1x6</v>
      </c>
      <c r="N175">
        <f>_xlfn.XLOOKUP(E175,'Base SKUs'!E:E,'Base SKUs'!K:K)</f>
        <v>10</v>
      </c>
      <c r="O175" t="str">
        <f>_xlfn.XLOOKUP(E175,'Base SKUs'!E:E,'Base SKUs'!C:C)</f>
        <v>Long</v>
      </c>
      <c r="P175" t="s">
        <v>4927</v>
      </c>
    </row>
    <row r="176" spans="1:16" x14ac:dyDescent="0.25">
      <c r="A176" t="s">
        <v>4880</v>
      </c>
      <c r="B176" t="s">
        <v>4839</v>
      </c>
      <c r="C176" t="s">
        <v>4840</v>
      </c>
      <c r="D176" s="11">
        <v>9008</v>
      </c>
      <c r="E176" t="s">
        <v>142</v>
      </c>
      <c r="F176">
        <v>2</v>
      </c>
      <c r="G176" t="str">
        <f>_xlfn.XLOOKUP(E176,'Base SKUs'!E:E,'Base SKUs'!D:D)</f>
        <v>Thermowood</v>
      </c>
      <c r="H176" s="10">
        <f>_xlfn.XLOOKUP(E176,'Base SKUs'!E:E,'Base SKUs'!S:S)</f>
        <v>8.7779999999999993E-3</v>
      </c>
      <c r="I176" s="9">
        <f t="shared" si="2"/>
        <v>1.7999999999999999E-2</v>
      </c>
      <c r="J176" t="str">
        <f>_xlfn.XLOOKUP(E176,'Base SKUs'!E:E,'Base SKUs'!G:G)</f>
        <v>Maximo Thermo Scandinavian Pine</v>
      </c>
      <c r="K176" t="str">
        <f>_xlfn.XLOOKUP(E176,'Base SKUs'!E:E,'Base SKUs'!H:H)</f>
        <v>VJoint - Nickel Gap</v>
      </c>
      <c r="L176" t="str">
        <f>_xlfn.XLOOKUP(E176,'Base SKUs'!E:E,'Base SKUs'!I:I)</f>
        <v>-</v>
      </c>
      <c r="M176" t="str">
        <f>_xlfn.XLOOKUP(E176,'Base SKUs'!E:E,'Base SKUs'!J:J)</f>
        <v>1x6</v>
      </c>
      <c r="N176">
        <f>_xlfn.XLOOKUP(E176,'Base SKUs'!E:E,'Base SKUs'!K:K)</f>
        <v>11</v>
      </c>
      <c r="O176" t="str">
        <f>_xlfn.XLOOKUP(E176,'Base SKUs'!E:E,'Base SKUs'!C:C)</f>
        <v>Long</v>
      </c>
      <c r="P176" t="s">
        <v>4927</v>
      </c>
    </row>
    <row r="177" spans="1:16" x14ac:dyDescent="0.25">
      <c r="A177" t="s">
        <v>4880</v>
      </c>
      <c r="B177" t="s">
        <v>4839</v>
      </c>
      <c r="C177" t="s">
        <v>4840</v>
      </c>
      <c r="D177" s="11">
        <v>9008</v>
      </c>
      <c r="E177" t="s">
        <v>143</v>
      </c>
      <c r="F177">
        <v>22</v>
      </c>
      <c r="G177" t="str">
        <f>_xlfn.XLOOKUP(E177,'Base SKUs'!E:E,'Base SKUs'!D:D)</f>
        <v>Thermowood</v>
      </c>
      <c r="H177" s="10">
        <f>_xlfn.XLOOKUP(E177,'Base SKUs'!E:E,'Base SKUs'!S:S)</f>
        <v>9.5760000000000012E-3</v>
      </c>
      <c r="I177" s="9">
        <f t="shared" si="2"/>
        <v>0.21099999999999999</v>
      </c>
      <c r="J177" t="str">
        <f>_xlfn.XLOOKUP(E177,'Base SKUs'!E:E,'Base SKUs'!G:G)</f>
        <v>Maximo Thermo Scandinavian Pine</v>
      </c>
      <c r="K177" t="str">
        <f>_xlfn.XLOOKUP(E177,'Base SKUs'!E:E,'Base SKUs'!H:H)</f>
        <v>VJoint - Nickel Gap</v>
      </c>
      <c r="L177" t="str">
        <f>_xlfn.XLOOKUP(E177,'Base SKUs'!E:E,'Base SKUs'!I:I)</f>
        <v>-</v>
      </c>
      <c r="M177" t="str">
        <f>_xlfn.XLOOKUP(E177,'Base SKUs'!E:E,'Base SKUs'!J:J)</f>
        <v>1x6</v>
      </c>
      <c r="N177">
        <f>_xlfn.XLOOKUP(E177,'Base SKUs'!E:E,'Base SKUs'!K:K)</f>
        <v>12</v>
      </c>
      <c r="O177" t="str">
        <f>_xlfn.XLOOKUP(E177,'Base SKUs'!E:E,'Base SKUs'!C:C)</f>
        <v>Long</v>
      </c>
      <c r="P177" t="s">
        <v>4927</v>
      </c>
    </row>
    <row r="178" spans="1:16" x14ac:dyDescent="0.25">
      <c r="A178" t="s">
        <v>4880</v>
      </c>
      <c r="B178" t="s">
        <v>4839</v>
      </c>
      <c r="C178" t="s">
        <v>4840</v>
      </c>
      <c r="D178" s="11">
        <v>9008</v>
      </c>
      <c r="E178" t="s">
        <v>144</v>
      </c>
      <c r="F178">
        <v>21</v>
      </c>
      <c r="G178" t="str">
        <f>_xlfn.XLOOKUP(E178,'Base SKUs'!E:E,'Base SKUs'!D:D)</f>
        <v>Thermowood</v>
      </c>
      <c r="H178" s="10">
        <f>_xlfn.XLOOKUP(E178,'Base SKUs'!E:E,'Base SKUs'!S:S)</f>
        <v>1.0374000000000001E-2</v>
      </c>
      <c r="I178" s="9">
        <f t="shared" si="2"/>
        <v>0.218</v>
      </c>
      <c r="J178" t="str">
        <f>_xlfn.XLOOKUP(E178,'Base SKUs'!E:E,'Base SKUs'!G:G)</f>
        <v>Maximo Thermo Scandinavian Pine</v>
      </c>
      <c r="K178" t="str">
        <f>_xlfn.XLOOKUP(E178,'Base SKUs'!E:E,'Base SKUs'!H:H)</f>
        <v>VJoint - Nickel Gap</v>
      </c>
      <c r="L178" t="str">
        <f>_xlfn.XLOOKUP(E178,'Base SKUs'!E:E,'Base SKUs'!I:I)</f>
        <v>-</v>
      </c>
      <c r="M178" t="str">
        <f>_xlfn.XLOOKUP(E178,'Base SKUs'!E:E,'Base SKUs'!J:J)</f>
        <v>1x6</v>
      </c>
      <c r="N178">
        <f>_xlfn.XLOOKUP(E178,'Base SKUs'!E:E,'Base SKUs'!K:K)</f>
        <v>13</v>
      </c>
      <c r="O178" t="str">
        <f>_xlfn.XLOOKUP(E178,'Base SKUs'!E:E,'Base SKUs'!C:C)</f>
        <v>Long</v>
      </c>
      <c r="P178" t="s">
        <v>4927</v>
      </c>
    </row>
    <row r="179" spans="1:16" x14ac:dyDescent="0.25">
      <c r="A179" t="s">
        <v>4880</v>
      </c>
      <c r="B179" t="s">
        <v>4839</v>
      </c>
      <c r="C179" t="s">
        <v>4840</v>
      </c>
      <c r="D179" s="11">
        <v>9008</v>
      </c>
      <c r="E179" t="s">
        <v>145</v>
      </c>
      <c r="F179">
        <v>6</v>
      </c>
      <c r="G179" t="str">
        <f>_xlfn.XLOOKUP(E179,'Base SKUs'!E:E,'Base SKUs'!D:D)</f>
        <v>Thermowood</v>
      </c>
      <c r="H179" s="10">
        <f>_xlfn.XLOOKUP(E179,'Base SKUs'!E:E,'Base SKUs'!S:S)</f>
        <v>1.1172E-2</v>
      </c>
      <c r="I179" s="9">
        <f t="shared" si="2"/>
        <v>6.7000000000000004E-2</v>
      </c>
      <c r="J179" t="str">
        <f>_xlfn.XLOOKUP(E179,'Base SKUs'!E:E,'Base SKUs'!G:G)</f>
        <v>Maximo Thermo Scandinavian Pine</v>
      </c>
      <c r="K179" t="str">
        <f>_xlfn.XLOOKUP(E179,'Base SKUs'!E:E,'Base SKUs'!H:H)</f>
        <v>VJoint - Nickel Gap</v>
      </c>
      <c r="L179" t="str">
        <f>_xlfn.XLOOKUP(E179,'Base SKUs'!E:E,'Base SKUs'!I:I)</f>
        <v>-</v>
      </c>
      <c r="M179" t="str">
        <f>_xlfn.XLOOKUP(E179,'Base SKUs'!E:E,'Base SKUs'!J:J)</f>
        <v>1x6</v>
      </c>
      <c r="N179">
        <f>_xlfn.XLOOKUP(E179,'Base SKUs'!E:E,'Base SKUs'!K:K)</f>
        <v>14</v>
      </c>
      <c r="O179" t="str">
        <f>_xlfn.XLOOKUP(E179,'Base SKUs'!E:E,'Base SKUs'!C:C)</f>
        <v>Long</v>
      </c>
      <c r="P179" t="s">
        <v>4927</v>
      </c>
    </row>
    <row r="180" spans="1:16" x14ac:dyDescent="0.25">
      <c r="A180" t="s">
        <v>4880</v>
      </c>
      <c r="B180" t="s">
        <v>4839</v>
      </c>
      <c r="C180" t="s">
        <v>4840</v>
      </c>
      <c r="D180" s="11">
        <v>9008</v>
      </c>
      <c r="E180" t="s">
        <v>146</v>
      </c>
      <c r="F180">
        <v>61</v>
      </c>
      <c r="G180" t="str">
        <f>_xlfn.XLOOKUP(E180,'Base SKUs'!E:E,'Base SKUs'!D:D)</f>
        <v>Thermowood</v>
      </c>
      <c r="H180" s="10">
        <f>_xlfn.XLOOKUP(E180,'Base SKUs'!E:E,'Base SKUs'!S:S)</f>
        <v>1.1970000000000001E-2</v>
      </c>
      <c r="I180" s="9">
        <f t="shared" si="2"/>
        <v>0.73</v>
      </c>
      <c r="J180" t="str">
        <f>_xlfn.XLOOKUP(E180,'Base SKUs'!E:E,'Base SKUs'!G:G)</f>
        <v>Maximo Thermo Scandinavian Pine</v>
      </c>
      <c r="K180" t="str">
        <f>_xlfn.XLOOKUP(E180,'Base SKUs'!E:E,'Base SKUs'!H:H)</f>
        <v>VJoint - Nickel Gap</v>
      </c>
      <c r="L180" t="str">
        <f>_xlfn.XLOOKUP(E180,'Base SKUs'!E:E,'Base SKUs'!I:I)</f>
        <v>-</v>
      </c>
      <c r="M180" t="str">
        <f>_xlfn.XLOOKUP(E180,'Base SKUs'!E:E,'Base SKUs'!J:J)</f>
        <v>1x6</v>
      </c>
      <c r="N180">
        <f>_xlfn.XLOOKUP(E180,'Base SKUs'!E:E,'Base SKUs'!K:K)</f>
        <v>15</v>
      </c>
      <c r="O180" t="str">
        <f>_xlfn.XLOOKUP(E180,'Base SKUs'!E:E,'Base SKUs'!C:C)</f>
        <v>Long</v>
      </c>
      <c r="P180" t="s">
        <v>4927</v>
      </c>
    </row>
    <row r="181" spans="1:16" x14ac:dyDescent="0.25">
      <c r="A181" t="s">
        <v>4880</v>
      </c>
      <c r="B181" t="s">
        <v>4839</v>
      </c>
      <c r="C181" t="s">
        <v>4840</v>
      </c>
      <c r="D181" s="11">
        <v>9008</v>
      </c>
      <c r="E181" t="s">
        <v>147</v>
      </c>
      <c r="F181">
        <v>3</v>
      </c>
      <c r="G181" t="str">
        <f>_xlfn.XLOOKUP(E181,'Base SKUs'!E:E,'Base SKUs'!D:D)</f>
        <v>Thermowood</v>
      </c>
      <c r="H181" s="10">
        <f>_xlfn.XLOOKUP(E181,'Base SKUs'!E:E,'Base SKUs'!S:S)</f>
        <v>3.9900000000000005E-3</v>
      </c>
      <c r="I181" s="9">
        <f t="shared" si="2"/>
        <v>1.2E-2</v>
      </c>
      <c r="J181" t="str">
        <f>_xlfn.XLOOKUP(E181,'Base SKUs'!E:E,'Base SKUs'!G:G)</f>
        <v>Maximo Thermo Scandinavian Pine</v>
      </c>
      <c r="K181" t="str">
        <f>_xlfn.XLOOKUP(E181,'Base SKUs'!E:E,'Base SKUs'!H:H)</f>
        <v>VJoint - Nickel Gap</v>
      </c>
      <c r="L181" t="str">
        <f>_xlfn.XLOOKUP(E181,'Base SKUs'!E:E,'Base SKUs'!I:I)</f>
        <v>-</v>
      </c>
      <c r="M181" t="str">
        <f>_xlfn.XLOOKUP(E181,'Base SKUs'!E:E,'Base SKUs'!J:J)</f>
        <v>1x6</v>
      </c>
      <c r="N181">
        <f>_xlfn.XLOOKUP(E181,'Base SKUs'!E:E,'Base SKUs'!K:K)</f>
        <v>5</v>
      </c>
      <c r="O181" t="str">
        <f>_xlfn.XLOOKUP(E181,'Base SKUs'!E:E,'Base SKUs'!C:C)</f>
        <v>Short</v>
      </c>
      <c r="P181" t="s">
        <v>4927</v>
      </c>
    </row>
    <row r="182" spans="1:16" x14ac:dyDescent="0.25">
      <c r="A182" t="s">
        <v>4880</v>
      </c>
      <c r="B182" t="s">
        <v>4839</v>
      </c>
      <c r="C182" t="s">
        <v>4840</v>
      </c>
      <c r="D182" s="11">
        <v>9008</v>
      </c>
      <c r="E182" t="s">
        <v>148</v>
      </c>
      <c r="F182">
        <v>1</v>
      </c>
      <c r="G182" t="str">
        <f>_xlfn.XLOOKUP(E182,'Base SKUs'!E:E,'Base SKUs'!D:D)</f>
        <v>Thermowood</v>
      </c>
      <c r="H182" s="10">
        <f>_xlfn.XLOOKUP(E182,'Base SKUs'!E:E,'Base SKUs'!S:S)</f>
        <v>6.3839999999999999E-3</v>
      </c>
      <c r="I182" s="9">
        <f t="shared" si="2"/>
        <v>6.0000000000000001E-3</v>
      </c>
      <c r="J182" t="str">
        <f>_xlfn.XLOOKUP(E182,'Base SKUs'!E:E,'Base SKUs'!G:G)</f>
        <v>Maximo Thermo Scandinavian Pine</v>
      </c>
      <c r="K182" t="str">
        <f>_xlfn.XLOOKUP(E182,'Base SKUs'!E:E,'Base SKUs'!H:H)</f>
        <v>VJoint - Nickel Gap</v>
      </c>
      <c r="L182" t="str">
        <f>_xlfn.XLOOKUP(E182,'Base SKUs'!E:E,'Base SKUs'!I:I)</f>
        <v>-</v>
      </c>
      <c r="M182" t="str">
        <f>_xlfn.XLOOKUP(E182,'Base SKUs'!E:E,'Base SKUs'!J:J)</f>
        <v>1x6</v>
      </c>
      <c r="N182">
        <f>_xlfn.XLOOKUP(E182,'Base SKUs'!E:E,'Base SKUs'!K:K)</f>
        <v>8</v>
      </c>
      <c r="O182" t="str">
        <f>_xlfn.XLOOKUP(E182,'Base SKUs'!E:E,'Base SKUs'!C:C)</f>
        <v>Long</v>
      </c>
      <c r="P182" t="s">
        <v>4927</v>
      </c>
    </row>
    <row r="183" spans="1:16" x14ac:dyDescent="0.25">
      <c r="A183" t="s">
        <v>4880</v>
      </c>
      <c r="B183" t="s">
        <v>4839</v>
      </c>
      <c r="C183" t="s">
        <v>4840</v>
      </c>
      <c r="D183" s="11">
        <v>9008</v>
      </c>
      <c r="E183" t="s">
        <v>149</v>
      </c>
      <c r="F183">
        <v>4</v>
      </c>
      <c r="G183" t="str">
        <f>_xlfn.XLOOKUP(E183,'Base SKUs'!E:E,'Base SKUs'!D:D)</f>
        <v>Thermowood</v>
      </c>
      <c r="H183" s="10">
        <f>_xlfn.XLOOKUP(E183,'Base SKUs'!E:E,'Base SKUs'!S:S)</f>
        <v>7.182E-3</v>
      </c>
      <c r="I183" s="9">
        <f t="shared" si="2"/>
        <v>2.9000000000000001E-2</v>
      </c>
      <c r="J183" t="str">
        <f>_xlfn.XLOOKUP(E183,'Base SKUs'!E:E,'Base SKUs'!G:G)</f>
        <v>Maximo Thermo Scandinavian Pine</v>
      </c>
      <c r="K183" t="str">
        <f>_xlfn.XLOOKUP(E183,'Base SKUs'!E:E,'Base SKUs'!H:H)</f>
        <v>VJoint - Nickel Gap</v>
      </c>
      <c r="L183" t="str">
        <f>_xlfn.XLOOKUP(E183,'Base SKUs'!E:E,'Base SKUs'!I:I)</f>
        <v>-</v>
      </c>
      <c r="M183" t="str">
        <f>_xlfn.XLOOKUP(E183,'Base SKUs'!E:E,'Base SKUs'!J:J)</f>
        <v>1x6</v>
      </c>
      <c r="N183">
        <f>_xlfn.XLOOKUP(E183,'Base SKUs'!E:E,'Base SKUs'!K:K)</f>
        <v>9</v>
      </c>
      <c r="O183" t="str">
        <f>_xlfn.XLOOKUP(E183,'Base SKUs'!E:E,'Base SKUs'!C:C)</f>
        <v>Long</v>
      </c>
      <c r="P183" t="s">
        <v>4927</v>
      </c>
    </row>
    <row r="184" spans="1:16" x14ac:dyDescent="0.25">
      <c r="A184" t="s">
        <v>4880</v>
      </c>
      <c r="B184" t="s">
        <v>4839</v>
      </c>
      <c r="C184" t="s">
        <v>4840</v>
      </c>
      <c r="D184" s="11">
        <v>9008</v>
      </c>
      <c r="E184" t="s">
        <v>150</v>
      </c>
      <c r="F184">
        <v>1</v>
      </c>
      <c r="G184" t="str">
        <f>_xlfn.XLOOKUP(E184,'Base SKUs'!E:E,'Base SKUs'!D:D)</f>
        <v>Thermowood</v>
      </c>
      <c r="H184" s="10">
        <f>_xlfn.XLOOKUP(E184,'Base SKUs'!E:E,'Base SKUs'!S:S)</f>
        <v>3.9900000000000005E-3</v>
      </c>
      <c r="I184" s="9">
        <f t="shared" si="2"/>
        <v>4.0000000000000001E-3</v>
      </c>
      <c r="J184" t="str">
        <f>_xlfn.XLOOKUP(E184,'Base SKUs'!E:E,'Base SKUs'!G:G)</f>
        <v>Maximo Thermo Scandinavian Pine</v>
      </c>
      <c r="K184" t="str">
        <f>_xlfn.XLOOKUP(E184,'Base SKUs'!E:E,'Base SKUs'!H:H)</f>
        <v>VJoint - Square Back</v>
      </c>
      <c r="L184" t="str">
        <f>_xlfn.XLOOKUP(E184,'Base SKUs'!E:E,'Base SKUs'!I:I)</f>
        <v>-</v>
      </c>
      <c r="M184" t="str">
        <f>_xlfn.XLOOKUP(E184,'Base SKUs'!E:E,'Base SKUs'!J:J)</f>
        <v>1x6</v>
      </c>
      <c r="N184">
        <f>_xlfn.XLOOKUP(E184,'Base SKUs'!E:E,'Base SKUs'!K:K)</f>
        <v>5</v>
      </c>
      <c r="O184" t="str">
        <f>_xlfn.XLOOKUP(E184,'Base SKUs'!E:E,'Base SKUs'!C:C)</f>
        <v>Short</v>
      </c>
      <c r="P184" t="s">
        <v>4927</v>
      </c>
    </row>
    <row r="185" spans="1:16" x14ac:dyDescent="0.25">
      <c r="A185" t="s">
        <v>4880</v>
      </c>
      <c r="B185" t="s">
        <v>4839</v>
      </c>
      <c r="C185" t="s">
        <v>4840</v>
      </c>
      <c r="D185" s="11">
        <v>9008</v>
      </c>
      <c r="E185" t="s">
        <v>151</v>
      </c>
      <c r="F185">
        <v>2</v>
      </c>
      <c r="G185" t="str">
        <f>_xlfn.XLOOKUP(E185,'Base SKUs'!E:E,'Base SKUs'!D:D)</f>
        <v>Thermowood</v>
      </c>
      <c r="H185" s="10">
        <f>_xlfn.XLOOKUP(E185,'Base SKUs'!E:E,'Base SKUs'!S:S)</f>
        <v>4.7880000000000006E-3</v>
      </c>
      <c r="I185" s="9">
        <f t="shared" si="2"/>
        <v>0.01</v>
      </c>
      <c r="J185" t="str">
        <f>_xlfn.XLOOKUP(E185,'Base SKUs'!E:E,'Base SKUs'!G:G)</f>
        <v>Maximo Thermo Scandinavian Pine</v>
      </c>
      <c r="K185" t="str">
        <f>_xlfn.XLOOKUP(E185,'Base SKUs'!E:E,'Base SKUs'!H:H)</f>
        <v>VJoint - Square Back</v>
      </c>
      <c r="L185" t="str">
        <f>_xlfn.XLOOKUP(E185,'Base SKUs'!E:E,'Base SKUs'!I:I)</f>
        <v>-</v>
      </c>
      <c r="M185" t="str">
        <f>_xlfn.XLOOKUP(E185,'Base SKUs'!E:E,'Base SKUs'!J:J)</f>
        <v>1x6</v>
      </c>
      <c r="N185">
        <f>_xlfn.XLOOKUP(E185,'Base SKUs'!E:E,'Base SKUs'!K:K)</f>
        <v>6</v>
      </c>
      <c r="O185" t="str">
        <f>_xlfn.XLOOKUP(E185,'Base SKUs'!E:E,'Base SKUs'!C:C)</f>
        <v>Short</v>
      </c>
      <c r="P185" t="s">
        <v>4927</v>
      </c>
    </row>
    <row r="186" spans="1:16" x14ac:dyDescent="0.25">
      <c r="A186" t="s">
        <v>4880</v>
      </c>
      <c r="B186" t="s">
        <v>4839</v>
      </c>
      <c r="C186" t="s">
        <v>4840</v>
      </c>
      <c r="D186" s="11">
        <v>9008</v>
      </c>
      <c r="E186" t="s">
        <v>152</v>
      </c>
      <c r="F186">
        <v>8</v>
      </c>
      <c r="G186" t="str">
        <f>_xlfn.XLOOKUP(E186,'Base SKUs'!E:E,'Base SKUs'!D:D)</f>
        <v>Thermowood</v>
      </c>
      <c r="H186" s="10">
        <f>_xlfn.XLOOKUP(E186,'Base SKUs'!E:E,'Base SKUs'!S:S)</f>
        <v>5.5859999999999998E-3</v>
      </c>
      <c r="I186" s="9">
        <f t="shared" si="2"/>
        <v>4.4999999999999998E-2</v>
      </c>
      <c r="J186" t="str">
        <f>_xlfn.XLOOKUP(E186,'Base SKUs'!E:E,'Base SKUs'!G:G)</f>
        <v>Maximo Thermo Scandinavian Pine</v>
      </c>
      <c r="K186" t="str">
        <f>_xlfn.XLOOKUP(E186,'Base SKUs'!E:E,'Base SKUs'!H:H)</f>
        <v>VJoint - Square Back</v>
      </c>
      <c r="L186" t="str">
        <f>_xlfn.XLOOKUP(E186,'Base SKUs'!E:E,'Base SKUs'!I:I)</f>
        <v>-</v>
      </c>
      <c r="M186" t="str">
        <f>_xlfn.XLOOKUP(E186,'Base SKUs'!E:E,'Base SKUs'!J:J)</f>
        <v>1x6</v>
      </c>
      <c r="N186">
        <f>_xlfn.XLOOKUP(E186,'Base SKUs'!E:E,'Base SKUs'!K:K)</f>
        <v>7</v>
      </c>
      <c r="O186" t="str">
        <f>_xlfn.XLOOKUP(E186,'Base SKUs'!E:E,'Base SKUs'!C:C)</f>
        <v>Short</v>
      </c>
      <c r="P186" t="s">
        <v>4927</v>
      </c>
    </row>
    <row r="187" spans="1:16" x14ac:dyDescent="0.25">
      <c r="A187" t="s">
        <v>4880</v>
      </c>
      <c r="B187" t="s">
        <v>4839</v>
      </c>
      <c r="C187" t="s">
        <v>4840</v>
      </c>
      <c r="D187" s="11">
        <v>9008</v>
      </c>
      <c r="E187" t="s">
        <v>153</v>
      </c>
      <c r="F187">
        <v>6</v>
      </c>
      <c r="G187" t="str">
        <f>_xlfn.XLOOKUP(E187,'Base SKUs'!E:E,'Base SKUs'!D:D)</f>
        <v>Thermowood</v>
      </c>
      <c r="H187" s="10">
        <f>_xlfn.XLOOKUP(E187,'Base SKUs'!E:E,'Base SKUs'!S:S)</f>
        <v>6.3839999999999999E-3</v>
      </c>
      <c r="I187" s="9">
        <f t="shared" si="2"/>
        <v>3.7999999999999999E-2</v>
      </c>
      <c r="J187" t="str">
        <f>_xlfn.XLOOKUP(E187,'Base SKUs'!E:E,'Base SKUs'!G:G)</f>
        <v>Maximo Thermo Scandinavian Pine</v>
      </c>
      <c r="K187" t="str">
        <f>_xlfn.XLOOKUP(E187,'Base SKUs'!E:E,'Base SKUs'!H:H)</f>
        <v>VJoint - Square Back</v>
      </c>
      <c r="L187" t="str">
        <f>_xlfn.XLOOKUP(E187,'Base SKUs'!E:E,'Base SKUs'!I:I)</f>
        <v>-</v>
      </c>
      <c r="M187" t="str">
        <f>_xlfn.XLOOKUP(E187,'Base SKUs'!E:E,'Base SKUs'!J:J)</f>
        <v>1x6</v>
      </c>
      <c r="N187">
        <f>_xlfn.XLOOKUP(E187,'Base SKUs'!E:E,'Base SKUs'!K:K)</f>
        <v>8</v>
      </c>
      <c r="O187" t="str">
        <f>_xlfn.XLOOKUP(E187,'Base SKUs'!E:E,'Base SKUs'!C:C)</f>
        <v>Long</v>
      </c>
      <c r="P187" t="s">
        <v>4927</v>
      </c>
    </row>
    <row r="188" spans="1:16" x14ac:dyDescent="0.25">
      <c r="A188" t="s">
        <v>4880</v>
      </c>
      <c r="B188" t="s">
        <v>4839</v>
      </c>
      <c r="C188" t="s">
        <v>4840</v>
      </c>
      <c r="D188" s="11">
        <v>9008</v>
      </c>
      <c r="E188" t="s">
        <v>78</v>
      </c>
      <c r="F188">
        <v>3</v>
      </c>
      <c r="G188" t="str">
        <f>_xlfn.XLOOKUP(E188,'Base SKUs'!E:E,'Base SKUs'!D:D)</f>
        <v>Thermowood</v>
      </c>
      <c r="H188" s="10">
        <f>_xlfn.XLOOKUP(E188,'Base SKUs'!E:E,'Base SKUs'!S:S)</f>
        <v>7.182E-3</v>
      </c>
      <c r="I188" s="9">
        <f t="shared" si="2"/>
        <v>2.1999999999999999E-2</v>
      </c>
      <c r="J188" t="str">
        <f>_xlfn.XLOOKUP(E188,'Base SKUs'!E:E,'Base SKUs'!G:G)</f>
        <v>Maximo Thermo Scandinavian Pine</v>
      </c>
      <c r="K188" t="str">
        <f>_xlfn.XLOOKUP(E188,'Base SKUs'!E:E,'Base SKUs'!H:H)</f>
        <v>VJoint - Square Back</v>
      </c>
      <c r="L188" t="str">
        <f>_xlfn.XLOOKUP(E188,'Base SKUs'!E:E,'Base SKUs'!I:I)</f>
        <v>-</v>
      </c>
      <c r="M188" t="str">
        <f>_xlfn.XLOOKUP(E188,'Base SKUs'!E:E,'Base SKUs'!J:J)</f>
        <v>1x6</v>
      </c>
      <c r="N188">
        <f>_xlfn.XLOOKUP(E188,'Base SKUs'!E:E,'Base SKUs'!K:K)</f>
        <v>9</v>
      </c>
      <c r="O188" t="str">
        <f>_xlfn.XLOOKUP(E188,'Base SKUs'!E:E,'Base SKUs'!C:C)</f>
        <v>Long</v>
      </c>
      <c r="P188" t="s">
        <v>4927</v>
      </c>
    </row>
    <row r="189" spans="1:16" x14ac:dyDescent="0.25">
      <c r="A189" t="s">
        <v>4880</v>
      </c>
      <c r="B189" t="s">
        <v>4839</v>
      </c>
      <c r="C189" t="s">
        <v>4840</v>
      </c>
      <c r="D189" s="11">
        <v>9008</v>
      </c>
      <c r="E189" t="s">
        <v>154</v>
      </c>
      <c r="F189">
        <v>10</v>
      </c>
      <c r="G189" t="str">
        <f>_xlfn.XLOOKUP(E189,'Base SKUs'!E:E,'Base SKUs'!D:D)</f>
        <v>Thermowood</v>
      </c>
      <c r="H189" s="10">
        <f>_xlfn.XLOOKUP(E189,'Base SKUs'!E:E,'Base SKUs'!S:S)</f>
        <v>1.3565999999999998E-2</v>
      </c>
      <c r="I189" s="9">
        <f t="shared" si="2"/>
        <v>0.13600000000000001</v>
      </c>
      <c r="J189" t="str">
        <f>_xlfn.XLOOKUP(E189,'Base SKUs'!E:E,'Base SKUs'!G:G)</f>
        <v>Maximo Thermo Scandinavian Pine</v>
      </c>
      <c r="K189" t="str">
        <f>_xlfn.XLOOKUP(E189,'Base SKUs'!E:E,'Base SKUs'!H:H)</f>
        <v>VJoint - Nickel Gap</v>
      </c>
      <c r="L189" t="str">
        <f>_xlfn.XLOOKUP(E189,'Base SKUs'!E:E,'Base SKUs'!I:I)</f>
        <v>-</v>
      </c>
      <c r="M189" t="str">
        <f>_xlfn.XLOOKUP(E189,'Base SKUs'!E:E,'Base SKUs'!J:J)</f>
        <v>1x6</v>
      </c>
      <c r="N189">
        <f>_xlfn.XLOOKUP(E189,'Base SKUs'!E:E,'Base SKUs'!K:K)</f>
        <v>17</v>
      </c>
      <c r="O189" t="str">
        <f>_xlfn.XLOOKUP(E189,'Base SKUs'!E:E,'Base SKUs'!C:C)</f>
        <v>Long</v>
      </c>
      <c r="P189" t="s">
        <v>4927</v>
      </c>
    </row>
    <row r="190" spans="1:16" x14ac:dyDescent="0.25">
      <c r="A190" t="s">
        <v>4881</v>
      </c>
      <c r="B190" t="s">
        <v>4839</v>
      </c>
      <c r="C190" t="s">
        <v>4882</v>
      </c>
      <c r="D190" s="11">
        <v>9007</v>
      </c>
      <c r="E190" t="s">
        <v>155</v>
      </c>
      <c r="F190">
        <v>12</v>
      </c>
      <c r="G190" t="str">
        <f>_xlfn.XLOOKUP(E190,'Base SKUs'!E:E,'Base SKUs'!D:D)</f>
        <v>Thermowood</v>
      </c>
      <c r="H190" s="10">
        <f>_xlfn.XLOOKUP(E190,'Base SKUs'!E:E,'Base SKUs'!S:S)</f>
        <v>3.9900000000000005E-3</v>
      </c>
      <c r="I190" s="9">
        <f t="shared" si="2"/>
        <v>4.8000000000000001E-2</v>
      </c>
      <c r="J190" t="str">
        <f>_xlfn.XLOOKUP(E190,'Base SKUs'!E:E,'Base SKUs'!G:G)</f>
        <v>Maximo Thermo Ayous</v>
      </c>
      <c r="K190" t="str">
        <f>_xlfn.XLOOKUP(E190,'Base SKUs'!E:E,'Base SKUs'!H:H)</f>
        <v>VJoint - Nickel Gap</v>
      </c>
      <c r="L190" t="str">
        <f>_xlfn.XLOOKUP(E190,'Base SKUs'!E:E,'Base SKUs'!I:I)</f>
        <v>-</v>
      </c>
      <c r="M190" t="str">
        <f>_xlfn.XLOOKUP(E190,'Base SKUs'!E:E,'Base SKUs'!J:J)</f>
        <v>1x6</v>
      </c>
      <c r="N190">
        <f>_xlfn.XLOOKUP(E190,'Base SKUs'!E:E,'Base SKUs'!K:K)</f>
        <v>5</v>
      </c>
      <c r="O190" t="str">
        <f>_xlfn.XLOOKUP(E190,'Base SKUs'!E:E,'Base SKUs'!C:C)</f>
        <v>Short</v>
      </c>
      <c r="P190" t="s">
        <v>4927</v>
      </c>
    </row>
    <row r="191" spans="1:16" x14ac:dyDescent="0.25">
      <c r="A191" t="s">
        <v>4881</v>
      </c>
      <c r="B191" t="s">
        <v>4839</v>
      </c>
      <c r="C191" t="s">
        <v>4882</v>
      </c>
      <c r="D191" s="11">
        <v>9007</v>
      </c>
      <c r="E191" t="s">
        <v>96</v>
      </c>
      <c r="F191">
        <v>7</v>
      </c>
      <c r="G191" t="str">
        <f>_xlfn.XLOOKUP(E191,'Base SKUs'!E:E,'Base SKUs'!D:D)</f>
        <v>Thermowood</v>
      </c>
      <c r="H191" s="10">
        <f>_xlfn.XLOOKUP(E191,'Base SKUs'!E:E,'Base SKUs'!S:S)</f>
        <v>4.7880000000000006E-3</v>
      </c>
      <c r="I191" s="9">
        <f t="shared" si="2"/>
        <v>3.4000000000000002E-2</v>
      </c>
      <c r="J191" t="str">
        <f>_xlfn.XLOOKUP(E191,'Base SKUs'!E:E,'Base SKUs'!G:G)</f>
        <v>Maximo Thermo Ayous</v>
      </c>
      <c r="K191" t="str">
        <f>_xlfn.XLOOKUP(E191,'Base SKUs'!E:E,'Base SKUs'!H:H)</f>
        <v>VJoint - Nickel Gap</v>
      </c>
      <c r="L191" t="str">
        <f>_xlfn.XLOOKUP(E191,'Base SKUs'!E:E,'Base SKUs'!I:I)</f>
        <v>-</v>
      </c>
      <c r="M191" t="str">
        <f>_xlfn.XLOOKUP(E191,'Base SKUs'!E:E,'Base SKUs'!J:J)</f>
        <v>1x6</v>
      </c>
      <c r="N191">
        <f>_xlfn.XLOOKUP(E191,'Base SKUs'!E:E,'Base SKUs'!K:K)</f>
        <v>6</v>
      </c>
      <c r="O191" t="str">
        <f>_xlfn.XLOOKUP(E191,'Base SKUs'!E:E,'Base SKUs'!C:C)</f>
        <v>Short</v>
      </c>
      <c r="P191" t="s">
        <v>4927</v>
      </c>
    </row>
    <row r="192" spans="1:16" x14ac:dyDescent="0.25">
      <c r="A192" t="s">
        <v>4881</v>
      </c>
      <c r="B192" t="s">
        <v>4839</v>
      </c>
      <c r="C192" t="s">
        <v>4882</v>
      </c>
      <c r="D192" s="11">
        <v>9007</v>
      </c>
      <c r="E192" t="s">
        <v>97</v>
      </c>
      <c r="F192">
        <v>13</v>
      </c>
      <c r="G192" t="str">
        <f>_xlfn.XLOOKUP(E192,'Base SKUs'!E:E,'Base SKUs'!D:D)</f>
        <v>Thermowood</v>
      </c>
      <c r="H192" s="10">
        <f>_xlfn.XLOOKUP(E192,'Base SKUs'!E:E,'Base SKUs'!S:S)</f>
        <v>5.5859999999999998E-3</v>
      </c>
      <c r="I192" s="9">
        <f t="shared" si="2"/>
        <v>7.2999999999999995E-2</v>
      </c>
      <c r="J192" t="str">
        <f>_xlfn.XLOOKUP(E192,'Base SKUs'!E:E,'Base SKUs'!G:G)</f>
        <v>Maximo Thermo Ayous</v>
      </c>
      <c r="K192" t="str">
        <f>_xlfn.XLOOKUP(E192,'Base SKUs'!E:E,'Base SKUs'!H:H)</f>
        <v>VJoint - Nickel Gap</v>
      </c>
      <c r="L192" t="str">
        <f>_xlfn.XLOOKUP(E192,'Base SKUs'!E:E,'Base SKUs'!I:I)</f>
        <v>-</v>
      </c>
      <c r="M192" t="str">
        <f>_xlfn.XLOOKUP(E192,'Base SKUs'!E:E,'Base SKUs'!J:J)</f>
        <v>1x6</v>
      </c>
      <c r="N192">
        <f>_xlfn.XLOOKUP(E192,'Base SKUs'!E:E,'Base SKUs'!K:K)</f>
        <v>7</v>
      </c>
      <c r="O192" t="str">
        <f>_xlfn.XLOOKUP(E192,'Base SKUs'!E:E,'Base SKUs'!C:C)</f>
        <v>Short</v>
      </c>
      <c r="P192" t="s">
        <v>4927</v>
      </c>
    </row>
    <row r="193" spans="1:16" x14ac:dyDescent="0.25">
      <c r="A193" t="s">
        <v>4881</v>
      </c>
      <c r="B193" t="s">
        <v>4839</v>
      </c>
      <c r="C193" t="s">
        <v>4882</v>
      </c>
      <c r="D193" s="11">
        <v>9007</v>
      </c>
      <c r="E193" t="s">
        <v>14</v>
      </c>
      <c r="F193">
        <v>26</v>
      </c>
      <c r="G193" t="str">
        <f>_xlfn.XLOOKUP(E193,'Base SKUs'!E:E,'Base SKUs'!D:D)</f>
        <v>Thermowood</v>
      </c>
      <c r="H193" s="10">
        <f>_xlfn.XLOOKUP(E193,'Base SKUs'!E:E,'Base SKUs'!S:S)</f>
        <v>6.3839999999999999E-3</v>
      </c>
      <c r="I193" s="9">
        <f t="shared" si="2"/>
        <v>0.16600000000000001</v>
      </c>
      <c r="J193" t="str">
        <f>_xlfn.XLOOKUP(E193,'Base SKUs'!E:E,'Base SKUs'!G:G)</f>
        <v>Maximo Thermo Ayous</v>
      </c>
      <c r="K193" t="str">
        <f>_xlfn.XLOOKUP(E193,'Base SKUs'!E:E,'Base SKUs'!H:H)</f>
        <v>VJoint - Nickel Gap</v>
      </c>
      <c r="L193" t="str">
        <f>_xlfn.XLOOKUP(E193,'Base SKUs'!E:E,'Base SKUs'!I:I)</f>
        <v>-</v>
      </c>
      <c r="M193" t="str">
        <f>_xlfn.XLOOKUP(E193,'Base SKUs'!E:E,'Base SKUs'!J:J)</f>
        <v>1x6</v>
      </c>
      <c r="N193">
        <f>_xlfn.XLOOKUP(E193,'Base SKUs'!E:E,'Base SKUs'!K:K)</f>
        <v>8</v>
      </c>
      <c r="O193" t="str">
        <f>_xlfn.XLOOKUP(E193,'Base SKUs'!E:E,'Base SKUs'!C:C)</f>
        <v>Long</v>
      </c>
      <c r="P193" t="s">
        <v>4927</v>
      </c>
    </row>
    <row r="194" spans="1:16" x14ac:dyDescent="0.25">
      <c r="A194" t="s">
        <v>4881</v>
      </c>
      <c r="B194" t="s">
        <v>4839</v>
      </c>
      <c r="C194" t="s">
        <v>4882</v>
      </c>
      <c r="D194" s="11">
        <v>9007</v>
      </c>
      <c r="E194" t="s">
        <v>49</v>
      </c>
      <c r="F194">
        <v>42</v>
      </c>
      <c r="G194" t="str">
        <f>_xlfn.XLOOKUP(E194,'Base SKUs'!E:E,'Base SKUs'!D:D)</f>
        <v>Thermowood</v>
      </c>
      <c r="H194" s="10">
        <f>_xlfn.XLOOKUP(E194,'Base SKUs'!E:E,'Base SKUs'!S:S)</f>
        <v>7.980000000000001E-3</v>
      </c>
      <c r="I194" s="9">
        <f t="shared" ref="I194:I257" si="3">IF(OR(G194="Norx",K194="Tiles"),ROUND(F194,3),ROUND(F194*H194,3))</f>
        <v>0.33500000000000002</v>
      </c>
      <c r="J194" t="str">
        <f>_xlfn.XLOOKUP(E194,'Base SKUs'!E:E,'Base SKUs'!G:G)</f>
        <v>Maximo Thermo Ayous</v>
      </c>
      <c r="K194" t="str">
        <f>_xlfn.XLOOKUP(E194,'Base SKUs'!E:E,'Base SKUs'!H:H)</f>
        <v>VJoint - Nickel Gap</v>
      </c>
      <c r="L194" t="str">
        <f>_xlfn.XLOOKUP(E194,'Base SKUs'!E:E,'Base SKUs'!I:I)</f>
        <v>-</v>
      </c>
      <c r="M194" t="str">
        <f>_xlfn.XLOOKUP(E194,'Base SKUs'!E:E,'Base SKUs'!J:J)</f>
        <v>1x6</v>
      </c>
      <c r="N194">
        <f>_xlfn.XLOOKUP(E194,'Base SKUs'!E:E,'Base SKUs'!K:K)</f>
        <v>10</v>
      </c>
      <c r="O194" t="str">
        <f>_xlfn.XLOOKUP(E194,'Base SKUs'!E:E,'Base SKUs'!C:C)</f>
        <v>Long</v>
      </c>
      <c r="P194" t="s">
        <v>4927</v>
      </c>
    </row>
    <row r="195" spans="1:16" x14ac:dyDescent="0.25">
      <c r="A195" t="s">
        <v>4881</v>
      </c>
      <c r="B195" t="s">
        <v>4839</v>
      </c>
      <c r="C195" t="s">
        <v>4882</v>
      </c>
      <c r="D195" s="11">
        <v>9007</v>
      </c>
      <c r="E195" t="s">
        <v>50</v>
      </c>
      <c r="F195">
        <v>22</v>
      </c>
      <c r="G195" t="str">
        <f>_xlfn.XLOOKUP(E195,'Base SKUs'!E:E,'Base SKUs'!D:D)</f>
        <v>Thermowood</v>
      </c>
      <c r="H195" s="10">
        <f>_xlfn.XLOOKUP(E195,'Base SKUs'!E:E,'Base SKUs'!S:S)</f>
        <v>8.7779999999999993E-3</v>
      </c>
      <c r="I195" s="9">
        <f t="shared" si="3"/>
        <v>0.193</v>
      </c>
      <c r="J195" t="str">
        <f>_xlfn.XLOOKUP(E195,'Base SKUs'!E:E,'Base SKUs'!G:G)</f>
        <v>Maximo Thermo Ayous</v>
      </c>
      <c r="K195" t="str">
        <f>_xlfn.XLOOKUP(E195,'Base SKUs'!E:E,'Base SKUs'!H:H)</f>
        <v>VJoint - Nickel Gap</v>
      </c>
      <c r="L195" t="str">
        <f>_xlfn.XLOOKUP(E195,'Base SKUs'!E:E,'Base SKUs'!I:I)</f>
        <v>-</v>
      </c>
      <c r="M195" t="str">
        <f>_xlfn.XLOOKUP(E195,'Base SKUs'!E:E,'Base SKUs'!J:J)</f>
        <v>1x6</v>
      </c>
      <c r="N195">
        <f>_xlfn.XLOOKUP(E195,'Base SKUs'!E:E,'Base SKUs'!K:K)</f>
        <v>11</v>
      </c>
      <c r="O195" t="str">
        <f>_xlfn.XLOOKUP(E195,'Base SKUs'!E:E,'Base SKUs'!C:C)</f>
        <v>Long</v>
      </c>
      <c r="P195" t="s">
        <v>4927</v>
      </c>
    </row>
    <row r="196" spans="1:16" x14ac:dyDescent="0.25">
      <c r="A196" t="s">
        <v>4881</v>
      </c>
      <c r="B196" t="s">
        <v>4839</v>
      </c>
      <c r="C196" t="s">
        <v>4882</v>
      </c>
      <c r="D196" s="11">
        <v>9007</v>
      </c>
      <c r="E196" t="s">
        <v>115</v>
      </c>
      <c r="F196">
        <v>11</v>
      </c>
      <c r="G196" t="str">
        <f>_xlfn.XLOOKUP(E196,'Base SKUs'!E:E,'Base SKUs'!D:D)</f>
        <v>Thermowood</v>
      </c>
      <c r="H196" s="10">
        <f>_xlfn.XLOOKUP(E196,'Base SKUs'!E:E,'Base SKUs'!S:S)</f>
        <v>9.5760000000000012E-3</v>
      </c>
      <c r="I196" s="9">
        <f t="shared" si="3"/>
        <v>0.105</v>
      </c>
      <c r="J196" t="str">
        <f>_xlfn.XLOOKUP(E196,'Base SKUs'!E:E,'Base SKUs'!G:G)</f>
        <v>Maximo Thermo Ayous</v>
      </c>
      <c r="K196" t="str">
        <f>_xlfn.XLOOKUP(E196,'Base SKUs'!E:E,'Base SKUs'!H:H)</f>
        <v>VJoint - Nickel Gap</v>
      </c>
      <c r="L196" t="str">
        <f>_xlfn.XLOOKUP(E196,'Base SKUs'!E:E,'Base SKUs'!I:I)</f>
        <v>-</v>
      </c>
      <c r="M196" t="str">
        <f>_xlfn.XLOOKUP(E196,'Base SKUs'!E:E,'Base SKUs'!J:J)</f>
        <v>1x6</v>
      </c>
      <c r="N196">
        <f>_xlfn.XLOOKUP(E196,'Base SKUs'!E:E,'Base SKUs'!K:K)</f>
        <v>12</v>
      </c>
      <c r="O196" t="str">
        <f>_xlfn.XLOOKUP(E196,'Base SKUs'!E:E,'Base SKUs'!C:C)</f>
        <v>Long</v>
      </c>
      <c r="P196" t="s">
        <v>4927</v>
      </c>
    </row>
    <row r="197" spans="1:16" x14ac:dyDescent="0.25">
      <c r="A197" t="s">
        <v>4883</v>
      </c>
      <c r="B197" t="s">
        <v>4839</v>
      </c>
      <c r="C197" t="s">
        <v>4840</v>
      </c>
      <c r="D197" s="11">
        <v>9011</v>
      </c>
      <c r="E197" t="s">
        <v>156</v>
      </c>
      <c r="F197">
        <v>84</v>
      </c>
      <c r="G197" t="str">
        <f>_xlfn.XLOOKUP(E197,'Base SKUs'!E:E,'Base SKUs'!D:D)</f>
        <v>Hardwoods</v>
      </c>
      <c r="H197" s="10">
        <f>_xlfn.XLOOKUP(E197,'Base SKUs'!E:E,'Base SKUs'!S:S)</f>
        <v>1.9467832031999997E-2</v>
      </c>
      <c r="I197" s="9">
        <f t="shared" si="3"/>
        <v>1.635</v>
      </c>
      <c r="J197" t="str">
        <f>_xlfn.XLOOKUP(E197,'Base SKUs'!E:E,'Base SKUs'!G:G)</f>
        <v>Ipe</v>
      </c>
      <c r="K197" t="str">
        <f>_xlfn.XLOOKUP(E197,'Base SKUs'!E:E,'Base SKUs'!H:H)</f>
        <v>S4S E4E</v>
      </c>
      <c r="L197" t="str">
        <f>_xlfn.XLOOKUP(E197,'Base SKUs'!E:E,'Base SKUs'!I:I)</f>
        <v>-</v>
      </c>
      <c r="M197" t="str">
        <f>_xlfn.XLOOKUP(E197,'Base SKUs'!E:E,'Base SKUs'!J:J)</f>
        <v>2x6</v>
      </c>
      <c r="N197">
        <f>_xlfn.XLOOKUP(E197,'Base SKUs'!E:E,'Base SKUs'!K:K)</f>
        <v>12</v>
      </c>
      <c r="O197" t="str">
        <f>_xlfn.XLOOKUP(E197,'Base SKUs'!E:E,'Base SKUs'!C:C)</f>
        <v>Long</v>
      </c>
      <c r="P197" t="s">
        <v>4927</v>
      </c>
    </row>
    <row r="198" spans="1:16" x14ac:dyDescent="0.25">
      <c r="A198" t="s">
        <v>4883</v>
      </c>
      <c r="B198" t="s">
        <v>4839</v>
      </c>
      <c r="C198" t="s">
        <v>4840</v>
      </c>
      <c r="D198" s="11">
        <v>9011</v>
      </c>
      <c r="E198" t="s">
        <v>156</v>
      </c>
      <c r="F198">
        <v>12</v>
      </c>
      <c r="G198" t="str">
        <f>_xlfn.XLOOKUP(E198,'Base SKUs'!E:E,'Base SKUs'!D:D)</f>
        <v>Hardwoods</v>
      </c>
      <c r="H198" s="10">
        <f>_xlfn.XLOOKUP(E198,'Base SKUs'!E:E,'Base SKUs'!S:S)</f>
        <v>1.9467832031999997E-2</v>
      </c>
      <c r="I198" s="9">
        <f t="shared" si="3"/>
        <v>0.23400000000000001</v>
      </c>
      <c r="J198" t="str">
        <f>_xlfn.XLOOKUP(E198,'Base SKUs'!E:E,'Base SKUs'!G:G)</f>
        <v>Ipe</v>
      </c>
      <c r="K198" t="str">
        <f>_xlfn.XLOOKUP(E198,'Base SKUs'!E:E,'Base SKUs'!H:H)</f>
        <v>S4S E4E</v>
      </c>
      <c r="L198" t="str">
        <f>_xlfn.XLOOKUP(E198,'Base SKUs'!E:E,'Base SKUs'!I:I)</f>
        <v>-</v>
      </c>
      <c r="M198" t="str">
        <f>_xlfn.XLOOKUP(E198,'Base SKUs'!E:E,'Base SKUs'!J:J)</f>
        <v>2x6</v>
      </c>
      <c r="N198">
        <f>_xlfn.XLOOKUP(E198,'Base SKUs'!E:E,'Base SKUs'!K:K)</f>
        <v>12</v>
      </c>
      <c r="O198" t="str">
        <f>_xlfn.XLOOKUP(E198,'Base SKUs'!E:E,'Base SKUs'!C:C)</f>
        <v>Long</v>
      </c>
      <c r="P198" t="s">
        <v>4927</v>
      </c>
    </row>
    <row r="199" spans="1:16" x14ac:dyDescent="0.25">
      <c r="A199" t="s">
        <v>4884</v>
      </c>
      <c r="B199" t="s">
        <v>4844</v>
      </c>
      <c r="C199" t="s">
        <v>4845</v>
      </c>
      <c r="D199" s="11">
        <v>9007</v>
      </c>
      <c r="E199" t="s">
        <v>158</v>
      </c>
      <c r="F199">
        <v>65</v>
      </c>
      <c r="G199" t="str">
        <f>_xlfn.XLOOKUP(E199,'Base SKUs'!E:E,'Base SKUs'!D:D)</f>
        <v>Thermowood</v>
      </c>
      <c r="H199" s="10">
        <f>_xlfn.XLOOKUP(E199,'Base SKUs'!E:E,'Base SKUs'!S:S)</f>
        <v>5.5859999999999998E-3</v>
      </c>
      <c r="I199" s="9">
        <f t="shared" si="3"/>
        <v>0.36299999999999999</v>
      </c>
      <c r="J199" t="str">
        <f>_xlfn.XLOOKUP(E199,'Base SKUs'!E:E,'Base SKUs'!G:G)</f>
        <v>Maximo Thermo Ayous</v>
      </c>
      <c r="K199" t="str">
        <f>_xlfn.XLOOKUP(E199,'Base SKUs'!E:E,'Base SKUs'!H:H)</f>
        <v>S4S E4E</v>
      </c>
      <c r="L199" t="str">
        <f>_xlfn.XLOOKUP(E199,'Base SKUs'!E:E,'Base SKUs'!I:I)</f>
        <v>-</v>
      </c>
      <c r="M199" t="str">
        <f>_xlfn.XLOOKUP(E199,'Base SKUs'!E:E,'Base SKUs'!J:J)</f>
        <v>1x6</v>
      </c>
      <c r="N199">
        <f>_xlfn.XLOOKUP(E199,'Base SKUs'!E:E,'Base SKUs'!K:K)</f>
        <v>7</v>
      </c>
      <c r="O199" t="str">
        <f>_xlfn.XLOOKUP(E199,'Base SKUs'!E:E,'Base SKUs'!C:C)</f>
        <v>Short</v>
      </c>
      <c r="P199" t="s">
        <v>4930</v>
      </c>
    </row>
    <row r="200" spans="1:16" x14ac:dyDescent="0.25">
      <c r="A200" t="s">
        <v>4884</v>
      </c>
      <c r="B200" t="s">
        <v>4844</v>
      </c>
      <c r="C200" t="s">
        <v>4845</v>
      </c>
      <c r="D200" s="11">
        <v>9007</v>
      </c>
      <c r="E200" t="s">
        <v>161</v>
      </c>
      <c r="F200">
        <v>50</v>
      </c>
      <c r="G200" t="str">
        <f>_xlfn.XLOOKUP(E200,'Base SKUs'!E:E,'Base SKUs'!D:D)</f>
        <v>Thermowood</v>
      </c>
      <c r="H200" s="10">
        <f>_xlfn.XLOOKUP(E200,'Base SKUs'!E:E,'Base SKUs'!S:S)</f>
        <v>7.980000000000001E-3</v>
      </c>
      <c r="I200" s="9">
        <f t="shared" si="3"/>
        <v>0.39900000000000002</v>
      </c>
      <c r="J200" t="str">
        <f>_xlfn.XLOOKUP(E200,'Base SKUs'!E:E,'Base SKUs'!G:G)</f>
        <v>Maximo Thermo Ayous</v>
      </c>
      <c r="K200" t="str">
        <f>_xlfn.XLOOKUP(E200,'Base SKUs'!E:E,'Base SKUs'!H:H)</f>
        <v>S4S E4E</v>
      </c>
      <c r="L200" t="str">
        <f>_xlfn.XLOOKUP(E200,'Base SKUs'!E:E,'Base SKUs'!I:I)</f>
        <v>-</v>
      </c>
      <c r="M200" t="str">
        <f>_xlfn.XLOOKUP(E200,'Base SKUs'!E:E,'Base SKUs'!J:J)</f>
        <v>1x6</v>
      </c>
      <c r="N200">
        <f>_xlfn.XLOOKUP(E200,'Base SKUs'!E:E,'Base SKUs'!K:K)</f>
        <v>10</v>
      </c>
      <c r="O200" t="str">
        <f>_xlfn.XLOOKUP(E200,'Base SKUs'!E:E,'Base SKUs'!C:C)</f>
        <v>Long</v>
      </c>
      <c r="P200" t="s">
        <v>4930</v>
      </c>
    </row>
    <row r="201" spans="1:16" x14ac:dyDescent="0.25">
      <c r="A201" t="s">
        <v>4884</v>
      </c>
      <c r="B201" t="s">
        <v>4844</v>
      </c>
      <c r="C201" t="s">
        <v>4845</v>
      </c>
      <c r="D201" s="11">
        <v>9007</v>
      </c>
      <c r="E201" t="s">
        <v>162</v>
      </c>
      <c r="F201">
        <v>59</v>
      </c>
      <c r="G201" t="str">
        <f>_xlfn.XLOOKUP(E201,'Base SKUs'!E:E,'Base SKUs'!D:D)</f>
        <v>Thermowood</v>
      </c>
      <c r="H201" s="10">
        <f>_xlfn.XLOOKUP(E201,'Base SKUs'!E:E,'Base SKUs'!S:S)</f>
        <v>1.0374000000000001E-2</v>
      </c>
      <c r="I201" s="9">
        <f t="shared" si="3"/>
        <v>0.61199999999999999</v>
      </c>
      <c r="J201" t="str">
        <f>_xlfn.XLOOKUP(E201,'Base SKUs'!E:E,'Base SKUs'!G:G)</f>
        <v>Maximo Thermo Ayous</v>
      </c>
      <c r="K201" t="str">
        <f>_xlfn.XLOOKUP(E201,'Base SKUs'!E:E,'Base SKUs'!H:H)</f>
        <v>S4S E4E</v>
      </c>
      <c r="L201" t="str">
        <f>_xlfn.XLOOKUP(E201,'Base SKUs'!E:E,'Base SKUs'!I:I)</f>
        <v>-</v>
      </c>
      <c r="M201" t="str">
        <f>_xlfn.XLOOKUP(E201,'Base SKUs'!E:E,'Base SKUs'!J:J)</f>
        <v>1x6</v>
      </c>
      <c r="N201">
        <f>_xlfn.XLOOKUP(E201,'Base SKUs'!E:E,'Base SKUs'!K:K)</f>
        <v>13</v>
      </c>
      <c r="O201" t="str">
        <f>_xlfn.XLOOKUP(E201,'Base SKUs'!E:E,'Base SKUs'!C:C)</f>
        <v>Long</v>
      </c>
      <c r="P201" t="s">
        <v>4930</v>
      </c>
    </row>
    <row r="202" spans="1:16" x14ac:dyDescent="0.25">
      <c r="A202" t="s">
        <v>4884</v>
      </c>
      <c r="B202" t="s">
        <v>4844</v>
      </c>
      <c r="C202" t="s">
        <v>4845</v>
      </c>
      <c r="D202" s="11">
        <v>9007</v>
      </c>
      <c r="E202" t="s">
        <v>163</v>
      </c>
      <c r="F202">
        <v>174</v>
      </c>
      <c r="G202" t="str">
        <f>_xlfn.XLOOKUP(E202,'Base SKUs'!E:E,'Base SKUs'!D:D)</f>
        <v>Thermowood</v>
      </c>
      <c r="H202" s="10">
        <f>_xlfn.XLOOKUP(E202,'Base SKUs'!E:E,'Base SKUs'!S:S)</f>
        <v>1.1172E-2</v>
      </c>
      <c r="I202" s="9">
        <f t="shared" si="3"/>
        <v>1.944</v>
      </c>
      <c r="J202" t="str">
        <f>_xlfn.XLOOKUP(E202,'Base SKUs'!E:E,'Base SKUs'!G:G)</f>
        <v>Maximo Thermo Ayous</v>
      </c>
      <c r="K202" t="str">
        <f>_xlfn.XLOOKUP(E202,'Base SKUs'!E:E,'Base SKUs'!H:H)</f>
        <v>S4S E4E</v>
      </c>
      <c r="L202" t="str">
        <f>_xlfn.XLOOKUP(E202,'Base SKUs'!E:E,'Base SKUs'!I:I)</f>
        <v>-</v>
      </c>
      <c r="M202" t="str">
        <f>_xlfn.XLOOKUP(E202,'Base SKUs'!E:E,'Base SKUs'!J:J)</f>
        <v>1x6</v>
      </c>
      <c r="N202">
        <f>_xlfn.XLOOKUP(E202,'Base SKUs'!E:E,'Base SKUs'!K:K)</f>
        <v>14</v>
      </c>
      <c r="O202" t="str">
        <f>_xlfn.XLOOKUP(E202,'Base SKUs'!E:E,'Base SKUs'!C:C)</f>
        <v>Long</v>
      </c>
      <c r="P202" t="s">
        <v>4930</v>
      </c>
    </row>
    <row r="203" spans="1:16" x14ac:dyDescent="0.25">
      <c r="A203" t="s">
        <v>4884</v>
      </c>
      <c r="B203" t="s">
        <v>4844</v>
      </c>
      <c r="C203" t="s">
        <v>4845</v>
      </c>
      <c r="D203" s="11">
        <v>9007</v>
      </c>
      <c r="E203" t="s">
        <v>164</v>
      </c>
      <c r="F203">
        <v>64</v>
      </c>
      <c r="G203" t="str">
        <f>_xlfn.XLOOKUP(E203,'Base SKUs'!E:E,'Base SKUs'!D:D)</f>
        <v>Thermowood</v>
      </c>
      <c r="H203" s="10">
        <f>_xlfn.XLOOKUP(E203,'Base SKUs'!E:E,'Base SKUs'!S:S)</f>
        <v>1.1970000000000001E-2</v>
      </c>
      <c r="I203" s="9">
        <f t="shared" si="3"/>
        <v>0.76600000000000001</v>
      </c>
      <c r="J203" t="str">
        <f>_xlfn.XLOOKUP(E203,'Base SKUs'!E:E,'Base SKUs'!G:G)</f>
        <v>Maximo Thermo Ayous</v>
      </c>
      <c r="K203" t="str">
        <f>_xlfn.XLOOKUP(E203,'Base SKUs'!E:E,'Base SKUs'!H:H)</f>
        <v>S4S E4E</v>
      </c>
      <c r="L203" t="str">
        <f>_xlfn.XLOOKUP(E203,'Base SKUs'!E:E,'Base SKUs'!I:I)</f>
        <v>-</v>
      </c>
      <c r="M203" t="str">
        <f>_xlfn.XLOOKUP(E203,'Base SKUs'!E:E,'Base SKUs'!J:J)</f>
        <v>1x6</v>
      </c>
      <c r="N203">
        <f>_xlfn.XLOOKUP(E203,'Base SKUs'!E:E,'Base SKUs'!K:K)</f>
        <v>15</v>
      </c>
      <c r="O203" t="str">
        <f>_xlfn.XLOOKUP(E203,'Base SKUs'!E:E,'Base SKUs'!C:C)</f>
        <v>Long</v>
      </c>
      <c r="P203" t="s">
        <v>4930</v>
      </c>
    </row>
    <row r="204" spans="1:16" x14ac:dyDescent="0.25">
      <c r="A204" t="s">
        <v>4884</v>
      </c>
      <c r="B204" t="s">
        <v>4844</v>
      </c>
      <c r="C204" t="s">
        <v>4845</v>
      </c>
      <c r="D204" s="11">
        <v>9007</v>
      </c>
      <c r="E204" t="s">
        <v>165</v>
      </c>
      <c r="F204">
        <v>90</v>
      </c>
      <c r="G204" t="str">
        <f>_xlfn.XLOOKUP(E204,'Base SKUs'!E:E,'Base SKUs'!D:D)</f>
        <v>Thermowood</v>
      </c>
      <c r="H204" s="10">
        <f>_xlfn.XLOOKUP(E204,'Base SKUs'!E:E,'Base SKUs'!S:S)</f>
        <v>1.2768E-2</v>
      </c>
      <c r="I204" s="9">
        <f t="shared" si="3"/>
        <v>1.149</v>
      </c>
      <c r="J204" t="str">
        <f>_xlfn.XLOOKUP(E204,'Base SKUs'!E:E,'Base SKUs'!G:G)</f>
        <v>Maximo Thermo Ayous</v>
      </c>
      <c r="K204" t="str">
        <f>_xlfn.XLOOKUP(E204,'Base SKUs'!E:E,'Base SKUs'!H:H)</f>
        <v>S4S E4E</v>
      </c>
      <c r="L204" t="str">
        <f>_xlfn.XLOOKUP(E204,'Base SKUs'!E:E,'Base SKUs'!I:I)</f>
        <v>-</v>
      </c>
      <c r="M204" t="str">
        <f>_xlfn.XLOOKUP(E204,'Base SKUs'!E:E,'Base SKUs'!J:J)</f>
        <v>1x6</v>
      </c>
      <c r="N204">
        <f>_xlfn.XLOOKUP(E204,'Base SKUs'!E:E,'Base SKUs'!K:K)</f>
        <v>16</v>
      </c>
      <c r="O204" t="str">
        <f>_xlfn.XLOOKUP(E204,'Base SKUs'!E:E,'Base SKUs'!C:C)</f>
        <v>Long</v>
      </c>
      <c r="P204" t="s">
        <v>4930</v>
      </c>
    </row>
    <row r="205" spans="1:16" x14ac:dyDescent="0.25">
      <c r="A205" t="s">
        <v>4885</v>
      </c>
      <c r="B205" t="s">
        <v>4844</v>
      </c>
      <c r="C205" t="s">
        <v>4845</v>
      </c>
      <c r="D205" s="11">
        <v>9011</v>
      </c>
      <c r="E205" t="s">
        <v>95</v>
      </c>
      <c r="F205">
        <v>128</v>
      </c>
      <c r="G205" t="str">
        <f>_xlfn.XLOOKUP(E205,'Base SKUs'!E:E,'Base SKUs'!D:D)</f>
        <v>Thermowood</v>
      </c>
      <c r="H205" s="10">
        <f>_xlfn.XLOOKUP(E205,'Base SKUs'!E:E,'Base SKUs'!S:S)</f>
        <v>3.192E-3</v>
      </c>
      <c r="I205" s="9">
        <f t="shared" si="3"/>
        <v>0.40899999999999997</v>
      </c>
      <c r="J205" t="str">
        <f>_xlfn.XLOOKUP(E205,'Base SKUs'!E:E,'Base SKUs'!G:G)</f>
        <v>Maximo Thermo Ayous</v>
      </c>
      <c r="K205" t="str">
        <f>_xlfn.XLOOKUP(E205,'Base SKUs'!E:E,'Base SKUs'!H:H)</f>
        <v>VJoint - Nickel Gap</v>
      </c>
      <c r="L205" t="str">
        <f>_xlfn.XLOOKUP(E205,'Base SKUs'!E:E,'Base SKUs'!I:I)</f>
        <v>-</v>
      </c>
      <c r="M205" t="str">
        <f>_xlfn.XLOOKUP(E205,'Base SKUs'!E:E,'Base SKUs'!J:J)</f>
        <v>1x6</v>
      </c>
      <c r="N205">
        <f>_xlfn.XLOOKUP(E205,'Base SKUs'!E:E,'Base SKUs'!K:K)</f>
        <v>4</v>
      </c>
      <c r="O205" t="str">
        <f>_xlfn.XLOOKUP(E205,'Base SKUs'!E:E,'Base SKUs'!C:C)</f>
        <v>Short</v>
      </c>
      <c r="P205" t="s">
        <v>4930</v>
      </c>
    </row>
    <row r="206" spans="1:16" x14ac:dyDescent="0.25">
      <c r="A206" t="s">
        <v>4885</v>
      </c>
      <c r="B206" t="s">
        <v>4844</v>
      </c>
      <c r="C206" t="s">
        <v>4845</v>
      </c>
      <c r="D206" s="11">
        <v>9011</v>
      </c>
      <c r="E206" t="s">
        <v>96</v>
      </c>
      <c r="F206">
        <v>65</v>
      </c>
      <c r="G206" t="str">
        <f>_xlfn.XLOOKUP(E206,'Base SKUs'!E:E,'Base SKUs'!D:D)</f>
        <v>Thermowood</v>
      </c>
      <c r="H206" s="10">
        <f>_xlfn.XLOOKUP(E206,'Base SKUs'!E:E,'Base SKUs'!S:S)</f>
        <v>4.7880000000000006E-3</v>
      </c>
      <c r="I206" s="9">
        <f t="shared" si="3"/>
        <v>0.311</v>
      </c>
      <c r="J206" t="str">
        <f>_xlfn.XLOOKUP(E206,'Base SKUs'!E:E,'Base SKUs'!G:G)</f>
        <v>Maximo Thermo Ayous</v>
      </c>
      <c r="K206" t="str">
        <f>_xlfn.XLOOKUP(E206,'Base SKUs'!E:E,'Base SKUs'!H:H)</f>
        <v>VJoint - Nickel Gap</v>
      </c>
      <c r="L206" t="str">
        <f>_xlfn.XLOOKUP(E206,'Base SKUs'!E:E,'Base SKUs'!I:I)</f>
        <v>-</v>
      </c>
      <c r="M206" t="str">
        <f>_xlfn.XLOOKUP(E206,'Base SKUs'!E:E,'Base SKUs'!J:J)</f>
        <v>1x6</v>
      </c>
      <c r="N206">
        <f>_xlfn.XLOOKUP(E206,'Base SKUs'!E:E,'Base SKUs'!K:K)</f>
        <v>6</v>
      </c>
      <c r="O206" t="str">
        <f>_xlfn.XLOOKUP(E206,'Base SKUs'!E:E,'Base SKUs'!C:C)</f>
        <v>Short</v>
      </c>
      <c r="P206" t="s">
        <v>4930</v>
      </c>
    </row>
    <row r="207" spans="1:16" x14ac:dyDescent="0.25">
      <c r="A207" t="s">
        <v>4885</v>
      </c>
      <c r="B207" t="s">
        <v>4844</v>
      </c>
      <c r="C207" t="s">
        <v>4845</v>
      </c>
      <c r="D207" s="11">
        <v>9011</v>
      </c>
      <c r="E207" t="s">
        <v>97</v>
      </c>
      <c r="F207">
        <v>44</v>
      </c>
      <c r="G207" t="str">
        <f>_xlfn.XLOOKUP(E207,'Base SKUs'!E:E,'Base SKUs'!D:D)</f>
        <v>Thermowood</v>
      </c>
      <c r="H207" s="10">
        <f>_xlfn.XLOOKUP(E207,'Base SKUs'!E:E,'Base SKUs'!S:S)</f>
        <v>5.5859999999999998E-3</v>
      </c>
      <c r="I207" s="9">
        <f t="shared" si="3"/>
        <v>0.246</v>
      </c>
      <c r="J207" t="str">
        <f>_xlfn.XLOOKUP(E207,'Base SKUs'!E:E,'Base SKUs'!G:G)</f>
        <v>Maximo Thermo Ayous</v>
      </c>
      <c r="K207" t="str">
        <f>_xlfn.XLOOKUP(E207,'Base SKUs'!E:E,'Base SKUs'!H:H)</f>
        <v>VJoint - Nickel Gap</v>
      </c>
      <c r="L207" t="str">
        <f>_xlfn.XLOOKUP(E207,'Base SKUs'!E:E,'Base SKUs'!I:I)</f>
        <v>-</v>
      </c>
      <c r="M207" t="str">
        <f>_xlfn.XLOOKUP(E207,'Base SKUs'!E:E,'Base SKUs'!J:J)</f>
        <v>1x6</v>
      </c>
      <c r="N207">
        <f>_xlfn.XLOOKUP(E207,'Base SKUs'!E:E,'Base SKUs'!K:K)</f>
        <v>7</v>
      </c>
      <c r="O207" t="str">
        <f>_xlfn.XLOOKUP(E207,'Base SKUs'!E:E,'Base SKUs'!C:C)</f>
        <v>Short</v>
      </c>
      <c r="P207" t="s">
        <v>4930</v>
      </c>
    </row>
    <row r="208" spans="1:16" x14ac:dyDescent="0.25">
      <c r="A208" t="s">
        <v>4885</v>
      </c>
      <c r="B208" t="s">
        <v>4844</v>
      </c>
      <c r="C208" t="s">
        <v>4845</v>
      </c>
      <c r="D208" s="11">
        <v>9011</v>
      </c>
      <c r="E208" t="s">
        <v>140</v>
      </c>
      <c r="F208">
        <v>29</v>
      </c>
      <c r="G208" t="str">
        <f>_xlfn.XLOOKUP(E208,'Base SKUs'!E:E,'Base SKUs'!D:D)</f>
        <v>Thermowood</v>
      </c>
      <c r="H208" s="10">
        <f>_xlfn.XLOOKUP(E208,'Base SKUs'!E:E,'Base SKUs'!S:S)</f>
        <v>7.182E-3</v>
      </c>
      <c r="I208" s="9">
        <f t="shared" si="3"/>
        <v>0.20799999999999999</v>
      </c>
      <c r="J208" t="str">
        <f>_xlfn.XLOOKUP(E208,'Base SKUs'!E:E,'Base SKUs'!G:G)</f>
        <v>Maximo Thermo Ayous</v>
      </c>
      <c r="K208" t="str">
        <f>_xlfn.XLOOKUP(E208,'Base SKUs'!E:E,'Base SKUs'!H:H)</f>
        <v>VJoint - Nickel Gap</v>
      </c>
      <c r="L208" t="str">
        <f>_xlfn.XLOOKUP(E208,'Base SKUs'!E:E,'Base SKUs'!I:I)</f>
        <v>-</v>
      </c>
      <c r="M208" t="str">
        <f>_xlfn.XLOOKUP(E208,'Base SKUs'!E:E,'Base SKUs'!J:J)</f>
        <v>1x6</v>
      </c>
      <c r="N208">
        <f>_xlfn.XLOOKUP(E208,'Base SKUs'!E:E,'Base SKUs'!K:K)</f>
        <v>9</v>
      </c>
      <c r="O208" t="str">
        <f>_xlfn.XLOOKUP(E208,'Base SKUs'!E:E,'Base SKUs'!C:C)</f>
        <v>Long</v>
      </c>
      <c r="P208" t="s">
        <v>4930</v>
      </c>
    </row>
    <row r="209" spans="1:16" x14ac:dyDescent="0.25">
      <c r="A209" t="s">
        <v>4885</v>
      </c>
      <c r="B209" t="s">
        <v>4844</v>
      </c>
      <c r="C209" t="s">
        <v>4845</v>
      </c>
      <c r="D209" s="11">
        <v>9011</v>
      </c>
      <c r="E209" t="s">
        <v>49</v>
      </c>
      <c r="F209">
        <v>253</v>
      </c>
      <c r="G209" t="str">
        <f>_xlfn.XLOOKUP(E209,'Base SKUs'!E:E,'Base SKUs'!D:D)</f>
        <v>Thermowood</v>
      </c>
      <c r="H209" s="10">
        <f>_xlfn.XLOOKUP(E209,'Base SKUs'!E:E,'Base SKUs'!S:S)</f>
        <v>7.980000000000001E-3</v>
      </c>
      <c r="I209" s="9">
        <f t="shared" si="3"/>
        <v>2.0190000000000001</v>
      </c>
      <c r="J209" t="str">
        <f>_xlfn.XLOOKUP(E209,'Base SKUs'!E:E,'Base SKUs'!G:G)</f>
        <v>Maximo Thermo Ayous</v>
      </c>
      <c r="K209" t="str">
        <f>_xlfn.XLOOKUP(E209,'Base SKUs'!E:E,'Base SKUs'!H:H)</f>
        <v>VJoint - Nickel Gap</v>
      </c>
      <c r="L209" t="str">
        <f>_xlfn.XLOOKUP(E209,'Base SKUs'!E:E,'Base SKUs'!I:I)</f>
        <v>-</v>
      </c>
      <c r="M209" t="str">
        <f>_xlfn.XLOOKUP(E209,'Base SKUs'!E:E,'Base SKUs'!J:J)</f>
        <v>1x6</v>
      </c>
      <c r="N209">
        <f>_xlfn.XLOOKUP(E209,'Base SKUs'!E:E,'Base SKUs'!K:K)</f>
        <v>10</v>
      </c>
      <c r="O209" t="str">
        <f>_xlfn.XLOOKUP(E209,'Base SKUs'!E:E,'Base SKUs'!C:C)</f>
        <v>Long</v>
      </c>
      <c r="P209" t="s">
        <v>4930</v>
      </c>
    </row>
    <row r="210" spans="1:16" x14ac:dyDescent="0.25">
      <c r="A210" t="s">
        <v>4885</v>
      </c>
      <c r="B210" t="s">
        <v>4844</v>
      </c>
      <c r="C210" t="s">
        <v>4845</v>
      </c>
      <c r="D210" s="11">
        <v>9011</v>
      </c>
      <c r="E210" t="s">
        <v>50</v>
      </c>
      <c r="F210">
        <v>62</v>
      </c>
      <c r="G210" t="str">
        <f>_xlfn.XLOOKUP(E210,'Base SKUs'!E:E,'Base SKUs'!D:D)</f>
        <v>Thermowood</v>
      </c>
      <c r="H210" s="10">
        <f>_xlfn.XLOOKUP(E210,'Base SKUs'!E:E,'Base SKUs'!S:S)</f>
        <v>8.7779999999999993E-3</v>
      </c>
      <c r="I210" s="9">
        <f t="shared" si="3"/>
        <v>0.54400000000000004</v>
      </c>
      <c r="J210" t="str">
        <f>_xlfn.XLOOKUP(E210,'Base SKUs'!E:E,'Base SKUs'!G:G)</f>
        <v>Maximo Thermo Ayous</v>
      </c>
      <c r="K210" t="str">
        <f>_xlfn.XLOOKUP(E210,'Base SKUs'!E:E,'Base SKUs'!H:H)</f>
        <v>VJoint - Nickel Gap</v>
      </c>
      <c r="L210" t="str">
        <f>_xlfn.XLOOKUP(E210,'Base SKUs'!E:E,'Base SKUs'!I:I)</f>
        <v>-</v>
      </c>
      <c r="M210" t="str">
        <f>_xlfn.XLOOKUP(E210,'Base SKUs'!E:E,'Base SKUs'!J:J)</f>
        <v>1x6</v>
      </c>
      <c r="N210">
        <f>_xlfn.XLOOKUP(E210,'Base SKUs'!E:E,'Base SKUs'!K:K)</f>
        <v>11</v>
      </c>
      <c r="O210" t="str">
        <f>_xlfn.XLOOKUP(E210,'Base SKUs'!E:E,'Base SKUs'!C:C)</f>
        <v>Long</v>
      </c>
      <c r="P210" t="s">
        <v>4930</v>
      </c>
    </row>
    <row r="211" spans="1:16" x14ac:dyDescent="0.25">
      <c r="A211" t="s">
        <v>4885</v>
      </c>
      <c r="B211" t="s">
        <v>4844</v>
      </c>
      <c r="C211" t="s">
        <v>4845</v>
      </c>
      <c r="D211" s="11">
        <v>9011</v>
      </c>
      <c r="E211" t="s">
        <v>115</v>
      </c>
      <c r="F211">
        <v>62</v>
      </c>
      <c r="G211" t="str">
        <f>_xlfn.XLOOKUP(E211,'Base SKUs'!E:E,'Base SKUs'!D:D)</f>
        <v>Thermowood</v>
      </c>
      <c r="H211" s="10">
        <f>_xlfn.XLOOKUP(E211,'Base SKUs'!E:E,'Base SKUs'!S:S)</f>
        <v>9.5760000000000012E-3</v>
      </c>
      <c r="I211" s="9">
        <f t="shared" si="3"/>
        <v>0.59399999999999997</v>
      </c>
      <c r="J211" t="str">
        <f>_xlfn.XLOOKUP(E211,'Base SKUs'!E:E,'Base SKUs'!G:G)</f>
        <v>Maximo Thermo Ayous</v>
      </c>
      <c r="K211" t="str">
        <f>_xlfn.XLOOKUP(E211,'Base SKUs'!E:E,'Base SKUs'!H:H)</f>
        <v>VJoint - Nickel Gap</v>
      </c>
      <c r="L211" t="str">
        <f>_xlfn.XLOOKUP(E211,'Base SKUs'!E:E,'Base SKUs'!I:I)</f>
        <v>-</v>
      </c>
      <c r="M211" t="str">
        <f>_xlfn.XLOOKUP(E211,'Base SKUs'!E:E,'Base SKUs'!J:J)</f>
        <v>1x6</v>
      </c>
      <c r="N211">
        <f>_xlfn.XLOOKUP(E211,'Base SKUs'!E:E,'Base SKUs'!K:K)</f>
        <v>12</v>
      </c>
      <c r="O211" t="str">
        <f>_xlfn.XLOOKUP(E211,'Base SKUs'!E:E,'Base SKUs'!C:C)</f>
        <v>Long</v>
      </c>
      <c r="P211" t="s">
        <v>4930</v>
      </c>
    </row>
    <row r="212" spans="1:16" x14ac:dyDescent="0.25">
      <c r="A212" t="s">
        <v>4885</v>
      </c>
      <c r="B212" t="s">
        <v>4844</v>
      </c>
      <c r="C212" t="s">
        <v>4845</v>
      </c>
      <c r="D212" s="11">
        <v>9011</v>
      </c>
      <c r="E212" t="s">
        <v>122</v>
      </c>
      <c r="F212">
        <v>96</v>
      </c>
      <c r="G212" t="str">
        <f>_xlfn.XLOOKUP(E212,'Base SKUs'!E:E,'Base SKUs'!D:D)</f>
        <v>Thermowood</v>
      </c>
      <c r="H212" s="10">
        <f>_xlfn.XLOOKUP(E212,'Base SKUs'!E:E,'Base SKUs'!S:S)</f>
        <v>1.0374000000000001E-2</v>
      </c>
      <c r="I212" s="9">
        <f t="shared" si="3"/>
        <v>0.996</v>
      </c>
      <c r="J212" t="str">
        <f>_xlfn.XLOOKUP(E212,'Base SKUs'!E:E,'Base SKUs'!G:G)</f>
        <v>Maximo Thermo Ayous</v>
      </c>
      <c r="K212" t="str">
        <f>_xlfn.XLOOKUP(E212,'Base SKUs'!E:E,'Base SKUs'!H:H)</f>
        <v>VJoint - Nickel Gap</v>
      </c>
      <c r="L212" t="str">
        <f>_xlfn.XLOOKUP(E212,'Base SKUs'!E:E,'Base SKUs'!I:I)</f>
        <v>-</v>
      </c>
      <c r="M212" t="str">
        <f>_xlfn.XLOOKUP(E212,'Base SKUs'!E:E,'Base SKUs'!J:J)</f>
        <v>1x6</v>
      </c>
      <c r="N212">
        <f>_xlfn.XLOOKUP(E212,'Base SKUs'!E:E,'Base SKUs'!K:K)</f>
        <v>13</v>
      </c>
      <c r="O212" t="str">
        <f>_xlfn.XLOOKUP(E212,'Base SKUs'!E:E,'Base SKUs'!C:C)</f>
        <v>Long</v>
      </c>
      <c r="P212" t="s">
        <v>4930</v>
      </c>
    </row>
    <row r="213" spans="1:16" x14ac:dyDescent="0.25">
      <c r="A213" t="s">
        <v>4885</v>
      </c>
      <c r="B213" t="s">
        <v>4844</v>
      </c>
      <c r="C213" t="s">
        <v>4845</v>
      </c>
      <c r="D213" s="11">
        <v>9011</v>
      </c>
      <c r="E213" t="s">
        <v>6</v>
      </c>
      <c r="F213">
        <v>69</v>
      </c>
      <c r="G213" t="str">
        <f>_xlfn.XLOOKUP(E213,'Base SKUs'!E:E,'Base SKUs'!D:D)</f>
        <v>Thermowood</v>
      </c>
      <c r="H213" s="10">
        <f>_xlfn.XLOOKUP(E213,'Base SKUs'!E:E,'Base SKUs'!S:S)</f>
        <v>1.1172E-2</v>
      </c>
      <c r="I213" s="9">
        <f t="shared" si="3"/>
        <v>0.77100000000000002</v>
      </c>
      <c r="J213" t="str">
        <f>_xlfn.XLOOKUP(E213,'Base SKUs'!E:E,'Base SKUs'!G:G)</f>
        <v>Maximo Thermo Ayous</v>
      </c>
      <c r="K213" t="str">
        <f>_xlfn.XLOOKUP(E213,'Base SKUs'!E:E,'Base SKUs'!H:H)</f>
        <v>VJoint - Nickel Gap</v>
      </c>
      <c r="L213" t="str">
        <f>_xlfn.XLOOKUP(E213,'Base SKUs'!E:E,'Base SKUs'!I:I)</f>
        <v>-</v>
      </c>
      <c r="M213" t="str">
        <f>_xlfn.XLOOKUP(E213,'Base SKUs'!E:E,'Base SKUs'!J:J)</f>
        <v>1x6</v>
      </c>
      <c r="N213">
        <f>_xlfn.XLOOKUP(E213,'Base SKUs'!E:E,'Base SKUs'!K:K)</f>
        <v>14</v>
      </c>
      <c r="O213" t="str">
        <f>_xlfn.XLOOKUP(E213,'Base SKUs'!E:E,'Base SKUs'!C:C)</f>
        <v>Long</v>
      </c>
      <c r="P213" t="s">
        <v>4930</v>
      </c>
    </row>
    <row r="214" spans="1:16" x14ac:dyDescent="0.25">
      <c r="A214" t="s">
        <v>4885</v>
      </c>
      <c r="B214" t="s">
        <v>4844</v>
      </c>
      <c r="C214" t="s">
        <v>4845</v>
      </c>
      <c r="D214" s="11">
        <v>9011</v>
      </c>
      <c r="E214" t="s">
        <v>15</v>
      </c>
      <c r="F214">
        <v>3</v>
      </c>
      <c r="G214" t="str">
        <f>_xlfn.XLOOKUP(E214,'Base SKUs'!E:E,'Base SKUs'!D:D)</f>
        <v>Thermowood</v>
      </c>
      <c r="H214" s="10">
        <f>_xlfn.XLOOKUP(E214,'Base SKUs'!E:E,'Base SKUs'!S:S)</f>
        <v>1.2768E-2</v>
      </c>
      <c r="I214" s="9">
        <f t="shared" si="3"/>
        <v>3.7999999999999999E-2</v>
      </c>
      <c r="J214" t="str">
        <f>_xlfn.XLOOKUP(E214,'Base SKUs'!E:E,'Base SKUs'!G:G)</f>
        <v>Maximo Thermo Ayous</v>
      </c>
      <c r="K214" t="str">
        <f>_xlfn.XLOOKUP(E214,'Base SKUs'!E:E,'Base SKUs'!H:H)</f>
        <v>VJoint - Nickel Gap</v>
      </c>
      <c r="L214" t="str">
        <f>_xlfn.XLOOKUP(E214,'Base SKUs'!E:E,'Base SKUs'!I:I)</f>
        <v>-</v>
      </c>
      <c r="M214" t="str">
        <f>_xlfn.XLOOKUP(E214,'Base SKUs'!E:E,'Base SKUs'!J:J)</f>
        <v>1x6</v>
      </c>
      <c r="N214">
        <f>_xlfn.XLOOKUP(E214,'Base SKUs'!E:E,'Base SKUs'!K:K)</f>
        <v>16</v>
      </c>
      <c r="O214" t="str">
        <f>_xlfn.XLOOKUP(E214,'Base SKUs'!E:E,'Base SKUs'!C:C)</f>
        <v>Long</v>
      </c>
      <c r="P214" t="s">
        <v>4930</v>
      </c>
    </row>
    <row r="215" spans="1:16" x14ac:dyDescent="0.25">
      <c r="A215" t="s">
        <v>4885</v>
      </c>
      <c r="B215" t="s">
        <v>4844</v>
      </c>
      <c r="C215" t="s">
        <v>4845</v>
      </c>
      <c r="D215" s="11">
        <v>9011</v>
      </c>
      <c r="E215" t="s">
        <v>3894</v>
      </c>
      <c r="F215">
        <v>427</v>
      </c>
      <c r="G215" t="str">
        <f>_xlfn.XLOOKUP(E215,'Base SKUs'!E:E,'Base SKUs'!D:D)</f>
        <v>Thermowood</v>
      </c>
      <c r="H215" s="10">
        <f>_xlfn.XLOOKUP(E215,'Base SKUs'!E:E,'Base SKUs'!S:S)</f>
        <v>3.192E-3</v>
      </c>
      <c r="I215" s="9">
        <f t="shared" si="3"/>
        <v>1.363</v>
      </c>
      <c r="J215" t="str">
        <f>_xlfn.XLOOKUP(E215,'Base SKUs'!E:E,'Base SKUs'!G:G)</f>
        <v>Maximo Thermo Ayous</v>
      </c>
      <c r="K215" t="str">
        <f>_xlfn.XLOOKUP(E215,'Base SKUs'!E:E,'Base SKUs'!H:H)</f>
        <v>VJoint - Nickel Gap</v>
      </c>
      <c r="L215" t="str">
        <f>_xlfn.XLOOKUP(E215,'Base SKUs'!E:E,'Base SKUs'!I:I)</f>
        <v>Pre Finished - Hemel</v>
      </c>
      <c r="M215" t="str">
        <f>_xlfn.XLOOKUP(E215,'Base SKUs'!E:E,'Base SKUs'!J:J)</f>
        <v>1x6</v>
      </c>
      <c r="N215">
        <f>_xlfn.XLOOKUP(E215,'Base SKUs'!E:E,'Base SKUs'!K:K)</f>
        <v>4</v>
      </c>
      <c r="O215" t="str">
        <f>_xlfn.XLOOKUP(E215,'Base SKUs'!E:E,'Base SKUs'!C:C)</f>
        <v>Short</v>
      </c>
      <c r="P215" t="s">
        <v>4930</v>
      </c>
    </row>
    <row r="216" spans="1:16" x14ac:dyDescent="0.25">
      <c r="A216" t="s">
        <v>4885</v>
      </c>
      <c r="B216" t="s">
        <v>4844</v>
      </c>
      <c r="C216" t="s">
        <v>4845</v>
      </c>
      <c r="D216" s="11">
        <v>9011</v>
      </c>
      <c r="E216" t="s">
        <v>3897</v>
      </c>
      <c r="F216">
        <v>490</v>
      </c>
      <c r="G216" t="str">
        <f>_xlfn.XLOOKUP(E216,'Base SKUs'!E:E,'Base SKUs'!D:D)</f>
        <v>Thermowood</v>
      </c>
      <c r="H216" s="10">
        <f>_xlfn.XLOOKUP(E216,'Base SKUs'!E:E,'Base SKUs'!S:S)</f>
        <v>5.5859999999999998E-3</v>
      </c>
      <c r="I216" s="9">
        <f t="shared" si="3"/>
        <v>2.7370000000000001</v>
      </c>
      <c r="J216" t="str">
        <f>_xlfn.XLOOKUP(E216,'Base SKUs'!E:E,'Base SKUs'!G:G)</f>
        <v>Maximo Thermo Ayous</v>
      </c>
      <c r="K216" t="str">
        <f>_xlfn.XLOOKUP(E216,'Base SKUs'!E:E,'Base SKUs'!H:H)</f>
        <v>VJoint - Nickel Gap</v>
      </c>
      <c r="L216" t="str">
        <f>_xlfn.XLOOKUP(E216,'Base SKUs'!E:E,'Base SKUs'!I:I)</f>
        <v>Pre Finished - Hemel</v>
      </c>
      <c r="M216" t="str">
        <f>_xlfn.XLOOKUP(E216,'Base SKUs'!E:E,'Base SKUs'!J:J)</f>
        <v>1x6</v>
      </c>
      <c r="N216">
        <f>_xlfn.XLOOKUP(E216,'Base SKUs'!E:E,'Base SKUs'!K:K)</f>
        <v>7</v>
      </c>
      <c r="O216" t="str">
        <f>_xlfn.XLOOKUP(E216,'Base SKUs'!E:E,'Base SKUs'!C:C)</f>
        <v>Short</v>
      </c>
      <c r="P216" t="s">
        <v>4930</v>
      </c>
    </row>
    <row r="217" spans="1:16" x14ac:dyDescent="0.25">
      <c r="A217" t="s">
        <v>4885</v>
      </c>
      <c r="B217" t="s">
        <v>4844</v>
      </c>
      <c r="C217" t="s">
        <v>4845</v>
      </c>
      <c r="D217" s="11">
        <v>9011</v>
      </c>
      <c r="E217" t="s">
        <v>4232</v>
      </c>
      <c r="F217">
        <v>17</v>
      </c>
      <c r="G217" t="str">
        <f>_xlfn.XLOOKUP(E217,'Base SKUs'!E:E,'Base SKUs'!D:D)</f>
        <v>Thermowood</v>
      </c>
      <c r="H217" s="10">
        <f>_xlfn.XLOOKUP(E217,'Base SKUs'!E:E,'Base SKUs'!S:S)</f>
        <v>1.026E-2</v>
      </c>
      <c r="I217" s="9">
        <f t="shared" si="3"/>
        <v>0.17399999999999999</v>
      </c>
      <c r="J217" t="str">
        <f>_xlfn.XLOOKUP(E217,'Base SKUs'!E:E,'Base SKUs'!G:G)</f>
        <v>Maximo Thermo Ayous</v>
      </c>
      <c r="K217" t="str">
        <f>_xlfn.XLOOKUP(E217,'Base SKUs'!E:E,'Base SKUs'!H:H)</f>
        <v>VJoint - Nickel Gap</v>
      </c>
      <c r="L217" t="str">
        <f>_xlfn.XLOOKUP(E217,'Base SKUs'!E:E,'Base SKUs'!I:I)</f>
        <v>-</v>
      </c>
      <c r="M217" t="str">
        <f>_xlfn.XLOOKUP(E217,'Base SKUs'!E:E,'Base SKUs'!J:J)</f>
        <v>1x6 Plus</v>
      </c>
      <c r="N217">
        <f>_xlfn.XLOOKUP(E217,'Base SKUs'!E:E,'Base SKUs'!K:K)</f>
        <v>12</v>
      </c>
      <c r="O217" t="str">
        <f>_xlfn.XLOOKUP(E217,'Base SKUs'!E:E,'Base SKUs'!C:C)</f>
        <v>Long</v>
      </c>
      <c r="P217" t="s">
        <v>4930</v>
      </c>
    </row>
    <row r="218" spans="1:16" x14ac:dyDescent="0.25">
      <c r="A218" t="s">
        <v>4885</v>
      </c>
      <c r="B218" t="s">
        <v>4844</v>
      </c>
      <c r="C218" t="s">
        <v>4845</v>
      </c>
      <c r="D218" s="11">
        <v>9011</v>
      </c>
      <c r="E218" t="s">
        <v>4245</v>
      </c>
      <c r="F218">
        <v>20</v>
      </c>
      <c r="G218" t="str">
        <f>_xlfn.XLOOKUP(E218,'Base SKUs'!E:E,'Base SKUs'!D:D)</f>
        <v>Thermowood</v>
      </c>
      <c r="H218" s="10">
        <f>_xlfn.XLOOKUP(E218,'Base SKUs'!E:E,'Base SKUs'!S:S)</f>
        <v>6.8399999999999997E-3</v>
      </c>
      <c r="I218" s="9">
        <f t="shared" si="3"/>
        <v>0.13700000000000001</v>
      </c>
      <c r="J218" t="str">
        <f>_xlfn.XLOOKUP(E218,'Base SKUs'!E:E,'Base SKUs'!G:G)</f>
        <v>Maximo Thermo Ayous</v>
      </c>
      <c r="K218" t="str">
        <f>_xlfn.XLOOKUP(E218,'Base SKUs'!E:E,'Base SKUs'!H:H)</f>
        <v>VJoint - Nickel Gap</v>
      </c>
      <c r="L218" t="str">
        <f>_xlfn.XLOOKUP(E218,'Base SKUs'!E:E,'Base SKUs'!I:I)</f>
        <v>-</v>
      </c>
      <c r="M218" t="str">
        <f>_xlfn.XLOOKUP(E218,'Base SKUs'!E:E,'Base SKUs'!J:J)</f>
        <v>1x6 Plus</v>
      </c>
      <c r="N218">
        <f>_xlfn.XLOOKUP(E218,'Base SKUs'!E:E,'Base SKUs'!K:K)</f>
        <v>8</v>
      </c>
      <c r="O218" t="str">
        <f>_xlfn.XLOOKUP(E218,'Base SKUs'!E:E,'Base SKUs'!C:C)</f>
        <v>Long</v>
      </c>
      <c r="P218" t="s">
        <v>4930</v>
      </c>
    </row>
    <row r="219" spans="1:16" x14ac:dyDescent="0.25">
      <c r="A219" t="s">
        <v>4885</v>
      </c>
      <c r="B219" t="s">
        <v>4844</v>
      </c>
      <c r="C219" t="s">
        <v>4845</v>
      </c>
      <c r="D219" s="11">
        <v>9011</v>
      </c>
      <c r="E219" t="s">
        <v>4240</v>
      </c>
      <c r="F219">
        <v>36</v>
      </c>
      <c r="G219" t="str">
        <f>_xlfn.XLOOKUP(E219,'Base SKUs'!E:E,'Base SKUs'!D:D)</f>
        <v>Thermowood</v>
      </c>
      <c r="H219" s="10">
        <f>_xlfn.XLOOKUP(E219,'Base SKUs'!E:E,'Base SKUs'!S:S)</f>
        <v>3.4199999999999999E-3</v>
      </c>
      <c r="I219" s="9">
        <f t="shared" si="3"/>
        <v>0.123</v>
      </c>
      <c r="J219" t="str">
        <f>_xlfn.XLOOKUP(E219,'Base SKUs'!E:E,'Base SKUs'!G:G)</f>
        <v>Maximo Thermo Ayous</v>
      </c>
      <c r="K219" t="str">
        <f>_xlfn.XLOOKUP(E219,'Base SKUs'!E:E,'Base SKUs'!H:H)</f>
        <v>VJoint - Nickel Gap</v>
      </c>
      <c r="L219" t="str">
        <f>_xlfn.XLOOKUP(E219,'Base SKUs'!E:E,'Base SKUs'!I:I)</f>
        <v>-</v>
      </c>
      <c r="M219" t="str">
        <f>_xlfn.XLOOKUP(E219,'Base SKUs'!E:E,'Base SKUs'!J:J)</f>
        <v>1x6 Plus</v>
      </c>
      <c r="N219">
        <f>_xlfn.XLOOKUP(E219,'Base SKUs'!E:E,'Base SKUs'!K:K)</f>
        <v>4</v>
      </c>
      <c r="O219" t="str">
        <f>_xlfn.XLOOKUP(E219,'Base SKUs'!E:E,'Base SKUs'!C:C)</f>
        <v>Short</v>
      </c>
      <c r="P219" t="s">
        <v>4930</v>
      </c>
    </row>
    <row r="220" spans="1:16" x14ac:dyDescent="0.25">
      <c r="A220" t="s">
        <v>4885</v>
      </c>
      <c r="B220" t="s">
        <v>4844</v>
      </c>
      <c r="C220" t="s">
        <v>4845</v>
      </c>
      <c r="D220" s="11">
        <v>9011</v>
      </c>
      <c r="E220" t="s">
        <v>260</v>
      </c>
      <c r="F220">
        <v>69</v>
      </c>
      <c r="G220" t="str">
        <f>_xlfn.XLOOKUP(E220,'Base SKUs'!E:E,'Base SKUs'!D:D)</f>
        <v>Thermowood</v>
      </c>
      <c r="H220" s="10">
        <f>_xlfn.XLOOKUP(E220,'Base SKUs'!E:E,'Base SKUs'!S:S)</f>
        <v>9.5760000000000012E-3</v>
      </c>
      <c r="I220" s="9">
        <f t="shared" si="3"/>
        <v>0.66100000000000003</v>
      </c>
      <c r="J220" t="str">
        <f>_xlfn.XLOOKUP(E220,'Base SKUs'!E:E,'Base SKUs'!G:G)</f>
        <v>Maximo Thermo Ayous Dark</v>
      </c>
      <c r="K220" t="str">
        <f>_xlfn.XLOOKUP(E220,'Base SKUs'!E:E,'Base SKUs'!H:H)</f>
        <v>VJoint - Square Back</v>
      </c>
      <c r="L220" t="str">
        <f>_xlfn.XLOOKUP(E220,'Base SKUs'!E:E,'Base SKUs'!I:I)</f>
        <v>-</v>
      </c>
      <c r="M220" t="str">
        <f>_xlfn.XLOOKUP(E220,'Base SKUs'!E:E,'Base SKUs'!J:J)</f>
        <v>1x6</v>
      </c>
      <c r="N220">
        <f>_xlfn.XLOOKUP(E220,'Base SKUs'!E:E,'Base SKUs'!K:K)</f>
        <v>12</v>
      </c>
      <c r="O220" t="str">
        <f>_xlfn.XLOOKUP(E220,'Base SKUs'!E:E,'Base SKUs'!C:C)</f>
        <v>Long</v>
      </c>
      <c r="P220" t="s">
        <v>4930</v>
      </c>
    </row>
    <row r="221" spans="1:16" x14ac:dyDescent="0.25">
      <c r="A221" t="s">
        <v>4885</v>
      </c>
      <c r="B221" t="s">
        <v>4844</v>
      </c>
      <c r="C221" t="s">
        <v>4845</v>
      </c>
      <c r="D221" s="11">
        <v>9011</v>
      </c>
      <c r="E221" t="s">
        <v>3399</v>
      </c>
      <c r="F221">
        <v>2</v>
      </c>
      <c r="G221" t="str">
        <f>_xlfn.XLOOKUP(E221,'Base SKUs'!E:E,'Base SKUs'!D:D)</f>
        <v>Thermowood</v>
      </c>
      <c r="H221" s="10">
        <f>_xlfn.XLOOKUP(E221,'Base SKUs'!E:E,'Base SKUs'!S:S)</f>
        <v>1.3565999999999998E-2</v>
      </c>
      <c r="I221" s="9">
        <f t="shared" si="3"/>
        <v>2.7E-2</v>
      </c>
      <c r="J221" t="str">
        <f>_xlfn.XLOOKUP(E221,'Base SKUs'!E:E,'Base SKUs'!G:G)</f>
        <v>Maximo Thermo Ayous Dark</v>
      </c>
      <c r="K221" t="str">
        <f>_xlfn.XLOOKUP(E221,'Base SKUs'!E:E,'Base SKUs'!H:H)</f>
        <v>VJoint - Square Back</v>
      </c>
      <c r="L221" t="str">
        <f>_xlfn.XLOOKUP(E221,'Base SKUs'!E:E,'Base SKUs'!I:I)</f>
        <v>-</v>
      </c>
      <c r="M221" t="str">
        <f>_xlfn.XLOOKUP(E221,'Base SKUs'!E:E,'Base SKUs'!J:J)</f>
        <v>1x6</v>
      </c>
      <c r="N221">
        <f>_xlfn.XLOOKUP(E221,'Base SKUs'!E:E,'Base SKUs'!K:K)</f>
        <v>17</v>
      </c>
      <c r="O221" t="str">
        <f>_xlfn.XLOOKUP(E221,'Base SKUs'!E:E,'Base SKUs'!C:C)</f>
        <v>Long</v>
      </c>
      <c r="P221" t="s">
        <v>4930</v>
      </c>
    </row>
    <row r="222" spans="1:16" x14ac:dyDescent="0.25">
      <c r="A222" t="s">
        <v>4885</v>
      </c>
      <c r="B222" t="s">
        <v>4844</v>
      </c>
      <c r="C222" t="s">
        <v>4845</v>
      </c>
      <c r="D222" s="11">
        <v>9011</v>
      </c>
      <c r="E222" t="s">
        <v>90</v>
      </c>
      <c r="F222">
        <v>8</v>
      </c>
      <c r="G222" t="str">
        <f>_xlfn.XLOOKUP(E222,'Base SKUs'!E:E,'Base SKUs'!D:D)</f>
        <v>Thermowood</v>
      </c>
      <c r="H222" s="10">
        <f>_xlfn.XLOOKUP(E222,'Base SKUs'!E:E,'Base SKUs'!S:S)</f>
        <v>6.3839999999999999E-3</v>
      </c>
      <c r="I222" s="9">
        <f t="shared" si="3"/>
        <v>5.0999999999999997E-2</v>
      </c>
      <c r="J222" t="str">
        <f>_xlfn.XLOOKUP(E222,'Base SKUs'!E:E,'Base SKUs'!G:G)</f>
        <v>Maximo Thermo Ayous Dark</v>
      </c>
      <c r="K222" t="str">
        <f>_xlfn.XLOOKUP(E222,'Base SKUs'!E:E,'Base SKUs'!H:H)</f>
        <v>VJoint - Square Back</v>
      </c>
      <c r="L222" t="str">
        <f>_xlfn.XLOOKUP(E222,'Base SKUs'!E:E,'Base SKUs'!I:I)</f>
        <v>-</v>
      </c>
      <c r="M222" t="str">
        <f>_xlfn.XLOOKUP(E222,'Base SKUs'!E:E,'Base SKUs'!J:J)</f>
        <v>1x6</v>
      </c>
      <c r="N222">
        <f>_xlfn.XLOOKUP(E222,'Base SKUs'!E:E,'Base SKUs'!K:K)</f>
        <v>8</v>
      </c>
      <c r="O222" t="str">
        <f>_xlfn.XLOOKUP(E222,'Base SKUs'!E:E,'Base SKUs'!C:C)</f>
        <v>Long</v>
      </c>
      <c r="P222" t="s">
        <v>4930</v>
      </c>
    </row>
    <row r="223" spans="1:16" x14ac:dyDescent="0.25">
      <c r="A223" t="s">
        <v>4886</v>
      </c>
      <c r="B223" t="s">
        <v>4839</v>
      </c>
      <c r="C223" t="s">
        <v>4887</v>
      </c>
      <c r="D223" s="11">
        <v>9007</v>
      </c>
      <c r="E223" t="s">
        <v>166</v>
      </c>
      <c r="F223">
        <v>1</v>
      </c>
      <c r="G223" t="str">
        <f>_xlfn.XLOOKUP(E223,'Base SKUs'!E:E,'Base SKUs'!D:D)</f>
        <v>Hardwoods</v>
      </c>
      <c r="H223" s="10">
        <f>_xlfn.XLOOKUP(E223,'Base SKUs'!E:E,'Base SKUs'!S:S)</f>
        <v>2.4088984080000007E-2</v>
      </c>
      <c r="I223" s="9">
        <f t="shared" si="3"/>
        <v>2.4E-2</v>
      </c>
      <c r="J223" t="str">
        <f>_xlfn.XLOOKUP(E223,'Base SKUs'!E:E,'Base SKUs'!G:G)</f>
        <v>Ipe</v>
      </c>
      <c r="K223" t="str">
        <f>_xlfn.XLOOKUP(E223,'Base SKUs'!E:E,'Base SKUs'!H:H)</f>
        <v>S4S E4E</v>
      </c>
      <c r="L223" t="str">
        <f>_xlfn.XLOOKUP(E223,'Base SKUs'!E:E,'Base SKUs'!I:I)</f>
        <v>-</v>
      </c>
      <c r="M223" t="str">
        <f>_xlfn.XLOOKUP(E223,'Base SKUs'!E:E,'Base SKUs'!J:J)</f>
        <v>4x4</v>
      </c>
      <c r="N223">
        <f>_xlfn.XLOOKUP(E223,'Base SKUs'!E:E,'Base SKUs'!K:K)</f>
        <v>10</v>
      </c>
      <c r="O223" t="str">
        <f>_xlfn.XLOOKUP(E223,'Base SKUs'!E:E,'Base SKUs'!C:C)</f>
        <v>Long</v>
      </c>
      <c r="P223" t="s">
        <v>4929</v>
      </c>
    </row>
    <row r="224" spans="1:16" x14ac:dyDescent="0.25">
      <c r="A224" t="s">
        <v>4888</v>
      </c>
      <c r="B224" t="s">
        <v>4839</v>
      </c>
      <c r="C224" t="s">
        <v>4840</v>
      </c>
      <c r="D224" s="11">
        <v>9007</v>
      </c>
      <c r="E224" t="s">
        <v>167</v>
      </c>
      <c r="F224">
        <v>10</v>
      </c>
      <c r="G224" t="str">
        <f>_xlfn.XLOOKUP(E224,'Base SKUs'!E:E,'Base SKUs'!D:D)</f>
        <v>Hardwoods</v>
      </c>
      <c r="H224" s="10">
        <f>_xlfn.XLOOKUP(E224,'Base SKUs'!E:E,'Base SKUs'!S:S)</f>
        <v>1.1137391999999999E-2</v>
      </c>
      <c r="I224" s="9">
        <f t="shared" si="3"/>
        <v>0.111</v>
      </c>
      <c r="J224" t="str">
        <f>_xlfn.XLOOKUP(E224,'Base SKUs'!E:E,'Base SKUs'!G:G)</f>
        <v>Cumaru</v>
      </c>
      <c r="K224" t="str">
        <f>_xlfn.XLOOKUP(E224,'Base SKUs'!E:E,'Base SKUs'!H:H)</f>
        <v>S4S E4E</v>
      </c>
      <c r="L224" t="str">
        <f>_xlfn.XLOOKUP(E224,'Base SKUs'!E:E,'Base SKUs'!I:I)</f>
        <v>-</v>
      </c>
      <c r="M224" t="str">
        <f>_xlfn.XLOOKUP(E224,'Base SKUs'!E:E,'Base SKUs'!J:J)</f>
        <v>21x145</v>
      </c>
      <c r="N224">
        <f>_xlfn.XLOOKUP(E224,'Base SKUs'!E:E,'Base SKUs'!K:K)</f>
        <v>12</v>
      </c>
      <c r="O224" t="str">
        <f>_xlfn.XLOOKUP(E224,'Base SKUs'!E:E,'Base SKUs'!C:C)</f>
        <v>Long</v>
      </c>
      <c r="P224" t="s">
        <v>4927</v>
      </c>
    </row>
    <row r="225" spans="1:16" x14ac:dyDescent="0.25">
      <c r="A225" t="s">
        <v>4889</v>
      </c>
      <c r="B225" t="s">
        <v>4839</v>
      </c>
      <c r="C225" t="s">
        <v>4845</v>
      </c>
      <c r="D225" s="11">
        <v>9007</v>
      </c>
      <c r="E225" t="s">
        <v>168</v>
      </c>
      <c r="F225">
        <v>10</v>
      </c>
      <c r="G225" t="str">
        <f>_xlfn.XLOOKUP(E225,'Base SKUs'!E:E,'Base SKUs'!D:D)</f>
        <v>Thermowood</v>
      </c>
      <c r="H225" s="10">
        <f>_xlfn.XLOOKUP(E225,'Base SKUs'!E:E,'Base SKUs'!S:S)</f>
        <v>1.5120000000000001E-2</v>
      </c>
      <c r="I225" s="9">
        <f t="shared" si="3"/>
        <v>0.151</v>
      </c>
      <c r="J225" t="str">
        <f>_xlfn.XLOOKUP(E225,'Base SKUs'!E:E,'Base SKUs'!G:G)</f>
        <v>Maximo Thermo Spruce</v>
      </c>
      <c r="K225" t="str">
        <f>_xlfn.XLOOKUP(E225,'Base SKUs'!E:E,'Base SKUs'!H:H)</f>
        <v>S4S E4E</v>
      </c>
      <c r="L225" t="str">
        <f>_xlfn.XLOOKUP(E225,'Base SKUs'!E:E,'Base SKUs'!I:I)</f>
        <v>-</v>
      </c>
      <c r="M225" t="str">
        <f>_xlfn.XLOOKUP(E225,'Base SKUs'!E:E,'Base SKUs'!J:J)</f>
        <v>1x8</v>
      </c>
      <c r="N225">
        <f>_xlfn.XLOOKUP(E225,'Base SKUs'!E:E,'Base SKUs'!K:K)</f>
        <v>14</v>
      </c>
      <c r="O225" t="str">
        <f>_xlfn.XLOOKUP(E225,'Base SKUs'!E:E,'Base SKUs'!C:C)</f>
        <v>Long</v>
      </c>
      <c r="P225" t="s">
        <v>2880</v>
      </c>
    </row>
    <row r="226" spans="1:16" x14ac:dyDescent="0.25">
      <c r="A226" t="s">
        <v>4890</v>
      </c>
      <c r="B226" t="s">
        <v>4839</v>
      </c>
      <c r="C226" t="s">
        <v>4840</v>
      </c>
      <c r="D226" s="11">
        <v>9011</v>
      </c>
      <c r="E226" t="s">
        <v>172</v>
      </c>
      <c r="F226">
        <v>2</v>
      </c>
      <c r="G226" t="str">
        <f>_xlfn.XLOOKUP(E226,'Base SKUs'!E:E,'Base SKUs'!D:D)</f>
        <v>Norx</v>
      </c>
      <c r="H226" s="10">
        <f>_xlfn.XLOOKUP(E226,'Base SKUs'!E:E,'Base SKUs'!S:S)</f>
        <v>0</v>
      </c>
      <c r="I226" s="9">
        <f t="shared" si="3"/>
        <v>2</v>
      </c>
      <c r="J226" t="str">
        <f>_xlfn.XLOOKUP(E226,'Base SKUs'!E:E,'Base SKUs'!G:G)</f>
        <v>Big Ben</v>
      </c>
      <c r="K226" t="str">
        <f>_xlfn.XLOOKUP(E226,'Base SKUs'!E:E,'Base SKUs'!H:H)</f>
        <v>Profile</v>
      </c>
      <c r="L226" t="str">
        <f>_xlfn.XLOOKUP(E226,'Base SKUs'!E:E,'Base SKUs'!I:I)</f>
        <v>-</v>
      </c>
      <c r="M226" t="str">
        <f>_xlfn.XLOOKUP(E226,'Base SKUs'!E:E,'Base SKUs'!J:J)</f>
        <v>1x8</v>
      </c>
      <c r="N226">
        <f>_xlfn.XLOOKUP(E226,'Base SKUs'!E:E,'Base SKUs'!K:K)</f>
        <v>16</v>
      </c>
      <c r="O226" t="str">
        <f>_xlfn.XLOOKUP(E226,'Base SKUs'!E:E,'Base SKUs'!C:C)</f>
        <v>Long</v>
      </c>
      <c r="P226" t="s">
        <v>4927</v>
      </c>
    </row>
    <row r="227" spans="1:16" x14ac:dyDescent="0.25">
      <c r="A227" t="s">
        <v>4891</v>
      </c>
      <c r="B227" t="s">
        <v>4839</v>
      </c>
      <c r="C227" t="s">
        <v>4840</v>
      </c>
      <c r="D227" s="11">
        <v>9007</v>
      </c>
      <c r="E227" t="s">
        <v>173</v>
      </c>
      <c r="F227">
        <v>1</v>
      </c>
      <c r="G227" t="str">
        <f>_xlfn.XLOOKUP(E227,'Base SKUs'!E:E,'Base SKUs'!D:D)</f>
        <v>Thermowood</v>
      </c>
      <c r="H227" s="10">
        <f>_xlfn.XLOOKUP(E227,'Base SKUs'!E:E,'Base SKUs'!S:S)</f>
        <v>2.4203177400000001E-2</v>
      </c>
      <c r="I227" s="9">
        <f t="shared" si="3"/>
        <v>2.4E-2</v>
      </c>
      <c r="J227" t="str">
        <f>_xlfn.XLOOKUP(E227,'Base SKUs'!E:E,'Base SKUs'!G:G)</f>
        <v>Maximo Thermo Ayous JPL</v>
      </c>
      <c r="K227" t="str">
        <f>_xlfn.XLOOKUP(E227,'Base SKUs'!E:E,'Base SKUs'!H:H)</f>
        <v>S4S E4E</v>
      </c>
      <c r="L227" t="str">
        <f>_xlfn.XLOOKUP(E227,'Base SKUs'!E:E,'Base SKUs'!I:I)</f>
        <v>-</v>
      </c>
      <c r="M227" t="str">
        <f>_xlfn.XLOOKUP(E227,'Base SKUs'!E:E,'Base SKUs'!J:J)</f>
        <v>1x10</v>
      </c>
      <c r="N227">
        <f>_xlfn.XLOOKUP(E227,'Base SKUs'!E:E,'Base SKUs'!K:K)</f>
        <v>16</v>
      </c>
      <c r="O227" t="str">
        <f>_xlfn.XLOOKUP(E227,'Base SKUs'!E:E,'Base SKUs'!C:C)</f>
        <v>Long</v>
      </c>
      <c r="P227" t="s">
        <v>4927</v>
      </c>
    </row>
    <row r="228" spans="1:16" x14ac:dyDescent="0.25">
      <c r="A228" t="s">
        <v>4891</v>
      </c>
      <c r="B228" t="s">
        <v>4839</v>
      </c>
      <c r="C228" t="s">
        <v>4840</v>
      </c>
      <c r="D228" s="11">
        <v>9007</v>
      </c>
      <c r="E228" t="s">
        <v>174</v>
      </c>
      <c r="F228">
        <v>2</v>
      </c>
      <c r="G228" t="str">
        <f>_xlfn.XLOOKUP(E228,'Base SKUs'!E:E,'Base SKUs'!D:D)</f>
        <v>Thermowood</v>
      </c>
      <c r="H228" s="10">
        <f>_xlfn.XLOOKUP(E228,'Base SKUs'!E:E,'Base SKUs'!S:S)</f>
        <v>2.5691077649999998E-2</v>
      </c>
      <c r="I228" s="9">
        <f t="shared" si="3"/>
        <v>5.0999999999999997E-2</v>
      </c>
      <c r="J228" t="str">
        <f>_xlfn.XLOOKUP(E228,'Base SKUs'!E:E,'Base SKUs'!G:G)</f>
        <v>Maximo Thermo Ayous JPL</v>
      </c>
      <c r="K228" t="str">
        <f>_xlfn.XLOOKUP(E228,'Base SKUs'!E:E,'Base SKUs'!H:H)</f>
        <v>S4S E4E</v>
      </c>
      <c r="L228" t="str">
        <f>_xlfn.XLOOKUP(E228,'Base SKUs'!E:E,'Base SKUs'!I:I)</f>
        <v>-</v>
      </c>
      <c r="M228" t="str">
        <f>_xlfn.XLOOKUP(E228,'Base SKUs'!E:E,'Base SKUs'!J:J)</f>
        <v>1x10</v>
      </c>
      <c r="N228">
        <f>_xlfn.XLOOKUP(E228,'Base SKUs'!E:E,'Base SKUs'!K:K)</f>
        <v>17</v>
      </c>
      <c r="O228" t="str">
        <f>_xlfn.XLOOKUP(E228,'Base SKUs'!E:E,'Base SKUs'!C:C)</f>
        <v>Long</v>
      </c>
      <c r="P228" t="s">
        <v>4927</v>
      </c>
    </row>
    <row r="229" spans="1:16" x14ac:dyDescent="0.25">
      <c r="A229" t="s">
        <v>4892</v>
      </c>
      <c r="B229" t="s">
        <v>4844</v>
      </c>
      <c r="C229" t="s">
        <v>4845</v>
      </c>
      <c r="D229" s="11">
        <v>9008</v>
      </c>
      <c r="E229" t="s">
        <v>158</v>
      </c>
      <c r="F229">
        <v>161</v>
      </c>
      <c r="G229" t="str">
        <f>_xlfn.XLOOKUP(E229,'Base SKUs'!E:E,'Base SKUs'!D:D)</f>
        <v>Thermowood</v>
      </c>
      <c r="H229" s="10">
        <f>_xlfn.XLOOKUP(E229,'Base SKUs'!E:E,'Base SKUs'!S:S)</f>
        <v>5.5859999999999998E-3</v>
      </c>
      <c r="I229" s="9">
        <f t="shared" si="3"/>
        <v>0.89900000000000002</v>
      </c>
      <c r="J229" t="str">
        <f>_xlfn.XLOOKUP(E229,'Base SKUs'!E:E,'Base SKUs'!G:G)</f>
        <v>Maximo Thermo Ayous</v>
      </c>
      <c r="K229" t="str">
        <f>_xlfn.XLOOKUP(E229,'Base SKUs'!E:E,'Base SKUs'!H:H)</f>
        <v>S4S E4E</v>
      </c>
      <c r="L229" t="str">
        <f>_xlfn.XLOOKUP(E229,'Base SKUs'!E:E,'Base SKUs'!I:I)</f>
        <v>-</v>
      </c>
      <c r="M229" t="str">
        <f>_xlfn.XLOOKUP(E229,'Base SKUs'!E:E,'Base SKUs'!J:J)</f>
        <v>1x6</v>
      </c>
      <c r="N229">
        <f>_xlfn.XLOOKUP(E229,'Base SKUs'!E:E,'Base SKUs'!K:K)</f>
        <v>7</v>
      </c>
      <c r="O229" t="str">
        <f>_xlfn.XLOOKUP(E229,'Base SKUs'!E:E,'Base SKUs'!C:C)</f>
        <v>Short</v>
      </c>
      <c r="P229" t="s">
        <v>4931</v>
      </c>
    </row>
    <row r="230" spans="1:16" x14ac:dyDescent="0.25">
      <c r="A230" t="s">
        <v>4892</v>
      </c>
      <c r="B230" t="s">
        <v>4844</v>
      </c>
      <c r="C230" t="s">
        <v>4845</v>
      </c>
      <c r="D230" s="11">
        <v>9008</v>
      </c>
      <c r="E230" t="s">
        <v>160</v>
      </c>
      <c r="F230">
        <v>45</v>
      </c>
      <c r="G230" t="str">
        <f>_xlfn.XLOOKUP(E230,'Base SKUs'!E:E,'Base SKUs'!D:D)</f>
        <v>Thermowood</v>
      </c>
      <c r="H230" s="10">
        <f>_xlfn.XLOOKUP(E230,'Base SKUs'!E:E,'Base SKUs'!S:S)</f>
        <v>7.182E-3</v>
      </c>
      <c r="I230" s="9">
        <f t="shared" si="3"/>
        <v>0.32300000000000001</v>
      </c>
      <c r="J230" t="str">
        <f>_xlfn.XLOOKUP(E230,'Base SKUs'!E:E,'Base SKUs'!G:G)</f>
        <v>Maximo Thermo Ayous</v>
      </c>
      <c r="K230" t="str">
        <f>_xlfn.XLOOKUP(E230,'Base SKUs'!E:E,'Base SKUs'!H:H)</f>
        <v>S4S E4E</v>
      </c>
      <c r="L230" t="str">
        <f>_xlfn.XLOOKUP(E230,'Base SKUs'!E:E,'Base SKUs'!I:I)</f>
        <v>-</v>
      </c>
      <c r="M230" t="str">
        <f>_xlfn.XLOOKUP(E230,'Base SKUs'!E:E,'Base SKUs'!J:J)</f>
        <v>1x6</v>
      </c>
      <c r="N230">
        <f>_xlfn.XLOOKUP(E230,'Base SKUs'!E:E,'Base SKUs'!K:K)</f>
        <v>9</v>
      </c>
      <c r="O230" t="str">
        <f>_xlfn.XLOOKUP(E230,'Base SKUs'!E:E,'Base SKUs'!C:C)</f>
        <v>Long</v>
      </c>
      <c r="P230" t="s">
        <v>4931</v>
      </c>
    </row>
    <row r="231" spans="1:16" x14ac:dyDescent="0.25">
      <c r="A231" t="s">
        <v>4892</v>
      </c>
      <c r="B231" t="s">
        <v>4844</v>
      </c>
      <c r="C231" t="s">
        <v>4845</v>
      </c>
      <c r="D231" s="11">
        <v>9008</v>
      </c>
      <c r="E231" t="s">
        <v>161</v>
      </c>
      <c r="F231">
        <v>623</v>
      </c>
      <c r="G231" t="str">
        <f>_xlfn.XLOOKUP(E231,'Base SKUs'!E:E,'Base SKUs'!D:D)</f>
        <v>Thermowood</v>
      </c>
      <c r="H231" s="10">
        <f>_xlfn.XLOOKUP(E231,'Base SKUs'!E:E,'Base SKUs'!S:S)</f>
        <v>7.980000000000001E-3</v>
      </c>
      <c r="I231" s="9">
        <f t="shared" si="3"/>
        <v>4.9720000000000004</v>
      </c>
      <c r="J231" t="str">
        <f>_xlfn.XLOOKUP(E231,'Base SKUs'!E:E,'Base SKUs'!G:G)</f>
        <v>Maximo Thermo Ayous</v>
      </c>
      <c r="K231" t="str">
        <f>_xlfn.XLOOKUP(E231,'Base SKUs'!E:E,'Base SKUs'!H:H)</f>
        <v>S4S E4E</v>
      </c>
      <c r="L231" t="str">
        <f>_xlfn.XLOOKUP(E231,'Base SKUs'!E:E,'Base SKUs'!I:I)</f>
        <v>-</v>
      </c>
      <c r="M231" t="str">
        <f>_xlfn.XLOOKUP(E231,'Base SKUs'!E:E,'Base SKUs'!J:J)</f>
        <v>1x6</v>
      </c>
      <c r="N231">
        <f>_xlfn.XLOOKUP(E231,'Base SKUs'!E:E,'Base SKUs'!K:K)</f>
        <v>10</v>
      </c>
      <c r="O231" t="str">
        <f>_xlfn.XLOOKUP(E231,'Base SKUs'!E:E,'Base SKUs'!C:C)</f>
        <v>Long</v>
      </c>
      <c r="P231" t="s">
        <v>4931</v>
      </c>
    </row>
    <row r="232" spans="1:16" x14ac:dyDescent="0.25">
      <c r="A232" t="s">
        <v>4892</v>
      </c>
      <c r="B232" t="s">
        <v>4844</v>
      </c>
      <c r="C232" t="s">
        <v>4845</v>
      </c>
      <c r="D232" s="11">
        <v>9008</v>
      </c>
      <c r="E232" t="s">
        <v>175</v>
      </c>
      <c r="F232">
        <v>228</v>
      </c>
      <c r="G232" t="str">
        <f>_xlfn.XLOOKUP(E232,'Base SKUs'!E:E,'Base SKUs'!D:D)</f>
        <v>Thermowood</v>
      </c>
      <c r="H232" s="10">
        <f>_xlfn.XLOOKUP(E232,'Base SKUs'!E:E,'Base SKUs'!S:S)</f>
        <v>8.7779999999999993E-3</v>
      </c>
      <c r="I232" s="9">
        <f t="shared" si="3"/>
        <v>2.0009999999999999</v>
      </c>
      <c r="J232" t="str">
        <f>_xlfn.XLOOKUP(E232,'Base SKUs'!E:E,'Base SKUs'!G:G)</f>
        <v>Maximo Thermo Ayous</v>
      </c>
      <c r="K232" t="str">
        <f>_xlfn.XLOOKUP(E232,'Base SKUs'!E:E,'Base SKUs'!H:H)</f>
        <v>S4S E4E</v>
      </c>
      <c r="L232" t="str">
        <f>_xlfn.XLOOKUP(E232,'Base SKUs'!E:E,'Base SKUs'!I:I)</f>
        <v>-</v>
      </c>
      <c r="M232" t="str">
        <f>_xlfn.XLOOKUP(E232,'Base SKUs'!E:E,'Base SKUs'!J:J)</f>
        <v>1x6</v>
      </c>
      <c r="N232">
        <f>_xlfn.XLOOKUP(E232,'Base SKUs'!E:E,'Base SKUs'!K:K)</f>
        <v>11</v>
      </c>
      <c r="O232" t="str">
        <f>_xlfn.XLOOKUP(E232,'Base SKUs'!E:E,'Base SKUs'!C:C)</f>
        <v>Long</v>
      </c>
      <c r="P232" t="s">
        <v>4931</v>
      </c>
    </row>
    <row r="233" spans="1:16" x14ac:dyDescent="0.25">
      <c r="A233" t="s">
        <v>4892</v>
      </c>
      <c r="B233" t="s">
        <v>4844</v>
      </c>
      <c r="C233" t="s">
        <v>4845</v>
      </c>
      <c r="D233" s="11">
        <v>9008</v>
      </c>
      <c r="E233" t="s">
        <v>95</v>
      </c>
      <c r="F233">
        <v>4</v>
      </c>
      <c r="G233" t="str">
        <f>_xlfn.XLOOKUP(E233,'Base SKUs'!E:E,'Base SKUs'!D:D)</f>
        <v>Thermowood</v>
      </c>
      <c r="H233" s="10">
        <f>_xlfn.XLOOKUP(E233,'Base SKUs'!E:E,'Base SKUs'!S:S)</f>
        <v>3.192E-3</v>
      </c>
      <c r="I233" s="9">
        <f t="shared" si="3"/>
        <v>1.2999999999999999E-2</v>
      </c>
      <c r="J233" t="str">
        <f>_xlfn.XLOOKUP(E233,'Base SKUs'!E:E,'Base SKUs'!G:G)</f>
        <v>Maximo Thermo Ayous</v>
      </c>
      <c r="K233" t="str">
        <f>_xlfn.XLOOKUP(E233,'Base SKUs'!E:E,'Base SKUs'!H:H)</f>
        <v>VJoint - Nickel Gap</v>
      </c>
      <c r="L233" t="str">
        <f>_xlfn.XLOOKUP(E233,'Base SKUs'!E:E,'Base SKUs'!I:I)</f>
        <v>-</v>
      </c>
      <c r="M233" t="str">
        <f>_xlfn.XLOOKUP(E233,'Base SKUs'!E:E,'Base SKUs'!J:J)</f>
        <v>1x6</v>
      </c>
      <c r="N233">
        <f>_xlfn.XLOOKUP(E233,'Base SKUs'!E:E,'Base SKUs'!K:K)</f>
        <v>4</v>
      </c>
      <c r="O233" t="str">
        <f>_xlfn.XLOOKUP(E233,'Base SKUs'!E:E,'Base SKUs'!C:C)</f>
        <v>Short</v>
      </c>
      <c r="P233" t="s">
        <v>4931</v>
      </c>
    </row>
    <row r="234" spans="1:16" x14ac:dyDescent="0.25">
      <c r="A234" t="s">
        <v>4892</v>
      </c>
      <c r="B234" t="s">
        <v>4844</v>
      </c>
      <c r="C234" t="s">
        <v>4845</v>
      </c>
      <c r="D234" s="11">
        <v>9008</v>
      </c>
      <c r="E234" t="s">
        <v>96</v>
      </c>
      <c r="F234">
        <v>2</v>
      </c>
      <c r="G234" t="str">
        <f>_xlfn.XLOOKUP(E234,'Base SKUs'!E:E,'Base SKUs'!D:D)</f>
        <v>Thermowood</v>
      </c>
      <c r="H234" s="10">
        <f>_xlfn.XLOOKUP(E234,'Base SKUs'!E:E,'Base SKUs'!S:S)</f>
        <v>4.7880000000000006E-3</v>
      </c>
      <c r="I234" s="9">
        <f t="shared" si="3"/>
        <v>0.01</v>
      </c>
      <c r="J234" t="str">
        <f>_xlfn.XLOOKUP(E234,'Base SKUs'!E:E,'Base SKUs'!G:G)</f>
        <v>Maximo Thermo Ayous</v>
      </c>
      <c r="K234" t="str">
        <f>_xlfn.XLOOKUP(E234,'Base SKUs'!E:E,'Base SKUs'!H:H)</f>
        <v>VJoint - Nickel Gap</v>
      </c>
      <c r="L234" t="str">
        <f>_xlfn.XLOOKUP(E234,'Base SKUs'!E:E,'Base SKUs'!I:I)</f>
        <v>-</v>
      </c>
      <c r="M234" t="str">
        <f>_xlfn.XLOOKUP(E234,'Base SKUs'!E:E,'Base SKUs'!J:J)</f>
        <v>1x6</v>
      </c>
      <c r="N234">
        <f>_xlfn.XLOOKUP(E234,'Base SKUs'!E:E,'Base SKUs'!K:K)</f>
        <v>6</v>
      </c>
      <c r="O234" t="str">
        <f>_xlfn.XLOOKUP(E234,'Base SKUs'!E:E,'Base SKUs'!C:C)</f>
        <v>Short</v>
      </c>
      <c r="P234" t="s">
        <v>4931</v>
      </c>
    </row>
    <row r="235" spans="1:16" x14ac:dyDescent="0.25">
      <c r="A235" t="s">
        <v>4892</v>
      </c>
      <c r="B235" t="s">
        <v>4844</v>
      </c>
      <c r="C235" t="s">
        <v>4845</v>
      </c>
      <c r="D235" s="11">
        <v>9008</v>
      </c>
      <c r="E235" t="s">
        <v>50</v>
      </c>
      <c r="F235">
        <v>4</v>
      </c>
      <c r="G235" t="str">
        <f>_xlfn.XLOOKUP(E235,'Base SKUs'!E:E,'Base SKUs'!D:D)</f>
        <v>Thermowood</v>
      </c>
      <c r="H235" s="10">
        <f>_xlfn.XLOOKUP(E235,'Base SKUs'!E:E,'Base SKUs'!S:S)</f>
        <v>8.7779999999999993E-3</v>
      </c>
      <c r="I235" s="9">
        <f t="shared" si="3"/>
        <v>3.5000000000000003E-2</v>
      </c>
      <c r="J235" t="str">
        <f>_xlfn.XLOOKUP(E235,'Base SKUs'!E:E,'Base SKUs'!G:G)</f>
        <v>Maximo Thermo Ayous</v>
      </c>
      <c r="K235" t="str">
        <f>_xlfn.XLOOKUP(E235,'Base SKUs'!E:E,'Base SKUs'!H:H)</f>
        <v>VJoint - Nickel Gap</v>
      </c>
      <c r="L235" t="str">
        <f>_xlfn.XLOOKUP(E235,'Base SKUs'!E:E,'Base SKUs'!I:I)</f>
        <v>-</v>
      </c>
      <c r="M235" t="str">
        <f>_xlfn.XLOOKUP(E235,'Base SKUs'!E:E,'Base SKUs'!J:J)</f>
        <v>1x6</v>
      </c>
      <c r="N235">
        <f>_xlfn.XLOOKUP(E235,'Base SKUs'!E:E,'Base SKUs'!K:K)</f>
        <v>11</v>
      </c>
      <c r="O235" t="str">
        <f>_xlfn.XLOOKUP(E235,'Base SKUs'!E:E,'Base SKUs'!C:C)</f>
        <v>Long</v>
      </c>
      <c r="P235" t="s">
        <v>4931</v>
      </c>
    </row>
    <row r="236" spans="1:16" x14ac:dyDescent="0.25">
      <c r="A236" t="s">
        <v>4892</v>
      </c>
      <c r="B236" t="s">
        <v>4844</v>
      </c>
      <c r="C236" t="s">
        <v>4845</v>
      </c>
      <c r="D236" s="11">
        <v>9008</v>
      </c>
      <c r="E236" t="s">
        <v>115</v>
      </c>
      <c r="F236">
        <v>11</v>
      </c>
      <c r="G236" t="str">
        <f>_xlfn.XLOOKUP(E236,'Base SKUs'!E:E,'Base SKUs'!D:D)</f>
        <v>Thermowood</v>
      </c>
      <c r="H236" s="10">
        <f>_xlfn.XLOOKUP(E236,'Base SKUs'!E:E,'Base SKUs'!S:S)</f>
        <v>9.5760000000000012E-3</v>
      </c>
      <c r="I236" s="9">
        <f t="shared" si="3"/>
        <v>0.105</v>
      </c>
      <c r="J236" t="str">
        <f>_xlfn.XLOOKUP(E236,'Base SKUs'!E:E,'Base SKUs'!G:G)</f>
        <v>Maximo Thermo Ayous</v>
      </c>
      <c r="K236" t="str">
        <f>_xlfn.XLOOKUP(E236,'Base SKUs'!E:E,'Base SKUs'!H:H)</f>
        <v>VJoint - Nickel Gap</v>
      </c>
      <c r="L236" t="str">
        <f>_xlfn.XLOOKUP(E236,'Base SKUs'!E:E,'Base SKUs'!I:I)</f>
        <v>-</v>
      </c>
      <c r="M236" t="str">
        <f>_xlfn.XLOOKUP(E236,'Base SKUs'!E:E,'Base SKUs'!J:J)</f>
        <v>1x6</v>
      </c>
      <c r="N236">
        <f>_xlfn.XLOOKUP(E236,'Base SKUs'!E:E,'Base SKUs'!K:K)</f>
        <v>12</v>
      </c>
      <c r="O236" t="str">
        <f>_xlfn.XLOOKUP(E236,'Base SKUs'!E:E,'Base SKUs'!C:C)</f>
        <v>Long</v>
      </c>
      <c r="P236" t="s">
        <v>4931</v>
      </c>
    </row>
    <row r="237" spans="1:16" x14ac:dyDescent="0.25">
      <c r="A237" t="s">
        <v>4892</v>
      </c>
      <c r="B237" t="s">
        <v>4844</v>
      </c>
      <c r="C237" t="s">
        <v>4845</v>
      </c>
      <c r="D237" s="11">
        <v>9008</v>
      </c>
      <c r="E237" t="s">
        <v>122</v>
      </c>
      <c r="F237">
        <v>2</v>
      </c>
      <c r="G237" t="str">
        <f>_xlfn.XLOOKUP(E237,'Base SKUs'!E:E,'Base SKUs'!D:D)</f>
        <v>Thermowood</v>
      </c>
      <c r="H237" s="10">
        <f>_xlfn.XLOOKUP(E237,'Base SKUs'!E:E,'Base SKUs'!S:S)</f>
        <v>1.0374000000000001E-2</v>
      </c>
      <c r="I237" s="9">
        <f t="shared" si="3"/>
        <v>2.1000000000000001E-2</v>
      </c>
      <c r="J237" t="str">
        <f>_xlfn.XLOOKUP(E237,'Base SKUs'!E:E,'Base SKUs'!G:G)</f>
        <v>Maximo Thermo Ayous</v>
      </c>
      <c r="K237" t="str">
        <f>_xlfn.XLOOKUP(E237,'Base SKUs'!E:E,'Base SKUs'!H:H)</f>
        <v>VJoint - Nickel Gap</v>
      </c>
      <c r="L237" t="str">
        <f>_xlfn.XLOOKUP(E237,'Base SKUs'!E:E,'Base SKUs'!I:I)</f>
        <v>-</v>
      </c>
      <c r="M237" t="str">
        <f>_xlfn.XLOOKUP(E237,'Base SKUs'!E:E,'Base SKUs'!J:J)</f>
        <v>1x6</v>
      </c>
      <c r="N237">
        <f>_xlfn.XLOOKUP(E237,'Base SKUs'!E:E,'Base SKUs'!K:K)</f>
        <v>13</v>
      </c>
      <c r="O237" t="str">
        <f>_xlfn.XLOOKUP(E237,'Base SKUs'!E:E,'Base SKUs'!C:C)</f>
        <v>Long</v>
      </c>
      <c r="P237" t="s">
        <v>4931</v>
      </c>
    </row>
    <row r="238" spans="1:16" x14ac:dyDescent="0.25">
      <c r="A238" t="s">
        <v>4892</v>
      </c>
      <c r="B238" t="s">
        <v>4844</v>
      </c>
      <c r="C238" t="s">
        <v>4845</v>
      </c>
      <c r="D238" s="11">
        <v>9008</v>
      </c>
      <c r="E238" t="s">
        <v>6</v>
      </c>
      <c r="F238">
        <v>1</v>
      </c>
      <c r="G238" t="str">
        <f>_xlfn.XLOOKUP(E238,'Base SKUs'!E:E,'Base SKUs'!D:D)</f>
        <v>Thermowood</v>
      </c>
      <c r="H238" s="10">
        <f>_xlfn.XLOOKUP(E238,'Base SKUs'!E:E,'Base SKUs'!S:S)</f>
        <v>1.1172E-2</v>
      </c>
      <c r="I238" s="9">
        <f t="shared" si="3"/>
        <v>1.0999999999999999E-2</v>
      </c>
      <c r="J238" t="str">
        <f>_xlfn.XLOOKUP(E238,'Base SKUs'!E:E,'Base SKUs'!G:G)</f>
        <v>Maximo Thermo Ayous</v>
      </c>
      <c r="K238" t="str">
        <f>_xlfn.XLOOKUP(E238,'Base SKUs'!E:E,'Base SKUs'!H:H)</f>
        <v>VJoint - Nickel Gap</v>
      </c>
      <c r="L238" t="str">
        <f>_xlfn.XLOOKUP(E238,'Base SKUs'!E:E,'Base SKUs'!I:I)</f>
        <v>-</v>
      </c>
      <c r="M238" t="str">
        <f>_xlfn.XLOOKUP(E238,'Base SKUs'!E:E,'Base SKUs'!J:J)</f>
        <v>1x6</v>
      </c>
      <c r="N238">
        <f>_xlfn.XLOOKUP(E238,'Base SKUs'!E:E,'Base SKUs'!K:K)</f>
        <v>14</v>
      </c>
      <c r="O238" t="str">
        <f>_xlfn.XLOOKUP(E238,'Base SKUs'!E:E,'Base SKUs'!C:C)</f>
        <v>Long</v>
      </c>
      <c r="P238" t="s">
        <v>4931</v>
      </c>
    </row>
    <row r="239" spans="1:16" x14ac:dyDescent="0.25">
      <c r="A239" t="s">
        <v>4892</v>
      </c>
      <c r="B239" t="s">
        <v>4844</v>
      </c>
      <c r="C239" t="s">
        <v>4845</v>
      </c>
      <c r="D239" s="11">
        <v>9008</v>
      </c>
      <c r="E239" t="s">
        <v>169</v>
      </c>
      <c r="F239">
        <v>5</v>
      </c>
      <c r="G239" t="str">
        <f>_xlfn.XLOOKUP(E239,'Base SKUs'!E:E,'Base SKUs'!D:D)</f>
        <v>Thermowood</v>
      </c>
      <c r="H239" s="10">
        <f>_xlfn.XLOOKUP(E239,'Base SKUs'!E:E,'Base SKUs'!S:S)</f>
        <v>1.1970000000000001E-2</v>
      </c>
      <c r="I239" s="9">
        <f t="shared" si="3"/>
        <v>0.06</v>
      </c>
      <c r="J239" t="str">
        <f>_xlfn.XLOOKUP(E239,'Base SKUs'!E:E,'Base SKUs'!G:G)</f>
        <v>Maximo Thermo Ayous</v>
      </c>
      <c r="K239" t="str">
        <f>_xlfn.XLOOKUP(E239,'Base SKUs'!E:E,'Base SKUs'!H:H)</f>
        <v>VJoint - Nickel Gap</v>
      </c>
      <c r="L239" t="str">
        <f>_xlfn.XLOOKUP(E239,'Base SKUs'!E:E,'Base SKUs'!I:I)</f>
        <v>-</v>
      </c>
      <c r="M239" t="str">
        <f>_xlfn.XLOOKUP(E239,'Base SKUs'!E:E,'Base SKUs'!J:J)</f>
        <v>1x6</v>
      </c>
      <c r="N239">
        <f>_xlfn.XLOOKUP(E239,'Base SKUs'!E:E,'Base SKUs'!K:K)</f>
        <v>15</v>
      </c>
      <c r="O239" t="str">
        <f>_xlfn.XLOOKUP(E239,'Base SKUs'!E:E,'Base SKUs'!C:C)</f>
        <v>Long</v>
      </c>
      <c r="P239" t="s">
        <v>4931</v>
      </c>
    </row>
    <row r="240" spans="1:16" x14ac:dyDescent="0.25">
      <c r="A240" t="s">
        <v>4893</v>
      </c>
      <c r="B240" t="s">
        <v>4839</v>
      </c>
      <c r="C240" t="s">
        <v>4840</v>
      </c>
      <c r="D240" s="11">
        <v>9007</v>
      </c>
      <c r="E240" t="s">
        <v>178</v>
      </c>
      <c r="F240">
        <v>46</v>
      </c>
      <c r="G240" t="str">
        <f>_xlfn.XLOOKUP(E240,'Base SKUs'!E:E,'Base SKUs'!D:D)</f>
        <v>Thermowood</v>
      </c>
      <c r="H240" s="10">
        <f>_xlfn.XLOOKUP(E240,'Base SKUs'!E:E,'Base SKUs'!S:S)</f>
        <v>1.1363686949999995E-2</v>
      </c>
      <c r="I240" s="9">
        <f t="shared" si="3"/>
        <v>0.52300000000000002</v>
      </c>
      <c r="J240" t="str">
        <f>_xlfn.XLOOKUP(E240,'Base SKUs'!E:E,'Base SKUs'!G:G)</f>
        <v>Maximo Thermo Ayous JPL</v>
      </c>
      <c r="K240" t="str">
        <f>_xlfn.XLOOKUP(E240,'Base SKUs'!E:E,'Base SKUs'!H:H)</f>
        <v>VJoint - Nickel Gap</v>
      </c>
      <c r="L240" t="str">
        <f>_xlfn.XLOOKUP(E240,'Base SKUs'!E:E,'Base SKUs'!I:I)</f>
        <v>-</v>
      </c>
      <c r="M240" t="str">
        <f>_xlfn.XLOOKUP(E240,'Base SKUs'!E:E,'Base SKUs'!J:J)</f>
        <v>1x6</v>
      </c>
      <c r="N240">
        <f>_xlfn.XLOOKUP(E240,'Base SKUs'!E:E,'Base SKUs'!K:K)</f>
        <v>14</v>
      </c>
      <c r="O240" t="str">
        <f>_xlfn.XLOOKUP(E240,'Base SKUs'!E:E,'Base SKUs'!C:C)</f>
        <v>Long</v>
      </c>
      <c r="P240" t="s">
        <v>4927</v>
      </c>
    </row>
    <row r="241" spans="1:16" x14ac:dyDescent="0.25">
      <c r="A241" t="s">
        <v>4894</v>
      </c>
      <c r="B241" t="s">
        <v>4839</v>
      </c>
      <c r="C241" t="s">
        <v>4840</v>
      </c>
      <c r="D241" s="11">
        <v>9011</v>
      </c>
      <c r="E241" t="s">
        <v>179</v>
      </c>
      <c r="F241">
        <v>560</v>
      </c>
      <c r="G241" t="str">
        <f>_xlfn.XLOOKUP(E241,'Base SKUs'!E:E,'Base SKUs'!D:D)</f>
        <v>Thermowood</v>
      </c>
      <c r="H241" s="10">
        <f>_xlfn.XLOOKUP(E241,'Base SKUs'!E:E,'Base SKUs'!S:S)</f>
        <v>1.1172E-2</v>
      </c>
      <c r="I241" s="9">
        <f t="shared" si="3"/>
        <v>6.2560000000000002</v>
      </c>
      <c r="J241" t="str">
        <f>_xlfn.XLOOKUP(E241,'Base SKUs'!E:E,'Base SKUs'!G:G)</f>
        <v>Maximo Thermo Ayous</v>
      </c>
      <c r="K241" t="str">
        <f>_xlfn.XLOOKUP(E241,'Base SKUs'!E:E,'Base SKUs'!H:H)</f>
        <v>VJoint - Nickel Gap</v>
      </c>
      <c r="L241" t="str">
        <f>_xlfn.XLOOKUP(E241,'Base SKUs'!E:E,'Base SKUs'!I:I)</f>
        <v>Pre Finished - Hemel</v>
      </c>
      <c r="M241" t="str">
        <f>_xlfn.XLOOKUP(E241,'Base SKUs'!E:E,'Base SKUs'!J:J)</f>
        <v>1x6</v>
      </c>
      <c r="N241">
        <f>_xlfn.XLOOKUP(E241,'Base SKUs'!E:E,'Base SKUs'!K:K)</f>
        <v>14</v>
      </c>
      <c r="O241" t="str">
        <f>_xlfn.XLOOKUP(E241,'Base SKUs'!E:E,'Base SKUs'!C:C)</f>
        <v>Long</v>
      </c>
      <c r="P241" t="s">
        <v>4927</v>
      </c>
    </row>
    <row r="242" spans="1:16" x14ac:dyDescent="0.25">
      <c r="A242" t="s">
        <v>4894</v>
      </c>
      <c r="B242" t="s">
        <v>4839</v>
      </c>
      <c r="C242" t="s">
        <v>4840</v>
      </c>
      <c r="D242" s="11">
        <v>9011</v>
      </c>
      <c r="E242" t="s">
        <v>180</v>
      </c>
      <c r="F242">
        <v>336</v>
      </c>
      <c r="G242" t="str">
        <f>_xlfn.XLOOKUP(E242,'Base SKUs'!E:E,'Base SKUs'!D:D)</f>
        <v>Thermowood</v>
      </c>
      <c r="H242" s="10">
        <f>_xlfn.XLOOKUP(E242,'Base SKUs'!E:E,'Base SKUs'!S:S)</f>
        <v>6.3839999999999999E-3</v>
      </c>
      <c r="I242" s="9">
        <f t="shared" si="3"/>
        <v>2.145</v>
      </c>
      <c r="J242" t="str">
        <f>_xlfn.XLOOKUP(E242,'Base SKUs'!E:E,'Base SKUs'!G:G)</f>
        <v>Maximo Thermo Ayous</v>
      </c>
      <c r="K242" t="str">
        <f>_xlfn.XLOOKUP(E242,'Base SKUs'!E:E,'Base SKUs'!H:H)</f>
        <v>VJoint - Nickel Gap</v>
      </c>
      <c r="L242" t="str">
        <f>_xlfn.XLOOKUP(E242,'Base SKUs'!E:E,'Base SKUs'!I:I)</f>
        <v>Pre Finished - Hemel</v>
      </c>
      <c r="M242" t="str">
        <f>_xlfn.XLOOKUP(E242,'Base SKUs'!E:E,'Base SKUs'!J:J)</f>
        <v>1x6</v>
      </c>
      <c r="N242">
        <f>_xlfn.XLOOKUP(E242,'Base SKUs'!E:E,'Base SKUs'!K:K)</f>
        <v>8</v>
      </c>
      <c r="O242" t="str">
        <f>_xlfn.XLOOKUP(E242,'Base SKUs'!E:E,'Base SKUs'!C:C)</f>
        <v>Long</v>
      </c>
      <c r="P242" t="s">
        <v>4927</v>
      </c>
    </row>
    <row r="243" spans="1:16" x14ac:dyDescent="0.25">
      <c r="A243" t="s">
        <v>4895</v>
      </c>
      <c r="B243" t="s">
        <v>4896</v>
      </c>
      <c r="C243" t="s">
        <v>4897</v>
      </c>
      <c r="D243" s="11">
        <v>9007</v>
      </c>
      <c r="E243" t="s">
        <v>181</v>
      </c>
      <c r="F243">
        <v>70</v>
      </c>
      <c r="G243" t="str">
        <f>_xlfn.XLOOKUP(E243,'Base SKUs'!E:E,'Base SKUs'!D:D)</f>
        <v>Hardwoods</v>
      </c>
      <c r="H243" s="10">
        <f>_xlfn.XLOOKUP(E243,'Base SKUs'!E:E,'Base SKUs'!S:S)</f>
        <v>1.0692559260000001E-2</v>
      </c>
      <c r="I243" s="9">
        <f t="shared" si="3"/>
        <v>0.748</v>
      </c>
      <c r="J243" t="str">
        <f>_xlfn.XLOOKUP(E243,'Base SKUs'!E:E,'Base SKUs'!G:G)</f>
        <v>Ipe</v>
      </c>
      <c r="K243" t="str">
        <f>_xlfn.XLOOKUP(E243,'Base SKUs'!E:E,'Base SKUs'!H:H)</f>
        <v>S4S E4E</v>
      </c>
      <c r="L243" t="str">
        <f>_xlfn.XLOOKUP(E243,'Base SKUs'!E:E,'Base SKUs'!I:I)</f>
        <v>-</v>
      </c>
      <c r="M243" t="str">
        <f>_xlfn.XLOOKUP(E243,'Base SKUs'!E:E,'Base SKUs'!J:J)</f>
        <v>1x8</v>
      </c>
      <c r="N243">
        <f>_xlfn.XLOOKUP(E243,'Base SKUs'!E:E,'Base SKUs'!K:K)</f>
        <v>10</v>
      </c>
      <c r="O243" t="str">
        <f>_xlfn.XLOOKUP(E243,'Base SKUs'!E:E,'Base SKUs'!C:C)</f>
        <v>Long</v>
      </c>
      <c r="P243" t="s">
        <v>4932</v>
      </c>
    </row>
    <row r="244" spans="1:16" x14ac:dyDescent="0.25">
      <c r="A244" t="s">
        <v>4895</v>
      </c>
      <c r="B244" t="s">
        <v>4896</v>
      </c>
      <c r="C244" t="s">
        <v>4897</v>
      </c>
      <c r="D244" s="11">
        <v>9007</v>
      </c>
      <c r="E244" t="s">
        <v>182</v>
      </c>
      <c r="F244">
        <v>35</v>
      </c>
      <c r="G244" t="str">
        <f>_xlfn.XLOOKUP(E244,'Base SKUs'!E:E,'Base SKUs'!D:D)</f>
        <v>Hardwoods</v>
      </c>
      <c r="H244" s="10">
        <f>_xlfn.XLOOKUP(E244,'Base SKUs'!E:E,'Base SKUs'!S:S)</f>
        <v>1.2831071112000001E-2</v>
      </c>
      <c r="I244" s="9">
        <f t="shared" si="3"/>
        <v>0.44900000000000001</v>
      </c>
      <c r="J244" t="str">
        <f>_xlfn.XLOOKUP(E244,'Base SKUs'!E:E,'Base SKUs'!G:G)</f>
        <v>Ipe</v>
      </c>
      <c r="K244" t="str">
        <f>_xlfn.XLOOKUP(E244,'Base SKUs'!E:E,'Base SKUs'!H:H)</f>
        <v>S4S E4E</v>
      </c>
      <c r="L244" t="str">
        <f>_xlfn.XLOOKUP(E244,'Base SKUs'!E:E,'Base SKUs'!I:I)</f>
        <v>-</v>
      </c>
      <c r="M244" t="str">
        <f>_xlfn.XLOOKUP(E244,'Base SKUs'!E:E,'Base SKUs'!J:J)</f>
        <v>1x8</v>
      </c>
      <c r="N244">
        <f>_xlfn.XLOOKUP(E244,'Base SKUs'!E:E,'Base SKUs'!K:K)</f>
        <v>12</v>
      </c>
      <c r="O244" t="str">
        <f>_xlfn.XLOOKUP(E244,'Base SKUs'!E:E,'Base SKUs'!C:C)</f>
        <v>Long</v>
      </c>
      <c r="P244" t="s">
        <v>4932</v>
      </c>
    </row>
    <row r="245" spans="1:16" x14ac:dyDescent="0.25">
      <c r="A245" t="s">
        <v>4895</v>
      </c>
      <c r="B245" t="s">
        <v>4896</v>
      </c>
      <c r="C245" t="s">
        <v>4897</v>
      </c>
      <c r="D245" s="11">
        <v>9007</v>
      </c>
      <c r="E245" t="s">
        <v>183</v>
      </c>
      <c r="F245">
        <v>15</v>
      </c>
      <c r="G245" t="str">
        <f>_xlfn.XLOOKUP(E245,'Base SKUs'!E:E,'Base SKUs'!D:D)</f>
        <v>Hardwoods</v>
      </c>
      <c r="H245" s="10">
        <f>_xlfn.XLOOKUP(E245,'Base SKUs'!E:E,'Base SKUs'!S:S)</f>
        <v>1.7108094816000001E-2</v>
      </c>
      <c r="I245" s="9">
        <f t="shared" si="3"/>
        <v>0.25700000000000001</v>
      </c>
      <c r="J245" t="str">
        <f>_xlfn.XLOOKUP(E245,'Base SKUs'!E:E,'Base SKUs'!G:G)</f>
        <v>Ipe</v>
      </c>
      <c r="K245" t="str">
        <f>_xlfn.XLOOKUP(E245,'Base SKUs'!E:E,'Base SKUs'!H:H)</f>
        <v>S4S E4E</v>
      </c>
      <c r="L245" t="str">
        <f>_xlfn.XLOOKUP(E245,'Base SKUs'!E:E,'Base SKUs'!I:I)</f>
        <v>-</v>
      </c>
      <c r="M245" t="str">
        <f>_xlfn.XLOOKUP(E245,'Base SKUs'!E:E,'Base SKUs'!J:J)</f>
        <v>1x8</v>
      </c>
      <c r="N245">
        <f>_xlfn.XLOOKUP(E245,'Base SKUs'!E:E,'Base SKUs'!K:K)</f>
        <v>16</v>
      </c>
      <c r="O245" t="str">
        <f>_xlfn.XLOOKUP(E245,'Base SKUs'!E:E,'Base SKUs'!C:C)</f>
        <v>Long</v>
      </c>
      <c r="P245" t="s">
        <v>4932</v>
      </c>
    </row>
    <row r="246" spans="1:16" x14ac:dyDescent="0.25">
      <c r="A246" t="s">
        <v>4895</v>
      </c>
      <c r="B246" t="s">
        <v>4896</v>
      </c>
      <c r="C246" t="s">
        <v>4897</v>
      </c>
      <c r="D246" s="11">
        <v>9007</v>
      </c>
      <c r="E246" t="s">
        <v>184</v>
      </c>
      <c r="F246">
        <v>110</v>
      </c>
      <c r="G246" t="str">
        <f>_xlfn.XLOOKUP(E246,'Base SKUs'!E:E,'Base SKUs'!D:D)</f>
        <v>Hardwoods</v>
      </c>
      <c r="H246" s="10">
        <f>_xlfn.XLOOKUP(E246,'Base SKUs'!E:E,'Base SKUs'!S:S)</f>
        <v>8.259080256000001E-3</v>
      </c>
      <c r="I246" s="9">
        <f t="shared" si="3"/>
        <v>0.90800000000000003</v>
      </c>
      <c r="J246" t="str">
        <f>_xlfn.XLOOKUP(E246,'Base SKUs'!E:E,'Base SKUs'!G:G)</f>
        <v>Ipe</v>
      </c>
      <c r="K246" t="str">
        <f>_xlfn.XLOOKUP(E246,'Base SKUs'!E:E,'Base SKUs'!H:H)</f>
        <v>S4S E4E</v>
      </c>
      <c r="L246" t="str">
        <f>_xlfn.XLOOKUP(E246,'Base SKUs'!E:E,'Base SKUs'!I:I)</f>
        <v>-</v>
      </c>
      <c r="M246" t="str">
        <f>_xlfn.XLOOKUP(E246,'Base SKUs'!E:E,'Base SKUs'!J:J)</f>
        <v>2x4</v>
      </c>
      <c r="N246">
        <f>_xlfn.XLOOKUP(E246,'Base SKUs'!E:E,'Base SKUs'!K:K)</f>
        <v>8</v>
      </c>
      <c r="O246" t="str">
        <f>_xlfn.XLOOKUP(E246,'Base SKUs'!E:E,'Base SKUs'!C:C)</f>
        <v>Long</v>
      </c>
      <c r="P246" t="s">
        <v>4932</v>
      </c>
    </row>
    <row r="247" spans="1:16" x14ac:dyDescent="0.25">
      <c r="A247" t="s">
        <v>4895</v>
      </c>
      <c r="B247" t="s">
        <v>4896</v>
      </c>
      <c r="C247" t="s">
        <v>4897</v>
      </c>
      <c r="D247" s="11">
        <v>9007</v>
      </c>
      <c r="E247" t="s">
        <v>126</v>
      </c>
      <c r="F247">
        <v>33</v>
      </c>
      <c r="G247" t="str">
        <f>_xlfn.XLOOKUP(E247,'Base SKUs'!E:E,'Base SKUs'!D:D)</f>
        <v>Hardwoods</v>
      </c>
      <c r="H247" s="10">
        <f>_xlfn.XLOOKUP(E247,'Base SKUs'!E:E,'Base SKUs'!S:S)</f>
        <v>1.0323850320000001E-2</v>
      </c>
      <c r="I247" s="9">
        <f t="shared" si="3"/>
        <v>0.34100000000000003</v>
      </c>
      <c r="J247" t="str">
        <f>_xlfn.XLOOKUP(E247,'Base SKUs'!E:E,'Base SKUs'!G:G)</f>
        <v>Ipe</v>
      </c>
      <c r="K247" t="str">
        <f>_xlfn.XLOOKUP(E247,'Base SKUs'!E:E,'Base SKUs'!H:H)</f>
        <v>S4S E4E</v>
      </c>
      <c r="L247" t="str">
        <f>_xlfn.XLOOKUP(E247,'Base SKUs'!E:E,'Base SKUs'!I:I)</f>
        <v>-</v>
      </c>
      <c r="M247" t="str">
        <f>_xlfn.XLOOKUP(E247,'Base SKUs'!E:E,'Base SKUs'!J:J)</f>
        <v>2x4</v>
      </c>
      <c r="N247">
        <f>_xlfn.XLOOKUP(E247,'Base SKUs'!E:E,'Base SKUs'!K:K)</f>
        <v>10</v>
      </c>
      <c r="O247" t="str">
        <f>_xlfn.XLOOKUP(E247,'Base SKUs'!E:E,'Base SKUs'!C:C)</f>
        <v>Long</v>
      </c>
      <c r="P247" t="s">
        <v>4932</v>
      </c>
    </row>
    <row r="248" spans="1:16" x14ac:dyDescent="0.25">
      <c r="A248" t="s">
        <v>4895</v>
      </c>
      <c r="B248" t="s">
        <v>4896</v>
      </c>
      <c r="C248" t="s">
        <v>4897</v>
      </c>
      <c r="D248" s="11">
        <v>9007</v>
      </c>
      <c r="E248" t="s">
        <v>127</v>
      </c>
      <c r="F248">
        <v>7</v>
      </c>
      <c r="G248" t="str">
        <f>_xlfn.XLOOKUP(E248,'Base SKUs'!E:E,'Base SKUs'!D:D)</f>
        <v>Hardwoods</v>
      </c>
      <c r="H248" s="10">
        <f>_xlfn.XLOOKUP(E248,'Base SKUs'!E:E,'Base SKUs'!S:S)</f>
        <v>1.4453390448E-2</v>
      </c>
      <c r="I248" s="9">
        <f t="shared" si="3"/>
        <v>0.10100000000000001</v>
      </c>
      <c r="J248" t="str">
        <f>_xlfn.XLOOKUP(E248,'Base SKUs'!E:E,'Base SKUs'!G:G)</f>
        <v>Ipe</v>
      </c>
      <c r="K248" t="str">
        <f>_xlfn.XLOOKUP(E248,'Base SKUs'!E:E,'Base SKUs'!H:H)</f>
        <v>S4S E4E</v>
      </c>
      <c r="L248" t="str">
        <f>_xlfn.XLOOKUP(E248,'Base SKUs'!E:E,'Base SKUs'!I:I)</f>
        <v>-</v>
      </c>
      <c r="M248" t="str">
        <f>_xlfn.XLOOKUP(E248,'Base SKUs'!E:E,'Base SKUs'!J:J)</f>
        <v>2x4</v>
      </c>
      <c r="N248">
        <f>_xlfn.XLOOKUP(E248,'Base SKUs'!E:E,'Base SKUs'!K:K)</f>
        <v>14</v>
      </c>
      <c r="O248" t="str">
        <f>_xlfn.XLOOKUP(E248,'Base SKUs'!E:E,'Base SKUs'!C:C)</f>
        <v>Long</v>
      </c>
      <c r="P248" t="s">
        <v>4932</v>
      </c>
    </row>
    <row r="249" spans="1:16" x14ac:dyDescent="0.25">
      <c r="A249" t="s">
        <v>4895</v>
      </c>
      <c r="B249" t="s">
        <v>4896</v>
      </c>
      <c r="C249" t="s">
        <v>4897</v>
      </c>
      <c r="D249" s="11">
        <v>9007</v>
      </c>
      <c r="E249" t="s">
        <v>16</v>
      </c>
      <c r="F249">
        <v>14</v>
      </c>
      <c r="G249" t="str">
        <f>_xlfn.XLOOKUP(E249,'Base SKUs'!E:E,'Base SKUs'!D:D)</f>
        <v>Hardwoods</v>
      </c>
      <c r="H249" s="10">
        <f>_xlfn.XLOOKUP(E249,'Base SKUs'!E:E,'Base SKUs'!S:S)</f>
        <v>1.2978554687999999E-2</v>
      </c>
      <c r="I249" s="9">
        <f t="shared" si="3"/>
        <v>0.182</v>
      </c>
      <c r="J249" t="str">
        <f>_xlfn.XLOOKUP(E249,'Base SKUs'!E:E,'Base SKUs'!G:G)</f>
        <v>Ipe</v>
      </c>
      <c r="K249" t="str">
        <f>_xlfn.XLOOKUP(E249,'Base SKUs'!E:E,'Base SKUs'!H:H)</f>
        <v>S4S E4E</v>
      </c>
      <c r="L249" t="str">
        <f>_xlfn.XLOOKUP(E249,'Base SKUs'!E:E,'Base SKUs'!I:I)</f>
        <v>-</v>
      </c>
      <c r="M249" t="str">
        <f>_xlfn.XLOOKUP(E249,'Base SKUs'!E:E,'Base SKUs'!J:J)</f>
        <v>2x6</v>
      </c>
      <c r="N249">
        <f>_xlfn.XLOOKUP(E249,'Base SKUs'!E:E,'Base SKUs'!K:K)</f>
        <v>8</v>
      </c>
      <c r="O249" t="str">
        <f>_xlfn.XLOOKUP(E249,'Base SKUs'!E:E,'Base SKUs'!C:C)</f>
        <v>Long</v>
      </c>
      <c r="P249" t="s">
        <v>4932</v>
      </c>
    </row>
    <row r="250" spans="1:16" x14ac:dyDescent="0.25">
      <c r="A250" t="s">
        <v>4895</v>
      </c>
      <c r="B250" t="s">
        <v>4896</v>
      </c>
      <c r="C250" t="s">
        <v>4897</v>
      </c>
      <c r="D250" s="11">
        <v>9007</v>
      </c>
      <c r="E250" t="s">
        <v>185</v>
      </c>
      <c r="F250">
        <v>14</v>
      </c>
      <c r="G250" t="str">
        <f>_xlfn.XLOOKUP(E250,'Base SKUs'!E:E,'Base SKUs'!D:D)</f>
        <v>Hardwoods</v>
      </c>
      <c r="H250" s="10">
        <f>_xlfn.XLOOKUP(E250,'Base SKUs'!E:E,'Base SKUs'!S:S)</f>
        <v>2.2712470703999999E-2</v>
      </c>
      <c r="I250" s="9">
        <f t="shared" si="3"/>
        <v>0.318</v>
      </c>
      <c r="J250" t="str">
        <f>_xlfn.XLOOKUP(E250,'Base SKUs'!E:E,'Base SKUs'!G:G)</f>
        <v>Ipe</v>
      </c>
      <c r="K250" t="str">
        <f>_xlfn.XLOOKUP(E250,'Base SKUs'!E:E,'Base SKUs'!H:H)</f>
        <v>S4S E4E</v>
      </c>
      <c r="L250" t="str">
        <f>_xlfn.XLOOKUP(E250,'Base SKUs'!E:E,'Base SKUs'!I:I)</f>
        <v>-</v>
      </c>
      <c r="M250" t="str">
        <f>_xlfn.XLOOKUP(E250,'Base SKUs'!E:E,'Base SKUs'!J:J)</f>
        <v>2x6</v>
      </c>
      <c r="N250">
        <f>_xlfn.XLOOKUP(E250,'Base SKUs'!E:E,'Base SKUs'!K:K)</f>
        <v>14</v>
      </c>
      <c r="O250" t="str">
        <f>_xlfn.XLOOKUP(E250,'Base SKUs'!E:E,'Base SKUs'!C:C)</f>
        <v>Long</v>
      </c>
      <c r="P250" t="s">
        <v>4932</v>
      </c>
    </row>
    <row r="251" spans="1:16" x14ac:dyDescent="0.25">
      <c r="A251" t="s">
        <v>4895</v>
      </c>
      <c r="B251" t="s">
        <v>4896</v>
      </c>
      <c r="C251" t="s">
        <v>4897</v>
      </c>
      <c r="D251" s="11">
        <v>9007</v>
      </c>
      <c r="E251" t="s">
        <v>104</v>
      </c>
      <c r="F251">
        <v>14</v>
      </c>
      <c r="G251" t="str">
        <f>_xlfn.XLOOKUP(E251,'Base SKUs'!E:E,'Base SKUs'!D:D)</f>
        <v>Hardwoods</v>
      </c>
      <c r="H251" s="10">
        <f>_xlfn.XLOOKUP(E251,'Base SKUs'!E:E,'Base SKUs'!S:S)</f>
        <v>2.9201748047999999E-2</v>
      </c>
      <c r="I251" s="9">
        <f t="shared" si="3"/>
        <v>0.40899999999999997</v>
      </c>
      <c r="J251" t="str">
        <f>_xlfn.XLOOKUP(E251,'Base SKUs'!E:E,'Base SKUs'!G:G)</f>
        <v>Ipe</v>
      </c>
      <c r="K251" t="str">
        <f>_xlfn.XLOOKUP(E251,'Base SKUs'!E:E,'Base SKUs'!H:H)</f>
        <v>S4S E4E</v>
      </c>
      <c r="L251" t="str">
        <f>_xlfn.XLOOKUP(E251,'Base SKUs'!E:E,'Base SKUs'!I:I)</f>
        <v>-</v>
      </c>
      <c r="M251" t="str">
        <f>_xlfn.XLOOKUP(E251,'Base SKUs'!E:E,'Base SKUs'!J:J)</f>
        <v>2x6</v>
      </c>
      <c r="N251">
        <f>_xlfn.XLOOKUP(E251,'Base SKUs'!E:E,'Base SKUs'!K:K)</f>
        <v>18</v>
      </c>
      <c r="O251" t="str">
        <f>_xlfn.XLOOKUP(E251,'Base SKUs'!E:E,'Base SKUs'!C:C)</f>
        <v>Long</v>
      </c>
      <c r="P251" t="s">
        <v>4932</v>
      </c>
    </row>
    <row r="252" spans="1:16" x14ac:dyDescent="0.25">
      <c r="A252" t="s">
        <v>4895</v>
      </c>
      <c r="B252" t="s">
        <v>4896</v>
      </c>
      <c r="C252" t="s">
        <v>4897</v>
      </c>
      <c r="D252" s="11">
        <v>9007</v>
      </c>
      <c r="E252" t="s">
        <v>187</v>
      </c>
      <c r="F252">
        <v>154</v>
      </c>
      <c r="G252" t="str">
        <f>_xlfn.XLOOKUP(E252,'Base SKUs'!E:E,'Base SKUs'!D:D)</f>
        <v>Thermowood</v>
      </c>
      <c r="H252" s="10">
        <f>_xlfn.XLOOKUP(E252,'Base SKUs'!E:E,'Base SKUs'!S:S)</f>
        <v>1.6614886125000002E-2</v>
      </c>
      <c r="I252" s="9">
        <f t="shared" si="3"/>
        <v>2.5590000000000002</v>
      </c>
      <c r="J252" t="str">
        <f>_xlfn.XLOOKUP(E252,'Base SKUs'!E:E,'Base SKUs'!G:G)</f>
        <v>Maximo Thermo Ayous JPL</v>
      </c>
      <c r="K252" t="str">
        <f>_xlfn.XLOOKUP(E252,'Base SKUs'!E:E,'Base SKUs'!H:H)</f>
        <v>S4S E4E</v>
      </c>
      <c r="L252" t="str">
        <f>_xlfn.XLOOKUP(E252,'Base SKUs'!E:E,'Base SKUs'!I:I)</f>
        <v>-</v>
      </c>
      <c r="M252" t="str">
        <f>_xlfn.XLOOKUP(E252,'Base SKUs'!E:E,'Base SKUs'!J:J)</f>
        <v>1x10</v>
      </c>
      <c r="N252">
        <f>_xlfn.XLOOKUP(E252,'Base SKUs'!E:E,'Base SKUs'!K:K)</f>
        <v>11</v>
      </c>
      <c r="O252" t="str">
        <f>_xlfn.XLOOKUP(E252,'Base SKUs'!E:E,'Base SKUs'!C:C)</f>
        <v>Long</v>
      </c>
      <c r="P252" t="s">
        <v>4932</v>
      </c>
    </row>
    <row r="253" spans="1:16" x14ac:dyDescent="0.25">
      <c r="A253" t="s">
        <v>4895</v>
      </c>
      <c r="B253" t="s">
        <v>4896</v>
      </c>
      <c r="C253" t="s">
        <v>4897</v>
      </c>
      <c r="D253" s="11">
        <v>9007</v>
      </c>
      <c r="E253" t="s">
        <v>188</v>
      </c>
      <c r="F253">
        <v>77</v>
      </c>
      <c r="G253" t="str">
        <f>_xlfn.XLOOKUP(E253,'Base SKUs'!E:E,'Base SKUs'!D:D)</f>
        <v>Thermowood</v>
      </c>
      <c r="H253" s="10">
        <f>_xlfn.XLOOKUP(E253,'Base SKUs'!E:E,'Base SKUs'!S:S)</f>
        <v>2.1177780224999995E-2</v>
      </c>
      <c r="I253" s="9">
        <f t="shared" si="3"/>
        <v>1.631</v>
      </c>
      <c r="J253" t="str">
        <f>_xlfn.XLOOKUP(E253,'Base SKUs'!E:E,'Base SKUs'!G:G)</f>
        <v>Maximo Thermo Ayous JPL</v>
      </c>
      <c r="K253" t="str">
        <f>_xlfn.XLOOKUP(E253,'Base SKUs'!E:E,'Base SKUs'!H:H)</f>
        <v>S4S E4E</v>
      </c>
      <c r="L253" t="str">
        <f>_xlfn.XLOOKUP(E253,'Base SKUs'!E:E,'Base SKUs'!I:I)</f>
        <v>-</v>
      </c>
      <c r="M253" t="str">
        <f>_xlfn.XLOOKUP(E253,'Base SKUs'!E:E,'Base SKUs'!J:J)</f>
        <v>1x10</v>
      </c>
      <c r="N253">
        <f>_xlfn.XLOOKUP(E253,'Base SKUs'!E:E,'Base SKUs'!K:K)</f>
        <v>14</v>
      </c>
      <c r="O253" t="str">
        <f>_xlfn.XLOOKUP(E253,'Base SKUs'!E:E,'Base SKUs'!C:C)</f>
        <v>Long</v>
      </c>
      <c r="P253" t="s">
        <v>4932</v>
      </c>
    </row>
    <row r="254" spans="1:16" x14ac:dyDescent="0.25">
      <c r="A254" t="s">
        <v>4898</v>
      </c>
      <c r="B254" t="s">
        <v>4839</v>
      </c>
      <c r="C254" t="s">
        <v>4840</v>
      </c>
      <c r="D254" s="11">
        <v>9007</v>
      </c>
      <c r="E254" t="s">
        <v>99</v>
      </c>
      <c r="F254">
        <v>112</v>
      </c>
      <c r="G254" t="str">
        <f>_xlfn.XLOOKUP(E254,'Base SKUs'!E:E,'Base SKUs'!D:D)</f>
        <v>Thermowood</v>
      </c>
      <c r="H254" s="10">
        <f>_xlfn.XLOOKUP(E254,'Base SKUs'!E:E,'Base SKUs'!S:S)</f>
        <v>8.7779999999999993E-3</v>
      </c>
      <c r="I254" s="9">
        <f t="shared" si="3"/>
        <v>0.98299999999999998</v>
      </c>
      <c r="J254" t="str">
        <f>_xlfn.XLOOKUP(E254,'Base SKUs'!E:E,'Base SKUs'!G:G)</f>
        <v>Maximo Thermo Ayous</v>
      </c>
      <c r="K254" t="str">
        <f>_xlfn.XLOOKUP(E254,'Base SKUs'!E:E,'Base SKUs'!H:H)</f>
        <v>VJoint - Square Back</v>
      </c>
      <c r="L254" t="str">
        <f>_xlfn.XLOOKUP(E254,'Base SKUs'!E:E,'Base SKUs'!I:I)</f>
        <v>-</v>
      </c>
      <c r="M254" t="str">
        <f>_xlfn.XLOOKUP(E254,'Base SKUs'!E:E,'Base SKUs'!J:J)</f>
        <v>1x6</v>
      </c>
      <c r="N254">
        <f>_xlfn.XLOOKUP(E254,'Base SKUs'!E:E,'Base SKUs'!K:K)</f>
        <v>11</v>
      </c>
      <c r="O254" t="str">
        <f>_xlfn.XLOOKUP(E254,'Base SKUs'!E:E,'Base SKUs'!C:C)</f>
        <v>Long</v>
      </c>
      <c r="P254" t="s">
        <v>4927</v>
      </c>
    </row>
    <row r="255" spans="1:16" x14ac:dyDescent="0.25">
      <c r="A255" t="s">
        <v>4898</v>
      </c>
      <c r="B255" t="s">
        <v>4839</v>
      </c>
      <c r="C255" t="s">
        <v>4840</v>
      </c>
      <c r="D255" s="11">
        <v>9007</v>
      </c>
      <c r="E255" t="s">
        <v>100</v>
      </c>
      <c r="F255">
        <v>24</v>
      </c>
      <c r="G255" t="str">
        <f>_xlfn.XLOOKUP(E255,'Base SKUs'!E:E,'Base SKUs'!D:D)</f>
        <v>Thermowood</v>
      </c>
      <c r="H255" s="10">
        <f>_xlfn.XLOOKUP(E255,'Base SKUs'!E:E,'Base SKUs'!S:S)</f>
        <v>1.1970000000000001E-2</v>
      </c>
      <c r="I255" s="9">
        <f t="shared" si="3"/>
        <v>0.28699999999999998</v>
      </c>
      <c r="J255" t="str">
        <f>_xlfn.XLOOKUP(E255,'Base SKUs'!E:E,'Base SKUs'!G:G)</f>
        <v>Maximo Thermo Ayous</v>
      </c>
      <c r="K255" t="str">
        <f>_xlfn.XLOOKUP(E255,'Base SKUs'!E:E,'Base SKUs'!H:H)</f>
        <v>VJoint - Square Back</v>
      </c>
      <c r="L255" t="str">
        <f>_xlfn.XLOOKUP(E255,'Base SKUs'!E:E,'Base SKUs'!I:I)</f>
        <v>-</v>
      </c>
      <c r="M255" t="str">
        <f>_xlfn.XLOOKUP(E255,'Base SKUs'!E:E,'Base SKUs'!J:J)</f>
        <v>1x6</v>
      </c>
      <c r="N255">
        <f>_xlfn.XLOOKUP(E255,'Base SKUs'!E:E,'Base SKUs'!K:K)</f>
        <v>15</v>
      </c>
      <c r="O255" t="str">
        <f>_xlfn.XLOOKUP(E255,'Base SKUs'!E:E,'Base SKUs'!C:C)</f>
        <v>Long</v>
      </c>
      <c r="P255" t="s">
        <v>4927</v>
      </c>
    </row>
    <row r="256" spans="1:16" x14ac:dyDescent="0.25">
      <c r="A256" t="s">
        <v>4898</v>
      </c>
      <c r="B256" t="s">
        <v>4839</v>
      </c>
      <c r="C256" t="s">
        <v>4840</v>
      </c>
      <c r="D256" s="11">
        <v>9007</v>
      </c>
      <c r="E256" t="s">
        <v>40</v>
      </c>
      <c r="F256">
        <v>10</v>
      </c>
      <c r="G256" t="str">
        <f>_xlfn.XLOOKUP(E256,'Base SKUs'!E:E,'Base SKUs'!D:D)</f>
        <v>Thermowood</v>
      </c>
      <c r="H256" s="10">
        <f>_xlfn.XLOOKUP(E256,'Base SKUs'!E:E,'Base SKUs'!S:S)</f>
        <v>3.192E-3</v>
      </c>
      <c r="I256" s="9">
        <f t="shared" si="3"/>
        <v>3.2000000000000001E-2</v>
      </c>
      <c r="J256" t="str">
        <f>_xlfn.XLOOKUP(E256,'Base SKUs'!E:E,'Base SKUs'!G:G)</f>
        <v>Maximo Thermo Ayous</v>
      </c>
      <c r="K256" t="str">
        <f>_xlfn.XLOOKUP(E256,'Base SKUs'!E:E,'Base SKUs'!H:H)</f>
        <v>VJoint - Square Back</v>
      </c>
      <c r="L256" t="str">
        <f>_xlfn.XLOOKUP(E256,'Base SKUs'!E:E,'Base SKUs'!I:I)</f>
        <v>-</v>
      </c>
      <c r="M256" t="str">
        <f>_xlfn.XLOOKUP(E256,'Base SKUs'!E:E,'Base SKUs'!J:J)</f>
        <v>1x6</v>
      </c>
      <c r="N256">
        <f>_xlfn.XLOOKUP(E256,'Base SKUs'!E:E,'Base SKUs'!K:K)</f>
        <v>4</v>
      </c>
      <c r="O256" t="str">
        <f>_xlfn.XLOOKUP(E256,'Base SKUs'!E:E,'Base SKUs'!C:C)</f>
        <v>Short</v>
      </c>
      <c r="P256" t="s">
        <v>4927</v>
      </c>
    </row>
    <row r="257" spans="1:16" x14ac:dyDescent="0.25">
      <c r="A257" t="s">
        <v>4898</v>
      </c>
      <c r="B257" t="s">
        <v>4839</v>
      </c>
      <c r="C257" t="s">
        <v>4840</v>
      </c>
      <c r="D257" s="11">
        <v>9007</v>
      </c>
      <c r="E257" t="s">
        <v>41</v>
      </c>
      <c r="F257">
        <v>14</v>
      </c>
      <c r="G257" t="str">
        <f>_xlfn.XLOOKUP(E257,'Base SKUs'!E:E,'Base SKUs'!D:D)</f>
        <v>Thermowood</v>
      </c>
      <c r="H257" s="10">
        <f>_xlfn.XLOOKUP(E257,'Base SKUs'!E:E,'Base SKUs'!S:S)</f>
        <v>4.7880000000000006E-3</v>
      </c>
      <c r="I257" s="9">
        <f t="shared" si="3"/>
        <v>6.7000000000000004E-2</v>
      </c>
      <c r="J257" t="str">
        <f>_xlfn.XLOOKUP(E257,'Base SKUs'!E:E,'Base SKUs'!G:G)</f>
        <v>Maximo Thermo Ayous</v>
      </c>
      <c r="K257" t="str">
        <f>_xlfn.XLOOKUP(E257,'Base SKUs'!E:E,'Base SKUs'!H:H)</f>
        <v>VJoint - Square Back</v>
      </c>
      <c r="L257" t="str">
        <f>_xlfn.XLOOKUP(E257,'Base SKUs'!E:E,'Base SKUs'!I:I)</f>
        <v>-</v>
      </c>
      <c r="M257" t="str">
        <f>_xlfn.XLOOKUP(E257,'Base SKUs'!E:E,'Base SKUs'!J:J)</f>
        <v>1x6</v>
      </c>
      <c r="N257">
        <f>_xlfn.XLOOKUP(E257,'Base SKUs'!E:E,'Base SKUs'!K:K)</f>
        <v>6</v>
      </c>
      <c r="O257" t="str">
        <f>_xlfn.XLOOKUP(E257,'Base SKUs'!E:E,'Base SKUs'!C:C)</f>
        <v>Short</v>
      </c>
      <c r="P257" t="s">
        <v>4927</v>
      </c>
    </row>
    <row r="258" spans="1:16" x14ac:dyDescent="0.25">
      <c r="A258" t="s">
        <v>4898</v>
      </c>
      <c r="B258" t="s">
        <v>4839</v>
      </c>
      <c r="C258" t="s">
        <v>4840</v>
      </c>
      <c r="D258" s="11">
        <v>9007</v>
      </c>
      <c r="E258" t="s">
        <v>31</v>
      </c>
      <c r="F258">
        <v>6</v>
      </c>
      <c r="G258" t="str">
        <f>_xlfn.XLOOKUP(E258,'Base SKUs'!E:E,'Base SKUs'!D:D)</f>
        <v>Thermowood</v>
      </c>
      <c r="H258" s="10">
        <f>_xlfn.XLOOKUP(E258,'Base SKUs'!E:E,'Base SKUs'!S:S)</f>
        <v>6.3839999999999999E-3</v>
      </c>
      <c r="I258" s="9">
        <f t="shared" ref="I258:I321" si="4">IF(OR(G258="Norx",K258="Tiles"),ROUND(F258,3),ROUND(F258*H258,3))</f>
        <v>3.7999999999999999E-2</v>
      </c>
      <c r="J258" t="str">
        <f>_xlfn.XLOOKUP(E258,'Base SKUs'!E:E,'Base SKUs'!G:G)</f>
        <v>Maximo Thermo Ayous</v>
      </c>
      <c r="K258" t="str">
        <f>_xlfn.XLOOKUP(E258,'Base SKUs'!E:E,'Base SKUs'!H:H)</f>
        <v>VJoint - Square Back</v>
      </c>
      <c r="L258" t="str">
        <f>_xlfn.XLOOKUP(E258,'Base SKUs'!E:E,'Base SKUs'!I:I)</f>
        <v>-</v>
      </c>
      <c r="M258" t="str">
        <f>_xlfn.XLOOKUP(E258,'Base SKUs'!E:E,'Base SKUs'!J:J)</f>
        <v>1x6</v>
      </c>
      <c r="N258">
        <f>_xlfn.XLOOKUP(E258,'Base SKUs'!E:E,'Base SKUs'!K:K)</f>
        <v>8</v>
      </c>
      <c r="O258" t="str">
        <f>_xlfn.XLOOKUP(E258,'Base SKUs'!E:E,'Base SKUs'!C:C)</f>
        <v>Long</v>
      </c>
      <c r="P258" t="s">
        <v>4927</v>
      </c>
    </row>
    <row r="259" spans="1:16" x14ac:dyDescent="0.25">
      <c r="A259" t="s">
        <v>4898</v>
      </c>
      <c r="B259" t="s">
        <v>4839</v>
      </c>
      <c r="C259" t="s">
        <v>4840</v>
      </c>
      <c r="D259" s="11">
        <v>9007</v>
      </c>
      <c r="E259" t="s">
        <v>33</v>
      </c>
      <c r="F259">
        <v>4</v>
      </c>
      <c r="G259" t="str">
        <f>_xlfn.XLOOKUP(E259,'Base SKUs'!E:E,'Base SKUs'!D:D)</f>
        <v>Thermowood</v>
      </c>
      <c r="H259" s="10">
        <f>_xlfn.XLOOKUP(E259,'Base SKUs'!E:E,'Base SKUs'!S:S)</f>
        <v>7.980000000000001E-3</v>
      </c>
      <c r="I259" s="9">
        <f t="shared" si="4"/>
        <v>3.2000000000000001E-2</v>
      </c>
      <c r="J259" t="str">
        <f>_xlfn.XLOOKUP(E259,'Base SKUs'!E:E,'Base SKUs'!G:G)</f>
        <v>Maximo Thermo Ayous</v>
      </c>
      <c r="K259" t="str">
        <f>_xlfn.XLOOKUP(E259,'Base SKUs'!E:E,'Base SKUs'!H:H)</f>
        <v>VJoint - Square Back</v>
      </c>
      <c r="L259" t="str">
        <f>_xlfn.XLOOKUP(E259,'Base SKUs'!E:E,'Base SKUs'!I:I)</f>
        <v>-</v>
      </c>
      <c r="M259" t="str">
        <f>_xlfn.XLOOKUP(E259,'Base SKUs'!E:E,'Base SKUs'!J:J)</f>
        <v>1x6</v>
      </c>
      <c r="N259">
        <f>_xlfn.XLOOKUP(E259,'Base SKUs'!E:E,'Base SKUs'!K:K)</f>
        <v>10</v>
      </c>
      <c r="O259" t="str">
        <f>_xlfn.XLOOKUP(E259,'Base SKUs'!E:E,'Base SKUs'!C:C)</f>
        <v>Long</v>
      </c>
      <c r="P259" t="s">
        <v>4927</v>
      </c>
    </row>
    <row r="260" spans="1:16" x14ac:dyDescent="0.25">
      <c r="A260" t="s">
        <v>4898</v>
      </c>
      <c r="B260" t="s">
        <v>4839</v>
      </c>
      <c r="C260" t="s">
        <v>4840</v>
      </c>
      <c r="D260" s="11">
        <v>9007</v>
      </c>
      <c r="E260" t="s">
        <v>191</v>
      </c>
      <c r="F260">
        <v>1</v>
      </c>
      <c r="G260" t="str">
        <f>_xlfn.XLOOKUP(E260,'Base SKUs'!E:E,'Base SKUs'!D:D)</f>
        <v>Thermowood</v>
      </c>
      <c r="H260" s="10">
        <f>_xlfn.XLOOKUP(E260,'Base SKUs'!E:E,'Base SKUs'!S:S)</f>
        <v>1.0374000000000001E-2</v>
      </c>
      <c r="I260" s="9">
        <f t="shared" si="4"/>
        <v>0.01</v>
      </c>
      <c r="J260" t="str">
        <f>_xlfn.XLOOKUP(E260,'Base SKUs'!E:E,'Base SKUs'!G:G)</f>
        <v>Maximo Thermo Ayous</v>
      </c>
      <c r="K260" t="str">
        <f>_xlfn.XLOOKUP(E260,'Base SKUs'!E:E,'Base SKUs'!H:H)</f>
        <v>VJoint - Square Back</v>
      </c>
      <c r="L260" t="str">
        <f>_xlfn.XLOOKUP(E260,'Base SKUs'!E:E,'Base SKUs'!I:I)</f>
        <v>-</v>
      </c>
      <c r="M260" t="str">
        <f>_xlfn.XLOOKUP(E260,'Base SKUs'!E:E,'Base SKUs'!J:J)</f>
        <v>1x6</v>
      </c>
      <c r="N260">
        <f>_xlfn.XLOOKUP(E260,'Base SKUs'!E:E,'Base SKUs'!K:K)</f>
        <v>13</v>
      </c>
      <c r="O260" t="str">
        <f>_xlfn.XLOOKUP(E260,'Base SKUs'!E:E,'Base SKUs'!C:C)</f>
        <v>Long</v>
      </c>
      <c r="P260" t="s">
        <v>4927</v>
      </c>
    </row>
    <row r="261" spans="1:16" x14ac:dyDescent="0.25">
      <c r="A261" t="s">
        <v>4898</v>
      </c>
      <c r="B261" t="s">
        <v>4839</v>
      </c>
      <c r="C261" t="s">
        <v>4840</v>
      </c>
      <c r="D261" s="11">
        <v>9007</v>
      </c>
      <c r="E261" t="s">
        <v>42</v>
      </c>
      <c r="F261">
        <v>7</v>
      </c>
      <c r="G261" t="str">
        <f>_xlfn.XLOOKUP(E261,'Base SKUs'!E:E,'Base SKUs'!D:D)</f>
        <v>Thermowood</v>
      </c>
      <c r="H261" s="10">
        <f>_xlfn.XLOOKUP(E261,'Base SKUs'!E:E,'Base SKUs'!S:S)</f>
        <v>1.2768E-2</v>
      </c>
      <c r="I261" s="9">
        <f t="shared" si="4"/>
        <v>8.8999999999999996E-2</v>
      </c>
      <c r="J261" t="str">
        <f>_xlfn.XLOOKUP(E261,'Base SKUs'!E:E,'Base SKUs'!G:G)</f>
        <v>Maximo Thermo Ayous</v>
      </c>
      <c r="K261" t="str">
        <f>_xlfn.XLOOKUP(E261,'Base SKUs'!E:E,'Base SKUs'!H:H)</f>
        <v>VJoint - Square Back</v>
      </c>
      <c r="L261" t="str">
        <f>_xlfn.XLOOKUP(E261,'Base SKUs'!E:E,'Base SKUs'!I:I)</f>
        <v>-</v>
      </c>
      <c r="M261" t="str">
        <f>_xlfn.XLOOKUP(E261,'Base SKUs'!E:E,'Base SKUs'!J:J)</f>
        <v>1x6</v>
      </c>
      <c r="N261">
        <f>_xlfn.XLOOKUP(E261,'Base SKUs'!E:E,'Base SKUs'!K:K)</f>
        <v>16</v>
      </c>
      <c r="O261" t="str">
        <f>_xlfn.XLOOKUP(E261,'Base SKUs'!E:E,'Base SKUs'!C:C)</f>
        <v>Long</v>
      </c>
      <c r="P261" t="s">
        <v>4927</v>
      </c>
    </row>
    <row r="262" spans="1:16" x14ac:dyDescent="0.25">
      <c r="A262" t="s">
        <v>4898</v>
      </c>
      <c r="B262" t="s">
        <v>4839</v>
      </c>
      <c r="C262" t="s">
        <v>4840</v>
      </c>
      <c r="D262" s="11">
        <v>9007</v>
      </c>
      <c r="E262" t="s">
        <v>101</v>
      </c>
      <c r="F262">
        <v>3</v>
      </c>
      <c r="G262" t="str">
        <f>_xlfn.XLOOKUP(E262,'Base SKUs'!E:E,'Base SKUs'!D:D)</f>
        <v>Thermowood</v>
      </c>
      <c r="H262" s="10">
        <f>_xlfn.XLOOKUP(E262,'Base SKUs'!E:E,'Base SKUs'!S:S)</f>
        <v>1.3565999999999998E-2</v>
      </c>
      <c r="I262" s="9">
        <f t="shared" si="4"/>
        <v>4.1000000000000002E-2</v>
      </c>
      <c r="J262" t="str">
        <f>_xlfn.XLOOKUP(E262,'Base SKUs'!E:E,'Base SKUs'!G:G)</f>
        <v>Maximo Thermo Ayous</v>
      </c>
      <c r="K262" t="str">
        <f>_xlfn.XLOOKUP(E262,'Base SKUs'!E:E,'Base SKUs'!H:H)</f>
        <v>VJoint - Square Back</v>
      </c>
      <c r="L262" t="str">
        <f>_xlfn.XLOOKUP(E262,'Base SKUs'!E:E,'Base SKUs'!I:I)</f>
        <v>-</v>
      </c>
      <c r="M262" t="str">
        <f>_xlfn.XLOOKUP(E262,'Base SKUs'!E:E,'Base SKUs'!J:J)</f>
        <v>1x6</v>
      </c>
      <c r="N262">
        <f>_xlfn.XLOOKUP(E262,'Base SKUs'!E:E,'Base SKUs'!K:K)</f>
        <v>17</v>
      </c>
      <c r="O262" t="str">
        <f>_xlfn.XLOOKUP(E262,'Base SKUs'!E:E,'Base SKUs'!C:C)</f>
        <v>Long</v>
      </c>
      <c r="P262" t="s">
        <v>4927</v>
      </c>
    </row>
    <row r="263" spans="1:16" x14ac:dyDescent="0.25">
      <c r="A263" t="s">
        <v>4898</v>
      </c>
      <c r="B263" t="s">
        <v>4839</v>
      </c>
      <c r="C263" t="s">
        <v>4840</v>
      </c>
      <c r="D263" s="11">
        <v>9007</v>
      </c>
      <c r="E263" t="s">
        <v>192</v>
      </c>
      <c r="F263">
        <v>7</v>
      </c>
      <c r="G263" t="str">
        <f>_xlfn.XLOOKUP(E263,'Base SKUs'!E:E,'Base SKUs'!D:D)</f>
        <v>Thermowood</v>
      </c>
      <c r="H263" s="10">
        <f>_xlfn.XLOOKUP(E263,'Base SKUs'!E:E,'Base SKUs'!S:S)</f>
        <v>1.4364E-2</v>
      </c>
      <c r="I263" s="9">
        <f t="shared" si="4"/>
        <v>0.10100000000000001</v>
      </c>
      <c r="J263" t="str">
        <f>_xlfn.XLOOKUP(E263,'Base SKUs'!E:E,'Base SKUs'!G:G)</f>
        <v>Maximo Thermo Ayous</v>
      </c>
      <c r="K263" t="str">
        <f>_xlfn.XLOOKUP(E263,'Base SKUs'!E:E,'Base SKUs'!H:H)</f>
        <v>VJoint - Square Back</v>
      </c>
      <c r="L263" t="str">
        <f>_xlfn.XLOOKUP(E263,'Base SKUs'!E:E,'Base SKUs'!I:I)</f>
        <v>-</v>
      </c>
      <c r="M263" t="str">
        <f>_xlfn.XLOOKUP(E263,'Base SKUs'!E:E,'Base SKUs'!J:J)</f>
        <v>1x6</v>
      </c>
      <c r="N263">
        <f>_xlfn.XLOOKUP(E263,'Base SKUs'!E:E,'Base SKUs'!K:K)</f>
        <v>18</v>
      </c>
      <c r="O263" t="str">
        <f>_xlfn.XLOOKUP(E263,'Base SKUs'!E:E,'Base SKUs'!C:C)</f>
        <v>Long</v>
      </c>
      <c r="P263" t="s">
        <v>4927</v>
      </c>
    </row>
    <row r="264" spans="1:16" x14ac:dyDescent="0.25">
      <c r="A264" t="s">
        <v>4899</v>
      </c>
      <c r="B264" t="s">
        <v>4839</v>
      </c>
      <c r="C264" t="s">
        <v>4840</v>
      </c>
      <c r="D264" s="11">
        <v>9007</v>
      </c>
      <c r="E264" t="s">
        <v>14</v>
      </c>
      <c r="F264">
        <v>105</v>
      </c>
      <c r="G264" t="str">
        <f>_xlfn.XLOOKUP(E264,'Base SKUs'!E:E,'Base SKUs'!D:D)</f>
        <v>Thermowood</v>
      </c>
      <c r="H264" s="10">
        <f>_xlfn.XLOOKUP(E264,'Base SKUs'!E:E,'Base SKUs'!S:S)</f>
        <v>6.3839999999999999E-3</v>
      </c>
      <c r="I264" s="9">
        <f t="shared" si="4"/>
        <v>0.67</v>
      </c>
      <c r="J264" t="str">
        <f>_xlfn.XLOOKUP(E264,'Base SKUs'!E:E,'Base SKUs'!G:G)</f>
        <v>Maximo Thermo Ayous</v>
      </c>
      <c r="K264" t="str">
        <f>_xlfn.XLOOKUP(E264,'Base SKUs'!E:E,'Base SKUs'!H:H)</f>
        <v>VJoint - Nickel Gap</v>
      </c>
      <c r="L264" t="str">
        <f>_xlfn.XLOOKUP(E264,'Base SKUs'!E:E,'Base SKUs'!I:I)</f>
        <v>-</v>
      </c>
      <c r="M264" t="str">
        <f>_xlfn.XLOOKUP(E264,'Base SKUs'!E:E,'Base SKUs'!J:J)</f>
        <v>1x6</v>
      </c>
      <c r="N264">
        <f>_xlfn.XLOOKUP(E264,'Base SKUs'!E:E,'Base SKUs'!K:K)</f>
        <v>8</v>
      </c>
      <c r="O264" t="str">
        <f>_xlfn.XLOOKUP(E264,'Base SKUs'!E:E,'Base SKUs'!C:C)</f>
        <v>Long</v>
      </c>
      <c r="P264" t="s">
        <v>4927</v>
      </c>
    </row>
    <row r="265" spans="1:16" x14ac:dyDescent="0.25">
      <c r="A265" t="s">
        <v>4900</v>
      </c>
      <c r="B265" t="s">
        <v>4839</v>
      </c>
      <c r="C265" t="s">
        <v>4840</v>
      </c>
      <c r="D265" s="11">
        <v>9007</v>
      </c>
      <c r="E265" t="s">
        <v>95</v>
      </c>
      <c r="F265">
        <v>3</v>
      </c>
      <c r="G265" t="str">
        <f>_xlfn.XLOOKUP(E265,'Base SKUs'!E:E,'Base SKUs'!D:D)</f>
        <v>Thermowood</v>
      </c>
      <c r="H265" s="10">
        <f>_xlfn.XLOOKUP(E265,'Base SKUs'!E:E,'Base SKUs'!S:S)</f>
        <v>3.192E-3</v>
      </c>
      <c r="I265" s="9">
        <f t="shared" si="4"/>
        <v>0.01</v>
      </c>
      <c r="J265" t="str">
        <f>_xlfn.XLOOKUP(E265,'Base SKUs'!E:E,'Base SKUs'!G:G)</f>
        <v>Maximo Thermo Ayous</v>
      </c>
      <c r="K265" t="str">
        <f>_xlfn.XLOOKUP(E265,'Base SKUs'!E:E,'Base SKUs'!H:H)</f>
        <v>VJoint - Nickel Gap</v>
      </c>
      <c r="L265" t="str">
        <f>_xlfn.XLOOKUP(E265,'Base SKUs'!E:E,'Base SKUs'!I:I)</f>
        <v>-</v>
      </c>
      <c r="M265" t="str">
        <f>_xlfn.XLOOKUP(E265,'Base SKUs'!E:E,'Base SKUs'!J:J)</f>
        <v>1x6</v>
      </c>
      <c r="N265">
        <f>_xlfn.XLOOKUP(E265,'Base SKUs'!E:E,'Base SKUs'!K:K)</f>
        <v>4</v>
      </c>
      <c r="O265" t="str">
        <f>_xlfn.XLOOKUP(E265,'Base SKUs'!E:E,'Base SKUs'!C:C)</f>
        <v>Short</v>
      </c>
      <c r="P265" t="s">
        <v>4927</v>
      </c>
    </row>
    <row r="266" spans="1:16" x14ac:dyDescent="0.25">
      <c r="A266" t="s">
        <v>4900</v>
      </c>
      <c r="B266" t="s">
        <v>4839</v>
      </c>
      <c r="C266" t="s">
        <v>4840</v>
      </c>
      <c r="D266" s="11">
        <v>9007</v>
      </c>
      <c r="E266" t="s">
        <v>155</v>
      </c>
      <c r="F266">
        <v>66</v>
      </c>
      <c r="G266" t="str">
        <f>_xlfn.XLOOKUP(E266,'Base SKUs'!E:E,'Base SKUs'!D:D)</f>
        <v>Thermowood</v>
      </c>
      <c r="H266" s="10">
        <f>_xlfn.XLOOKUP(E266,'Base SKUs'!E:E,'Base SKUs'!S:S)</f>
        <v>3.9900000000000005E-3</v>
      </c>
      <c r="I266" s="9">
        <f t="shared" si="4"/>
        <v>0.26300000000000001</v>
      </c>
      <c r="J266" t="str">
        <f>_xlfn.XLOOKUP(E266,'Base SKUs'!E:E,'Base SKUs'!G:G)</f>
        <v>Maximo Thermo Ayous</v>
      </c>
      <c r="K266" t="str">
        <f>_xlfn.XLOOKUP(E266,'Base SKUs'!E:E,'Base SKUs'!H:H)</f>
        <v>VJoint - Nickel Gap</v>
      </c>
      <c r="L266" t="str">
        <f>_xlfn.XLOOKUP(E266,'Base SKUs'!E:E,'Base SKUs'!I:I)</f>
        <v>-</v>
      </c>
      <c r="M266" t="str">
        <f>_xlfn.XLOOKUP(E266,'Base SKUs'!E:E,'Base SKUs'!J:J)</f>
        <v>1x6</v>
      </c>
      <c r="N266">
        <f>_xlfn.XLOOKUP(E266,'Base SKUs'!E:E,'Base SKUs'!K:K)</f>
        <v>5</v>
      </c>
      <c r="O266" t="str">
        <f>_xlfn.XLOOKUP(E266,'Base SKUs'!E:E,'Base SKUs'!C:C)</f>
        <v>Short</v>
      </c>
      <c r="P266" t="s">
        <v>4927</v>
      </c>
    </row>
    <row r="267" spans="1:16" x14ac:dyDescent="0.25">
      <c r="A267" t="s">
        <v>4900</v>
      </c>
      <c r="B267" t="s">
        <v>4839</v>
      </c>
      <c r="C267" t="s">
        <v>4840</v>
      </c>
      <c r="D267" s="11">
        <v>9007</v>
      </c>
      <c r="E267" t="s">
        <v>97</v>
      </c>
      <c r="F267">
        <v>14</v>
      </c>
      <c r="G267" t="str">
        <f>_xlfn.XLOOKUP(E267,'Base SKUs'!E:E,'Base SKUs'!D:D)</f>
        <v>Thermowood</v>
      </c>
      <c r="H267" s="10">
        <f>_xlfn.XLOOKUP(E267,'Base SKUs'!E:E,'Base SKUs'!S:S)</f>
        <v>5.5859999999999998E-3</v>
      </c>
      <c r="I267" s="9">
        <f t="shared" si="4"/>
        <v>7.8E-2</v>
      </c>
      <c r="J267" t="str">
        <f>_xlfn.XLOOKUP(E267,'Base SKUs'!E:E,'Base SKUs'!G:G)</f>
        <v>Maximo Thermo Ayous</v>
      </c>
      <c r="K267" t="str">
        <f>_xlfn.XLOOKUP(E267,'Base SKUs'!E:E,'Base SKUs'!H:H)</f>
        <v>VJoint - Nickel Gap</v>
      </c>
      <c r="L267" t="str">
        <f>_xlfn.XLOOKUP(E267,'Base SKUs'!E:E,'Base SKUs'!I:I)</f>
        <v>-</v>
      </c>
      <c r="M267" t="str">
        <f>_xlfn.XLOOKUP(E267,'Base SKUs'!E:E,'Base SKUs'!J:J)</f>
        <v>1x6</v>
      </c>
      <c r="N267">
        <f>_xlfn.XLOOKUP(E267,'Base SKUs'!E:E,'Base SKUs'!K:K)</f>
        <v>7</v>
      </c>
      <c r="O267" t="str">
        <f>_xlfn.XLOOKUP(E267,'Base SKUs'!E:E,'Base SKUs'!C:C)</f>
        <v>Short</v>
      </c>
      <c r="P267" t="s">
        <v>4927</v>
      </c>
    </row>
    <row r="268" spans="1:16" x14ac:dyDescent="0.25">
      <c r="A268" t="s">
        <v>4900</v>
      </c>
      <c r="B268" t="s">
        <v>4839</v>
      </c>
      <c r="C268" t="s">
        <v>4840</v>
      </c>
      <c r="D268" s="11">
        <v>9007</v>
      </c>
      <c r="E268" t="s">
        <v>14</v>
      </c>
      <c r="F268">
        <v>104</v>
      </c>
      <c r="G268" t="str">
        <f>_xlfn.XLOOKUP(E268,'Base SKUs'!E:E,'Base SKUs'!D:D)</f>
        <v>Thermowood</v>
      </c>
      <c r="H268" s="10">
        <f>_xlfn.XLOOKUP(E268,'Base SKUs'!E:E,'Base SKUs'!S:S)</f>
        <v>6.3839999999999999E-3</v>
      </c>
      <c r="I268" s="9">
        <f t="shared" si="4"/>
        <v>0.66400000000000003</v>
      </c>
      <c r="J268" t="str">
        <f>_xlfn.XLOOKUP(E268,'Base SKUs'!E:E,'Base SKUs'!G:G)</f>
        <v>Maximo Thermo Ayous</v>
      </c>
      <c r="K268" t="str">
        <f>_xlfn.XLOOKUP(E268,'Base SKUs'!E:E,'Base SKUs'!H:H)</f>
        <v>VJoint - Nickel Gap</v>
      </c>
      <c r="L268" t="str">
        <f>_xlfn.XLOOKUP(E268,'Base SKUs'!E:E,'Base SKUs'!I:I)</f>
        <v>-</v>
      </c>
      <c r="M268" t="str">
        <f>_xlfn.XLOOKUP(E268,'Base SKUs'!E:E,'Base SKUs'!J:J)</f>
        <v>1x6</v>
      </c>
      <c r="N268">
        <f>_xlfn.XLOOKUP(E268,'Base SKUs'!E:E,'Base SKUs'!K:K)</f>
        <v>8</v>
      </c>
      <c r="O268" t="str">
        <f>_xlfn.XLOOKUP(E268,'Base SKUs'!E:E,'Base SKUs'!C:C)</f>
        <v>Long</v>
      </c>
      <c r="P268" t="s">
        <v>4927</v>
      </c>
    </row>
    <row r="269" spans="1:16" x14ac:dyDescent="0.25">
      <c r="A269" t="s">
        <v>4900</v>
      </c>
      <c r="B269" t="s">
        <v>4839</v>
      </c>
      <c r="C269" t="s">
        <v>4840</v>
      </c>
      <c r="D269" s="11">
        <v>9007</v>
      </c>
      <c r="E269" t="s">
        <v>49</v>
      </c>
      <c r="F269">
        <v>3</v>
      </c>
      <c r="G269" t="str">
        <f>_xlfn.XLOOKUP(E269,'Base SKUs'!E:E,'Base SKUs'!D:D)</f>
        <v>Thermowood</v>
      </c>
      <c r="H269" s="10">
        <f>_xlfn.XLOOKUP(E269,'Base SKUs'!E:E,'Base SKUs'!S:S)</f>
        <v>7.980000000000001E-3</v>
      </c>
      <c r="I269" s="9">
        <f t="shared" si="4"/>
        <v>2.4E-2</v>
      </c>
      <c r="J269" t="str">
        <f>_xlfn.XLOOKUP(E269,'Base SKUs'!E:E,'Base SKUs'!G:G)</f>
        <v>Maximo Thermo Ayous</v>
      </c>
      <c r="K269" t="str">
        <f>_xlfn.XLOOKUP(E269,'Base SKUs'!E:E,'Base SKUs'!H:H)</f>
        <v>VJoint - Nickel Gap</v>
      </c>
      <c r="L269" t="str">
        <f>_xlfn.XLOOKUP(E269,'Base SKUs'!E:E,'Base SKUs'!I:I)</f>
        <v>-</v>
      </c>
      <c r="M269" t="str">
        <f>_xlfn.XLOOKUP(E269,'Base SKUs'!E:E,'Base SKUs'!J:J)</f>
        <v>1x6</v>
      </c>
      <c r="N269">
        <f>_xlfn.XLOOKUP(E269,'Base SKUs'!E:E,'Base SKUs'!K:K)</f>
        <v>10</v>
      </c>
      <c r="O269" t="str">
        <f>_xlfn.XLOOKUP(E269,'Base SKUs'!E:E,'Base SKUs'!C:C)</f>
        <v>Long</v>
      </c>
      <c r="P269" t="s">
        <v>4927</v>
      </c>
    </row>
    <row r="270" spans="1:16" x14ac:dyDescent="0.25">
      <c r="A270" t="s">
        <v>4900</v>
      </c>
      <c r="B270" t="s">
        <v>4839</v>
      </c>
      <c r="C270" t="s">
        <v>4840</v>
      </c>
      <c r="D270" s="11">
        <v>9007</v>
      </c>
      <c r="E270" t="s">
        <v>50</v>
      </c>
      <c r="F270">
        <v>7</v>
      </c>
      <c r="G270" t="str">
        <f>_xlfn.XLOOKUP(E270,'Base SKUs'!E:E,'Base SKUs'!D:D)</f>
        <v>Thermowood</v>
      </c>
      <c r="H270" s="10">
        <f>_xlfn.XLOOKUP(E270,'Base SKUs'!E:E,'Base SKUs'!S:S)</f>
        <v>8.7779999999999993E-3</v>
      </c>
      <c r="I270" s="9">
        <f t="shared" si="4"/>
        <v>6.0999999999999999E-2</v>
      </c>
      <c r="J270" t="str">
        <f>_xlfn.XLOOKUP(E270,'Base SKUs'!E:E,'Base SKUs'!G:G)</f>
        <v>Maximo Thermo Ayous</v>
      </c>
      <c r="K270" t="str">
        <f>_xlfn.XLOOKUP(E270,'Base SKUs'!E:E,'Base SKUs'!H:H)</f>
        <v>VJoint - Nickel Gap</v>
      </c>
      <c r="L270" t="str">
        <f>_xlfn.XLOOKUP(E270,'Base SKUs'!E:E,'Base SKUs'!I:I)</f>
        <v>-</v>
      </c>
      <c r="M270" t="str">
        <f>_xlfn.XLOOKUP(E270,'Base SKUs'!E:E,'Base SKUs'!J:J)</f>
        <v>1x6</v>
      </c>
      <c r="N270">
        <f>_xlfn.XLOOKUP(E270,'Base SKUs'!E:E,'Base SKUs'!K:K)</f>
        <v>11</v>
      </c>
      <c r="O270" t="str">
        <f>_xlfn.XLOOKUP(E270,'Base SKUs'!E:E,'Base SKUs'!C:C)</f>
        <v>Long</v>
      </c>
      <c r="P270" t="s">
        <v>4927</v>
      </c>
    </row>
    <row r="271" spans="1:16" x14ac:dyDescent="0.25">
      <c r="A271" t="s">
        <v>4900</v>
      </c>
      <c r="B271" t="s">
        <v>4839</v>
      </c>
      <c r="C271" t="s">
        <v>4840</v>
      </c>
      <c r="D271" s="11">
        <v>9007</v>
      </c>
      <c r="E271" t="s">
        <v>122</v>
      </c>
      <c r="F271">
        <v>35</v>
      </c>
      <c r="G271" t="str">
        <f>_xlfn.XLOOKUP(E271,'Base SKUs'!E:E,'Base SKUs'!D:D)</f>
        <v>Thermowood</v>
      </c>
      <c r="H271" s="10">
        <f>_xlfn.XLOOKUP(E271,'Base SKUs'!E:E,'Base SKUs'!S:S)</f>
        <v>1.0374000000000001E-2</v>
      </c>
      <c r="I271" s="9">
        <f t="shared" si="4"/>
        <v>0.36299999999999999</v>
      </c>
      <c r="J271" t="str">
        <f>_xlfn.XLOOKUP(E271,'Base SKUs'!E:E,'Base SKUs'!G:G)</f>
        <v>Maximo Thermo Ayous</v>
      </c>
      <c r="K271" t="str">
        <f>_xlfn.XLOOKUP(E271,'Base SKUs'!E:E,'Base SKUs'!H:H)</f>
        <v>VJoint - Nickel Gap</v>
      </c>
      <c r="L271" t="str">
        <f>_xlfn.XLOOKUP(E271,'Base SKUs'!E:E,'Base SKUs'!I:I)</f>
        <v>-</v>
      </c>
      <c r="M271" t="str">
        <f>_xlfn.XLOOKUP(E271,'Base SKUs'!E:E,'Base SKUs'!J:J)</f>
        <v>1x6</v>
      </c>
      <c r="N271">
        <f>_xlfn.XLOOKUP(E271,'Base SKUs'!E:E,'Base SKUs'!K:K)</f>
        <v>13</v>
      </c>
      <c r="O271" t="str">
        <f>_xlfn.XLOOKUP(E271,'Base SKUs'!E:E,'Base SKUs'!C:C)</f>
        <v>Long</v>
      </c>
      <c r="P271" t="s">
        <v>4927</v>
      </c>
    </row>
    <row r="272" spans="1:16" x14ac:dyDescent="0.25">
      <c r="A272" t="s">
        <v>4900</v>
      </c>
      <c r="B272" t="s">
        <v>4839</v>
      </c>
      <c r="C272" t="s">
        <v>4840</v>
      </c>
      <c r="D272" s="11">
        <v>9007</v>
      </c>
      <c r="E272" t="s">
        <v>15</v>
      </c>
      <c r="F272">
        <v>1</v>
      </c>
      <c r="G272" t="str">
        <f>_xlfn.XLOOKUP(E272,'Base SKUs'!E:E,'Base SKUs'!D:D)</f>
        <v>Thermowood</v>
      </c>
      <c r="H272" s="10">
        <f>_xlfn.XLOOKUP(E272,'Base SKUs'!E:E,'Base SKUs'!S:S)</f>
        <v>1.2768E-2</v>
      </c>
      <c r="I272" s="9">
        <f t="shared" si="4"/>
        <v>1.2999999999999999E-2</v>
      </c>
      <c r="J272" t="str">
        <f>_xlfn.XLOOKUP(E272,'Base SKUs'!E:E,'Base SKUs'!G:G)</f>
        <v>Maximo Thermo Ayous</v>
      </c>
      <c r="K272" t="str">
        <f>_xlfn.XLOOKUP(E272,'Base SKUs'!E:E,'Base SKUs'!H:H)</f>
        <v>VJoint - Nickel Gap</v>
      </c>
      <c r="L272" t="str">
        <f>_xlfn.XLOOKUP(E272,'Base SKUs'!E:E,'Base SKUs'!I:I)</f>
        <v>-</v>
      </c>
      <c r="M272" t="str">
        <f>_xlfn.XLOOKUP(E272,'Base SKUs'!E:E,'Base SKUs'!J:J)</f>
        <v>1x6</v>
      </c>
      <c r="N272">
        <f>_xlfn.XLOOKUP(E272,'Base SKUs'!E:E,'Base SKUs'!K:K)</f>
        <v>16</v>
      </c>
      <c r="O272" t="str">
        <f>_xlfn.XLOOKUP(E272,'Base SKUs'!E:E,'Base SKUs'!C:C)</f>
        <v>Long</v>
      </c>
      <c r="P272" t="s">
        <v>4927</v>
      </c>
    </row>
    <row r="273" spans="1:16" x14ac:dyDescent="0.25">
      <c r="A273" t="s">
        <v>4901</v>
      </c>
      <c r="B273" t="s">
        <v>4844</v>
      </c>
      <c r="C273" t="s">
        <v>4845</v>
      </c>
      <c r="D273" s="11">
        <v>9007</v>
      </c>
      <c r="E273" t="s">
        <v>177</v>
      </c>
      <c r="F273">
        <v>177</v>
      </c>
      <c r="G273" t="str">
        <f>_xlfn.XLOOKUP(E273,'Base SKUs'!E:E,'Base SKUs'!D:D)</f>
        <v>Thermowood</v>
      </c>
      <c r="H273" s="10">
        <f>_xlfn.XLOOKUP(E273,'Base SKUs'!E:E,'Base SKUs'!S:S)</f>
        <v>3.192E-3</v>
      </c>
      <c r="I273" s="9">
        <f t="shared" si="4"/>
        <v>0.56499999999999995</v>
      </c>
      <c r="J273" t="str">
        <f>_xlfn.XLOOKUP(E273,'Base SKUs'!E:E,'Base SKUs'!G:G)</f>
        <v>Maximo Thermo Ayous</v>
      </c>
      <c r="K273" t="str">
        <f>_xlfn.XLOOKUP(E273,'Base SKUs'!E:E,'Base SKUs'!H:H)</f>
        <v>S4S E4E</v>
      </c>
      <c r="L273" t="str">
        <f>_xlfn.XLOOKUP(E273,'Base SKUs'!E:E,'Base SKUs'!I:I)</f>
        <v>-</v>
      </c>
      <c r="M273" t="str">
        <f>_xlfn.XLOOKUP(E273,'Base SKUs'!E:E,'Base SKUs'!J:J)</f>
        <v>1x6</v>
      </c>
      <c r="N273">
        <f>_xlfn.XLOOKUP(E273,'Base SKUs'!E:E,'Base SKUs'!K:K)</f>
        <v>4</v>
      </c>
      <c r="O273" t="str">
        <f>_xlfn.XLOOKUP(E273,'Base SKUs'!E:E,'Base SKUs'!C:C)</f>
        <v>Short</v>
      </c>
      <c r="P273" t="s">
        <v>4932</v>
      </c>
    </row>
    <row r="274" spans="1:16" x14ac:dyDescent="0.25">
      <c r="A274" t="s">
        <v>4901</v>
      </c>
      <c r="B274" t="s">
        <v>4844</v>
      </c>
      <c r="C274" t="s">
        <v>4845</v>
      </c>
      <c r="D274" s="11">
        <v>9007</v>
      </c>
      <c r="E274" t="s">
        <v>157</v>
      </c>
      <c r="F274">
        <v>66</v>
      </c>
      <c r="G274" t="str">
        <f>_xlfn.XLOOKUP(E274,'Base SKUs'!E:E,'Base SKUs'!D:D)</f>
        <v>Thermowood</v>
      </c>
      <c r="H274" s="10">
        <f>_xlfn.XLOOKUP(E274,'Base SKUs'!E:E,'Base SKUs'!S:S)</f>
        <v>4.7880000000000006E-3</v>
      </c>
      <c r="I274" s="9">
        <f t="shared" si="4"/>
        <v>0.316</v>
      </c>
      <c r="J274" t="str">
        <f>_xlfn.XLOOKUP(E274,'Base SKUs'!E:E,'Base SKUs'!G:G)</f>
        <v>Maximo Thermo Ayous</v>
      </c>
      <c r="K274" t="str">
        <f>_xlfn.XLOOKUP(E274,'Base SKUs'!E:E,'Base SKUs'!H:H)</f>
        <v>S4S E4E</v>
      </c>
      <c r="L274" t="str">
        <f>_xlfn.XLOOKUP(E274,'Base SKUs'!E:E,'Base SKUs'!I:I)</f>
        <v>-</v>
      </c>
      <c r="M274" t="str">
        <f>_xlfn.XLOOKUP(E274,'Base SKUs'!E:E,'Base SKUs'!J:J)</f>
        <v>1x6</v>
      </c>
      <c r="N274">
        <f>_xlfn.XLOOKUP(E274,'Base SKUs'!E:E,'Base SKUs'!K:K)</f>
        <v>6</v>
      </c>
      <c r="O274" t="str">
        <f>_xlfn.XLOOKUP(E274,'Base SKUs'!E:E,'Base SKUs'!C:C)</f>
        <v>Short</v>
      </c>
      <c r="P274" t="s">
        <v>4932</v>
      </c>
    </row>
    <row r="275" spans="1:16" x14ac:dyDescent="0.25">
      <c r="A275" t="s">
        <v>4901</v>
      </c>
      <c r="B275" t="s">
        <v>4844</v>
      </c>
      <c r="C275" t="s">
        <v>4845</v>
      </c>
      <c r="D275" s="11">
        <v>9007</v>
      </c>
      <c r="E275" t="s">
        <v>158</v>
      </c>
      <c r="F275">
        <v>205</v>
      </c>
      <c r="G275" t="str">
        <f>_xlfn.XLOOKUP(E275,'Base SKUs'!E:E,'Base SKUs'!D:D)</f>
        <v>Thermowood</v>
      </c>
      <c r="H275" s="10">
        <f>_xlfn.XLOOKUP(E275,'Base SKUs'!E:E,'Base SKUs'!S:S)</f>
        <v>5.5859999999999998E-3</v>
      </c>
      <c r="I275" s="9">
        <f t="shared" si="4"/>
        <v>1.145</v>
      </c>
      <c r="J275" t="str">
        <f>_xlfn.XLOOKUP(E275,'Base SKUs'!E:E,'Base SKUs'!G:G)</f>
        <v>Maximo Thermo Ayous</v>
      </c>
      <c r="K275" t="str">
        <f>_xlfn.XLOOKUP(E275,'Base SKUs'!E:E,'Base SKUs'!H:H)</f>
        <v>S4S E4E</v>
      </c>
      <c r="L275" t="str">
        <f>_xlfn.XLOOKUP(E275,'Base SKUs'!E:E,'Base SKUs'!I:I)</f>
        <v>-</v>
      </c>
      <c r="M275" t="str">
        <f>_xlfn.XLOOKUP(E275,'Base SKUs'!E:E,'Base SKUs'!J:J)</f>
        <v>1x6</v>
      </c>
      <c r="N275">
        <f>_xlfn.XLOOKUP(E275,'Base SKUs'!E:E,'Base SKUs'!K:K)</f>
        <v>7</v>
      </c>
      <c r="O275" t="str">
        <f>_xlfn.XLOOKUP(E275,'Base SKUs'!E:E,'Base SKUs'!C:C)</f>
        <v>Short</v>
      </c>
      <c r="P275" t="s">
        <v>4932</v>
      </c>
    </row>
    <row r="276" spans="1:16" x14ac:dyDescent="0.25">
      <c r="A276" t="s">
        <v>4901</v>
      </c>
      <c r="B276" t="s">
        <v>4844</v>
      </c>
      <c r="C276" t="s">
        <v>4845</v>
      </c>
      <c r="D276" s="11">
        <v>9007</v>
      </c>
      <c r="E276" t="s">
        <v>159</v>
      </c>
      <c r="F276">
        <v>71</v>
      </c>
      <c r="G276" t="str">
        <f>_xlfn.XLOOKUP(E276,'Base SKUs'!E:E,'Base SKUs'!D:D)</f>
        <v>Thermowood</v>
      </c>
      <c r="H276" s="10">
        <f>_xlfn.XLOOKUP(E276,'Base SKUs'!E:E,'Base SKUs'!S:S)</f>
        <v>6.3839999999999999E-3</v>
      </c>
      <c r="I276" s="9">
        <f t="shared" si="4"/>
        <v>0.45300000000000001</v>
      </c>
      <c r="J276" t="str">
        <f>_xlfn.XLOOKUP(E276,'Base SKUs'!E:E,'Base SKUs'!G:G)</f>
        <v>Maximo Thermo Ayous</v>
      </c>
      <c r="K276" t="str">
        <f>_xlfn.XLOOKUP(E276,'Base SKUs'!E:E,'Base SKUs'!H:H)</f>
        <v>S4S E4E</v>
      </c>
      <c r="L276" t="str">
        <f>_xlfn.XLOOKUP(E276,'Base SKUs'!E:E,'Base SKUs'!I:I)</f>
        <v>-</v>
      </c>
      <c r="M276" t="str">
        <f>_xlfn.XLOOKUP(E276,'Base SKUs'!E:E,'Base SKUs'!J:J)</f>
        <v>1x6</v>
      </c>
      <c r="N276">
        <f>_xlfn.XLOOKUP(E276,'Base SKUs'!E:E,'Base SKUs'!K:K)</f>
        <v>8</v>
      </c>
      <c r="O276" t="str">
        <f>_xlfn.XLOOKUP(E276,'Base SKUs'!E:E,'Base SKUs'!C:C)</f>
        <v>Long</v>
      </c>
      <c r="P276" t="s">
        <v>4932</v>
      </c>
    </row>
    <row r="277" spans="1:16" x14ac:dyDescent="0.25">
      <c r="A277" t="s">
        <v>4901</v>
      </c>
      <c r="B277" t="s">
        <v>4844</v>
      </c>
      <c r="C277" t="s">
        <v>4845</v>
      </c>
      <c r="D277" s="11">
        <v>9007</v>
      </c>
      <c r="E277" t="s">
        <v>161</v>
      </c>
      <c r="F277">
        <v>105</v>
      </c>
      <c r="G277" t="str">
        <f>_xlfn.XLOOKUP(E277,'Base SKUs'!E:E,'Base SKUs'!D:D)</f>
        <v>Thermowood</v>
      </c>
      <c r="H277" s="10">
        <f>_xlfn.XLOOKUP(E277,'Base SKUs'!E:E,'Base SKUs'!S:S)</f>
        <v>7.980000000000001E-3</v>
      </c>
      <c r="I277" s="9">
        <f t="shared" si="4"/>
        <v>0.83799999999999997</v>
      </c>
      <c r="J277" t="str">
        <f>_xlfn.XLOOKUP(E277,'Base SKUs'!E:E,'Base SKUs'!G:G)</f>
        <v>Maximo Thermo Ayous</v>
      </c>
      <c r="K277" t="str">
        <f>_xlfn.XLOOKUP(E277,'Base SKUs'!E:E,'Base SKUs'!H:H)</f>
        <v>S4S E4E</v>
      </c>
      <c r="L277" t="str">
        <f>_xlfn.XLOOKUP(E277,'Base SKUs'!E:E,'Base SKUs'!I:I)</f>
        <v>-</v>
      </c>
      <c r="M277" t="str">
        <f>_xlfn.XLOOKUP(E277,'Base SKUs'!E:E,'Base SKUs'!J:J)</f>
        <v>1x6</v>
      </c>
      <c r="N277">
        <f>_xlfn.XLOOKUP(E277,'Base SKUs'!E:E,'Base SKUs'!K:K)</f>
        <v>10</v>
      </c>
      <c r="O277" t="str">
        <f>_xlfn.XLOOKUP(E277,'Base SKUs'!E:E,'Base SKUs'!C:C)</f>
        <v>Long</v>
      </c>
      <c r="P277" t="s">
        <v>4932</v>
      </c>
    </row>
    <row r="278" spans="1:16" x14ac:dyDescent="0.25">
      <c r="A278" t="s">
        <v>4901</v>
      </c>
      <c r="B278" t="s">
        <v>4844</v>
      </c>
      <c r="C278" t="s">
        <v>4845</v>
      </c>
      <c r="D278" s="11">
        <v>9007</v>
      </c>
      <c r="E278" t="s">
        <v>175</v>
      </c>
      <c r="F278">
        <v>130</v>
      </c>
      <c r="G278" t="str">
        <f>_xlfn.XLOOKUP(E278,'Base SKUs'!E:E,'Base SKUs'!D:D)</f>
        <v>Thermowood</v>
      </c>
      <c r="H278" s="10">
        <f>_xlfn.XLOOKUP(E278,'Base SKUs'!E:E,'Base SKUs'!S:S)</f>
        <v>8.7779999999999993E-3</v>
      </c>
      <c r="I278" s="9">
        <f t="shared" si="4"/>
        <v>1.141</v>
      </c>
      <c r="J278" t="str">
        <f>_xlfn.XLOOKUP(E278,'Base SKUs'!E:E,'Base SKUs'!G:G)</f>
        <v>Maximo Thermo Ayous</v>
      </c>
      <c r="K278" t="str">
        <f>_xlfn.XLOOKUP(E278,'Base SKUs'!E:E,'Base SKUs'!H:H)</f>
        <v>S4S E4E</v>
      </c>
      <c r="L278" t="str">
        <f>_xlfn.XLOOKUP(E278,'Base SKUs'!E:E,'Base SKUs'!I:I)</f>
        <v>-</v>
      </c>
      <c r="M278" t="str">
        <f>_xlfn.XLOOKUP(E278,'Base SKUs'!E:E,'Base SKUs'!J:J)</f>
        <v>1x6</v>
      </c>
      <c r="N278">
        <f>_xlfn.XLOOKUP(E278,'Base SKUs'!E:E,'Base SKUs'!K:K)</f>
        <v>11</v>
      </c>
      <c r="O278" t="str">
        <f>_xlfn.XLOOKUP(E278,'Base SKUs'!E:E,'Base SKUs'!C:C)</f>
        <v>Long</v>
      </c>
      <c r="P278" t="s">
        <v>4932</v>
      </c>
    </row>
    <row r="279" spans="1:16" x14ac:dyDescent="0.25">
      <c r="A279" t="s">
        <v>4901</v>
      </c>
      <c r="B279" t="s">
        <v>4844</v>
      </c>
      <c r="C279" t="s">
        <v>4845</v>
      </c>
      <c r="D279" s="11">
        <v>9007</v>
      </c>
      <c r="E279" t="s">
        <v>176</v>
      </c>
      <c r="F279">
        <v>152</v>
      </c>
      <c r="G279" t="str">
        <f>_xlfn.XLOOKUP(E279,'Base SKUs'!E:E,'Base SKUs'!D:D)</f>
        <v>Thermowood</v>
      </c>
      <c r="H279" s="10">
        <f>_xlfn.XLOOKUP(E279,'Base SKUs'!E:E,'Base SKUs'!S:S)</f>
        <v>9.5760000000000012E-3</v>
      </c>
      <c r="I279" s="9">
        <f t="shared" si="4"/>
        <v>1.456</v>
      </c>
      <c r="J279" t="str">
        <f>_xlfn.XLOOKUP(E279,'Base SKUs'!E:E,'Base SKUs'!G:G)</f>
        <v>Maximo Thermo Ayous</v>
      </c>
      <c r="K279" t="str">
        <f>_xlfn.XLOOKUP(E279,'Base SKUs'!E:E,'Base SKUs'!H:H)</f>
        <v>S4S E4E</v>
      </c>
      <c r="L279" t="str">
        <f>_xlfn.XLOOKUP(E279,'Base SKUs'!E:E,'Base SKUs'!I:I)</f>
        <v>-</v>
      </c>
      <c r="M279" t="str">
        <f>_xlfn.XLOOKUP(E279,'Base SKUs'!E:E,'Base SKUs'!J:J)</f>
        <v>1x6</v>
      </c>
      <c r="N279">
        <f>_xlfn.XLOOKUP(E279,'Base SKUs'!E:E,'Base SKUs'!K:K)</f>
        <v>12</v>
      </c>
      <c r="O279" t="str">
        <f>_xlfn.XLOOKUP(E279,'Base SKUs'!E:E,'Base SKUs'!C:C)</f>
        <v>Long</v>
      </c>
      <c r="P279" t="s">
        <v>4932</v>
      </c>
    </row>
    <row r="280" spans="1:16" x14ac:dyDescent="0.25">
      <c r="A280" t="s">
        <v>4901</v>
      </c>
      <c r="B280" t="s">
        <v>4844</v>
      </c>
      <c r="C280" t="s">
        <v>4845</v>
      </c>
      <c r="D280" s="11">
        <v>9007</v>
      </c>
      <c r="E280" t="s">
        <v>162</v>
      </c>
      <c r="F280">
        <v>133</v>
      </c>
      <c r="G280" t="str">
        <f>_xlfn.XLOOKUP(E280,'Base SKUs'!E:E,'Base SKUs'!D:D)</f>
        <v>Thermowood</v>
      </c>
      <c r="H280" s="10">
        <f>_xlfn.XLOOKUP(E280,'Base SKUs'!E:E,'Base SKUs'!S:S)</f>
        <v>1.0374000000000001E-2</v>
      </c>
      <c r="I280" s="9">
        <f t="shared" si="4"/>
        <v>1.38</v>
      </c>
      <c r="J280" t="str">
        <f>_xlfn.XLOOKUP(E280,'Base SKUs'!E:E,'Base SKUs'!G:G)</f>
        <v>Maximo Thermo Ayous</v>
      </c>
      <c r="K280" t="str">
        <f>_xlfn.XLOOKUP(E280,'Base SKUs'!E:E,'Base SKUs'!H:H)</f>
        <v>S4S E4E</v>
      </c>
      <c r="L280" t="str">
        <f>_xlfn.XLOOKUP(E280,'Base SKUs'!E:E,'Base SKUs'!I:I)</f>
        <v>-</v>
      </c>
      <c r="M280" t="str">
        <f>_xlfn.XLOOKUP(E280,'Base SKUs'!E:E,'Base SKUs'!J:J)</f>
        <v>1x6</v>
      </c>
      <c r="N280">
        <f>_xlfn.XLOOKUP(E280,'Base SKUs'!E:E,'Base SKUs'!K:K)</f>
        <v>13</v>
      </c>
      <c r="O280" t="str">
        <f>_xlfn.XLOOKUP(E280,'Base SKUs'!E:E,'Base SKUs'!C:C)</f>
        <v>Long</v>
      </c>
      <c r="P280" t="s">
        <v>4932</v>
      </c>
    </row>
    <row r="281" spans="1:16" x14ac:dyDescent="0.25">
      <c r="A281" t="s">
        <v>4901</v>
      </c>
      <c r="B281" t="s">
        <v>4844</v>
      </c>
      <c r="C281" t="s">
        <v>4845</v>
      </c>
      <c r="D281" s="11">
        <v>9007</v>
      </c>
      <c r="E281" t="s">
        <v>163</v>
      </c>
      <c r="F281">
        <v>539</v>
      </c>
      <c r="G281" t="str">
        <f>_xlfn.XLOOKUP(E281,'Base SKUs'!E:E,'Base SKUs'!D:D)</f>
        <v>Thermowood</v>
      </c>
      <c r="H281" s="10">
        <f>_xlfn.XLOOKUP(E281,'Base SKUs'!E:E,'Base SKUs'!S:S)</f>
        <v>1.1172E-2</v>
      </c>
      <c r="I281" s="9">
        <f t="shared" si="4"/>
        <v>6.0220000000000002</v>
      </c>
      <c r="J281" t="str">
        <f>_xlfn.XLOOKUP(E281,'Base SKUs'!E:E,'Base SKUs'!G:G)</f>
        <v>Maximo Thermo Ayous</v>
      </c>
      <c r="K281" t="str">
        <f>_xlfn.XLOOKUP(E281,'Base SKUs'!E:E,'Base SKUs'!H:H)</f>
        <v>S4S E4E</v>
      </c>
      <c r="L281" t="str">
        <f>_xlfn.XLOOKUP(E281,'Base SKUs'!E:E,'Base SKUs'!I:I)</f>
        <v>-</v>
      </c>
      <c r="M281" t="str">
        <f>_xlfn.XLOOKUP(E281,'Base SKUs'!E:E,'Base SKUs'!J:J)</f>
        <v>1x6</v>
      </c>
      <c r="N281">
        <f>_xlfn.XLOOKUP(E281,'Base SKUs'!E:E,'Base SKUs'!K:K)</f>
        <v>14</v>
      </c>
      <c r="O281" t="str">
        <f>_xlfn.XLOOKUP(E281,'Base SKUs'!E:E,'Base SKUs'!C:C)</f>
        <v>Long</v>
      </c>
      <c r="P281" t="s">
        <v>4932</v>
      </c>
    </row>
    <row r="282" spans="1:16" x14ac:dyDescent="0.25">
      <c r="A282" t="s">
        <v>4901</v>
      </c>
      <c r="B282" t="s">
        <v>4844</v>
      </c>
      <c r="C282" t="s">
        <v>4845</v>
      </c>
      <c r="D282" s="11">
        <v>9007</v>
      </c>
      <c r="E282" t="s">
        <v>164</v>
      </c>
      <c r="F282">
        <v>37</v>
      </c>
      <c r="G282" t="str">
        <f>_xlfn.XLOOKUP(E282,'Base SKUs'!E:E,'Base SKUs'!D:D)</f>
        <v>Thermowood</v>
      </c>
      <c r="H282" s="10">
        <f>_xlfn.XLOOKUP(E282,'Base SKUs'!E:E,'Base SKUs'!S:S)</f>
        <v>1.1970000000000001E-2</v>
      </c>
      <c r="I282" s="9">
        <f t="shared" si="4"/>
        <v>0.443</v>
      </c>
      <c r="J282" t="str">
        <f>_xlfn.XLOOKUP(E282,'Base SKUs'!E:E,'Base SKUs'!G:G)</f>
        <v>Maximo Thermo Ayous</v>
      </c>
      <c r="K282" t="str">
        <f>_xlfn.XLOOKUP(E282,'Base SKUs'!E:E,'Base SKUs'!H:H)</f>
        <v>S4S E4E</v>
      </c>
      <c r="L282" t="str">
        <f>_xlfn.XLOOKUP(E282,'Base SKUs'!E:E,'Base SKUs'!I:I)</f>
        <v>-</v>
      </c>
      <c r="M282" t="str">
        <f>_xlfn.XLOOKUP(E282,'Base SKUs'!E:E,'Base SKUs'!J:J)</f>
        <v>1x6</v>
      </c>
      <c r="N282">
        <f>_xlfn.XLOOKUP(E282,'Base SKUs'!E:E,'Base SKUs'!K:K)</f>
        <v>15</v>
      </c>
      <c r="O282" t="str">
        <f>_xlfn.XLOOKUP(E282,'Base SKUs'!E:E,'Base SKUs'!C:C)</f>
        <v>Long</v>
      </c>
      <c r="P282" t="s">
        <v>4932</v>
      </c>
    </row>
    <row r="283" spans="1:16" x14ac:dyDescent="0.25">
      <c r="A283" t="s">
        <v>4902</v>
      </c>
      <c r="B283" t="s">
        <v>4903</v>
      </c>
      <c r="C283" t="s">
        <v>4904</v>
      </c>
      <c r="D283" s="11">
        <v>9011</v>
      </c>
      <c r="E283" t="s">
        <v>69</v>
      </c>
      <c r="F283">
        <v>143</v>
      </c>
      <c r="G283" t="str">
        <f>_xlfn.XLOOKUP(E283,'Base SKUs'!E:E,'Base SKUs'!D:D)</f>
        <v>Thermowood</v>
      </c>
      <c r="H283" s="10">
        <f>_xlfn.XLOOKUP(E283,'Base SKUs'!E:E,'Base SKUs'!S:S)</f>
        <v>5.2439999999999995E-3</v>
      </c>
      <c r="I283" s="9">
        <f t="shared" si="4"/>
        <v>0.75</v>
      </c>
      <c r="J283" t="str">
        <f>_xlfn.XLOOKUP(E283,'Base SKUs'!E:E,'Base SKUs'!G:G)</f>
        <v>Maximo Thermo Ayous</v>
      </c>
      <c r="K283" t="str">
        <f>_xlfn.XLOOKUP(E283,'Base SKUs'!E:E,'Base SKUs'!H:H)</f>
        <v>VJoint - Square Back</v>
      </c>
      <c r="L283" t="str">
        <f>_xlfn.XLOOKUP(E283,'Base SKUs'!E:E,'Base SKUs'!I:I)</f>
        <v>-</v>
      </c>
      <c r="M283" t="str">
        <f>_xlfn.XLOOKUP(E283,'Base SKUs'!E:E,'Base SKUs'!J:J)</f>
        <v>1x4</v>
      </c>
      <c r="N283">
        <f>_xlfn.XLOOKUP(E283,'Base SKUs'!E:E,'Base SKUs'!K:K)</f>
        <v>10</v>
      </c>
      <c r="O283" t="str">
        <f>_xlfn.XLOOKUP(E283,'Base SKUs'!E:E,'Base SKUs'!C:C)</f>
        <v>Long</v>
      </c>
      <c r="P283" t="s">
        <v>4930</v>
      </c>
    </row>
    <row r="284" spans="1:16" x14ac:dyDescent="0.25">
      <c r="A284" t="s">
        <v>4902</v>
      </c>
      <c r="B284" t="s">
        <v>4903</v>
      </c>
      <c r="C284" t="s">
        <v>4904</v>
      </c>
      <c r="D284" s="11">
        <v>9011</v>
      </c>
      <c r="E284" t="s">
        <v>86</v>
      </c>
      <c r="F284">
        <v>132</v>
      </c>
      <c r="G284" t="str">
        <f>_xlfn.XLOOKUP(E284,'Base SKUs'!E:E,'Base SKUs'!D:D)</f>
        <v>Thermowood</v>
      </c>
      <c r="H284" s="10">
        <f>_xlfn.XLOOKUP(E284,'Base SKUs'!E:E,'Base SKUs'!S:S)</f>
        <v>7.8659999999999997E-3</v>
      </c>
      <c r="I284" s="9">
        <f t="shared" si="4"/>
        <v>1.038</v>
      </c>
      <c r="J284" t="str">
        <f>_xlfn.XLOOKUP(E284,'Base SKUs'!E:E,'Base SKUs'!G:G)</f>
        <v>Maximo Thermo Ayous</v>
      </c>
      <c r="K284" t="str">
        <f>_xlfn.XLOOKUP(E284,'Base SKUs'!E:E,'Base SKUs'!H:H)</f>
        <v>VJoint - Square Back</v>
      </c>
      <c r="L284" t="str">
        <f>_xlfn.XLOOKUP(E284,'Base SKUs'!E:E,'Base SKUs'!I:I)</f>
        <v>-</v>
      </c>
      <c r="M284" t="str">
        <f>_xlfn.XLOOKUP(E284,'Base SKUs'!E:E,'Base SKUs'!J:J)</f>
        <v>1x4</v>
      </c>
      <c r="N284">
        <f>_xlfn.XLOOKUP(E284,'Base SKUs'!E:E,'Base SKUs'!K:K)</f>
        <v>15</v>
      </c>
      <c r="O284" t="str">
        <f>_xlfn.XLOOKUP(E284,'Base SKUs'!E:E,'Base SKUs'!C:C)</f>
        <v>Long</v>
      </c>
      <c r="P284" t="s">
        <v>4930</v>
      </c>
    </row>
    <row r="285" spans="1:16" x14ac:dyDescent="0.25">
      <c r="A285" t="s">
        <v>4905</v>
      </c>
      <c r="B285" t="s">
        <v>4839</v>
      </c>
      <c r="C285" t="s">
        <v>4897</v>
      </c>
      <c r="D285" s="11">
        <v>9007</v>
      </c>
      <c r="E285" t="s">
        <v>149</v>
      </c>
      <c r="F285">
        <v>11</v>
      </c>
      <c r="G285" t="str">
        <f>_xlfn.XLOOKUP(E285,'Base SKUs'!E:E,'Base SKUs'!D:D)</f>
        <v>Thermowood</v>
      </c>
      <c r="H285" s="10">
        <f>_xlfn.XLOOKUP(E285,'Base SKUs'!E:E,'Base SKUs'!S:S)</f>
        <v>7.182E-3</v>
      </c>
      <c r="I285" s="9">
        <f t="shared" si="4"/>
        <v>7.9000000000000001E-2</v>
      </c>
      <c r="J285" t="str">
        <f>_xlfn.XLOOKUP(E285,'Base SKUs'!E:E,'Base SKUs'!G:G)</f>
        <v>Maximo Thermo Scandinavian Pine</v>
      </c>
      <c r="K285" t="str">
        <f>_xlfn.XLOOKUP(E285,'Base SKUs'!E:E,'Base SKUs'!H:H)</f>
        <v>VJoint - Nickel Gap</v>
      </c>
      <c r="L285" t="str">
        <f>_xlfn.XLOOKUP(E285,'Base SKUs'!E:E,'Base SKUs'!I:I)</f>
        <v>-</v>
      </c>
      <c r="M285" t="str">
        <f>_xlfn.XLOOKUP(E285,'Base SKUs'!E:E,'Base SKUs'!J:J)</f>
        <v>1x6</v>
      </c>
      <c r="N285">
        <f>_xlfn.XLOOKUP(E285,'Base SKUs'!E:E,'Base SKUs'!K:K)</f>
        <v>9</v>
      </c>
      <c r="O285" t="str">
        <f>_xlfn.XLOOKUP(E285,'Base SKUs'!E:E,'Base SKUs'!C:C)</f>
        <v>Long</v>
      </c>
      <c r="P285" t="s">
        <v>4930</v>
      </c>
    </row>
    <row r="286" spans="1:16" x14ac:dyDescent="0.25">
      <c r="A286" t="s">
        <v>4906</v>
      </c>
      <c r="B286" t="s">
        <v>4907</v>
      </c>
      <c r="C286" t="s">
        <v>4908</v>
      </c>
      <c r="D286" s="11">
        <v>9009</v>
      </c>
      <c r="E286" t="s">
        <v>257</v>
      </c>
      <c r="F286">
        <v>4</v>
      </c>
      <c r="G286" t="str">
        <f>_xlfn.XLOOKUP(E286,'Base SKUs'!E:E,'Base SKUs'!D:D)</f>
        <v>Hardwoods</v>
      </c>
      <c r="H286" s="10">
        <f>_xlfn.XLOOKUP(E286,'Base SKUs'!E:E,'Base SKUs'!S:S)</f>
        <v>3.3724577712000006E-2</v>
      </c>
      <c r="I286" s="9">
        <f t="shared" si="4"/>
        <v>0.13500000000000001</v>
      </c>
      <c r="J286" t="str">
        <f>_xlfn.XLOOKUP(E286,'Base SKUs'!E:E,'Base SKUs'!G:G)</f>
        <v>Ipe</v>
      </c>
      <c r="K286" t="str">
        <f>_xlfn.XLOOKUP(E286,'Base SKUs'!E:E,'Base SKUs'!H:H)</f>
        <v>S4S E4E</v>
      </c>
      <c r="L286" t="str">
        <f>_xlfn.XLOOKUP(E286,'Base SKUs'!E:E,'Base SKUs'!I:I)</f>
        <v>-</v>
      </c>
      <c r="M286" t="str">
        <f>_xlfn.XLOOKUP(E286,'Base SKUs'!E:E,'Base SKUs'!J:J)</f>
        <v>4x4</v>
      </c>
      <c r="N286">
        <f>_xlfn.XLOOKUP(E286,'Base SKUs'!E:E,'Base SKUs'!K:K)</f>
        <v>14</v>
      </c>
      <c r="O286" t="str">
        <f>_xlfn.XLOOKUP(E286,'Base SKUs'!E:E,'Base SKUs'!C:C)</f>
        <v>Long</v>
      </c>
      <c r="P286" t="s">
        <v>4930</v>
      </c>
    </row>
    <row r="287" spans="1:16" x14ac:dyDescent="0.25">
      <c r="A287" t="s">
        <v>4909</v>
      </c>
      <c r="B287" t="s">
        <v>4907</v>
      </c>
      <c r="C287" t="s">
        <v>4908</v>
      </c>
      <c r="D287" s="11">
        <v>9007</v>
      </c>
      <c r="E287" t="s">
        <v>203</v>
      </c>
      <c r="F287">
        <v>20</v>
      </c>
      <c r="G287" t="str">
        <f>_xlfn.XLOOKUP(E287,'Base SKUs'!E:E,'Base SKUs'!D:D)</f>
        <v>Hardwoods</v>
      </c>
      <c r="H287" s="10">
        <f>_xlfn.XLOOKUP(E287,'Base SKUs'!E:E,'Base SKUs'!S:S)</f>
        <v>9.7339160159999986E-3</v>
      </c>
      <c r="I287" s="9">
        <f t="shared" si="4"/>
        <v>0.19500000000000001</v>
      </c>
      <c r="J287" t="str">
        <f>_xlfn.XLOOKUP(E287,'Base SKUs'!E:E,'Base SKUs'!G:G)</f>
        <v>Ipe</v>
      </c>
      <c r="K287" t="str">
        <f>_xlfn.XLOOKUP(E287,'Base SKUs'!E:E,'Base SKUs'!H:H)</f>
        <v>S4S E4E</v>
      </c>
      <c r="L287" t="str">
        <f>_xlfn.XLOOKUP(E287,'Base SKUs'!E:E,'Base SKUs'!I:I)</f>
        <v>-</v>
      </c>
      <c r="M287" t="str">
        <f>_xlfn.XLOOKUP(E287,'Base SKUs'!E:E,'Base SKUs'!J:J)</f>
        <v>1x6</v>
      </c>
      <c r="N287">
        <f>_xlfn.XLOOKUP(E287,'Base SKUs'!E:E,'Base SKUs'!K:K)</f>
        <v>12</v>
      </c>
      <c r="O287" t="str">
        <f>_xlfn.XLOOKUP(E287,'Base SKUs'!E:E,'Base SKUs'!C:C)</f>
        <v>Long</v>
      </c>
      <c r="P287" t="s">
        <v>4929</v>
      </c>
    </row>
    <row r="288" spans="1:16" x14ac:dyDescent="0.25">
      <c r="A288" t="s">
        <v>4910</v>
      </c>
      <c r="B288" t="s">
        <v>4907</v>
      </c>
      <c r="C288" t="s">
        <v>4908</v>
      </c>
      <c r="D288" s="11">
        <v>9009</v>
      </c>
      <c r="E288" t="s">
        <v>3832</v>
      </c>
      <c r="F288">
        <v>45</v>
      </c>
      <c r="G288" t="str">
        <f>_xlfn.XLOOKUP(E288,'Base SKUs'!E:E,'Base SKUs'!D:D)</f>
        <v>Thermowood</v>
      </c>
      <c r="H288" s="10">
        <f>_xlfn.XLOOKUP(E288,'Base SKUs'!E:E,'Base SKUs'!S:S)</f>
        <v>4.0499999999999998E-3</v>
      </c>
      <c r="I288" s="9">
        <f t="shared" si="4"/>
        <v>0.182</v>
      </c>
      <c r="J288" t="str">
        <f>_xlfn.XLOOKUP(E288,'Base SKUs'!E:E,'Base SKUs'!G:G)</f>
        <v>Maximo Thermo Ayous</v>
      </c>
      <c r="K288" t="str">
        <f>_xlfn.XLOOKUP(E288,'Base SKUs'!E:E,'Base SKUs'!H:H)</f>
        <v>S4S E4E</v>
      </c>
      <c r="L288" t="str">
        <f>_xlfn.XLOOKUP(E288,'Base SKUs'!E:E,'Base SKUs'!I:I)</f>
        <v>-</v>
      </c>
      <c r="M288" t="str">
        <f>_xlfn.XLOOKUP(E288,'Base SKUs'!E:E,'Base SKUs'!J:J)</f>
        <v>5/4x4</v>
      </c>
      <c r="N288">
        <f>_xlfn.XLOOKUP(E288,'Base SKUs'!E:E,'Base SKUs'!K:K)</f>
        <v>6</v>
      </c>
      <c r="O288" t="str">
        <f>_xlfn.XLOOKUP(E288,'Base SKUs'!E:E,'Base SKUs'!C:C)</f>
        <v>Short</v>
      </c>
      <c r="P288" t="s">
        <v>4929</v>
      </c>
    </row>
    <row r="289" spans="1:16" x14ac:dyDescent="0.25">
      <c r="A289" t="s">
        <v>4910</v>
      </c>
      <c r="B289" t="s">
        <v>4907</v>
      </c>
      <c r="C289" t="s">
        <v>4908</v>
      </c>
      <c r="D289" s="11">
        <v>9009</v>
      </c>
      <c r="E289" t="s">
        <v>3821</v>
      </c>
      <c r="F289">
        <v>63</v>
      </c>
      <c r="G289" t="str">
        <f>_xlfn.XLOOKUP(E289,'Base SKUs'!E:E,'Base SKUs'!D:D)</f>
        <v>Thermowood</v>
      </c>
      <c r="H289" s="10">
        <f>_xlfn.XLOOKUP(E289,'Base SKUs'!E:E,'Base SKUs'!S:S)</f>
        <v>6.7499999999999999E-3</v>
      </c>
      <c r="I289" s="9">
        <f t="shared" si="4"/>
        <v>0.42499999999999999</v>
      </c>
      <c r="J289" t="str">
        <f>_xlfn.XLOOKUP(E289,'Base SKUs'!E:E,'Base SKUs'!G:G)</f>
        <v>Maximo Thermo Ayous</v>
      </c>
      <c r="K289" t="str">
        <f>_xlfn.XLOOKUP(E289,'Base SKUs'!E:E,'Base SKUs'!H:H)</f>
        <v>S4S E4E</v>
      </c>
      <c r="L289" t="str">
        <f>_xlfn.XLOOKUP(E289,'Base SKUs'!E:E,'Base SKUs'!I:I)</f>
        <v>-</v>
      </c>
      <c r="M289" t="str">
        <f>_xlfn.XLOOKUP(E289,'Base SKUs'!E:E,'Base SKUs'!J:J)</f>
        <v>5/4x4</v>
      </c>
      <c r="N289">
        <f>_xlfn.XLOOKUP(E289,'Base SKUs'!E:E,'Base SKUs'!K:K)</f>
        <v>10</v>
      </c>
      <c r="O289" t="str">
        <f>_xlfn.XLOOKUP(E289,'Base SKUs'!E:E,'Base SKUs'!C:C)</f>
        <v>Long</v>
      </c>
      <c r="P289" t="s">
        <v>4929</v>
      </c>
    </row>
    <row r="290" spans="1:16" x14ac:dyDescent="0.25">
      <c r="A290" t="s">
        <v>4910</v>
      </c>
      <c r="B290" t="s">
        <v>4907</v>
      </c>
      <c r="C290" t="s">
        <v>4908</v>
      </c>
      <c r="D290" s="11">
        <v>9009</v>
      </c>
      <c r="E290" t="s">
        <v>3714</v>
      </c>
      <c r="F290">
        <v>252</v>
      </c>
      <c r="G290" t="str">
        <f>_xlfn.XLOOKUP(E290,'Base SKUs'!E:E,'Base SKUs'!D:D)</f>
        <v>Thermowood</v>
      </c>
      <c r="H290" s="10">
        <f>_xlfn.XLOOKUP(E290,'Base SKUs'!E:E,'Base SKUs'!S:S)</f>
        <v>1.0500000000000001E-2</v>
      </c>
      <c r="I290" s="9">
        <f t="shared" si="4"/>
        <v>2.6459999999999999</v>
      </c>
      <c r="J290" t="str">
        <f>_xlfn.XLOOKUP(E290,'Base SKUs'!E:E,'Base SKUs'!G:G)</f>
        <v>Maximo Thermo Ayous</v>
      </c>
      <c r="K290" t="str">
        <f>_xlfn.XLOOKUP(E290,'Base SKUs'!E:E,'Base SKUs'!H:H)</f>
        <v>S4S E4E</v>
      </c>
      <c r="L290" t="str">
        <f>_xlfn.XLOOKUP(E290,'Base SKUs'!E:E,'Base SKUs'!I:I)</f>
        <v>-</v>
      </c>
      <c r="M290" t="str">
        <f>_xlfn.XLOOKUP(E290,'Base SKUs'!E:E,'Base SKUs'!J:J)</f>
        <v>1x11</v>
      </c>
      <c r="N290">
        <f>_xlfn.XLOOKUP(E290,'Base SKUs'!E:E,'Base SKUs'!K:K)</f>
        <v>7</v>
      </c>
      <c r="O290" t="str">
        <f>_xlfn.XLOOKUP(E290,'Base SKUs'!E:E,'Base SKUs'!C:C)</f>
        <v>Short</v>
      </c>
      <c r="P290" t="s">
        <v>4929</v>
      </c>
    </row>
    <row r="291" spans="1:16" x14ac:dyDescent="0.25">
      <c r="A291" t="s">
        <v>4910</v>
      </c>
      <c r="B291" t="s">
        <v>4907</v>
      </c>
      <c r="C291" t="s">
        <v>4908</v>
      </c>
      <c r="D291" s="11">
        <v>9009</v>
      </c>
      <c r="E291" t="s">
        <v>3715</v>
      </c>
      <c r="F291">
        <v>121</v>
      </c>
      <c r="G291" t="str">
        <f>_xlfn.XLOOKUP(E291,'Base SKUs'!E:E,'Base SKUs'!D:D)</f>
        <v>Thermowood</v>
      </c>
      <c r="H291" s="10">
        <f>_xlfn.XLOOKUP(E291,'Base SKUs'!E:E,'Base SKUs'!S:S)</f>
        <v>1.2E-2</v>
      </c>
      <c r="I291" s="9">
        <f t="shared" si="4"/>
        <v>1.452</v>
      </c>
      <c r="J291" t="str">
        <f>_xlfn.XLOOKUP(E291,'Base SKUs'!E:E,'Base SKUs'!G:G)</f>
        <v>Maximo Thermo Ayous</v>
      </c>
      <c r="K291" t="str">
        <f>_xlfn.XLOOKUP(E291,'Base SKUs'!E:E,'Base SKUs'!H:H)</f>
        <v>S4S E4E</v>
      </c>
      <c r="L291" t="str">
        <f>_xlfn.XLOOKUP(E291,'Base SKUs'!E:E,'Base SKUs'!I:I)</f>
        <v>-</v>
      </c>
      <c r="M291" t="str">
        <f>_xlfn.XLOOKUP(E291,'Base SKUs'!E:E,'Base SKUs'!J:J)</f>
        <v>1x11</v>
      </c>
      <c r="N291">
        <f>_xlfn.XLOOKUP(E291,'Base SKUs'!E:E,'Base SKUs'!K:K)</f>
        <v>8</v>
      </c>
      <c r="O291" t="str">
        <f>_xlfn.XLOOKUP(E291,'Base SKUs'!E:E,'Base SKUs'!C:C)</f>
        <v>Long</v>
      </c>
      <c r="P291" t="s">
        <v>4929</v>
      </c>
    </row>
    <row r="292" spans="1:16" x14ac:dyDescent="0.25">
      <c r="A292" t="s">
        <v>4910</v>
      </c>
      <c r="B292" t="s">
        <v>4907</v>
      </c>
      <c r="C292" t="s">
        <v>4908</v>
      </c>
      <c r="D292" s="11">
        <v>9009</v>
      </c>
      <c r="E292" t="s">
        <v>161</v>
      </c>
      <c r="F292">
        <v>249</v>
      </c>
      <c r="G292" t="str">
        <f>_xlfn.XLOOKUP(E292,'Base SKUs'!E:E,'Base SKUs'!D:D)</f>
        <v>Thermowood</v>
      </c>
      <c r="H292" s="10">
        <f>_xlfn.XLOOKUP(E292,'Base SKUs'!E:E,'Base SKUs'!S:S)</f>
        <v>7.980000000000001E-3</v>
      </c>
      <c r="I292" s="9">
        <f t="shared" si="4"/>
        <v>1.9870000000000001</v>
      </c>
      <c r="J292" t="str">
        <f>_xlfn.XLOOKUP(E292,'Base SKUs'!E:E,'Base SKUs'!G:G)</f>
        <v>Maximo Thermo Ayous</v>
      </c>
      <c r="K292" t="str">
        <f>_xlfn.XLOOKUP(E292,'Base SKUs'!E:E,'Base SKUs'!H:H)</f>
        <v>S4S E4E</v>
      </c>
      <c r="L292" t="str">
        <f>_xlfn.XLOOKUP(E292,'Base SKUs'!E:E,'Base SKUs'!I:I)</f>
        <v>-</v>
      </c>
      <c r="M292" t="str">
        <f>_xlfn.XLOOKUP(E292,'Base SKUs'!E:E,'Base SKUs'!J:J)</f>
        <v>1x6</v>
      </c>
      <c r="N292">
        <f>_xlfn.XLOOKUP(E292,'Base SKUs'!E:E,'Base SKUs'!K:K)</f>
        <v>10</v>
      </c>
      <c r="O292" t="str">
        <f>_xlfn.XLOOKUP(E292,'Base SKUs'!E:E,'Base SKUs'!C:C)</f>
        <v>Long</v>
      </c>
      <c r="P292" t="s">
        <v>4929</v>
      </c>
    </row>
    <row r="293" spans="1:16" x14ac:dyDescent="0.25">
      <c r="A293" t="s">
        <v>4910</v>
      </c>
      <c r="B293" t="s">
        <v>4907</v>
      </c>
      <c r="C293" t="s">
        <v>4908</v>
      </c>
      <c r="D293" s="11">
        <v>9009</v>
      </c>
      <c r="E293" t="s">
        <v>175</v>
      </c>
      <c r="F293">
        <v>11</v>
      </c>
      <c r="G293" t="str">
        <f>_xlfn.XLOOKUP(E293,'Base SKUs'!E:E,'Base SKUs'!D:D)</f>
        <v>Thermowood</v>
      </c>
      <c r="H293" s="10">
        <f>_xlfn.XLOOKUP(E293,'Base SKUs'!E:E,'Base SKUs'!S:S)</f>
        <v>8.7779999999999993E-3</v>
      </c>
      <c r="I293" s="9">
        <f t="shared" si="4"/>
        <v>9.7000000000000003E-2</v>
      </c>
      <c r="J293" t="str">
        <f>_xlfn.XLOOKUP(E293,'Base SKUs'!E:E,'Base SKUs'!G:G)</f>
        <v>Maximo Thermo Ayous</v>
      </c>
      <c r="K293" t="str">
        <f>_xlfn.XLOOKUP(E293,'Base SKUs'!E:E,'Base SKUs'!H:H)</f>
        <v>S4S E4E</v>
      </c>
      <c r="L293" t="str">
        <f>_xlfn.XLOOKUP(E293,'Base SKUs'!E:E,'Base SKUs'!I:I)</f>
        <v>-</v>
      </c>
      <c r="M293" t="str">
        <f>_xlfn.XLOOKUP(E293,'Base SKUs'!E:E,'Base SKUs'!J:J)</f>
        <v>1x6</v>
      </c>
      <c r="N293">
        <f>_xlfn.XLOOKUP(E293,'Base SKUs'!E:E,'Base SKUs'!K:K)</f>
        <v>11</v>
      </c>
      <c r="O293" t="str">
        <f>_xlfn.XLOOKUP(E293,'Base SKUs'!E:E,'Base SKUs'!C:C)</f>
        <v>Long</v>
      </c>
      <c r="P293" t="s">
        <v>4929</v>
      </c>
    </row>
    <row r="294" spans="1:16" x14ac:dyDescent="0.25">
      <c r="A294" t="s">
        <v>4910</v>
      </c>
      <c r="B294" t="s">
        <v>4907</v>
      </c>
      <c r="C294" t="s">
        <v>4908</v>
      </c>
      <c r="D294" s="11">
        <v>9009</v>
      </c>
      <c r="E294" t="s">
        <v>176</v>
      </c>
      <c r="F294">
        <v>115</v>
      </c>
      <c r="G294" t="str">
        <f>_xlfn.XLOOKUP(E294,'Base SKUs'!E:E,'Base SKUs'!D:D)</f>
        <v>Thermowood</v>
      </c>
      <c r="H294" s="10">
        <f>_xlfn.XLOOKUP(E294,'Base SKUs'!E:E,'Base SKUs'!S:S)</f>
        <v>9.5760000000000012E-3</v>
      </c>
      <c r="I294" s="9">
        <f t="shared" si="4"/>
        <v>1.101</v>
      </c>
      <c r="J294" t="str">
        <f>_xlfn.XLOOKUP(E294,'Base SKUs'!E:E,'Base SKUs'!G:G)</f>
        <v>Maximo Thermo Ayous</v>
      </c>
      <c r="K294" t="str">
        <f>_xlfn.XLOOKUP(E294,'Base SKUs'!E:E,'Base SKUs'!H:H)</f>
        <v>S4S E4E</v>
      </c>
      <c r="L294" t="str">
        <f>_xlfn.XLOOKUP(E294,'Base SKUs'!E:E,'Base SKUs'!I:I)</f>
        <v>-</v>
      </c>
      <c r="M294" t="str">
        <f>_xlfn.XLOOKUP(E294,'Base SKUs'!E:E,'Base SKUs'!J:J)</f>
        <v>1x6</v>
      </c>
      <c r="N294">
        <f>_xlfn.XLOOKUP(E294,'Base SKUs'!E:E,'Base SKUs'!K:K)</f>
        <v>12</v>
      </c>
      <c r="O294" t="str">
        <f>_xlfn.XLOOKUP(E294,'Base SKUs'!E:E,'Base SKUs'!C:C)</f>
        <v>Long</v>
      </c>
      <c r="P294" t="s">
        <v>4929</v>
      </c>
    </row>
    <row r="295" spans="1:16" x14ac:dyDescent="0.25">
      <c r="A295" t="s">
        <v>4910</v>
      </c>
      <c r="B295" t="s">
        <v>4907</v>
      </c>
      <c r="C295" t="s">
        <v>4908</v>
      </c>
      <c r="D295" s="11">
        <v>9009</v>
      </c>
      <c r="E295" t="s">
        <v>163</v>
      </c>
      <c r="F295">
        <v>4</v>
      </c>
      <c r="G295" t="str">
        <f>_xlfn.XLOOKUP(E295,'Base SKUs'!E:E,'Base SKUs'!D:D)</f>
        <v>Thermowood</v>
      </c>
      <c r="H295" s="10">
        <f>_xlfn.XLOOKUP(E295,'Base SKUs'!E:E,'Base SKUs'!S:S)</f>
        <v>1.1172E-2</v>
      </c>
      <c r="I295" s="9">
        <f t="shared" si="4"/>
        <v>4.4999999999999998E-2</v>
      </c>
      <c r="J295" t="str">
        <f>_xlfn.XLOOKUP(E295,'Base SKUs'!E:E,'Base SKUs'!G:G)</f>
        <v>Maximo Thermo Ayous</v>
      </c>
      <c r="K295" t="str">
        <f>_xlfn.XLOOKUP(E295,'Base SKUs'!E:E,'Base SKUs'!H:H)</f>
        <v>S4S E4E</v>
      </c>
      <c r="L295" t="str">
        <f>_xlfn.XLOOKUP(E295,'Base SKUs'!E:E,'Base SKUs'!I:I)</f>
        <v>-</v>
      </c>
      <c r="M295" t="str">
        <f>_xlfn.XLOOKUP(E295,'Base SKUs'!E:E,'Base SKUs'!J:J)</f>
        <v>1x6</v>
      </c>
      <c r="N295">
        <f>_xlfn.XLOOKUP(E295,'Base SKUs'!E:E,'Base SKUs'!K:K)</f>
        <v>14</v>
      </c>
      <c r="O295" t="str">
        <f>_xlfn.XLOOKUP(E295,'Base SKUs'!E:E,'Base SKUs'!C:C)</f>
        <v>Long</v>
      </c>
      <c r="P295" t="s">
        <v>4929</v>
      </c>
    </row>
    <row r="296" spans="1:16" x14ac:dyDescent="0.25">
      <c r="A296" t="s">
        <v>4910</v>
      </c>
      <c r="B296" t="s">
        <v>4907</v>
      </c>
      <c r="C296" t="s">
        <v>4908</v>
      </c>
      <c r="D296" s="11">
        <v>9009</v>
      </c>
      <c r="E296" t="s">
        <v>159</v>
      </c>
      <c r="F296">
        <v>105</v>
      </c>
      <c r="G296" t="str">
        <f>_xlfn.XLOOKUP(E296,'Base SKUs'!E:E,'Base SKUs'!D:D)</f>
        <v>Thermowood</v>
      </c>
      <c r="H296" s="10">
        <f>_xlfn.XLOOKUP(E296,'Base SKUs'!E:E,'Base SKUs'!S:S)</f>
        <v>6.3839999999999999E-3</v>
      </c>
      <c r="I296" s="9">
        <f t="shared" si="4"/>
        <v>0.67</v>
      </c>
      <c r="J296" t="str">
        <f>_xlfn.XLOOKUP(E296,'Base SKUs'!E:E,'Base SKUs'!G:G)</f>
        <v>Maximo Thermo Ayous</v>
      </c>
      <c r="K296" t="str">
        <f>_xlfn.XLOOKUP(E296,'Base SKUs'!E:E,'Base SKUs'!H:H)</f>
        <v>S4S E4E</v>
      </c>
      <c r="L296" t="str">
        <f>_xlfn.XLOOKUP(E296,'Base SKUs'!E:E,'Base SKUs'!I:I)</f>
        <v>-</v>
      </c>
      <c r="M296" t="str">
        <f>_xlfn.XLOOKUP(E296,'Base SKUs'!E:E,'Base SKUs'!J:J)</f>
        <v>1x6</v>
      </c>
      <c r="N296">
        <f>_xlfn.XLOOKUP(E296,'Base SKUs'!E:E,'Base SKUs'!K:K)</f>
        <v>8</v>
      </c>
      <c r="O296" t="str">
        <f>_xlfn.XLOOKUP(E296,'Base SKUs'!E:E,'Base SKUs'!C:C)</f>
        <v>Long</v>
      </c>
      <c r="P296" t="s">
        <v>4929</v>
      </c>
    </row>
    <row r="297" spans="1:16" x14ac:dyDescent="0.25">
      <c r="A297" t="s">
        <v>4910</v>
      </c>
      <c r="B297" t="s">
        <v>4907</v>
      </c>
      <c r="C297" t="s">
        <v>4908</v>
      </c>
      <c r="D297" s="11">
        <v>9009</v>
      </c>
      <c r="E297" t="s">
        <v>177</v>
      </c>
      <c r="F297">
        <v>49</v>
      </c>
      <c r="G297" t="str">
        <f>_xlfn.XLOOKUP(E297,'Base SKUs'!E:E,'Base SKUs'!D:D)</f>
        <v>Thermowood</v>
      </c>
      <c r="H297" s="10">
        <f>_xlfn.XLOOKUP(E297,'Base SKUs'!E:E,'Base SKUs'!S:S)</f>
        <v>3.192E-3</v>
      </c>
      <c r="I297" s="9">
        <f t="shared" si="4"/>
        <v>0.156</v>
      </c>
      <c r="J297" t="str">
        <f>_xlfn.XLOOKUP(E297,'Base SKUs'!E:E,'Base SKUs'!G:G)</f>
        <v>Maximo Thermo Ayous</v>
      </c>
      <c r="K297" t="str">
        <f>_xlfn.XLOOKUP(E297,'Base SKUs'!E:E,'Base SKUs'!H:H)</f>
        <v>S4S E4E</v>
      </c>
      <c r="L297" t="str">
        <f>_xlfn.XLOOKUP(E297,'Base SKUs'!E:E,'Base SKUs'!I:I)</f>
        <v>-</v>
      </c>
      <c r="M297" t="str">
        <f>_xlfn.XLOOKUP(E297,'Base SKUs'!E:E,'Base SKUs'!J:J)</f>
        <v>1x6</v>
      </c>
      <c r="N297">
        <f>_xlfn.XLOOKUP(E297,'Base SKUs'!E:E,'Base SKUs'!K:K)</f>
        <v>4</v>
      </c>
      <c r="O297" t="str">
        <f>_xlfn.XLOOKUP(E297,'Base SKUs'!E:E,'Base SKUs'!C:C)</f>
        <v>Short</v>
      </c>
      <c r="P297" t="s">
        <v>4929</v>
      </c>
    </row>
    <row r="298" spans="1:16" x14ac:dyDescent="0.25">
      <c r="A298" t="s">
        <v>4910</v>
      </c>
      <c r="B298" t="s">
        <v>4907</v>
      </c>
      <c r="C298" t="s">
        <v>4908</v>
      </c>
      <c r="D298" s="11">
        <v>9009</v>
      </c>
      <c r="E298" t="s">
        <v>3738</v>
      </c>
      <c r="F298">
        <v>7</v>
      </c>
      <c r="G298" t="str">
        <f>_xlfn.XLOOKUP(E298,'Base SKUs'!E:E,'Base SKUs'!D:D)</f>
        <v>Thermowood</v>
      </c>
      <c r="H298" s="10">
        <f>_xlfn.XLOOKUP(E298,'Base SKUs'!E:E,'Base SKUs'!S:S)</f>
        <v>1.0799999999999999E-2</v>
      </c>
      <c r="I298" s="9">
        <f t="shared" si="4"/>
        <v>7.5999999999999998E-2</v>
      </c>
      <c r="J298" t="str">
        <f>_xlfn.XLOOKUP(E298,'Base SKUs'!E:E,'Base SKUs'!G:G)</f>
        <v>Maximo Thermo Ayous</v>
      </c>
      <c r="K298" t="str">
        <f>_xlfn.XLOOKUP(E298,'Base SKUs'!E:E,'Base SKUs'!H:H)</f>
        <v>S4S E4E</v>
      </c>
      <c r="L298" t="str">
        <f>_xlfn.XLOOKUP(E298,'Base SKUs'!E:E,'Base SKUs'!I:I)</f>
        <v>-</v>
      </c>
      <c r="M298" t="str">
        <f>_xlfn.XLOOKUP(E298,'Base SKUs'!E:E,'Base SKUs'!J:J)</f>
        <v>1x8</v>
      </c>
      <c r="N298">
        <f>_xlfn.XLOOKUP(E298,'Base SKUs'!E:E,'Base SKUs'!K:K)</f>
        <v>10</v>
      </c>
      <c r="O298" t="str">
        <f>_xlfn.XLOOKUP(E298,'Base SKUs'!E:E,'Base SKUs'!C:C)</f>
        <v>Long</v>
      </c>
      <c r="P298" t="s">
        <v>4929</v>
      </c>
    </row>
    <row r="299" spans="1:16" x14ac:dyDescent="0.25">
      <c r="A299" t="s">
        <v>4910</v>
      </c>
      <c r="B299" t="s">
        <v>4907</v>
      </c>
      <c r="C299" t="s">
        <v>4908</v>
      </c>
      <c r="D299" s="11">
        <v>9009</v>
      </c>
      <c r="E299" t="s">
        <v>3740</v>
      </c>
      <c r="F299">
        <v>70</v>
      </c>
      <c r="G299" t="str">
        <f>_xlfn.XLOOKUP(E299,'Base SKUs'!E:E,'Base SKUs'!D:D)</f>
        <v>Thermowood</v>
      </c>
      <c r="H299" s="10">
        <f>_xlfn.XLOOKUP(E299,'Base SKUs'!E:E,'Base SKUs'!S:S)</f>
        <v>1.188E-2</v>
      </c>
      <c r="I299" s="9">
        <f t="shared" si="4"/>
        <v>0.83199999999999996</v>
      </c>
      <c r="J299" t="str">
        <f>_xlfn.XLOOKUP(E299,'Base SKUs'!E:E,'Base SKUs'!G:G)</f>
        <v>Maximo Thermo Ayous</v>
      </c>
      <c r="K299" t="str">
        <f>_xlfn.XLOOKUP(E299,'Base SKUs'!E:E,'Base SKUs'!H:H)</f>
        <v>S4S E4E</v>
      </c>
      <c r="L299" t="str">
        <f>_xlfn.XLOOKUP(E299,'Base SKUs'!E:E,'Base SKUs'!I:I)</f>
        <v>-</v>
      </c>
      <c r="M299" t="str">
        <f>_xlfn.XLOOKUP(E299,'Base SKUs'!E:E,'Base SKUs'!J:J)</f>
        <v>1x8</v>
      </c>
      <c r="N299">
        <f>_xlfn.XLOOKUP(E299,'Base SKUs'!E:E,'Base SKUs'!K:K)</f>
        <v>11</v>
      </c>
      <c r="O299" t="str">
        <f>_xlfn.XLOOKUP(E299,'Base SKUs'!E:E,'Base SKUs'!C:C)</f>
        <v>Long</v>
      </c>
      <c r="P299" t="s">
        <v>4929</v>
      </c>
    </row>
    <row r="300" spans="1:16" x14ac:dyDescent="0.25">
      <c r="A300" t="s">
        <v>4910</v>
      </c>
      <c r="B300" t="s">
        <v>4907</v>
      </c>
      <c r="C300" t="s">
        <v>4908</v>
      </c>
      <c r="D300" s="11">
        <v>9009</v>
      </c>
      <c r="E300" t="s">
        <v>3753</v>
      </c>
      <c r="F300">
        <v>359</v>
      </c>
      <c r="G300" t="str">
        <f>_xlfn.XLOOKUP(E300,'Base SKUs'!E:E,'Base SKUs'!D:D)</f>
        <v>Thermowood</v>
      </c>
      <c r="H300" s="10">
        <f>_xlfn.XLOOKUP(E300,'Base SKUs'!E:E,'Base SKUs'!S:S)</f>
        <v>9.7200000000000012E-3</v>
      </c>
      <c r="I300" s="9">
        <f t="shared" si="4"/>
        <v>3.4889999999999999</v>
      </c>
      <c r="J300" t="str">
        <f>_xlfn.XLOOKUP(E300,'Base SKUs'!E:E,'Base SKUs'!G:G)</f>
        <v>Maximo Thermo Ayous</v>
      </c>
      <c r="K300" t="str">
        <f>_xlfn.XLOOKUP(E300,'Base SKUs'!E:E,'Base SKUs'!H:H)</f>
        <v>S4S E4E</v>
      </c>
      <c r="L300" t="str">
        <f>_xlfn.XLOOKUP(E300,'Base SKUs'!E:E,'Base SKUs'!I:I)</f>
        <v>-</v>
      </c>
      <c r="M300" t="str">
        <f>_xlfn.XLOOKUP(E300,'Base SKUs'!E:E,'Base SKUs'!J:J)</f>
        <v>1x8</v>
      </c>
      <c r="N300">
        <f>_xlfn.XLOOKUP(E300,'Base SKUs'!E:E,'Base SKUs'!K:K)</f>
        <v>9</v>
      </c>
      <c r="O300" t="str">
        <f>_xlfn.XLOOKUP(E300,'Base SKUs'!E:E,'Base SKUs'!C:C)</f>
        <v>Long</v>
      </c>
      <c r="P300" t="s">
        <v>4929</v>
      </c>
    </row>
    <row r="301" spans="1:16" x14ac:dyDescent="0.25">
      <c r="A301" t="s">
        <v>4910</v>
      </c>
      <c r="B301" t="s">
        <v>4907</v>
      </c>
      <c r="C301" t="s">
        <v>4908</v>
      </c>
      <c r="D301" s="11">
        <v>9009</v>
      </c>
      <c r="E301" t="s">
        <v>100</v>
      </c>
      <c r="F301">
        <v>15</v>
      </c>
      <c r="G301" t="str">
        <f>_xlfn.XLOOKUP(E301,'Base SKUs'!E:E,'Base SKUs'!D:D)</f>
        <v>Thermowood</v>
      </c>
      <c r="H301" s="10">
        <f>_xlfn.XLOOKUP(E301,'Base SKUs'!E:E,'Base SKUs'!S:S)</f>
        <v>1.1970000000000001E-2</v>
      </c>
      <c r="I301" s="9">
        <f t="shared" si="4"/>
        <v>0.18</v>
      </c>
      <c r="J301" t="str">
        <f>_xlfn.XLOOKUP(E301,'Base SKUs'!E:E,'Base SKUs'!G:G)</f>
        <v>Maximo Thermo Ayous</v>
      </c>
      <c r="K301" t="str">
        <f>_xlfn.XLOOKUP(E301,'Base SKUs'!E:E,'Base SKUs'!H:H)</f>
        <v>VJoint - Square Back</v>
      </c>
      <c r="L301" t="str">
        <f>_xlfn.XLOOKUP(E301,'Base SKUs'!E:E,'Base SKUs'!I:I)</f>
        <v>-</v>
      </c>
      <c r="M301" t="str">
        <f>_xlfn.XLOOKUP(E301,'Base SKUs'!E:E,'Base SKUs'!J:J)</f>
        <v>1x6</v>
      </c>
      <c r="N301">
        <f>_xlfn.XLOOKUP(E301,'Base SKUs'!E:E,'Base SKUs'!K:K)</f>
        <v>15</v>
      </c>
      <c r="O301" t="str">
        <f>_xlfn.XLOOKUP(E301,'Base SKUs'!E:E,'Base SKUs'!C:C)</f>
        <v>Long</v>
      </c>
      <c r="P301" t="s">
        <v>4929</v>
      </c>
    </row>
    <row r="302" spans="1:16" x14ac:dyDescent="0.25">
      <c r="A302" t="s">
        <v>4910</v>
      </c>
      <c r="B302" t="s">
        <v>4907</v>
      </c>
      <c r="C302" t="s">
        <v>4908</v>
      </c>
      <c r="D302" s="11">
        <v>9009</v>
      </c>
      <c r="E302" t="s">
        <v>42</v>
      </c>
      <c r="F302">
        <v>35</v>
      </c>
      <c r="G302" t="str">
        <f>_xlfn.XLOOKUP(E302,'Base SKUs'!E:E,'Base SKUs'!D:D)</f>
        <v>Thermowood</v>
      </c>
      <c r="H302" s="10">
        <f>_xlfn.XLOOKUP(E302,'Base SKUs'!E:E,'Base SKUs'!S:S)</f>
        <v>1.2768E-2</v>
      </c>
      <c r="I302" s="9">
        <f t="shared" si="4"/>
        <v>0.44700000000000001</v>
      </c>
      <c r="J302" t="str">
        <f>_xlfn.XLOOKUP(E302,'Base SKUs'!E:E,'Base SKUs'!G:G)</f>
        <v>Maximo Thermo Ayous</v>
      </c>
      <c r="K302" t="str">
        <f>_xlfn.XLOOKUP(E302,'Base SKUs'!E:E,'Base SKUs'!H:H)</f>
        <v>VJoint - Square Back</v>
      </c>
      <c r="L302" t="str">
        <f>_xlfn.XLOOKUP(E302,'Base SKUs'!E:E,'Base SKUs'!I:I)</f>
        <v>-</v>
      </c>
      <c r="M302" t="str">
        <f>_xlfn.XLOOKUP(E302,'Base SKUs'!E:E,'Base SKUs'!J:J)</f>
        <v>1x6</v>
      </c>
      <c r="N302">
        <f>_xlfn.XLOOKUP(E302,'Base SKUs'!E:E,'Base SKUs'!K:K)</f>
        <v>16</v>
      </c>
      <c r="O302" t="str">
        <f>_xlfn.XLOOKUP(E302,'Base SKUs'!E:E,'Base SKUs'!C:C)</f>
        <v>Long</v>
      </c>
      <c r="P302" t="s">
        <v>4929</v>
      </c>
    </row>
    <row r="303" spans="1:16" x14ac:dyDescent="0.25">
      <c r="A303" t="s">
        <v>4910</v>
      </c>
      <c r="B303" t="s">
        <v>4907</v>
      </c>
      <c r="C303" t="s">
        <v>4908</v>
      </c>
      <c r="D303" s="11">
        <v>9009</v>
      </c>
      <c r="E303" t="s">
        <v>101</v>
      </c>
      <c r="F303">
        <v>30</v>
      </c>
      <c r="G303" t="str">
        <f>_xlfn.XLOOKUP(E303,'Base SKUs'!E:E,'Base SKUs'!D:D)</f>
        <v>Thermowood</v>
      </c>
      <c r="H303" s="10">
        <f>_xlfn.XLOOKUP(E303,'Base SKUs'!E:E,'Base SKUs'!S:S)</f>
        <v>1.3565999999999998E-2</v>
      </c>
      <c r="I303" s="9">
        <f t="shared" si="4"/>
        <v>0.40699999999999997</v>
      </c>
      <c r="J303" t="str">
        <f>_xlfn.XLOOKUP(E303,'Base SKUs'!E:E,'Base SKUs'!G:G)</f>
        <v>Maximo Thermo Ayous</v>
      </c>
      <c r="K303" t="str">
        <f>_xlfn.XLOOKUP(E303,'Base SKUs'!E:E,'Base SKUs'!H:H)</f>
        <v>VJoint - Square Back</v>
      </c>
      <c r="L303" t="str">
        <f>_xlfn.XLOOKUP(E303,'Base SKUs'!E:E,'Base SKUs'!I:I)</f>
        <v>-</v>
      </c>
      <c r="M303" t="str">
        <f>_xlfn.XLOOKUP(E303,'Base SKUs'!E:E,'Base SKUs'!J:J)</f>
        <v>1x6</v>
      </c>
      <c r="N303">
        <f>_xlfn.XLOOKUP(E303,'Base SKUs'!E:E,'Base SKUs'!K:K)</f>
        <v>17</v>
      </c>
      <c r="O303" t="str">
        <f>_xlfn.XLOOKUP(E303,'Base SKUs'!E:E,'Base SKUs'!C:C)</f>
        <v>Long</v>
      </c>
      <c r="P303" t="s">
        <v>4929</v>
      </c>
    </row>
    <row r="304" spans="1:16" x14ac:dyDescent="0.25">
      <c r="A304" t="s">
        <v>4910</v>
      </c>
      <c r="B304" t="s">
        <v>4907</v>
      </c>
      <c r="C304" t="s">
        <v>4908</v>
      </c>
      <c r="D304" s="11">
        <v>9009</v>
      </c>
      <c r="E304" t="s">
        <v>31</v>
      </c>
      <c r="F304">
        <v>49</v>
      </c>
      <c r="G304" t="str">
        <f>_xlfn.XLOOKUP(E304,'Base SKUs'!E:E,'Base SKUs'!D:D)</f>
        <v>Thermowood</v>
      </c>
      <c r="H304" s="10">
        <f>_xlfn.XLOOKUP(E304,'Base SKUs'!E:E,'Base SKUs'!S:S)</f>
        <v>6.3839999999999999E-3</v>
      </c>
      <c r="I304" s="9">
        <f t="shared" si="4"/>
        <v>0.313</v>
      </c>
      <c r="J304" t="str">
        <f>_xlfn.XLOOKUP(E304,'Base SKUs'!E:E,'Base SKUs'!G:G)</f>
        <v>Maximo Thermo Ayous</v>
      </c>
      <c r="K304" t="str">
        <f>_xlfn.XLOOKUP(E304,'Base SKUs'!E:E,'Base SKUs'!H:H)</f>
        <v>VJoint - Square Back</v>
      </c>
      <c r="L304" t="str">
        <f>_xlfn.XLOOKUP(E304,'Base SKUs'!E:E,'Base SKUs'!I:I)</f>
        <v>-</v>
      </c>
      <c r="M304" t="str">
        <f>_xlfn.XLOOKUP(E304,'Base SKUs'!E:E,'Base SKUs'!J:J)</f>
        <v>1x6</v>
      </c>
      <c r="N304">
        <f>_xlfn.XLOOKUP(E304,'Base SKUs'!E:E,'Base SKUs'!K:K)</f>
        <v>8</v>
      </c>
      <c r="O304" t="str">
        <f>_xlfn.XLOOKUP(E304,'Base SKUs'!E:E,'Base SKUs'!C:C)</f>
        <v>Long</v>
      </c>
      <c r="P304" t="s">
        <v>4929</v>
      </c>
    </row>
    <row r="305" spans="1:16" x14ac:dyDescent="0.25">
      <c r="A305" t="s">
        <v>4910</v>
      </c>
      <c r="B305" t="s">
        <v>4907</v>
      </c>
      <c r="C305" t="s">
        <v>4908</v>
      </c>
      <c r="D305" s="11">
        <v>9009</v>
      </c>
      <c r="E305" t="s">
        <v>88</v>
      </c>
      <c r="F305">
        <v>210</v>
      </c>
      <c r="G305" t="str">
        <f>_xlfn.XLOOKUP(E305,'Base SKUs'!E:E,'Base SKUs'!D:D)</f>
        <v>Thermowood</v>
      </c>
      <c r="H305" s="10">
        <f>_xlfn.XLOOKUP(E305,'Base SKUs'!E:E,'Base SKUs'!S:S)</f>
        <v>7.983854999999998E-3</v>
      </c>
      <c r="I305" s="9">
        <f t="shared" si="4"/>
        <v>1.677</v>
      </c>
      <c r="J305" t="str">
        <f>_xlfn.XLOOKUP(E305,'Base SKUs'!E:E,'Base SKUs'!G:G)</f>
        <v>Wawa</v>
      </c>
      <c r="K305" t="str">
        <f>_xlfn.XLOOKUP(E305,'Base SKUs'!E:E,'Base SKUs'!H:H)</f>
        <v>S4S Tongue &amp; Grooved</v>
      </c>
      <c r="L305" t="str">
        <f>_xlfn.XLOOKUP(E305,'Base SKUs'!E:E,'Base SKUs'!I:I)</f>
        <v>-</v>
      </c>
      <c r="M305" t="str">
        <f>_xlfn.XLOOKUP(E305,'Base SKUs'!E:E,'Base SKUs'!J:J)</f>
        <v>1x6</v>
      </c>
      <c r="N305">
        <f>_xlfn.XLOOKUP(E305,'Base SKUs'!E:E,'Base SKUs'!K:K)</f>
        <v>10</v>
      </c>
      <c r="O305" t="str">
        <f>_xlfn.XLOOKUP(E305,'Base SKUs'!E:E,'Base SKUs'!C:C)</f>
        <v>Long</v>
      </c>
      <c r="P305" t="s">
        <v>4929</v>
      </c>
    </row>
    <row r="306" spans="1:16" x14ac:dyDescent="0.25">
      <c r="A306" t="s">
        <v>4910</v>
      </c>
      <c r="B306" t="s">
        <v>4907</v>
      </c>
      <c r="C306" t="s">
        <v>4908</v>
      </c>
      <c r="D306" s="11">
        <v>9009</v>
      </c>
      <c r="E306" t="s">
        <v>89</v>
      </c>
      <c r="F306">
        <v>311</v>
      </c>
      <c r="G306" t="str">
        <f>_xlfn.XLOOKUP(E306,'Base SKUs'!E:E,'Base SKUs'!D:D)</f>
        <v>Thermowood</v>
      </c>
      <c r="H306" s="10">
        <f>_xlfn.XLOOKUP(E306,'Base SKUs'!E:E,'Base SKUs'!S:S)</f>
        <v>9.5806259999999983E-3</v>
      </c>
      <c r="I306" s="9">
        <f t="shared" si="4"/>
        <v>2.98</v>
      </c>
      <c r="J306" t="str">
        <f>_xlfn.XLOOKUP(E306,'Base SKUs'!E:E,'Base SKUs'!G:G)</f>
        <v>Wawa</v>
      </c>
      <c r="K306" t="str">
        <f>_xlfn.XLOOKUP(E306,'Base SKUs'!E:E,'Base SKUs'!H:H)</f>
        <v>S4S Tongue &amp; Grooved</v>
      </c>
      <c r="L306" t="str">
        <f>_xlfn.XLOOKUP(E306,'Base SKUs'!E:E,'Base SKUs'!I:I)</f>
        <v>-</v>
      </c>
      <c r="M306" t="str">
        <f>_xlfn.XLOOKUP(E306,'Base SKUs'!E:E,'Base SKUs'!J:J)</f>
        <v>1x6</v>
      </c>
      <c r="N306">
        <f>_xlfn.XLOOKUP(E306,'Base SKUs'!E:E,'Base SKUs'!K:K)</f>
        <v>12</v>
      </c>
      <c r="O306" t="str">
        <f>_xlfn.XLOOKUP(E306,'Base SKUs'!E:E,'Base SKUs'!C:C)</f>
        <v>Long</v>
      </c>
      <c r="P306" t="s">
        <v>4929</v>
      </c>
    </row>
    <row r="307" spans="1:16" x14ac:dyDescent="0.25">
      <c r="A307" t="s">
        <v>4910</v>
      </c>
      <c r="B307" t="s">
        <v>4907</v>
      </c>
      <c r="C307" t="s">
        <v>4908</v>
      </c>
      <c r="D307" s="11">
        <v>9009</v>
      </c>
      <c r="E307" t="s">
        <v>3804</v>
      </c>
      <c r="F307">
        <v>190</v>
      </c>
      <c r="G307" t="str">
        <f>_xlfn.XLOOKUP(E307,'Base SKUs'!E:E,'Base SKUs'!D:D)</f>
        <v>Thermowood</v>
      </c>
      <c r="H307" s="10">
        <f>_xlfn.XLOOKUP(E307,'Base SKUs'!E:E,'Base SKUs'!S:S)</f>
        <v>8.6400000000000001E-3</v>
      </c>
      <c r="I307" s="9">
        <f t="shared" si="4"/>
        <v>1.6419999999999999</v>
      </c>
      <c r="J307" t="str">
        <f>_xlfn.XLOOKUP(E307,'Base SKUs'!E:E,'Base SKUs'!G:G)</f>
        <v>Maximo Thermo Ayous</v>
      </c>
      <c r="K307" t="str">
        <f>_xlfn.XLOOKUP(E307,'Base SKUs'!E:E,'Base SKUs'!H:H)</f>
        <v>S4S E4E</v>
      </c>
      <c r="L307" t="str">
        <f>_xlfn.XLOOKUP(E307,'Base SKUs'!E:E,'Base SKUs'!I:I)</f>
        <v>-</v>
      </c>
      <c r="M307" t="str">
        <f>_xlfn.XLOOKUP(E307,'Base SKUs'!E:E,'Base SKUs'!J:J)</f>
        <v>2x4</v>
      </c>
      <c r="N307">
        <f>_xlfn.XLOOKUP(E307,'Base SKUs'!E:E,'Base SKUs'!K:K)</f>
        <v>8</v>
      </c>
      <c r="O307" t="str">
        <f>_xlfn.XLOOKUP(E307,'Base SKUs'!E:E,'Base SKUs'!C:C)</f>
        <v>Long</v>
      </c>
      <c r="P307" t="s">
        <v>4929</v>
      </c>
    </row>
    <row r="308" spans="1:16" x14ac:dyDescent="0.25">
      <c r="A308" t="s">
        <v>4910</v>
      </c>
      <c r="B308" t="s">
        <v>4907</v>
      </c>
      <c r="C308" t="s">
        <v>4908</v>
      </c>
      <c r="D308" s="11">
        <v>9009</v>
      </c>
      <c r="E308" t="s">
        <v>3819</v>
      </c>
      <c r="F308">
        <v>7</v>
      </c>
      <c r="G308" t="str">
        <f>_xlfn.XLOOKUP(E308,'Base SKUs'!E:E,'Base SKUs'!D:D)</f>
        <v>Thermowood</v>
      </c>
      <c r="H308" s="10">
        <f>_xlfn.XLOOKUP(E308,'Base SKUs'!E:E,'Base SKUs'!S:S)</f>
        <v>1.3439999999999999E-2</v>
      </c>
      <c r="I308" s="9">
        <f t="shared" si="4"/>
        <v>9.4E-2</v>
      </c>
      <c r="J308" t="str">
        <f>_xlfn.XLOOKUP(E308,'Base SKUs'!E:E,'Base SKUs'!G:G)</f>
        <v>Maximo Thermo Ayous</v>
      </c>
      <c r="K308" t="str">
        <f>_xlfn.XLOOKUP(E308,'Base SKUs'!E:E,'Base SKUs'!H:H)</f>
        <v>S4S E4E</v>
      </c>
      <c r="L308" t="str">
        <f>_xlfn.XLOOKUP(E308,'Base SKUs'!E:E,'Base SKUs'!I:I)</f>
        <v>-</v>
      </c>
      <c r="M308" t="str">
        <f>_xlfn.XLOOKUP(E308,'Base SKUs'!E:E,'Base SKUs'!J:J)</f>
        <v>2x6</v>
      </c>
      <c r="N308">
        <f>_xlfn.XLOOKUP(E308,'Base SKUs'!E:E,'Base SKUs'!K:K)</f>
        <v>8</v>
      </c>
      <c r="O308" t="str">
        <f>_xlfn.XLOOKUP(E308,'Base SKUs'!E:E,'Base SKUs'!C:C)</f>
        <v>Long</v>
      </c>
      <c r="P308" t="s">
        <v>4929</v>
      </c>
    </row>
    <row r="309" spans="1:16" x14ac:dyDescent="0.25">
      <c r="A309" t="s">
        <v>4911</v>
      </c>
      <c r="B309" t="s">
        <v>4907</v>
      </c>
      <c r="C309" t="s">
        <v>4908</v>
      </c>
      <c r="D309" s="11">
        <v>9009</v>
      </c>
      <c r="E309" t="s">
        <v>2004</v>
      </c>
      <c r="F309">
        <v>1</v>
      </c>
      <c r="G309" t="str">
        <f>_xlfn.XLOOKUP(E309,'Base SKUs'!E:E,'Base SKUs'!D:D)</f>
        <v>Hardwoods</v>
      </c>
      <c r="H309" s="10">
        <f>_xlfn.XLOOKUP(E309,'Base SKUs'!E:E,'Base SKUs'!S:S)</f>
        <v>5.5060535040000001E-3</v>
      </c>
      <c r="I309" s="9">
        <f t="shared" si="4"/>
        <v>6.0000000000000001E-3</v>
      </c>
      <c r="J309" t="str">
        <f>_xlfn.XLOOKUP(E309,'Base SKUs'!E:E,'Base SKUs'!G:G)</f>
        <v>Ipe</v>
      </c>
      <c r="K309" t="str">
        <f>_xlfn.XLOOKUP(E309,'Base SKUs'!E:E,'Base SKUs'!H:H)</f>
        <v>S4S E4E</v>
      </c>
      <c r="L309" t="str">
        <f>_xlfn.XLOOKUP(E309,'Base SKUs'!E:E,'Base SKUs'!I:I)</f>
        <v>-</v>
      </c>
      <c r="M309" t="str">
        <f>_xlfn.XLOOKUP(E309,'Base SKUs'!E:E,'Base SKUs'!J:J)</f>
        <v>5/4x4</v>
      </c>
      <c r="N309">
        <f>_xlfn.XLOOKUP(E309,'Base SKUs'!E:E,'Base SKUs'!K:K)</f>
        <v>8</v>
      </c>
      <c r="O309" t="str">
        <f>_xlfn.XLOOKUP(E309,'Base SKUs'!E:E,'Base SKUs'!C:C)</f>
        <v>Long</v>
      </c>
      <c r="P309" t="s">
        <v>4929</v>
      </c>
    </row>
    <row r="310" spans="1:16" x14ac:dyDescent="0.25">
      <c r="A310" t="s">
        <v>4912</v>
      </c>
      <c r="B310" t="s">
        <v>4839</v>
      </c>
      <c r="C310" t="s">
        <v>4840</v>
      </c>
      <c r="D310" s="11">
        <v>9008</v>
      </c>
      <c r="E310" t="s">
        <v>2517</v>
      </c>
      <c r="F310">
        <v>26</v>
      </c>
      <c r="G310" t="str">
        <f>_xlfn.XLOOKUP(E310,'Base SKUs'!E:E,'Base SKUs'!D:D)</f>
        <v>Norx</v>
      </c>
      <c r="H310" s="10">
        <f>_xlfn.XLOOKUP(E310,'Base SKUs'!E:E,'Base SKUs'!S:S)</f>
        <v>0</v>
      </c>
      <c r="I310" s="9">
        <f t="shared" si="4"/>
        <v>26</v>
      </c>
      <c r="J310" t="str">
        <f>_xlfn.XLOOKUP(E310,'Base SKUs'!E:E,'Base SKUs'!G:G)</f>
        <v>Brooklyn</v>
      </c>
      <c r="K310" t="str">
        <f>_xlfn.XLOOKUP(E310,'Base SKUs'!E:E,'Base SKUs'!H:H)</f>
        <v>Profile</v>
      </c>
      <c r="L310" t="str">
        <f>_xlfn.XLOOKUP(E310,'Base SKUs'!E:E,'Base SKUs'!I:I)</f>
        <v>-</v>
      </c>
      <c r="M310" t="str">
        <f>_xlfn.XLOOKUP(E310,'Base SKUs'!E:E,'Base SKUs'!J:J)</f>
        <v>1x6</v>
      </c>
      <c r="N310">
        <f>_xlfn.XLOOKUP(E310,'Base SKUs'!E:E,'Base SKUs'!K:K)</f>
        <v>16</v>
      </c>
      <c r="O310" t="str">
        <f>_xlfn.XLOOKUP(E310,'Base SKUs'!E:E,'Base SKUs'!C:C)</f>
        <v>Long</v>
      </c>
      <c r="P310" t="s">
        <v>4927</v>
      </c>
    </row>
    <row r="311" spans="1:16" x14ac:dyDescent="0.25">
      <c r="A311" t="s">
        <v>4912</v>
      </c>
      <c r="B311" t="s">
        <v>4839</v>
      </c>
      <c r="C311" t="s">
        <v>4840</v>
      </c>
      <c r="D311" s="11">
        <v>9008</v>
      </c>
      <c r="E311" t="s">
        <v>2517</v>
      </c>
      <c r="F311">
        <v>51</v>
      </c>
      <c r="G311" t="str">
        <f>_xlfn.XLOOKUP(E311,'Base SKUs'!E:E,'Base SKUs'!D:D)</f>
        <v>Norx</v>
      </c>
      <c r="H311" s="10">
        <f>_xlfn.XLOOKUP(E311,'Base SKUs'!E:E,'Base SKUs'!S:S)</f>
        <v>0</v>
      </c>
      <c r="I311" s="9">
        <f t="shared" si="4"/>
        <v>51</v>
      </c>
      <c r="J311" t="str">
        <f>_xlfn.XLOOKUP(E311,'Base SKUs'!E:E,'Base SKUs'!G:G)</f>
        <v>Brooklyn</v>
      </c>
      <c r="K311" t="str">
        <f>_xlfn.XLOOKUP(E311,'Base SKUs'!E:E,'Base SKUs'!H:H)</f>
        <v>Profile</v>
      </c>
      <c r="L311" t="str">
        <f>_xlfn.XLOOKUP(E311,'Base SKUs'!E:E,'Base SKUs'!I:I)</f>
        <v>-</v>
      </c>
      <c r="M311" t="str">
        <f>_xlfn.XLOOKUP(E311,'Base SKUs'!E:E,'Base SKUs'!J:J)</f>
        <v>1x6</v>
      </c>
      <c r="N311">
        <f>_xlfn.XLOOKUP(E311,'Base SKUs'!E:E,'Base SKUs'!K:K)</f>
        <v>16</v>
      </c>
      <c r="O311" t="str">
        <f>_xlfn.XLOOKUP(E311,'Base SKUs'!E:E,'Base SKUs'!C:C)</f>
        <v>Long</v>
      </c>
      <c r="P311" t="s">
        <v>4927</v>
      </c>
    </row>
    <row r="312" spans="1:16" x14ac:dyDescent="0.25">
      <c r="A312" t="s">
        <v>4913</v>
      </c>
      <c r="B312" t="s">
        <v>4839</v>
      </c>
      <c r="C312" t="s">
        <v>4840</v>
      </c>
      <c r="D312" s="11">
        <v>9007</v>
      </c>
      <c r="E312" t="s">
        <v>2729</v>
      </c>
      <c r="F312">
        <v>119</v>
      </c>
      <c r="G312" t="str">
        <f>_xlfn.XLOOKUP(E312,'Base SKUs'!E:E,'Base SKUs'!D:D)</f>
        <v>Norx</v>
      </c>
      <c r="H312" s="10">
        <f>_xlfn.XLOOKUP(E312,'Base SKUs'!E:E,'Base SKUs'!S:S)</f>
        <v>0</v>
      </c>
      <c r="I312" s="9">
        <f t="shared" si="4"/>
        <v>119</v>
      </c>
      <c r="J312" t="str">
        <f>_xlfn.XLOOKUP(E312,'Base SKUs'!E:E,'Base SKUs'!G:G)</f>
        <v>Mayfair</v>
      </c>
      <c r="K312" t="str">
        <f>_xlfn.XLOOKUP(E312,'Base SKUs'!E:E,'Base SKUs'!H:H)</f>
        <v>Profile</v>
      </c>
      <c r="L312" t="str">
        <f>_xlfn.XLOOKUP(E312,'Base SKUs'!E:E,'Base SKUs'!I:I)</f>
        <v>-</v>
      </c>
      <c r="M312" t="str">
        <f>_xlfn.XLOOKUP(E312,'Base SKUs'!E:E,'Base SKUs'!J:J)</f>
        <v>1x8</v>
      </c>
      <c r="N312">
        <f>_xlfn.XLOOKUP(E312,'Base SKUs'!E:E,'Base SKUs'!K:K)</f>
        <v>16</v>
      </c>
      <c r="O312" t="str">
        <f>_xlfn.XLOOKUP(E312,'Base SKUs'!E:E,'Base SKUs'!C:C)</f>
        <v>Long</v>
      </c>
      <c r="P312" t="s">
        <v>4927</v>
      </c>
    </row>
    <row r="313" spans="1:16" x14ac:dyDescent="0.25">
      <c r="A313" t="s">
        <v>4914</v>
      </c>
      <c r="B313" t="s">
        <v>4839</v>
      </c>
      <c r="C313" t="s">
        <v>4915</v>
      </c>
      <c r="D313" s="11">
        <v>9007</v>
      </c>
      <c r="E313" t="s">
        <v>3662</v>
      </c>
      <c r="F313">
        <v>2</v>
      </c>
      <c r="G313" t="str">
        <f>_xlfn.XLOOKUP(E313,'Base SKUs'!E:E,'Base SKUs'!D:D)</f>
        <v>Thermowood</v>
      </c>
      <c r="H313" s="10">
        <f>_xlfn.XLOOKUP(E313,'Base SKUs'!E:E,'Base SKUs'!S:S)</f>
        <v>4.8701515499999992E-3</v>
      </c>
      <c r="I313" s="9">
        <f t="shared" si="4"/>
        <v>0.01</v>
      </c>
      <c r="J313" t="str">
        <f>_xlfn.XLOOKUP(E313,'Base SKUs'!E:E,'Base SKUs'!G:G)</f>
        <v>Maximo Thermo Ayous JPL</v>
      </c>
      <c r="K313" t="str">
        <f>_xlfn.XLOOKUP(E313,'Base SKUs'!E:E,'Base SKUs'!H:H)</f>
        <v>VJoint - Square Back</v>
      </c>
      <c r="L313" t="str">
        <f>_xlfn.XLOOKUP(E313,'Base SKUs'!E:E,'Base SKUs'!I:I)</f>
        <v>-</v>
      </c>
      <c r="M313" t="str">
        <f>_xlfn.XLOOKUP(E313,'Base SKUs'!E:E,'Base SKUs'!J:J)</f>
        <v>1x6</v>
      </c>
      <c r="N313">
        <f>_xlfn.XLOOKUP(E313,'Base SKUs'!E:E,'Base SKUs'!K:K)</f>
        <v>6</v>
      </c>
      <c r="O313" t="str">
        <f>_xlfn.XLOOKUP(E313,'Base SKUs'!E:E,'Base SKUs'!C:C)</f>
        <v>Short</v>
      </c>
      <c r="P313" t="s">
        <v>4929</v>
      </c>
    </row>
    <row r="314" spans="1:16" x14ac:dyDescent="0.25">
      <c r="A314" t="s">
        <v>4914</v>
      </c>
      <c r="B314" t="s">
        <v>4839</v>
      </c>
      <c r="C314" t="s">
        <v>4915</v>
      </c>
      <c r="D314" s="11">
        <v>9007</v>
      </c>
      <c r="E314" t="s">
        <v>3663</v>
      </c>
      <c r="F314">
        <v>5</v>
      </c>
      <c r="G314" t="str">
        <f>_xlfn.XLOOKUP(E314,'Base SKUs'!E:E,'Base SKUs'!D:D)</f>
        <v>Thermowood</v>
      </c>
      <c r="H314" s="10">
        <f>_xlfn.XLOOKUP(E314,'Base SKUs'!E:E,'Base SKUs'!S:S)</f>
        <v>5.6685370499999976E-3</v>
      </c>
      <c r="I314" s="9">
        <f t="shared" si="4"/>
        <v>2.8000000000000001E-2</v>
      </c>
      <c r="J314" t="str">
        <f>_xlfn.XLOOKUP(E314,'Base SKUs'!E:E,'Base SKUs'!G:G)</f>
        <v>Maximo Thermo Ayous JPL</v>
      </c>
      <c r="K314" t="str">
        <f>_xlfn.XLOOKUP(E314,'Base SKUs'!E:E,'Base SKUs'!H:H)</f>
        <v>VJoint - Square Back</v>
      </c>
      <c r="L314" t="str">
        <f>_xlfn.XLOOKUP(E314,'Base SKUs'!E:E,'Base SKUs'!I:I)</f>
        <v>-</v>
      </c>
      <c r="M314" t="str">
        <f>_xlfn.XLOOKUP(E314,'Base SKUs'!E:E,'Base SKUs'!J:J)</f>
        <v>1x6</v>
      </c>
      <c r="N314">
        <f>_xlfn.XLOOKUP(E314,'Base SKUs'!E:E,'Base SKUs'!K:K)</f>
        <v>7</v>
      </c>
      <c r="O314" t="str">
        <f>_xlfn.XLOOKUP(E314,'Base SKUs'!E:E,'Base SKUs'!C:C)</f>
        <v>Short</v>
      </c>
      <c r="P314" t="s">
        <v>4929</v>
      </c>
    </row>
    <row r="315" spans="1:16" x14ac:dyDescent="0.25">
      <c r="A315" t="s">
        <v>4914</v>
      </c>
      <c r="B315" t="s">
        <v>4839</v>
      </c>
      <c r="C315" t="s">
        <v>4915</v>
      </c>
      <c r="D315" s="11">
        <v>9007</v>
      </c>
      <c r="E315" t="s">
        <v>3664</v>
      </c>
      <c r="F315">
        <v>17</v>
      </c>
      <c r="G315" t="str">
        <f>_xlfn.XLOOKUP(E315,'Base SKUs'!E:E,'Base SKUs'!D:D)</f>
        <v>Thermowood</v>
      </c>
      <c r="H315" s="10">
        <f>_xlfn.XLOOKUP(E315,'Base SKUs'!E:E,'Base SKUs'!S:S)</f>
        <v>6.4935353999999992E-3</v>
      </c>
      <c r="I315" s="9">
        <f t="shared" si="4"/>
        <v>0.11</v>
      </c>
      <c r="J315" t="str">
        <f>_xlfn.XLOOKUP(E315,'Base SKUs'!E:E,'Base SKUs'!G:G)</f>
        <v>Maximo Thermo Ayous JPL</v>
      </c>
      <c r="K315" t="str">
        <f>_xlfn.XLOOKUP(E315,'Base SKUs'!E:E,'Base SKUs'!H:H)</f>
        <v>VJoint - Square Back</v>
      </c>
      <c r="L315" t="str">
        <f>_xlfn.XLOOKUP(E315,'Base SKUs'!E:E,'Base SKUs'!I:I)</f>
        <v>-</v>
      </c>
      <c r="M315" t="str">
        <f>_xlfn.XLOOKUP(E315,'Base SKUs'!E:E,'Base SKUs'!J:J)</f>
        <v>1x6</v>
      </c>
      <c r="N315">
        <f>_xlfn.XLOOKUP(E315,'Base SKUs'!E:E,'Base SKUs'!K:K)</f>
        <v>8</v>
      </c>
      <c r="O315" t="str">
        <f>_xlfn.XLOOKUP(E315,'Base SKUs'!E:E,'Base SKUs'!C:C)</f>
        <v>Long</v>
      </c>
      <c r="P315" t="s">
        <v>4929</v>
      </c>
    </row>
    <row r="316" spans="1:16" x14ac:dyDescent="0.25">
      <c r="A316" t="s">
        <v>4914</v>
      </c>
      <c r="B316" t="s">
        <v>4839</v>
      </c>
      <c r="C316" t="s">
        <v>4915</v>
      </c>
      <c r="D316" s="11">
        <v>9007</v>
      </c>
      <c r="E316" t="s">
        <v>3649</v>
      </c>
      <c r="F316">
        <v>33</v>
      </c>
      <c r="G316" t="str">
        <f>_xlfn.XLOOKUP(E316,'Base SKUs'!E:E,'Base SKUs'!D:D)</f>
        <v>Thermowood</v>
      </c>
      <c r="H316" s="10">
        <f>_xlfn.XLOOKUP(E316,'Base SKUs'!E:E,'Base SKUs'!S:S)</f>
        <v>8.1169192499999966E-3</v>
      </c>
      <c r="I316" s="9">
        <f t="shared" si="4"/>
        <v>0.26800000000000002</v>
      </c>
      <c r="J316" t="str">
        <f>_xlfn.XLOOKUP(E316,'Base SKUs'!E:E,'Base SKUs'!G:G)</f>
        <v>Maximo Thermo Ayous JPL</v>
      </c>
      <c r="K316" t="str">
        <f>_xlfn.XLOOKUP(E316,'Base SKUs'!E:E,'Base SKUs'!H:H)</f>
        <v>VJoint - Square Back</v>
      </c>
      <c r="L316" t="str">
        <f>_xlfn.XLOOKUP(E316,'Base SKUs'!E:E,'Base SKUs'!I:I)</f>
        <v>-</v>
      </c>
      <c r="M316" t="str">
        <f>_xlfn.XLOOKUP(E316,'Base SKUs'!E:E,'Base SKUs'!J:J)</f>
        <v>1x6</v>
      </c>
      <c r="N316">
        <f>_xlfn.XLOOKUP(E316,'Base SKUs'!E:E,'Base SKUs'!K:K)</f>
        <v>10</v>
      </c>
      <c r="O316" t="str">
        <f>_xlfn.XLOOKUP(E316,'Base SKUs'!E:E,'Base SKUs'!C:C)</f>
        <v>Long</v>
      </c>
      <c r="P316" t="s">
        <v>4929</v>
      </c>
    </row>
    <row r="317" spans="1:16" x14ac:dyDescent="0.25">
      <c r="A317" t="s">
        <v>4914</v>
      </c>
      <c r="B317" t="s">
        <v>4839</v>
      </c>
      <c r="C317" t="s">
        <v>4915</v>
      </c>
      <c r="D317" s="11">
        <v>9007</v>
      </c>
      <c r="E317" t="s">
        <v>3652</v>
      </c>
      <c r="F317">
        <v>23</v>
      </c>
      <c r="G317" t="str">
        <f>_xlfn.XLOOKUP(E317,'Base SKUs'!E:E,'Base SKUs'!D:D)</f>
        <v>Thermowood</v>
      </c>
      <c r="H317" s="10">
        <f>_xlfn.XLOOKUP(E317,'Base SKUs'!E:E,'Base SKUs'!S:S)</f>
        <v>9.7403030999999984E-3</v>
      </c>
      <c r="I317" s="9">
        <f t="shared" si="4"/>
        <v>0.224</v>
      </c>
      <c r="J317" t="str">
        <f>_xlfn.XLOOKUP(E317,'Base SKUs'!E:E,'Base SKUs'!G:G)</f>
        <v>Maximo Thermo Ayous JPL</v>
      </c>
      <c r="K317" t="str">
        <f>_xlfn.XLOOKUP(E317,'Base SKUs'!E:E,'Base SKUs'!H:H)</f>
        <v>VJoint - Square Back</v>
      </c>
      <c r="L317" t="str">
        <f>_xlfn.XLOOKUP(E317,'Base SKUs'!E:E,'Base SKUs'!I:I)</f>
        <v>-</v>
      </c>
      <c r="M317" t="str">
        <f>_xlfn.XLOOKUP(E317,'Base SKUs'!E:E,'Base SKUs'!J:J)</f>
        <v>1x6</v>
      </c>
      <c r="N317">
        <f>_xlfn.XLOOKUP(E317,'Base SKUs'!E:E,'Base SKUs'!K:K)</f>
        <v>12</v>
      </c>
      <c r="O317" t="str">
        <f>_xlfn.XLOOKUP(E317,'Base SKUs'!E:E,'Base SKUs'!C:C)</f>
        <v>Long</v>
      </c>
      <c r="P317" t="s">
        <v>4929</v>
      </c>
    </row>
    <row r="318" spans="1:16" x14ac:dyDescent="0.25">
      <c r="A318" t="s">
        <v>4914</v>
      </c>
      <c r="B318" t="s">
        <v>4839</v>
      </c>
      <c r="C318" t="s">
        <v>4915</v>
      </c>
      <c r="D318" s="11">
        <v>9007</v>
      </c>
      <c r="E318" t="s">
        <v>3655</v>
      </c>
      <c r="F318">
        <v>5</v>
      </c>
      <c r="G318" t="str">
        <f>_xlfn.XLOOKUP(E318,'Base SKUs'!E:E,'Base SKUs'!D:D)</f>
        <v>Thermowood</v>
      </c>
      <c r="H318" s="10">
        <f>_xlfn.XLOOKUP(E318,'Base SKUs'!E:E,'Base SKUs'!S:S)</f>
        <v>1.2162072449999999E-2</v>
      </c>
      <c r="I318" s="9">
        <f t="shared" si="4"/>
        <v>6.0999999999999999E-2</v>
      </c>
      <c r="J318" t="str">
        <f>_xlfn.XLOOKUP(E318,'Base SKUs'!E:E,'Base SKUs'!G:G)</f>
        <v>Maximo Thermo Ayous JPL</v>
      </c>
      <c r="K318" t="str">
        <f>_xlfn.XLOOKUP(E318,'Base SKUs'!E:E,'Base SKUs'!H:H)</f>
        <v>VJoint - Square Back</v>
      </c>
      <c r="L318" t="str">
        <f>_xlfn.XLOOKUP(E318,'Base SKUs'!E:E,'Base SKUs'!I:I)</f>
        <v>-</v>
      </c>
      <c r="M318" t="str">
        <f>_xlfn.XLOOKUP(E318,'Base SKUs'!E:E,'Base SKUs'!J:J)</f>
        <v>1x6</v>
      </c>
      <c r="N318">
        <f>_xlfn.XLOOKUP(E318,'Base SKUs'!E:E,'Base SKUs'!K:K)</f>
        <v>15</v>
      </c>
      <c r="O318" t="str">
        <f>_xlfn.XLOOKUP(E318,'Base SKUs'!E:E,'Base SKUs'!C:C)</f>
        <v>Long</v>
      </c>
      <c r="P318" t="s">
        <v>4929</v>
      </c>
    </row>
    <row r="319" spans="1:16" x14ac:dyDescent="0.25">
      <c r="A319" t="s">
        <v>4916</v>
      </c>
      <c r="B319" t="s">
        <v>4839</v>
      </c>
      <c r="C319" t="s">
        <v>4840</v>
      </c>
      <c r="D319" s="11">
        <v>9007</v>
      </c>
      <c r="E319" t="s">
        <v>44</v>
      </c>
      <c r="F319">
        <v>56</v>
      </c>
      <c r="G319" t="str">
        <f>_xlfn.XLOOKUP(E319,'Base SKUs'!E:E,'Base SKUs'!D:D)</f>
        <v>Thermowood</v>
      </c>
      <c r="H319" s="10">
        <f>_xlfn.XLOOKUP(E319,'Base SKUs'!E:E,'Base SKUs'!S:S)</f>
        <v>7.8659999999999997E-3</v>
      </c>
      <c r="I319" s="9">
        <f t="shared" si="4"/>
        <v>0.44</v>
      </c>
      <c r="J319" t="str">
        <f>_xlfn.XLOOKUP(E319,'Base SKUs'!E:E,'Base SKUs'!G:G)</f>
        <v>Maximo Thermo Clear Radiata</v>
      </c>
      <c r="K319" t="str">
        <f>_xlfn.XLOOKUP(E319,'Base SKUs'!E:E,'Base SKUs'!H:H)</f>
        <v>Nickel Gap</v>
      </c>
      <c r="L319" t="str">
        <f>_xlfn.XLOOKUP(E319,'Base SKUs'!E:E,'Base SKUs'!I:I)</f>
        <v>OPX</v>
      </c>
      <c r="M319" t="str">
        <f>_xlfn.XLOOKUP(E319,'Base SKUs'!E:E,'Base SKUs'!J:J)</f>
        <v>1x6</v>
      </c>
      <c r="N319">
        <f>_xlfn.XLOOKUP(E319,'Base SKUs'!E:E,'Base SKUs'!K:K)</f>
        <v>10</v>
      </c>
      <c r="O319" t="str">
        <f>_xlfn.XLOOKUP(E319,'Base SKUs'!E:E,'Base SKUs'!C:C)</f>
        <v>Long</v>
      </c>
      <c r="P319" t="s">
        <v>4929</v>
      </c>
    </row>
    <row r="320" spans="1:16" x14ac:dyDescent="0.25">
      <c r="A320" t="s">
        <v>4916</v>
      </c>
      <c r="B320" t="s">
        <v>4839</v>
      </c>
      <c r="C320" t="s">
        <v>4840</v>
      </c>
      <c r="D320" s="11">
        <v>9007</v>
      </c>
      <c r="E320" t="s">
        <v>119</v>
      </c>
      <c r="F320">
        <v>14</v>
      </c>
      <c r="G320" t="str">
        <f>_xlfn.XLOOKUP(E320,'Base SKUs'!E:E,'Base SKUs'!D:D)</f>
        <v>Thermowood</v>
      </c>
      <c r="H320" s="10">
        <f>_xlfn.XLOOKUP(E320,'Base SKUs'!E:E,'Base SKUs'!S:S)</f>
        <v>1.10124E-2</v>
      </c>
      <c r="I320" s="9">
        <f t="shared" si="4"/>
        <v>0.154</v>
      </c>
      <c r="J320" t="str">
        <f>_xlfn.XLOOKUP(E320,'Base SKUs'!E:E,'Base SKUs'!G:G)</f>
        <v>Maximo Thermo Clear Radiata</v>
      </c>
      <c r="K320" t="str">
        <f>_xlfn.XLOOKUP(E320,'Base SKUs'!E:E,'Base SKUs'!H:H)</f>
        <v>Nickel Gap</v>
      </c>
      <c r="L320" t="str">
        <f>_xlfn.XLOOKUP(E320,'Base SKUs'!E:E,'Base SKUs'!I:I)</f>
        <v>OPX</v>
      </c>
      <c r="M320" t="str">
        <f>_xlfn.XLOOKUP(E320,'Base SKUs'!E:E,'Base SKUs'!J:J)</f>
        <v>1x6</v>
      </c>
      <c r="N320">
        <f>_xlfn.XLOOKUP(E320,'Base SKUs'!E:E,'Base SKUs'!K:K)</f>
        <v>14</v>
      </c>
      <c r="O320" t="str">
        <f>_xlfn.XLOOKUP(E320,'Base SKUs'!E:E,'Base SKUs'!C:C)</f>
        <v>Long</v>
      </c>
      <c r="P320" t="s">
        <v>4929</v>
      </c>
    </row>
    <row r="321" spans="1:16" x14ac:dyDescent="0.25">
      <c r="A321" t="s">
        <v>4916</v>
      </c>
      <c r="B321" t="s">
        <v>4839</v>
      </c>
      <c r="C321" t="s">
        <v>4840</v>
      </c>
      <c r="D321" s="11">
        <v>9007</v>
      </c>
      <c r="E321" t="s">
        <v>209</v>
      </c>
      <c r="F321">
        <v>7</v>
      </c>
      <c r="G321" t="str">
        <f>_xlfn.XLOOKUP(E321,'Base SKUs'!E:E,'Base SKUs'!D:D)</f>
        <v>Thermowood</v>
      </c>
      <c r="H321" s="10">
        <f>_xlfn.XLOOKUP(E321,'Base SKUs'!E:E,'Base SKUs'!S:S)</f>
        <v>1.1799E-2</v>
      </c>
      <c r="I321" s="9">
        <f t="shared" si="4"/>
        <v>8.3000000000000004E-2</v>
      </c>
      <c r="J321" t="str">
        <f>_xlfn.XLOOKUP(E321,'Base SKUs'!E:E,'Base SKUs'!G:G)</f>
        <v>Maximo Thermo Clear Radiata</v>
      </c>
      <c r="K321" t="str">
        <f>_xlfn.XLOOKUP(E321,'Base SKUs'!E:E,'Base SKUs'!H:H)</f>
        <v>Nickel Gap</v>
      </c>
      <c r="L321" t="str">
        <f>_xlfn.XLOOKUP(E321,'Base SKUs'!E:E,'Base SKUs'!I:I)</f>
        <v>OPX</v>
      </c>
      <c r="M321" t="str">
        <f>_xlfn.XLOOKUP(E321,'Base SKUs'!E:E,'Base SKUs'!J:J)</f>
        <v>1x6</v>
      </c>
      <c r="N321">
        <f>_xlfn.XLOOKUP(E321,'Base SKUs'!E:E,'Base SKUs'!K:K)</f>
        <v>15</v>
      </c>
      <c r="O321" t="str">
        <f>_xlfn.XLOOKUP(E321,'Base SKUs'!E:E,'Base SKUs'!C:C)</f>
        <v>Long</v>
      </c>
      <c r="P321" t="s">
        <v>4929</v>
      </c>
    </row>
    <row r="322" spans="1:16" x14ac:dyDescent="0.25">
      <c r="A322" t="s">
        <v>4916</v>
      </c>
      <c r="B322" t="s">
        <v>4839</v>
      </c>
      <c r="C322" t="s">
        <v>4840</v>
      </c>
      <c r="D322" s="11">
        <v>9007</v>
      </c>
      <c r="E322" t="s">
        <v>45</v>
      </c>
      <c r="F322">
        <v>7</v>
      </c>
      <c r="G322" t="str">
        <f>_xlfn.XLOOKUP(E322,'Base SKUs'!E:E,'Base SKUs'!D:D)</f>
        <v>Thermowood</v>
      </c>
      <c r="H322" s="10">
        <f>_xlfn.XLOOKUP(E322,'Base SKUs'!E:E,'Base SKUs'!S:S)</f>
        <v>1.2585600000000001E-2</v>
      </c>
      <c r="I322" s="9">
        <f t="shared" ref="I322:I385" si="5">IF(OR(G322="Norx",K322="Tiles"),ROUND(F322,3),ROUND(F322*H322,3))</f>
        <v>8.7999999999999995E-2</v>
      </c>
      <c r="J322" t="str">
        <f>_xlfn.XLOOKUP(E322,'Base SKUs'!E:E,'Base SKUs'!G:G)</f>
        <v>Maximo Thermo Clear Radiata</v>
      </c>
      <c r="K322" t="str">
        <f>_xlfn.XLOOKUP(E322,'Base SKUs'!E:E,'Base SKUs'!H:H)</f>
        <v>Nickel Gap</v>
      </c>
      <c r="L322" t="str">
        <f>_xlfn.XLOOKUP(E322,'Base SKUs'!E:E,'Base SKUs'!I:I)</f>
        <v>OPX</v>
      </c>
      <c r="M322" t="str">
        <f>_xlfn.XLOOKUP(E322,'Base SKUs'!E:E,'Base SKUs'!J:J)</f>
        <v>1x6</v>
      </c>
      <c r="N322">
        <f>_xlfn.XLOOKUP(E322,'Base SKUs'!E:E,'Base SKUs'!K:K)</f>
        <v>16</v>
      </c>
      <c r="O322" t="str">
        <f>_xlfn.XLOOKUP(E322,'Base SKUs'!E:E,'Base SKUs'!C:C)</f>
        <v>Long</v>
      </c>
      <c r="P322" t="s">
        <v>4929</v>
      </c>
    </row>
    <row r="323" spans="1:16" x14ac:dyDescent="0.25">
      <c r="A323" t="s">
        <v>4916</v>
      </c>
      <c r="B323" t="s">
        <v>4839</v>
      </c>
      <c r="C323" t="s">
        <v>4840</v>
      </c>
      <c r="D323" s="11">
        <v>9007</v>
      </c>
      <c r="E323" t="s">
        <v>120</v>
      </c>
      <c r="F323">
        <v>14</v>
      </c>
      <c r="G323" t="str">
        <f>_xlfn.XLOOKUP(E323,'Base SKUs'!E:E,'Base SKUs'!D:D)</f>
        <v>Thermowood</v>
      </c>
      <c r="H323" s="10">
        <f>_xlfn.XLOOKUP(E323,'Base SKUs'!E:E,'Base SKUs'!S:S)</f>
        <v>1.4158800000000001E-2</v>
      </c>
      <c r="I323" s="9">
        <f t="shared" si="5"/>
        <v>0.19800000000000001</v>
      </c>
      <c r="J323" t="str">
        <f>_xlfn.XLOOKUP(E323,'Base SKUs'!E:E,'Base SKUs'!G:G)</f>
        <v>Maximo Thermo Clear Radiata</v>
      </c>
      <c r="K323" t="str">
        <f>_xlfn.XLOOKUP(E323,'Base SKUs'!E:E,'Base SKUs'!H:H)</f>
        <v>Nickel Gap</v>
      </c>
      <c r="L323" t="str">
        <f>_xlfn.XLOOKUP(E323,'Base SKUs'!E:E,'Base SKUs'!I:I)</f>
        <v>OPX</v>
      </c>
      <c r="M323" t="str">
        <f>_xlfn.XLOOKUP(E323,'Base SKUs'!E:E,'Base SKUs'!J:J)</f>
        <v>1x6</v>
      </c>
      <c r="N323">
        <f>_xlfn.XLOOKUP(E323,'Base SKUs'!E:E,'Base SKUs'!K:K)</f>
        <v>18</v>
      </c>
      <c r="O323" t="str">
        <f>_xlfn.XLOOKUP(E323,'Base SKUs'!E:E,'Base SKUs'!C:C)</f>
        <v>Long</v>
      </c>
      <c r="P323" t="s">
        <v>4929</v>
      </c>
    </row>
    <row r="324" spans="1:16" x14ac:dyDescent="0.25">
      <c r="A324" t="s">
        <v>4917</v>
      </c>
      <c r="B324" t="s">
        <v>4844</v>
      </c>
      <c r="C324" t="s">
        <v>4845</v>
      </c>
      <c r="D324" s="11">
        <v>9007</v>
      </c>
      <c r="E324" t="s">
        <v>235</v>
      </c>
      <c r="F324">
        <v>280</v>
      </c>
      <c r="G324" t="str">
        <f>_xlfn.XLOOKUP(E324,'Base SKUs'!E:E,'Base SKUs'!D:D)</f>
        <v>Hardwoods</v>
      </c>
      <c r="H324" s="10">
        <f>_xlfn.XLOOKUP(E324,'Base SKUs'!E:E,'Base SKUs'!S:S)</f>
        <v>8.6523697920000003E-3</v>
      </c>
      <c r="I324" s="9">
        <f t="shared" si="5"/>
        <v>2.423</v>
      </c>
      <c r="J324" t="str">
        <f>_xlfn.XLOOKUP(E324,'Base SKUs'!E:E,'Base SKUs'!G:G)</f>
        <v>Ipe</v>
      </c>
      <c r="K324" t="str">
        <f>_xlfn.XLOOKUP(E324,'Base SKUs'!E:E,'Base SKUs'!H:H)</f>
        <v>S4S E4E</v>
      </c>
      <c r="L324" t="str">
        <f>_xlfn.XLOOKUP(E324,'Base SKUs'!E:E,'Base SKUs'!I:I)</f>
        <v>-</v>
      </c>
      <c r="M324" t="str">
        <f>_xlfn.XLOOKUP(E324,'Base SKUs'!E:E,'Base SKUs'!J:J)</f>
        <v>5/4x6</v>
      </c>
      <c r="N324">
        <f>_xlfn.XLOOKUP(E324,'Base SKUs'!E:E,'Base SKUs'!K:K)</f>
        <v>8</v>
      </c>
      <c r="O324" t="str">
        <f>_xlfn.XLOOKUP(E324,'Base SKUs'!E:E,'Base SKUs'!C:C)</f>
        <v>Long</v>
      </c>
      <c r="P324" t="s">
        <v>4932</v>
      </c>
    </row>
    <row r="325" spans="1:16" x14ac:dyDescent="0.25">
      <c r="A325" t="s">
        <v>4917</v>
      </c>
      <c r="B325" t="s">
        <v>4844</v>
      </c>
      <c r="C325" t="s">
        <v>4845</v>
      </c>
      <c r="D325" s="11">
        <v>9007</v>
      </c>
      <c r="E325" t="s">
        <v>52</v>
      </c>
      <c r="F325">
        <v>301</v>
      </c>
      <c r="G325" t="str">
        <f>_xlfn.XLOOKUP(E325,'Base SKUs'!E:E,'Base SKUs'!D:D)</f>
        <v>Hardwoods</v>
      </c>
      <c r="H325" s="10">
        <f>_xlfn.XLOOKUP(E325,'Base SKUs'!E:E,'Base SKUs'!S:S)</f>
        <v>1.081546224E-2</v>
      </c>
      <c r="I325" s="9">
        <f t="shared" si="5"/>
        <v>3.2549999999999999</v>
      </c>
      <c r="J325" t="str">
        <f>_xlfn.XLOOKUP(E325,'Base SKUs'!E:E,'Base SKUs'!G:G)</f>
        <v>Ipe</v>
      </c>
      <c r="K325" t="str">
        <f>_xlfn.XLOOKUP(E325,'Base SKUs'!E:E,'Base SKUs'!H:H)</f>
        <v>S4S E4E</v>
      </c>
      <c r="L325" t="str">
        <f>_xlfn.XLOOKUP(E325,'Base SKUs'!E:E,'Base SKUs'!I:I)</f>
        <v>-</v>
      </c>
      <c r="M325" t="str">
        <f>_xlfn.XLOOKUP(E325,'Base SKUs'!E:E,'Base SKUs'!J:J)</f>
        <v>5/4x6</v>
      </c>
      <c r="N325">
        <f>_xlfn.XLOOKUP(E325,'Base SKUs'!E:E,'Base SKUs'!K:K)</f>
        <v>10</v>
      </c>
      <c r="O325" t="str">
        <f>_xlfn.XLOOKUP(E325,'Base SKUs'!E:E,'Base SKUs'!C:C)</f>
        <v>Long</v>
      </c>
      <c r="P325" t="s">
        <v>4932</v>
      </c>
    </row>
    <row r="326" spans="1:16" x14ac:dyDescent="0.25">
      <c r="A326" t="s">
        <v>4917</v>
      </c>
      <c r="B326" t="s">
        <v>4844</v>
      </c>
      <c r="C326" t="s">
        <v>4845</v>
      </c>
      <c r="D326" s="11">
        <v>9007</v>
      </c>
      <c r="E326" t="s">
        <v>198</v>
      </c>
      <c r="F326">
        <v>280</v>
      </c>
      <c r="G326" t="str">
        <f>_xlfn.XLOOKUP(E326,'Base SKUs'!E:E,'Base SKUs'!D:D)</f>
        <v>Hardwoods</v>
      </c>
      <c r="H326" s="10">
        <f>_xlfn.XLOOKUP(E326,'Base SKUs'!E:E,'Base SKUs'!S:S)</f>
        <v>1.2978554687999997E-2</v>
      </c>
      <c r="I326" s="9">
        <f t="shared" si="5"/>
        <v>3.6339999999999999</v>
      </c>
      <c r="J326" t="str">
        <f>_xlfn.XLOOKUP(E326,'Base SKUs'!E:E,'Base SKUs'!G:G)</f>
        <v>Ipe</v>
      </c>
      <c r="K326" t="str">
        <f>_xlfn.XLOOKUP(E326,'Base SKUs'!E:E,'Base SKUs'!H:H)</f>
        <v>S4S E4E</v>
      </c>
      <c r="L326" t="str">
        <f>_xlfn.XLOOKUP(E326,'Base SKUs'!E:E,'Base SKUs'!I:I)</f>
        <v>-</v>
      </c>
      <c r="M326" t="str">
        <f>_xlfn.XLOOKUP(E326,'Base SKUs'!E:E,'Base SKUs'!J:J)</f>
        <v>5/4x6</v>
      </c>
      <c r="N326">
        <f>_xlfn.XLOOKUP(E326,'Base SKUs'!E:E,'Base SKUs'!K:K)</f>
        <v>12</v>
      </c>
      <c r="O326" t="str">
        <f>_xlfn.XLOOKUP(E326,'Base SKUs'!E:E,'Base SKUs'!C:C)</f>
        <v>Long</v>
      </c>
      <c r="P326" t="s">
        <v>4932</v>
      </c>
    </row>
    <row r="327" spans="1:16" x14ac:dyDescent="0.25">
      <c r="A327" t="s">
        <v>4917</v>
      </c>
      <c r="B327" t="s">
        <v>4844</v>
      </c>
      <c r="C327" t="s">
        <v>4845</v>
      </c>
      <c r="D327" s="11">
        <v>9007</v>
      </c>
      <c r="E327" t="s">
        <v>197</v>
      </c>
      <c r="F327">
        <v>189</v>
      </c>
      <c r="G327" t="str">
        <f>_xlfn.XLOOKUP(E327,'Base SKUs'!E:E,'Base SKUs'!D:D)</f>
        <v>Hardwoods</v>
      </c>
      <c r="H327" s="10">
        <f>_xlfn.XLOOKUP(E327,'Base SKUs'!E:E,'Base SKUs'!S:S)</f>
        <v>1.5141647135999997E-2</v>
      </c>
      <c r="I327" s="9">
        <f t="shared" si="5"/>
        <v>2.8620000000000001</v>
      </c>
      <c r="J327" t="str">
        <f>_xlfn.XLOOKUP(E327,'Base SKUs'!E:E,'Base SKUs'!G:G)</f>
        <v>Ipe</v>
      </c>
      <c r="K327" t="str">
        <f>_xlfn.XLOOKUP(E327,'Base SKUs'!E:E,'Base SKUs'!H:H)</f>
        <v>S4S E4E</v>
      </c>
      <c r="L327" t="str">
        <f>_xlfn.XLOOKUP(E327,'Base SKUs'!E:E,'Base SKUs'!I:I)</f>
        <v>-</v>
      </c>
      <c r="M327" t="str">
        <f>_xlfn.XLOOKUP(E327,'Base SKUs'!E:E,'Base SKUs'!J:J)</f>
        <v>5/4x6</v>
      </c>
      <c r="N327">
        <f>_xlfn.XLOOKUP(E327,'Base SKUs'!E:E,'Base SKUs'!K:K)</f>
        <v>14</v>
      </c>
      <c r="O327" t="str">
        <f>_xlfn.XLOOKUP(E327,'Base SKUs'!E:E,'Base SKUs'!C:C)</f>
        <v>Long</v>
      </c>
      <c r="P327" t="s">
        <v>4932</v>
      </c>
    </row>
    <row r="328" spans="1:16" x14ac:dyDescent="0.25">
      <c r="A328" t="s">
        <v>4917</v>
      </c>
      <c r="B328" t="s">
        <v>4844</v>
      </c>
      <c r="C328" t="s">
        <v>4845</v>
      </c>
      <c r="D328" s="11">
        <v>9007</v>
      </c>
      <c r="E328" t="s">
        <v>199</v>
      </c>
      <c r="F328">
        <v>112</v>
      </c>
      <c r="G328" t="str">
        <f>_xlfn.XLOOKUP(E328,'Base SKUs'!E:E,'Base SKUs'!D:D)</f>
        <v>Hardwoods</v>
      </c>
      <c r="H328" s="10">
        <f>_xlfn.XLOOKUP(E328,'Base SKUs'!E:E,'Base SKUs'!S:S)</f>
        <v>1.7304739584000001E-2</v>
      </c>
      <c r="I328" s="9">
        <f t="shared" si="5"/>
        <v>1.9379999999999999</v>
      </c>
      <c r="J328" t="str">
        <f>_xlfn.XLOOKUP(E328,'Base SKUs'!E:E,'Base SKUs'!G:G)</f>
        <v>Ipe</v>
      </c>
      <c r="K328" t="str">
        <f>_xlfn.XLOOKUP(E328,'Base SKUs'!E:E,'Base SKUs'!H:H)</f>
        <v>S4S E4E</v>
      </c>
      <c r="L328" t="str">
        <f>_xlfn.XLOOKUP(E328,'Base SKUs'!E:E,'Base SKUs'!I:I)</f>
        <v>-</v>
      </c>
      <c r="M328" t="str">
        <f>_xlfn.XLOOKUP(E328,'Base SKUs'!E:E,'Base SKUs'!J:J)</f>
        <v>5/4x6</v>
      </c>
      <c r="N328">
        <f>_xlfn.XLOOKUP(E328,'Base SKUs'!E:E,'Base SKUs'!K:K)</f>
        <v>16</v>
      </c>
      <c r="O328" t="str">
        <f>_xlfn.XLOOKUP(E328,'Base SKUs'!E:E,'Base SKUs'!C:C)</f>
        <v>Long</v>
      </c>
      <c r="P328" t="s">
        <v>4932</v>
      </c>
    </row>
    <row r="329" spans="1:16" x14ac:dyDescent="0.25">
      <c r="A329" t="s">
        <v>4917</v>
      </c>
      <c r="B329" t="s">
        <v>4844</v>
      </c>
      <c r="C329" t="s">
        <v>4845</v>
      </c>
      <c r="D329" s="11">
        <v>9007</v>
      </c>
      <c r="E329" t="s">
        <v>205</v>
      </c>
      <c r="F329">
        <v>105</v>
      </c>
      <c r="G329" t="str">
        <f>_xlfn.XLOOKUP(E329,'Base SKUs'!E:E,'Base SKUs'!D:D)</f>
        <v>Hardwoods</v>
      </c>
      <c r="H329" s="10">
        <f>_xlfn.XLOOKUP(E329,'Base SKUs'!E:E,'Base SKUs'!S:S)</f>
        <v>1.9467832031999997E-2</v>
      </c>
      <c r="I329" s="9">
        <f t="shared" si="5"/>
        <v>2.044</v>
      </c>
      <c r="J329" t="str">
        <f>_xlfn.XLOOKUP(E329,'Base SKUs'!E:E,'Base SKUs'!G:G)</f>
        <v>Ipe</v>
      </c>
      <c r="K329" t="str">
        <f>_xlfn.XLOOKUP(E329,'Base SKUs'!E:E,'Base SKUs'!H:H)</f>
        <v>S4S E4E</v>
      </c>
      <c r="L329" t="str">
        <f>_xlfn.XLOOKUP(E329,'Base SKUs'!E:E,'Base SKUs'!I:I)</f>
        <v>-</v>
      </c>
      <c r="M329" t="str">
        <f>_xlfn.XLOOKUP(E329,'Base SKUs'!E:E,'Base SKUs'!J:J)</f>
        <v>5/4x6</v>
      </c>
      <c r="N329">
        <f>_xlfn.XLOOKUP(E329,'Base SKUs'!E:E,'Base SKUs'!K:K)</f>
        <v>18</v>
      </c>
      <c r="O329" t="str">
        <f>_xlfn.XLOOKUP(E329,'Base SKUs'!E:E,'Base SKUs'!C:C)</f>
        <v>Long</v>
      </c>
      <c r="P329" t="s">
        <v>4932</v>
      </c>
    </row>
    <row r="330" spans="1:16" x14ac:dyDescent="0.25">
      <c r="A330" t="s">
        <v>4917</v>
      </c>
      <c r="B330" t="s">
        <v>4844</v>
      </c>
      <c r="C330" t="s">
        <v>4845</v>
      </c>
      <c r="D330" s="11">
        <v>9007</v>
      </c>
      <c r="E330" t="s">
        <v>205</v>
      </c>
      <c r="F330">
        <v>105</v>
      </c>
      <c r="G330" t="str">
        <f>_xlfn.XLOOKUP(E330,'Base SKUs'!E:E,'Base SKUs'!D:D)</f>
        <v>Hardwoods</v>
      </c>
      <c r="H330" s="10">
        <f>_xlfn.XLOOKUP(E330,'Base SKUs'!E:E,'Base SKUs'!S:S)</f>
        <v>1.9467832031999997E-2</v>
      </c>
      <c r="I330" s="9">
        <f t="shared" si="5"/>
        <v>2.044</v>
      </c>
      <c r="J330" t="str">
        <f>_xlfn.XLOOKUP(E330,'Base SKUs'!E:E,'Base SKUs'!G:G)</f>
        <v>Ipe</v>
      </c>
      <c r="K330" t="str">
        <f>_xlfn.XLOOKUP(E330,'Base SKUs'!E:E,'Base SKUs'!H:H)</f>
        <v>S4S E4E</v>
      </c>
      <c r="L330" t="str">
        <f>_xlfn.XLOOKUP(E330,'Base SKUs'!E:E,'Base SKUs'!I:I)</f>
        <v>-</v>
      </c>
      <c r="M330" t="str">
        <f>_xlfn.XLOOKUP(E330,'Base SKUs'!E:E,'Base SKUs'!J:J)</f>
        <v>5/4x6</v>
      </c>
      <c r="N330">
        <f>_xlfn.XLOOKUP(E330,'Base SKUs'!E:E,'Base SKUs'!K:K)</f>
        <v>18</v>
      </c>
      <c r="O330" t="str">
        <f>_xlfn.XLOOKUP(E330,'Base SKUs'!E:E,'Base SKUs'!C:C)</f>
        <v>Long</v>
      </c>
      <c r="P330" t="s">
        <v>4932</v>
      </c>
    </row>
    <row r="331" spans="1:16" x14ac:dyDescent="0.25">
      <c r="A331" t="s">
        <v>4918</v>
      </c>
      <c r="B331" t="s">
        <v>4896</v>
      </c>
      <c r="C331" t="s">
        <v>4897</v>
      </c>
      <c r="D331" s="11">
        <v>9007</v>
      </c>
      <c r="E331" t="s">
        <v>203</v>
      </c>
      <c r="F331">
        <v>280</v>
      </c>
      <c r="G331" t="str">
        <f>_xlfn.XLOOKUP(E331,'Base SKUs'!E:E,'Base SKUs'!D:D)</f>
        <v>Hardwoods</v>
      </c>
      <c r="H331" s="10">
        <f>_xlfn.XLOOKUP(E331,'Base SKUs'!E:E,'Base SKUs'!S:S)</f>
        <v>9.7339160159999986E-3</v>
      </c>
      <c r="I331" s="9">
        <f t="shared" si="5"/>
        <v>2.7250000000000001</v>
      </c>
      <c r="J331" t="str">
        <f>_xlfn.XLOOKUP(E331,'Base SKUs'!E:E,'Base SKUs'!G:G)</f>
        <v>Ipe</v>
      </c>
      <c r="K331" t="str">
        <f>_xlfn.XLOOKUP(E331,'Base SKUs'!E:E,'Base SKUs'!H:H)</f>
        <v>S4S E4E</v>
      </c>
      <c r="L331" t="str">
        <f>_xlfn.XLOOKUP(E331,'Base SKUs'!E:E,'Base SKUs'!I:I)</f>
        <v>-</v>
      </c>
      <c r="M331" t="str">
        <f>_xlfn.XLOOKUP(E331,'Base SKUs'!E:E,'Base SKUs'!J:J)</f>
        <v>1x6</v>
      </c>
      <c r="N331">
        <f>_xlfn.XLOOKUP(E331,'Base SKUs'!E:E,'Base SKUs'!K:K)</f>
        <v>12</v>
      </c>
      <c r="O331" t="str">
        <f>_xlfn.XLOOKUP(E331,'Base SKUs'!E:E,'Base SKUs'!C:C)</f>
        <v>Long</v>
      </c>
      <c r="P331" t="s">
        <v>4930</v>
      </c>
    </row>
    <row r="332" spans="1:16" x14ac:dyDescent="0.25">
      <c r="A332" t="s">
        <v>4918</v>
      </c>
      <c r="B332" t="s">
        <v>4896</v>
      </c>
      <c r="C332" t="s">
        <v>4897</v>
      </c>
      <c r="D332" s="11">
        <v>9007</v>
      </c>
      <c r="E332" t="s">
        <v>216</v>
      </c>
      <c r="F332">
        <v>350</v>
      </c>
      <c r="G332" t="str">
        <f>_xlfn.XLOOKUP(E332,'Base SKUs'!E:E,'Base SKUs'!D:D)</f>
        <v>Hardwoods</v>
      </c>
      <c r="H332" s="10">
        <f>_xlfn.XLOOKUP(E332,'Base SKUs'!E:E,'Base SKUs'!S:S)</f>
        <v>1.1356235352E-2</v>
      </c>
      <c r="I332" s="9">
        <f t="shared" si="5"/>
        <v>3.9750000000000001</v>
      </c>
      <c r="J332" t="str">
        <f>_xlfn.XLOOKUP(E332,'Base SKUs'!E:E,'Base SKUs'!G:G)</f>
        <v>Ipe</v>
      </c>
      <c r="K332" t="str">
        <f>_xlfn.XLOOKUP(E332,'Base SKUs'!E:E,'Base SKUs'!H:H)</f>
        <v>S4S E4E</v>
      </c>
      <c r="L332" t="str">
        <f>_xlfn.XLOOKUP(E332,'Base SKUs'!E:E,'Base SKUs'!I:I)</f>
        <v>-</v>
      </c>
      <c r="M332" t="str">
        <f>_xlfn.XLOOKUP(E332,'Base SKUs'!E:E,'Base SKUs'!J:J)</f>
        <v>1x6</v>
      </c>
      <c r="N332">
        <f>_xlfn.XLOOKUP(E332,'Base SKUs'!E:E,'Base SKUs'!K:K)</f>
        <v>14</v>
      </c>
      <c r="O332" t="str">
        <f>_xlfn.XLOOKUP(E332,'Base SKUs'!E:E,'Base SKUs'!C:C)</f>
        <v>Long</v>
      </c>
      <c r="P332" t="s">
        <v>4930</v>
      </c>
    </row>
    <row r="333" spans="1:16" x14ac:dyDescent="0.25">
      <c r="A333" t="s">
        <v>4918</v>
      </c>
      <c r="B333" t="s">
        <v>4896</v>
      </c>
      <c r="C333" t="s">
        <v>4897</v>
      </c>
      <c r="D333" s="11">
        <v>9007</v>
      </c>
      <c r="E333" t="s">
        <v>204</v>
      </c>
      <c r="F333">
        <v>140</v>
      </c>
      <c r="G333" t="str">
        <f>_xlfn.XLOOKUP(E333,'Base SKUs'!E:E,'Base SKUs'!D:D)</f>
        <v>Hardwoods</v>
      </c>
      <c r="H333" s="10">
        <f>_xlfn.XLOOKUP(E333,'Base SKUs'!E:E,'Base SKUs'!S:S)</f>
        <v>1.2978554687999999E-2</v>
      </c>
      <c r="I333" s="9">
        <f t="shared" si="5"/>
        <v>1.8169999999999999</v>
      </c>
      <c r="J333" t="str">
        <f>_xlfn.XLOOKUP(E333,'Base SKUs'!E:E,'Base SKUs'!G:G)</f>
        <v>Ipe</v>
      </c>
      <c r="K333" t="str">
        <f>_xlfn.XLOOKUP(E333,'Base SKUs'!E:E,'Base SKUs'!H:H)</f>
        <v>S4S E4E</v>
      </c>
      <c r="L333" t="str">
        <f>_xlfn.XLOOKUP(E333,'Base SKUs'!E:E,'Base SKUs'!I:I)</f>
        <v>-</v>
      </c>
      <c r="M333" t="str">
        <f>_xlfn.XLOOKUP(E333,'Base SKUs'!E:E,'Base SKUs'!J:J)</f>
        <v>1x6</v>
      </c>
      <c r="N333">
        <f>_xlfn.XLOOKUP(E333,'Base SKUs'!E:E,'Base SKUs'!K:K)</f>
        <v>16</v>
      </c>
      <c r="O333" t="str">
        <f>_xlfn.XLOOKUP(E333,'Base SKUs'!E:E,'Base SKUs'!C:C)</f>
        <v>Long</v>
      </c>
      <c r="P333" t="s">
        <v>4930</v>
      </c>
    </row>
    <row r="334" spans="1:16" x14ac:dyDescent="0.25">
      <c r="A334" t="s">
        <v>4918</v>
      </c>
      <c r="B334" t="s">
        <v>4896</v>
      </c>
      <c r="C334" t="s">
        <v>4897</v>
      </c>
      <c r="D334" s="11">
        <v>9007</v>
      </c>
      <c r="E334" t="s">
        <v>217</v>
      </c>
      <c r="F334">
        <v>420</v>
      </c>
      <c r="G334" t="str">
        <f>_xlfn.XLOOKUP(E334,'Base SKUs'!E:E,'Base SKUs'!D:D)</f>
        <v>Hardwoods</v>
      </c>
      <c r="H334" s="10">
        <f>_xlfn.XLOOKUP(E334,'Base SKUs'!E:E,'Base SKUs'!S:S)</f>
        <v>1.4600874024E-2</v>
      </c>
      <c r="I334" s="9">
        <f t="shared" si="5"/>
        <v>6.1319999999999997</v>
      </c>
      <c r="J334" t="str">
        <f>_xlfn.XLOOKUP(E334,'Base SKUs'!E:E,'Base SKUs'!G:G)</f>
        <v>Ipe</v>
      </c>
      <c r="K334" t="str">
        <f>_xlfn.XLOOKUP(E334,'Base SKUs'!E:E,'Base SKUs'!H:H)</f>
        <v>S4S E4E</v>
      </c>
      <c r="L334" t="str">
        <f>_xlfn.XLOOKUP(E334,'Base SKUs'!E:E,'Base SKUs'!I:I)</f>
        <v>-</v>
      </c>
      <c r="M334" t="str">
        <f>_xlfn.XLOOKUP(E334,'Base SKUs'!E:E,'Base SKUs'!J:J)</f>
        <v>1x6</v>
      </c>
      <c r="N334">
        <f>_xlfn.XLOOKUP(E334,'Base SKUs'!E:E,'Base SKUs'!K:K)</f>
        <v>18</v>
      </c>
      <c r="O334" t="str">
        <f>_xlfn.XLOOKUP(E334,'Base SKUs'!E:E,'Base SKUs'!C:C)</f>
        <v>Long</v>
      </c>
      <c r="P334" t="s">
        <v>4930</v>
      </c>
    </row>
    <row r="335" spans="1:16" x14ac:dyDescent="0.25">
      <c r="A335" t="s">
        <v>4918</v>
      </c>
      <c r="B335" t="s">
        <v>4896</v>
      </c>
      <c r="C335" t="s">
        <v>4897</v>
      </c>
      <c r="D335" s="11">
        <v>9007</v>
      </c>
      <c r="E335" t="s">
        <v>218</v>
      </c>
      <c r="F335">
        <v>91</v>
      </c>
      <c r="G335" t="str">
        <f>_xlfn.XLOOKUP(E335,'Base SKUs'!E:E,'Base SKUs'!D:D)</f>
        <v>Hardwoods</v>
      </c>
      <c r="H335" s="10">
        <f>_xlfn.XLOOKUP(E335,'Base SKUs'!E:E,'Base SKUs'!S:S)</f>
        <v>1.6223193359999999E-2</v>
      </c>
      <c r="I335" s="9">
        <f t="shared" si="5"/>
        <v>1.476</v>
      </c>
      <c r="J335" t="str">
        <f>_xlfn.XLOOKUP(E335,'Base SKUs'!E:E,'Base SKUs'!G:G)</f>
        <v>Ipe</v>
      </c>
      <c r="K335" t="str">
        <f>_xlfn.XLOOKUP(E335,'Base SKUs'!E:E,'Base SKUs'!H:H)</f>
        <v>S4S E4E</v>
      </c>
      <c r="L335" t="str">
        <f>_xlfn.XLOOKUP(E335,'Base SKUs'!E:E,'Base SKUs'!I:I)</f>
        <v>-</v>
      </c>
      <c r="M335" t="str">
        <f>_xlfn.XLOOKUP(E335,'Base SKUs'!E:E,'Base SKUs'!J:J)</f>
        <v>1x6</v>
      </c>
      <c r="N335">
        <f>_xlfn.XLOOKUP(E335,'Base SKUs'!E:E,'Base SKUs'!K:K)</f>
        <v>20</v>
      </c>
      <c r="O335" t="str">
        <f>_xlfn.XLOOKUP(E335,'Base SKUs'!E:E,'Base SKUs'!C:C)</f>
        <v>Long</v>
      </c>
      <c r="P335" t="s">
        <v>4930</v>
      </c>
    </row>
    <row r="336" spans="1:16" x14ac:dyDescent="0.25">
      <c r="A336" t="s">
        <v>4918</v>
      </c>
      <c r="B336" t="s">
        <v>4896</v>
      </c>
      <c r="C336" t="s">
        <v>4897</v>
      </c>
      <c r="D336" s="11">
        <v>9007</v>
      </c>
      <c r="E336" t="s">
        <v>219</v>
      </c>
      <c r="F336">
        <v>140</v>
      </c>
      <c r="G336" t="str">
        <f>_xlfn.XLOOKUP(E336,'Base SKUs'!E:E,'Base SKUs'!D:D)</f>
        <v>Hardwoods</v>
      </c>
      <c r="H336" s="10">
        <f>_xlfn.XLOOKUP(E336,'Base SKUs'!E:E,'Base SKUs'!S:S)</f>
        <v>1.7845512695999998E-2</v>
      </c>
      <c r="I336" s="9">
        <f t="shared" si="5"/>
        <v>2.4980000000000002</v>
      </c>
      <c r="J336" t="str">
        <f>_xlfn.XLOOKUP(E336,'Base SKUs'!E:E,'Base SKUs'!G:G)</f>
        <v>Ipe</v>
      </c>
      <c r="K336" t="str">
        <f>_xlfn.XLOOKUP(E336,'Base SKUs'!E:E,'Base SKUs'!H:H)</f>
        <v>S4S E4E</v>
      </c>
      <c r="L336" t="str">
        <f>_xlfn.XLOOKUP(E336,'Base SKUs'!E:E,'Base SKUs'!I:I)</f>
        <v>-</v>
      </c>
      <c r="M336" t="str">
        <f>_xlfn.XLOOKUP(E336,'Base SKUs'!E:E,'Base SKUs'!J:J)</f>
        <v>1x6</v>
      </c>
      <c r="N336">
        <f>_xlfn.XLOOKUP(E336,'Base SKUs'!E:E,'Base SKUs'!K:K)</f>
        <v>22</v>
      </c>
      <c r="O336" t="str">
        <f>_xlfn.XLOOKUP(E336,'Base SKUs'!E:E,'Base SKUs'!C:C)</f>
        <v>Long</v>
      </c>
      <c r="P336" t="s">
        <v>4930</v>
      </c>
    </row>
    <row r="337" spans="1:16" x14ac:dyDescent="0.25">
      <c r="A337" t="s">
        <v>4919</v>
      </c>
      <c r="B337" t="s">
        <v>4844</v>
      </c>
      <c r="C337" t="s">
        <v>4845</v>
      </c>
      <c r="D337" s="11">
        <v>9007</v>
      </c>
      <c r="E337" t="s">
        <v>121</v>
      </c>
      <c r="F337">
        <v>36</v>
      </c>
      <c r="G337" t="str">
        <f>_xlfn.XLOOKUP(E337,'Base SKUs'!E:E,'Base SKUs'!D:D)</f>
        <v>Hardwoods</v>
      </c>
      <c r="H337" s="10">
        <f>_xlfn.XLOOKUP(E337,'Base SKUs'!E:E,'Base SKUs'!S:S)</f>
        <v>8.1803360000000012E-4</v>
      </c>
      <c r="I337" s="9">
        <f t="shared" si="5"/>
        <v>36</v>
      </c>
      <c r="J337" t="str">
        <f>_xlfn.XLOOKUP(E337,'Base SKUs'!E:E,'Base SKUs'!G:G)</f>
        <v>IpeB</v>
      </c>
      <c r="K337" t="str">
        <f>_xlfn.XLOOKUP(E337,'Base SKUs'!E:E,'Base SKUs'!H:H)</f>
        <v>Tiles</v>
      </c>
      <c r="L337" t="str">
        <f>_xlfn.XLOOKUP(E337,'Base SKUs'!E:E,'Base SKUs'!I:I)</f>
        <v>-</v>
      </c>
      <c r="M337" t="str">
        <f>_xlfn.XLOOKUP(E337,'Base SKUs'!E:E,'Base SKUs'!J:J)</f>
        <v>24x24</v>
      </c>
      <c r="N337">
        <f>_xlfn.XLOOKUP(E337,'Base SKUs'!E:E,'Base SKUs'!K:K)</f>
        <v>24</v>
      </c>
      <c r="O337" t="str">
        <f>_xlfn.XLOOKUP(E337,'Base SKUs'!E:E,'Base SKUs'!C:C)</f>
        <v>Tiles</v>
      </c>
      <c r="P337" t="s">
        <v>4930</v>
      </c>
    </row>
    <row r="338" spans="1:16" x14ac:dyDescent="0.25">
      <c r="A338" t="s">
        <v>4920</v>
      </c>
      <c r="B338" t="s">
        <v>4839</v>
      </c>
      <c r="C338" t="s">
        <v>4840</v>
      </c>
      <c r="D338" s="11">
        <v>9007</v>
      </c>
      <c r="E338" t="s">
        <v>256</v>
      </c>
      <c r="F338">
        <v>783</v>
      </c>
      <c r="G338" t="str">
        <f>_xlfn.XLOOKUP(E338,'Base SKUs'!E:E,'Base SKUs'!D:D)</f>
        <v>Norx</v>
      </c>
      <c r="H338" s="10">
        <f>_xlfn.XLOOKUP(E338,'Base SKUs'!E:E,'Base SKUs'!S:S)</f>
        <v>0</v>
      </c>
      <c r="I338" s="9">
        <f t="shared" si="5"/>
        <v>783</v>
      </c>
      <c r="J338" t="str">
        <f>_xlfn.XLOOKUP(E338,'Base SKUs'!E:E,'Base SKUs'!G:G)</f>
        <v>Teak</v>
      </c>
      <c r="K338" t="str">
        <f>_xlfn.XLOOKUP(E338,'Base SKUs'!E:E,'Base SKUs'!H:H)</f>
        <v>Profile</v>
      </c>
      <c r="L338" t="str">
        <f>_xlfn.XLOOKUP(E338,'Base SKUs'!E:E,'Base SKUs'!I:I)</f>
        <v>-</v>
      </c>
      <c r="M338" t="str">
        <f>_xlfn.XLOOKUP(E338,'Base SKUs'!E:E,'Base SKUs'!J:J)</f>
        <v>1x6</v>
      </c>
      <c r="N338">
        <f>_xlfn.XLOOKUP(E338,'Base SKUs'!E:E,'Base SKUs'!K:K)</f>
        <v>16</v>
      </c>
      <c r="O338" t="str">
        <f>_xlfn.XLOOKUP(E338,'Base SKUs'!E:E,'Base SKUs'!C:C)</f>
        <v>Long</v>
      </c>
      <c r="P338" t="s">
        <v>4929</v>
      </c>
    </row>
    <row r="339" spans="1:16" x14ac:dyDescent="0.25">
      <c r="A339" t="s">
        <v>4921</v>
      </c>
      <c r="B339" t="s">
        <v>4844</v>
      </c>
      <c r="C339" t="s">
        <v>4845</v>
      </c>
      <c r="D339" s="11">
        <v>9007</v>
      </c>
      <c r="E339" t="s">
        <v>3667</v>
      </c>
      <c r="F339">
        <v>17</v>
      </c>
      <c r="G339" t="str">
        <f>_xlfn.XLOOKUP(E339,'Base SKUs'!E:E,'Base SKUs'!D:D)</f>
        <v>Thermowood</v>
      </c>
      <c r="H339" s="10">
        <f>_xlfn.XLOOKUP(E339,'Base SKUs'!E:E,'Base SKUs'!S:S)</f>
        <v>1.125E-2</v>
      </c>
      <c r="I339" s="9">
        <f t="shared" si="5"/>
        <v>0.191</v>
      </c>
      <c r="J339" t="str">
        <f>_xlfn.XLOOKUP(E339,'Base SKUs'!E:E,'Base SKUs'!G:G)</f>
        <v>Maximo Thermo Ayous</v>
      </c>
      <c r="K339" t="str">
        <f>_xlfn.XLOOKUP(E339,'Base SKUs'!E:E,'Base SKUs'!H:H)</f>
        <v>Rough Sawn</v>
      </c>
      <c r="L339" t="str">
        <f>_xlfn.XLOOKUP(E339,'Base SKUs'!E:E,'Base SKUs'!I:I)</f>
        <v>-</v>
      </c>
      <c r="M339" t="str">
        <f>_xlfn.XLOOKUP(E339,'Base SKUs'!E:E,'Base SKUs'!J:J)</f>
        <v>5/4x6</v>
      </c>
      <c r="N339">
        <f>_xlfn.XLOOKUP(E339,'Base SKUs'!E:E,'Base SKUs'!K:K)</f>
        <v>10</v>
      </c>
      <c r="O339" t="str">
        <f>_xlfn.XLOOKUP(E339,'Base SKUs'!E:E,'Base SKUs'!C:C)</f>
        <v>Long</v>
      </c>
      <c r="P339" t="s">
        <v>4932</v>
      </c>
    </row>
    <row r="340" spans="1:16" x14ac:dyDescent="0.25">
      <c r="A340" t="s">
        <v>4921</v>
      </c>
      <c r="B340" t="s">
        <v>4844</v>
      </c>
      <c r="C340" t="s">
        <v>4845</v>
      </c>
      <c r="D340" s="11">
        <v>9007</v>
      </c>
      <c r="E340" t="s">
        <v>3670</v>
      </c>
      <c r="F340">
        <v>42</v>
      </c>
      <c r="G340" t="str">
        <f>_xlfn.XLOOKUP(E340,'Base SKUs'!E:E,'Base SKUs'!D:D)</f>
        <v>Thermowood</v>
      </c>
      <c r="H340" s="10">
        <f>_xlfn.XLOOKUP(E340,'Base SKUs'!E:E,'Base SKUs'!S:S)</f>
        <v>1.35E-2</v>
      </c>
      <c r="I340" s="9">
        <f t="shared" si="5"/>
        <v>0.56699999999999995</v>
      </c>
      <c r="J340" t="str">
        <f>_xlfn.XLOOKUP(E340,'Base SKUs'!E:E,'Base SKUs'!G:G)</f>
        <v>Maximo Thermo Ayous</v>
      </c>
      <c r="K340" t="str">
        <f>_xlfn.XLOOKUP(E340,'Base SKUs'!E:E,'Base SKUs'!H:H)</f>
        <v>Rough Sawn</v>
      </c>
      <c r="L340" t="str">
        <f>_xlfn.XLOOKUP(E340,'Base SKUs'!E:E,'Base SKUs'!I:I)</f>
        <v>-</v>
      </c>
      <c r="M340" t="str">
        <f>_xlfn.XLOOKUP(E340,'Base SKUs'!E:E,'Base SKUs'!J:J)</f>
        <v>5/4x6</v>
      </c>
      <c r="N340">
        <f>_xlfn.XLOOKUP(E340,'Base SKUs'!E:E,'Base SKUs'!K:K)</f>
        <v>12</v>
      </c>
      <c r="O340" t="str">
        <f>_xlfn.XLOOKUP(E340,'Base SKUs'!E:E,'Base SKUs'!C:C)</f>
        <v>Long</v>
      </c>
      <c r="P340" t="s">
        <v>4932</v>
      </c>
    </row>
    <row r="341" spans="1:16" x14ac:dyDescent="0.25">
      <c r="A341" t="s">
        <v>4921</v>
      </c>
      <c r="B341" t="s">
        <v>4844</v>
      </c>
      <c r="C341" t="s">
        <v>4845</v>
      </c>
      <c r="D341" s="11">
        <v>9007</v>
      </c>
      <c r="E341" t="s">
        <v>3673</v>
      </c>
      <c r="F341">
        <v>10</v>
      </c>
      <c r="G341" t="str">
        <f>_xlfn.XLOOKUP(E341,'Base SKUs'!E:E,'Base SKUs'!D:D)</f>
        <v>Thermowood</v>
      </c>
      <c r="H341" s="10">
        <f>_xlfn.XLOOKUP(E341,'Base SKUs'!E:E,'Base SKUs'!S:S)</f>
        <v>1.6875000000000001E-2</v>
      </c>
      <c r="I341" s="9">
        <f t="shared" si="5"/>
        <v>0.16900000000000001</v>
      </c>
      <c r="J341" t="str">
        <f>_xlfn.XLOOKUP(E341,'Base SKUs'!E:E,'Base SKUs'!G:G)</f>
        <v>Maximo Thermo Ayous</v>
      </c>
      <c r="K341" t="str">
        <f>_xlfn.XLOOKUP(E341,'Base SKUs'!E:E,'Base SKUs'!H:H)</f>
        <v>Rough Sawn</v>
      </c>
      <c r="L341" t="str">
        <f>_xlfn.XLOOKUP(E341,'Base SKUs'!E:E,'Base SKUs'!I:I)</f>
        <v>-</v>
      </c>
      <c r="M341" t="str">
        <f>_xlfn.XLOOKUP(E341,'Base SKUs'!E:E,'Base SKUs'!J:J)</f>
        <v>5/4x6</v>
      </c>
      <c r="N341">
        <f>_xlfn.XLOOKUP(E341,'Base SKUs'!E:E,'Base SKUs'!K:K)</f>
        <v>15</v>
      </c>
      <c r="O341" t="str">
        <f>_xlfn.XLOOKUP(E341,'Base SKUs'!E:E,'Base SKUs'!C:C)</f>
        <v>Long</v>
      </c>
      <c r="P341" t="s">
        <v>4932</v>
      </c>
    </row>
    <row r="342" spans="1:16" x14ac:dyDescent="0.25">
      <c r="A342" t="s">
        <v>4921</v>
      </c>
      <c r="B342" t="s">
        <v>4844</v>
      </c>
      <c r="C342" t="s">
        <v>4845</v>
      </c>
      <c r="D342" s="11">
        <v>9007</v>
      </c>
      <c r="E342" t="s">
        <v>3674</v>
      </c>
      <c r="F342">
        <v>2</v>
      </c>
      <c r="G342" t="str">
        <f>_xlfn.XLOOKUP(E342,'Base SKUs'!E:E,'Base SKUs'!D:D)</f>
        <v>Thermowood</v>
      </c>
      <c r="H342" s="10">
        <f>_xlfn.XLOOKUP(E342,'Base SKUs'!E:E,'Base SKUs'!S:S)</f>
        <v>1.7999999999999999E-2</v>
      </c>
      <c r="I342" s="9">
        <f t="shared" si="5"/>
        <v>3.5999999999999997E-2</v>
      </c>
      <c r="J342" t="str">
        <f>_xlfn.XLOOKUP(E342,'Base SKUs'!E:E,'Base SKUs'!G:G)</f>
        <v>Maximo Thermo Ayous</v>
      </c>
      <c r="K342" t="str">
        <f>_xlfn.XLOOKUP(E342,'Base SKUs'!E:E,'Base SKUs'!H:H)</f>
        <v>Rough Sawn</v>
      </c>
      <c r="L342" t="str">
        <f>_xlfn.XLOOKUP(E342,'Base SKUs'!E:E,'Base SKUs'!I:I)</f>
        <v>-</v>
      </c>
      <c r="M342" t="str">
        <f>_xlfn.XLOOKUP(E342,'Base SKUs'!E:E,'Base SKUs'!J:J)</f>
        <v>5/4x6</v>
      </c>
      <c r="N342">
        <f>_xlfn.XLOOKUP(E342,'Base SKUs'!E:E,'Base SKUs'!K:K)</f>
        <v>16</v>
      </c>
      <c r="O342" t="str">
        <f>_xlfn.XLOOKUP(E342,'Base SKUs'!E:E,'Base SKUs'!C:C)</f>
        <v>Long</v>
      </c>
      <c r="P342" t="s">
        <v>4932</v>
      </c>
    </row>
    <row r="343" spans="1:16" x14ac:dyDescent="0.25">
      <c r="A343" t="s">
        <v>4922</v>
      </c>
      <c r="B343" t="s">
        <v>4844</v>
      </c>
      <c r="C343" t="s">
        <v>4845</v>
      </c>
      <c r="D343" s="11">
        <v>9007</v>
      </c>
      <c r="E343" t="s">
        <v>3640</v>
      </c>
      <c r="F343">
        <v>140</v>
      </c>
      <c r="G343" t="str">
        <f>_xlfn.XLOOKUP(E343,'Base SKUs'!E:E,'Base SKUs'!D:D)</f>
        <v>Thermowood</v>
      </c>
      <c r="H343" s="10">
        <f>_xlfn.XLOOKUP(E343,'Base SKUs'!E:E,'Base SKUs'!S:S)</f>
        <v>1.3785456299999995E-2</v>
      </c>
      <c r="I343" s="9">
        <f t="shared" si="5"/>
        <v>1.93</v>
      </c>
      <c r="J343" t="str">
        <f>_xlfn.XLOOKUP(E343,'Base SKUs'!E:E,'Base SKUs'!G:G)</f>
        <v>Maximo Thermo Ayous JPL</v>
      </c>
      <c r="K343" t="str">
        <f>_xlfn.XLOOKUP(E343,'Base SKUs'!E:E,'Base SKUs'!H:H)</f>
        <v>VJoint - Nickel Gap</v>
      </c>
      <c r="L343" t="str">
        <f>_xlfn.XLOOKUP(E343,'Base SKUs'!E:E,'Base SKUs'!I:I)</f>
        <v>-</v>
      </c>
      <c r="M343" t="str">
        <f>_xlfn.XLOOKUP(E343,'Base SKUs'!E:E,'Base SKUs'!J:J)</f>
        <v>1x6</v>
      </c>
      <c r="N343">
        <f>_xlfn.XLOOKUP(E343,'Base SKUs'!E:E,'Base SKUs'!K:K)</f>
        <v>17</v>
      </c>
      <c r="O343" t="str">
        <f>_xlfn.XLOOKUP(E343,'Base SKUs'!E:E,'Base SKUs'!C:C)</f>
        <v>Long</v>
      </c>
      <c r="P343" t="s">
        <v>4930</v>
      </c>
    </row>
    <row r="344" spans="1:16" x14ac:dyDescent="0.25">
      <c r="A344" t="s">
        <v>4922</v>
      </c>
      <c r="B344" t="s">
        <v>4844</v>
      </c>
      <c r="C344" t="s">
        <v>4845</v>
      </c>
      <c r="D344" s="11">
        <v>9007</v>
      </c>
      <c r="E344" t="s">
        <v>259</v>
      </c>
      <c r="F344">
        <v>343</v>
      </c>
      <c r="G344" t="str">
        <f>_xlfn.XLOOKUP(E344,'Base SKUs'!E:E,'Base SKUs'!D:D)</f>
        <v>Thermowood</v>
      </c>
      <c r="H344" s="10">
        <f>_xlfn.XLOOKUP(E344,'Base SKUs'!E:E,'Base SKUs'!S:S)</f>
        <v>1.2987070799999998E-2</v>
      </c>
      <c r="I344" s="9">
        <f t="shared" si="5"/>
        <v>4.4550000000000001</v>
      </c>
      <c r="J344" t="str">
        <f>_xlfn.XLOOKUP(E344,'Base SKUs'!E:E,'Base SKUs'!G:G)</f>
        <v>Maximo Thermo Ayous JPL</v>
      </c>
      <c r="K344" t="str">
        <f>_xlfn.XLOOKUP(E344,'Base SKUs'!E:E,'Base SKUs'!H:H)</f>
        <v>VJoint - Nickel Gap</v>
      </c>
      <c r="L344" t="str">
        <f>_xlfn.XLOOKUP(E344,'Base SKUs'!E:E,'Base SKUs'!I:I)</f>
        <v>-</v>
      </c>
      <c r="M344" t="str">
        <f>_xlfn.XLOOKUP(E344,'Base SKUs'!E:E,'Base SKUs'!J:J)</f>
        <v>1x6</v>
      </c>
      <c r="N344">
        <f>_xlfn.XLOOKUP(E344,'Base SKUs'!E:E,'Base SKUs'!K:K)</f>
        <v>16</v>
      </c>
      <c r="O344" t="str">
        <f>_xlfn.XLOOKUP(E344,'Base SKUs'!E:E,'Base SKUs'!C:C)</f>
        <v>Long</v>
      </c>
      <c r="P344" t="s">
        <v>4930</v>
      </c>
    </row>
    <row r="345" spans="1:16" x14ac:dyDescent="0.25">
      <c r="A345" t="s">
        <v>4923</v>
      </c>
      <c r="B345" t="s">
        <v>4907</v>
      </c>
      <c r="C345" t="s">
        <v>4908</v>
      </c>
      <c r="D345" s="11">
        <v>9009</v>
      </c>
      <c r="E345" t="s">
        <v>235</v>
      </c>
      <c r="F345">
        <v>33</v>
      </c>
      <c r="G345" t="str">
        <f>_xlfn.XLOOKUP(E345,'Base SKUs'!E:E,'Base SKUs'!D:D)</f>
        <v>Hardwoods</v>
      </c>
      <c r="H345" s="10">
        <f>_xlfn.XLOOKUP(E345,'Base SKUs'!E:E,'Base SKUs'!S:S)</f>
        <v>8.6523697920000003E-3</v>
      </c>
      <c r="I345" s="9">
        <f t="shared" si="5"/>
        <v>0.28599999999999998</v>
      </c>
      <c r="J345" t="str">
        <f>_xlfn.XLOOKUP(E345,'Base SKUs'!E:E,'Base SKUs'!G:G)</f>
        <v>Ipe</v>
      </c>
      <c r="K345" t="str">
        <f>_xlfn.XLOOKUP(E345,'Base SKUs'!E:E,'Base SKUs'!H:H)</f>
        <v>S4S E4E</v>
      </c>
      <c r="L345" t="str">
        <f>_xlfn.XLOOKUP(E345,'Base SKUs'!E:E,'Base SKUs'!I:I)</f>
        <v>-</v>
      </c>
      <c r="M345" t="str">
        <f>_xlfn.XLOOKUP(E345,'Base SKUs'!E:E,'Base SKUs'!J:J)</f>
        <v>5/4x6</v>
      </c>
      <c r="N345">
        <f>_xlfn.XLOOKUP(E345,'Base SKUs'!E:E,'Base SKUs'!K:K)</f>
        <v>8</v>
      </c>
      <c r="O345" t="str">
        <f>_xlfn.XLOOKUP(E345,'Base SKUs'!E:E,'Base SKUs'!C:C)</f>
        <v>Long</v>
      </c>
      <c r="P345" t="s">
        <v>4930</v>
      </c>
    </row>
    <row r="346" spans="1:16" x14ac:dyDescent="0.25">
      <c r="A346" t="s">
        <v>4923</v>
      </c>
      <c r="B346" t="s">
        <v>4907</v>
      </c>
      <c r="C346" t="s">
        <v>4908</v>
      </c>
      <c r="D346" s="11">
        <v>9009</v>
      </c>
      <c r="E346" t="s">
        <v>52</v>
      </c>
      <c r="F346">
        <v>32</v>
      </c>
      <c r="G346" t="str">
        <f>_xlfn.XLOOKUP(E346,'Base SKUs'!E:E,'Base SKUs'!D:D)</f>
        <v>Hardwoods</v>
      </c>
      <c r="H346" s="10">
        <f>_xlfn.XLOOKUP(E346,'Base SKUs'!E:E,'Base SKUs'!S:S)</f>
        <v>1.081546224E-2</v>
      </c>
      <c r="I346" s="9">
        <f t="shared" si="5"/>
        <v>0.34599999999999997</v>
      </c>
      <c r="J346" t="str">
        <f>_xlfn.XLOOKUP(E346,'Base SKUs'!E:E,'Base SKUs'!G:G)</f>
        <v>Ipe</v>
      </c>
      <c r="K346" t="str">
        <f>_xlfn.XLOOKUP(E346,'Base SKUs'!E:E,'Base SKUs'!H:H)</f>
        <v>S4S E4E</v>
      </c>
      <c r="L346" t="str">
        <f>_xlfn.XLOOKUP(E346,'Base SKUs'!E:E,'Base SKUs'!I:I)</f>
        <v>-</v>
      </c>
      <c r="M346" t="str">
        <f>_xlfn.XLOOKUP(E346,'Base SKUs'!E:E,'Base SKUs'!J:J)</f>
        <v>5/4x6</v>
      </c>
      <c r="N346">
        <f>_xlfn.XLOOKUP(E346,'Base SKUs'!E:E,'Base SKUs'!K:K)</f>
        <v>10</v>
      </c>
      <c r="O346" t="str">
        <f>_xlfn.XLOOKUP(E346,'Base SKUs'!E:E,'Base SKUs'!C:C)</f>
        <v>Long</v>
      </c>
      <c r="P346" t="s">
        <v>4930</v>
      </c>
    </row>
    <row r="347" spans="1:16" x14ac:dyDescent="0.25">
      <c r="A347" t="s">
        <v>4923</v>
      </c>
      <c r="B347" t="s">
        <v>4907</v>
      </c>
      <c r="C347" t="s">
        <v>4908</v>
      </c>
      <c r="D347" s="11">
        <v>9009</v>
      </c>
      <c r="E347" t="s">
        <v>59</v>
      </c>
      <c r="F347">
        <v>17</v>
      </c>
      <c r="G347" t="str">
        <f>_xlfn.XLOOKUP(E347,'Base SKUs'!E:E,'Base SKUs'!D:D)</f>
        <v>Hardwoods</v>
      </c>
      <c r="H347" s="10">
        <f>_xlfn.XLOOKUP(E347,'Base SKUs'!E:E,'Base SKUs'!S:S)</f>
        <v>1.081546224E-2</v>
      </c>
      <c r="I347" s="9">
        <f t="shared" si="5"/>
        <v>0.184</v>
      </c>
      <c r="J347" t="str">
        <f>_xlfn.XLOOKUP(E347,'Base SKUs'!E:E,'Base SKUs'!G:G)</f>
        <v>Cumaru</v>
      </c>
      <c r="K347" t="str">
        <f>_xlfn.XLOOKUP(E347,'Base SKUs'!E:E,'Base SKUs'!H:H)</f>
        <v>S4S E4E</v>
      </c>
      <c r="L347" t="str">
        <f>_xlfn.XLOOKUP(E347,'Base SKUs'!E:E,'Base SKUs'!I:I)</f>
        <v>-</v>
      </c>
      <c r="M347" t="str">
        <f>_xlfn.XLOOKUP(E347,'Base SKUs'!E:E,'Base SKUs'!J:J)</f>
        <v>5/4x6</v>
      </c>
      <c r="N347">
        <f>_xlfn.XLOOKUP(E347,'Base SKUs'!E:E,'Base SKUs'!K:K)</f>
        <v>10</v>
      </c>
      <c r="O347" t="str">
        <f>_xlfn.XLOOKUP(E347,'Base SKUs'!E:E,'Base SKUs'!C:C)</f>
        <v>Long</v>
      </c>
      <c r="P347" t="s">
        <v>4930</v>
      </c>
    </row>
    <row r="348" spans="1:16" x14ac:dyDescent="0.25">
      <c r="A348" t="s">
        <v>4924</v>
      </c>
      <c r="B348" t="s">
        <v>4844</v>
      </c>
      <c r="C348" t="s">
        <v>4845</v>
      </c>
      <c r="D348" s="11">
        <v>9007</v>
      </c>
      <c r="E348" t="s">
        <v>3724</v>
      </c>
      <c r="F348">
        <v>24</v>
      </c>
      <c r="G348" t="str">
        <f>_xlfn.XLOOKUP(E348,'Base SKUs'!E:E,'Base SKUs'!D:D)</f>
        <v>Thermowood</v>
      </c>
      <c r="H348" s="10">
        <f>_xlfn.XLOOKUP(E348,'Base SKUs'!E:E,'Base SKUs'!S:S)</f>
        <v>7.8659999999999997E-3</v>
      </c>
      <c r="I348" s="9">
        <f t="shared" si="5"/>
        <v>0.189</v>
      </c>
      <c r="J348" t="str">
        <f>_xlfn.XLOOKUP(E348,'Base SKUs'!E:E,'Base SKUs'!G:G)</f>
        <v>Maximo Thermo Ayous</v>
      </c>
      <c r="K348" t="str">
        <f>_xlfn.XLOOKUP(E348,'Base SKUs'!E:E,'Base SKUs'!H:H)</f>
        <v>S4S E4E</v>
      </c>
      <c r="L348" t="str">
        <f>_xlfn.XLOOKUP(E348,'Base SKUs'!E:E,'Base SKUs'!I:I)</f>
        <v>-</v>
      </c>
      <c r="M348" t="str">
        <f>_xlfn.XLOOKUP(E348,'Base SKUs'!E:E,'Base SKUs'!J:J)</f>
        <v>1x4</v>
      </c>
      <c r="N348">
        <f>_xlfn.XLOOKUP(E348,'Base SKUs'!E:E,'Base SKUs'!K:K)</f>
        <v>15</v>
      </c>
      <c r="O348" t="str">
        <f>_xlfn.XLOOKUP(E348,'Base SKUs'!E:E,'Base SKUs'!C:C)</f>
        <v>Long</v>
      </c>
      <c r="P348" t="s">
        <v>4930</v>
      </c>
    </row>
    <row r="349" spans="1:16" x14ac:dyDescent="0.25">
      <c r="A349" t="s">
        <v>4924</v>
      </c>
      <c r="B349" t="s">
        <v>4844</v>
      </c>
      <c r="C349" t="s">
        <v>4845</v>
      </c>
      <c r="D349" s="11">
        <v>9007</v>
      </c>
      <c r="E349" t="s">
        <v>164</v>
      </c>
      <c r="F349">
        <v>9</v>
      </c>
      <c r="G349" t="str">
        <f>_xlfn.XLOOKUP(E349,'Base SKUs'!E:E,'Base SKUs'!D:D)</f>
        <v>Thermowood</v>
      </c>
      <c r="H349" s="10">
        <f>_xlfn.XLOOKUP(E349,'Base SKUs'!E:E,'Base SKUs'!S:S)</f>
        <v>1.1970000000000001E-2</v>
      </c>
      <c r="I349" s="9">
        <f t="shared" si="5"/>
        <v>0.108</v>
      </c>
      <c r="J349" t="str">
        <f>_xlfn.XLOOKUP(E349,'Base SKUs'!E:E,'Base SKUs'!G:G)</f>
        <v>Maximo Thermo Ayous</v>
      </c>
      <c r="K349" t="str">
        <f>_xlfn.XLOOKUP(E349,'Base SKUs'!E:E,'Base SKUs'!H:H)</f>
        <v>S4S E4E</v>
      </c>
      <c r="L349" t="str">
        <f>_xlfn.XLOOKUP(E349,'Base SKUs'!E:E,'Base SKUs'!I:I)</f>
        <v>-</v>
      </c>
      <c r="M349" t="str">
        <f>_xlfn.XLOOKUP(E349,'Base SKUs'!E:E,'Base SKUs'!J:J)</f>
        <v>1x6</v>
      </c>
      <c r="N349">
        <f>_xlfn.XLOOKUP(E349,'Base SKUs'!E:E,'Base SKUs'!K:K)</f>
        <v>15</v>
      </c>
      <c r="O349" t="str">
        <f>_xlfn.XLOOKUP(E349,'Base SKUs'!E:E,'Base SKUs'!C:C)</f>
        <v>Long</v>
      </c>
      <c r="P349" t="s">
        <v>4930</v>
      </c>
    </row>
    <row r="350" spans="1:16" x14ac:dyDescent="0.25">
      <c r="A350" t="s">
        <v>4924</v>
      </c>
      <c r="B350" t="s">
        <v>4844</v>
      </c>
      <c r="C350" t="s">
        <v>4845</v>
      </c>
      <c r="D350" s="11">
        <v>9007</v>
      </c>
      <c r="E350" t="s">
        <v>3684</v>
      </c>
      <c r="F350">
        <v>12</v>
      </c>
      <c r="G350" t="str">
        <f>_xlfn.XLOOKUP(E350,'Base SKUs'!E:E,'Base SKUs'!D:D)</f>
        <v>Thermowood</v>
      </c>
      <c r="H350" s="10">
        <f>_xlfn.XLOOKUP(E350,'Base SKUs'!E:E,'Base SKUs'!S:S)</f>
        <v>1.4999999999999999E-2</v>
      </c>
      <c r="I350" s="9">
        <f t="shared" si="5"/>
        <v>0.18</v>
      </c>
      <c r="J350" t="str">
        <f>_xlfn.XLOOKUP(E350,'Base SKUs'!E:E,'Base SKUs'!G:G)</f>
        <v>Maximo Thermo Ayous</v>
      </c>
      <c r="K350" t="str">
        <f>_xlfn.XLOOKUP(E350,'Base SKUs'!E:E,'Base SKUs'!H:H)</f>
        <v>S4S E4E</v>
      </c>
      <c r="L350" t="str">
        <f>_xlfn.XLOOKUP(E350,'Base SKUs'!E:E,'Base SKUs'!I:I)</f>
        <v>-</v>
      </c>
      <c r="M350" t="str">
        <f>_xlfn.XLOOKUP(E350,'Base SKUs'!E:E,'Base SKUs'!J:J)</f>
        <v>1x10</v>
      </c>
      <c r="N350">
        <f>_xlfn.XLOOKUP(E350,'Base SKUs'!E:E,'Base SKUs'!K:K)</f>
        <v>10</v>
      </c>
      <c r="O350" t="str">
        <f>_xlfn.XLOOKUP(E350,'Base SKUs'!E:E,'Base SKUs'!C:C)</f>
        <v>Long</v>
      </c>
      <c r="P350" t="s">
        <v>4930</v>
      </c>
    </row>
    <row r="351" spans="1:16" x14ac:dyDescent="0.25">
      <c r="A351" t="s">
        <v>4924</v>
      </c>
      <c r="B351" t="s">
        <v>4844</v>
      </c>
      <c r="C351" t="s">
        <v>4845</v>
      </c>
      <c r="D351" s="11">
        <v>9007</v>
      </c>
      <c r="E351" t="s">
        <v>3790</v>
      </c>
      <c r="F351">
        <v>3</v>
      </c>
      <c r="G351" t="str">
        <f>_xlfn.XLOOKUP(E351,'Base SKUs'!E:E,'Base SKUs'!D:D)</f>
        <v>Thermowood</v>
      </c>
      <c r="H351" s="10">
        <f>_xlfn.XLOOKUP(E351,'Base SKUs'!E:E,'Base SKUs'!S:S)</f>
        <v>1.0799999999999999E-2</v>
      </c>
      <c r="I351" s="9">
        <f t="shared" si="5"/>
        <v>3.2000000000000001E-2</v>
      </c>
      <c r="J351" t="str">
        <f>_xlfn.XLOOKUP(E351,'Base SKUs'!E:E,'Base SKUs'!G:G)</f>
        <v>Maximo Thermo Ayous</v>
      </c>
      <c r="K351" t="str">
        <f>_xlfn.XLOOKUP(E351,'Base SKUs'!E:E,'Base SKUs'!H:H)</f>
        <v>S4S E4E</v>
      </c>
      <c r="L351" t="str">
        <f>_xlfn.XLOOKUP(E351,'Base SKUs'!E:E,'Base SKUs'!I:I)</f>
        <v>-</v>
      </c>
      <c r="M351" t="str">
        <f>_xlfn.XLOOKUP(E351,'Base SKUs'!E:E,'Base SKUs'!J:J)</f>
        <v>2x4</v>
      </c>
      <c r="N351">
        <f>_xlfn.XLOOKUP(E351,'Base SKUs'!E:E,'Base SKUs'!K:K)</f>
        <v>10</v>
      </c>
      <c r="O351" t="str">
        <f>_xlfn.XLOOKUP(E351,'Base SKUs'!E:E,'Base SKUs'!C:C)</f>
        <v>Long</v>
      </c>
      <c r="P351" t="s">
        <v>4930</v>
      </c>
    </row>
    <row r="352" spans="1:16" x14ac:dyDescent="0.25">
      <c r="A352" t="s">
        <v>4924</v>
      </c>
      <c r="B352" t="s">
        <v>4844</v>
      </c>
      <c r="C352" t="s">
        <v>4845</v>
      </c>
      <c r="D352" s="11">
        <v>9007</v>
      </c>
      <c r="E352" t="s">
        <v>3572</v>
      </c>
      <c r="F352">
        <v>3</v>
      </c>
      <c r="G352" t="str">
        <f>_xlfn.XLOOKUP(E352,'Base SKUs'!E:E,'Base SKUs'!D:D)</f>
        <v>Thermowood</v>
      </c>
      <c r="H352" s="10">
        <f>_xlfn.XLOOKUP(E352,'Base SKUs'!E:E,'Base SKUs'!S:S)</f>
        <v>1.3412876399999997E-2</v>
      </c>
      <c r="I352" s="9">
        <f t="shared" si="5"/>
        <v>0.04</v>
      </c>
      <c r="J352" t="str">
        <f>_xlfn.XLOOKUP(E352,'Base SKUs'!E:E,'Base SKUs'!G:G)</f>
        <v>Maximo Thermo Ayous JPL</v>
      </c>
      <c r="K352" t="str">
        <f>_xlfn.XLOOKUP(E352,'Base SKUs'!E:E,'Base SKUs'!H:H)</f>
        <v>S4S E4E</v>
      </c>
      <c r="L352" t="str">
        <f>_xlfn.XLOOKUP(E352,'Base SKUs'!E:E,'Base SKUs'!I:I)</f>
        <v>-</v>
      </c>
      <c r="M352" t="str">
        <f>_xlfn.XLOOKUP(E352,'Base SKUs'!E:E,'Base SKUs'!J:J)</f>
        <v>2x4</v>
      </c>
      <c r="N352">
        <f>_xlfn.XLOOKUP(E352,'Base SKUs'!E:E,'Base SKUs'!K:K)</f>
        <v>13</v>
      </c>
      <c r="O352" t="str">
        <f>_xlfn.XLOOKUP(E352,'Base SKUs'!E:E,'Base SKUs'!C:C)</f>
        <v>Long</v>
      </c>
      <c r="P352" t="s">
        <v>4930</v>
      </c>
    </row>
    <row r="353" spans="1:16" x14ac:dyDescent="0.25">
      <c r="A353" t="s">
        <v>4924</v>
      </c>
      <c r="B353" t="s">
        <v>4844</v>
      </c>
      <c r="C353" t="s">
        <v>4845</v>
      </c>
      <c r="D353" s="11">
        <v>9007</v>
      </c>
      <c r="E353" t="s">
        <v>3568</v>
      </c>
      <c r="F353">
        <v>3</v>
      </c>
      <c r="G353" t="str">
        <f>_xlfn.XLOOKUP(E353,'Base SKUs'!E:E,'Base SKUs'!D:D)</f>
        <v>Thermowood</v>
      </c>
      <c r="H353" s="10">
        <f>_xlfn.XLOOKUP(E353,'Base SKUs'!E:E,'Base SKUs'!S:S)</f>
        <v>1.0330624499999998E-2</v>
      </c>
      <c r="I353" s="9">
        <f t="shared" si="5"/>
        <v>3.1E-2</v>
      </c>
      <c r="J353" t="str">
        <f>_xlfn.XLOOKUP(E353,'Base SKUs'!E:E,'Base SKUs'!G:G)</f>
        <v>Maximo Thermo Ayous JPL</v>
      </c>
      <c r="K353" t="str">
        <f>_xlfn.XLOOKUP(E353,'Base SKUs'!E:E,'Base SKUs'!H:H)</f>
        <v>S4S E4E</v>
      </c>
      <c r="L353" t="str">
        <f>_xlfn.XLOOKUP(E353,'Base SKUs'!E:E,'Base SKUs'!I:I)</f>
        <v>-</v>
      </c>
      <c r="M353" t="str">
        <f>_xlfn.XLOOKUP(E353,'Base SKUs'!E:E,'Base SKUs'!J:J)</f>
        <v>2x4</v>
      </c>
      <c r="N353">
        <f>_xlfn.XLOOKUP(E353,'Base SKUs'!E:E,'Base SKUs'!K:K)</f>
        <v>10</v>
      </c>
      <c r="O353" t="str">
        <f>_xlfn.XLOOKUP(E353,'Base SKUs'!E:E,'Base SKUs'!C:C)</f>
        <v>Long</v>
      </c>
      <c r="P353" t="s">
        <v>4930</v>
      </c>
    </row>
    <row r="354" spans="1:16" x14ac:dyDescent="0.25">
      <c r="A354" t="s">
        <v>4924</v>
      </c>
      <c r="B354" t="s">
        <v>4844</v>
      </c>
      <c r="C354" t="s">
        <v>4845</v>
      </c>
      <c r="D354" s="11">
        <v>9007</v>
      </c>
      <c r="E354" t="s">
        <v>249</v>
      </c>
      <c r="F354">
        <v>210</v>
      </c>
      <c r="G354" t="str">
        <f>_xlfn.XLOOKUP(E354,'Base SKUs'!E:E,'Base SKUs'!D:D)</f>
        <v>Thermowood</v>
      </c>
      <c r="H354" s="10">
        <f>_xlfn.XLOOKUP(E354,'Base SKUs'!E:E,'Base SKUs'!S:S)</f>
        <v>1.0538688599999999E-2</v>
      </c>
      <c r="I354" s="9">
        <f t="shared" si="5"/>
        <v>2.2130000000000001</v>
      </c>
      <c r="J354" t="str">
        <f>_xlfn.XLOOKUP(E354,'Base SKUs'!E:E,'Base SKUs'!G:G)</f>
        <v>Maximo Thermo Ayous JPL</v>
      </c>
      <c r="K354" t="str">
        <f>_xlfn.XLOOKUP(E354,'Base SKUs'!E:E,'Base SKUs'!H:H)</f>
        <v>VJoint - Nickel Gap</v>
      </c>
      <c r="L354" t="str">
        <f>_xlfn.XLOOKUP(E354,'Base SKUs'!E:E,'Base SKUs'!I:I)</f>
        <v>-</v>
      </c>
      <c r="M354" t="str">
        <f>_xlfn.XLOOKUP(E354,'Base SKUs'!E:E,'Base SKUs'!J:J)</f>
        <v>1x6</v>
      </c>
      <c r="N354">
        <f>_xlfn.XLOOKUP(E354,'Base SKUs'!E:E,'Base SKUs'!K:K)</f>
        <v>13</v>
      </c>
      <c r="O354" t="str">
        <f>_xlfn.XLOOKUP(E354,'Base SKUs'!E:E,'Base SKUs'!C:C)</f>
        <v>Long</v>
      </c>
      <c r="P354" t="s">
        <v>4930</v>
      </c>
    </row>
    <row r="355" spans="1:16" x14ac:dyDescent="0.25">
      <c r="A355" t="s">
        <v>4924</v>
      </c>
      <c r="B355" t="s">
        <v>4844</v>
      </c>
      <c r="C355" t="s">
        <v>4845</v>
      </c>
      <c r="D355" s="11">
        <v>9007</v>
      </c>
      <c r="E355" t="s">
        <v>3723</v>
      </c>
      <c r="F355">
        <v>3</v>
      </c>
      <c r="G355" t="str">
        <f>_xlfn.XLOOKUP(E355,'Base SKUs'!E:E,'Base SKUs'!D:D)</f>
        <v>Thermowood</v>
      </c>
      <c r="H355" s="10">
        <f>_xlfn.XLOOKUP(E355,'Base SKUs'!E:E,'Base SKUs'!S:S)</f>
        <v>7.3415999999999993E-3</v>
      </c>
      <c r="I355" s="9">
        <f t="shared" si="5"/>
        <v>2.1999999999999999E-2</v>
      </c>
      <c r="J355" t="str">
        <f>_xlfn.XLOOKUP(E355,'Base SKUs'!E:E,'Base SKUs'!G:G)</f>
        <v>Maximo Thermo Ayous</v>
      </c>
      <c r="K355" t="str">
        <f>_xlfn.XLOOKUP(E355,'Base SKUs'!E:E,'Base SKUs'!H:H)</f>
        <v>S4S E4E</v>
      </c>
      <c r="L355" t="str">
        <f>_xlfn.XLOOKUP(E355,'Base SKUs'!E:E,'Base SKUs'!I:I)</f>
        <v>-</v>
      </c>
      <c r="M355" t="str">
        <f>_xlfn.XLOOKUP(E355,'Base SKUs'!E:E,'Base SKUs'!J:J)</f>
        <v>1x4</v>
      </c>
      <c r="N355">
        <f>_xlfn.XLOOKUP(E355,'Base SKUs'!E:E,'Base SKUs'!K:K)</f>
        <v>14</v>
      </c>
      <c r="O355" t="str">
        <f>_xlfn.XLOOKUP(E355,'Base SKUs'!E:E,'Base SKUs'!C:C)</f>
        <v>Long</v>
      </c>
      <c r="P355" t="s">
        <v>4930</v>
      </c>
    </row>
    <row r="356" spans="1:16" x14ac:dyDescent="0.25">
      <c r="A356" t="s">
        <v>4924</v>
      </c>
      <c r="B356" t="s">
        <v>4844</v>
      </c>
      <c r="C356" t="s">
        <v>4845</v>
      </c>
      <c r="D356" s="11">
        <v>9007</v>
      </c>
      <c r="E356" t="s">
        <v>3732</v>
      </c>
      <c r="F356">
        <v>1</v>
      </c>
      <c r="G356" t="str">
        <f>_xlfn.XLOOKUP(E356,'Base SKUs'!E:E,'Base SKUs'!D:D)</f>
        <v>Thermowood</v>
      </c>
      <c r="H356" s="10">
        <f>_xlfn.XLOOKUP(E356,'Base SKUs'!E:E,'Base SKUs'!S:S)</f>
        <v>4.1951999999999996E-3</v>
      </c>
      <c r="I356" s="9">
        <f t="shared" si="5"/>
        <v>4.0000000000000001E-3</v>
      </c>
      <c r="J356" t="str">
        <f>_xlfn.XLOOKUP(E356,'Base SKUs'!E:E,'Base SKUs'!G:G)</f>
        <v>Maximo Thermo Ayous</v>
      </c>
      <c r="K356" t="str">
        <f>_xlfn.XLOOKUP(E356,'Base SKUs'!E:E,'Base SKUs'!H:H)</f>
        <v>S4S E4E</v>
      </c>
      <c r="L356" t="str">
        <f>_xlfn.XLOOKUP(E356,'Base SKUs'!E:E,'Base SKUs'!I:I)</f>
        <v>-</v>
      </c>
      <c r="M356" t="str">
        <f>_xlfn.XLOOKUP(E356,'Base SKUs'!E:E,'Base SKUs'!J:J)</f>
        <v>1x4</v>
      </c>
      <c r="N356">
        <f>_xlfn.XLOOKUP(E356,'Base SKUs'!E:E,'Base SKUs'!K:K)</f>
        <v>8</v>
      </c>
      <c r="O356" t="str">
        <f>_xlfn.XLOOKUP(E356,'Base SKUs'!E:E,'Base SKUs'!C:C)</f>
        <v>Long</v>
      </c>
      <c r="P356" t="s">
        <v>4930</v>
      </c>
    </row>
    <row r="357" spans="1:16" x14ac:dyDescent="0.25">
      <c r="A357" t="s">
        <v>4925</v>
      </c>
      <c r="B357" t="s">
        <v>4844</v>
      </c>
      <c r="C357" t="s">
        <v>4845</v>
      </c>
      <c r="D357" s="11">
        <v>9011</v>
      </c>
      <c r="E357" t="s">
        <v>199</v>
      </c>
      <c r="F357">
        <v>131</v>
      </c>
      <c r="G357" t="str">
        <f>_xlfn.XLOOKUP(E357,'Base SKUs'!E:E,'Base SKUs'!D:D)</f>
        <v>Hardwoods</v>
      </c>
      <c r="H357" s="10">
        <f>_xlfn.XLOOKUP(E357,'Base SKUs'!E:E,'Base SKUs'!S:S)</f>
        <v>1.7304739584000001E-2</v>
      </c>
      <c r="I357" s="9">
        <f t="shared" si="5"/>
        <v>2.2669999999999999</v>
      </c>
      <c r="J357" t="str">
        <f>_xlfn.XLOOKUP(E357,'Base SKUs'!E:E,'Base SKUs'!G:G)</f>
        <v>Ipe</v>
      </c>
      <c r="K357" t="str">
        <f>_xlfn.XLOOKUP(E357,'Base SKUs'!E:E,'Base SKUs'!H:H)</f>
        <v>S4S E4E</v>
      </c>
      <c r="L357" t="str">
        <f>_xlfn.XLOOKUP(E357,'Base SKUs'!E:E,'Base SKUs'!I:I)</f>
        <v>-</v>
      </c>
      <c r="M357" t="str">
        <f>_xlfn.XLOOKUP(E357,'Base SKUs'!E:E,'Base SKUs'!J:J)</f>
        <v>5/4x6</v>
      </c>
      <c r="N357">
        <f>_xlfn.XLOOKUP(E357,'Base SKUs'!E:E,'Base SKUs'!K:K)</f>
        <v>16</v>
      </c>
      <c r="O357" t="str">
        <f>_xlfn.XLOOKUP(E357,'Base SKUs'!E:E,'Base SKUs'!C:C)</f>
        <v>Long</v>
      </c>
      <c r="P357" t="s">
        <v>4931</v>
      </c>
    </row>
    <row r="358" spans="1:16" x14ac:dyDescent="0.25">
      <c r="A358" t="s">
        <v>4925</v>
      </c>
      <c r="B358" t="s">
        <v>4844</v>
      </c>
      <c r="C358" t="s">
        <v>4845</v>
      </c>
      <c r="D358" s="11">
        <v>9011</v>
      </c>
      <c r="E358" t="s">
        <v>1582</v>
      </c>
      <c r="F358">
        <v>50</v>
      </c>
      <c r="G358" t="str">
        <f>_xlfn.XLOOKUP(E358,'Base SKUs'!E:E,'Base SKUs'!D:D)</f>
        <v>Hardwoods</v>
      </c>
      <c r="H358" s="10">
        <f>_xlfn.XLOOKUP(E358,'Base SKUs'!E:E,'Base SKUs'!S:S)</f>
        <v>3.5396058240000005E-3</v>
      </c>
      <c r="I358" s="9">
        <f t="shared" si="5"/>
        <v>0.17699999999999999</v>
      </c>
      <c r="J358" t="str">
        <f>_xlfn.XLOOKUP(E358,'Base SKUs'!E:E,'Base SKUs'!G:G)</f>
        <v>Ipe</v>
      </c>
      <c r="K358" t="str">
        <f>_xlfn.XLOOKUP(E358,'Base SKUs'!E:E,'Base SKUs'!H:H)</f>
        <v>S4S E4E</v>
      </c>
      <c r="L358" t="str">
        <f>_xlfn.XLOOKUP(E358,'Base SKUs'!E:E,'Base SKUs'!I:I)</f>
        <v>-</v>
      </c>
      <c r="M358" t="str">
        <f>_xlfn.XLOOKUP(E358,'Base SKUs'!E:E,'Base SKUs'!J:J)</f>
        <v>2x2</v>
      </c>
      <c r="N358">
        <f>_xlfn.XLOOKUP(E358,'Base SKUs'!E:E,'Base SKUs'!K:K)</f>
        <v>8</v>
      </c>
      <c r="O358" t="str">
        <f>_xlfn.XLOOKUP(E358,'Base SKUs'!E:E,'Base SKUs'!C:C)</f>
        <v>Long</v>
      </c>
      <c r="P358" t="s">
        <v>4931</v>
      </c>
    </row>
    <row r="359" spans="1:16" x14ac:dyDescent="0.25">
      <c r="A359" t="s">
        <v>4925</v>
      </c>
      <c r="B359" t="s">
        <v>4844</v>
      </c>
      <c r="C359" t="s">
        <v>4845</v>
      </c>
      <c r="D359" s="11">
        <v>9011</v>
      </c>
      <c r="E359" t="s">
        <v>1565</v>
      </c>
      <c r="F359">
        <v>300</v>
      </c>
      <c r="G359" t="str">
        <f>_xlfn.XLOOKUP(E359,'Base SKUs'!E:E,'Base SKUs'!D:D)</f>
        <v>Hardwoods</v>
      </c>
      <c r="H359" s="10">
        <f>_xlfn.XLOOKUP(E359,'Base SKUs'!E:E,'Base SKUs'!S:S)</f>
        <v>4.4245072800000009E-3</v>
      </c>
      <c r="I359" s="9">
        <f t="shared" si="5"/>
        <v>1.327</v>
      </c>
      <c r="J359" t="str">
        <f>_xlfn.XLOOKUP(E359,'Base SKUs'!E:E,'Base SKUs'!G:G)</f>
        <v>Ipe</v>
      </c>
      <c r="K359" t="str">
        <f>_xlfn.XLOOKUP(E359,'Base SKUs'!E:E,'Base SKUs'!H:H)</f>
        <v>S4S E4E</v>
      </c>
      <c r="L359" t="str">
        <f>_xlfn.XLOOKUP(E359,'Base SKUs'!E:E,'Base SKUs'!I:I)</f>
        <v>-</v>
      </c>
      <c r="M359" t="str">
        <f>_xlfn.XLOOKUP(E359,'Base SKUs'!E:E,'Base SKUs'!J:J)</f>
        <v>2x2</v>
      </c>
      <c r="N359">
        <f>_xlfn.XLOOKUP(E359,'Base SKUs'!E:E,'Base SKUs'!K:K)</f>
        <v>10</v>
      </c>
      <c r="O359" t="str">
        <f>_xlfn.XLOOKUP(E359,'Base SKUs'!E:E,'Base SKUs'!C:C)</f>
        <v>Long</v>
      </c>
      <c r="P359" t="s">
        <v>4931</v>
      </c>
    </row>
    <row r="360" spans="1:16" x14ac:dyDescent="0.25">
      <c r="A360" t="s">
        <v>4925</v>
      </c>
      <c r="B360" t="s">
        <v>4844</v>
      </c>
      <c r="C360" t="s">
        <v>4845</v>
      </c>
      <c r="D360" s="11">
        <v>9011</v>
      </c>
      <c r="E360" t="s">
        <v>53</v>
      </c>
      <c r="F360">
        <v>2</v>
      </c>
      <c r="G360" t="str">
        <f>_xlfn.XLOOKUP(E360,'Base SKUs'!E:E,'Base SKUs'!D:D)</f>
        <v>Hardwoods</v>
      </c>
      <c r="H360" s="10">
        <f>_xlfn.XLOOKUP(E360,'Base SKUs'!E:E,'Base SKUs'!S:S)</f>
        <v>7.1382050783999992E-2</v>
      </c>
      <c r="I360" s="9">
        <f t="shared" si="5"/>
        <v>0.14299999999999999</v>
      </c>
      <c r="J360" t="str">
        <f>_xlfn.XLOOKUP(E360,'Base SKUs'!E:E,'Base SKUs'!G:G)</f>
        <v>Ipe</v>
      </c>
      <c r="K360" t="str">
        <f>_xlfn.XLOOKUP(E360,'Base SKUs'!E:E,'Base SKUs'!H:H)</f>
        <v>S4S E4E</v>
      </c>
      <c r="L360" t="str">
        <f>_xlfn.XLOOKUP(E360,'Base SKUs'!E:E,'Base SKUs'!I:I)</f>
        <v>-</v>
      </c>
      <c r="M360" t="str">
        <f>_xlfn.XLOOKUP(E360,'Base SKUs'!E:E,'Base SKUs'!J:J)</f>
        <v>6x6</v>
      </c>
      <c r="N360">
        <f>_xlfn.XLOOKUP(E360,'Base SKUs'!E:E,'Base SKUs'!K:K)</f>
        <v>12</v>
      </c>
      <c r="O360" t="str">
        <f>_xlfn.XLOOKUP(E360,'Base SKUs'!E:E,'Base SKUs'!C:C)</f>
        <v>Long</v>
      </c>
      <c r="P360" t="s">
        <v>4931</v>
      </c>
    </row>
    <row r="361" spans="1:16" x14ac:dyDescent="0.25">
      <c r="A361" t="s">
        <v>4925</v>
      </c>
      <c r="B361" t="s">
        <v>4844</v>
      </c>
      <c r="C361" t="s">
        <v>4845</v>
      </c>
      <c r="D361" s="11">
        <v>9011</v>
      </c>
      <c r="E361" t="s">
        <v>54</v>
      </c>
      <c r="F361">
        <v>2</v>
      </c>
      <c r="G361" t="str">
        <f>_xlfn.XLOOKUP(E361,'Base SKUs'!E:E,'Base SKUs'!D:D)</f>
        <v>Hardwoods</v>
      </c>
      <c r="H361" s="10">
        <f>_xlfn.XLOOKUP(E361,'Base SKUs'!E:E,'Base SKUs'!S:S)</f>
        <v>8.327905924799997E-2</v>
      </c>
      <c r="I361" s="9">
        <f t="shared" si="5"/>
        <v>0.16700000000000001</v>
      </c>
      <c r="J361" t="str">
        <f>_xlfn.XLOOKUP(E361,'Base SKUs'!E:E,'Base SKUs'!G:G)</f>
        <v>Ipe</v>
      </c>
      <c r="K361" t="str">
        <f>_xlfn.XLOOKUP(E361,'Base SKUs'!E:E,'Base SKUs'!H:H)</f>
        <v>S4S E4E</v>
      </c>
      <c r="L361" t="str">
        <f>_xlfn.XLOOKUP(E361,'Base SKUs'!E:E,'Base SKUs'!I:I)</f>
        <v>-</v>
      </c>
      <c r="M361" t="str">
        <f>_xlfn.XLOOKUP(E361,'Base SKUs'!E:E,'Base SKUs'!J:J)</f>
        <v>6x6</v>
      </c>
      <c r="N361">
        <f>_xlfn.XLOOKUP(E361,'Base SKUs'!E:E,'Base SKUs'!K:K)</f>
        <v>14</v>
      </c>
      <c r="O361" t="str">
        <f>_xlfn.XLOOKUP(E361,'Base SKUs'!E:E,'Base SKUs'!C:C)</f>
        <v>Long</v>
      </c>
      <c r="P361" t="s">
        <v>4931</v>
      </c>
    </row>
    <row r="362" spans="1:16" x14ac:dyDescent="0.25">
      <c r="A362" t="s">
        <v>4925</v>
      </c>
      <c r="B362" t="s">
        <v>4844</v>
      </c>
      <c r="C362" t="s">
        <v>4845</v>
      </c>
      <c r="D362" s="11">
        <v>9011</v>
      </c>
      <c r="E362" t="s">
        <v>2051</v>
      </c>
      <c r="F362">
        <v>15</v>
      </c>
      <c r="G362" t="str">
        <f>_xlfn.XLOOKUP(E362,'Base SKUs'!E:E,'Base SKUs'!D:D)</f>
        <v>Hardwoods</v>
      </c>
      <c r="H362" s="10">
        <f>_xlfn.XLOOKUP(E362,'Base SKUs'!E:E,'Base SKUs'!S:S)</f>
        <v>2.3794016927999991E-2</v>
      </c>
      <c r="I362" s="9">
        <f t="shared" si="5"/>
        <v>0.35699999999999998</v>
      </c>
      <c r="J362" t="str">
        <f>_xlfn.XLOOKUP(E362,'Base SKUs'!E:E,'Base SKUs'!G:G)</f>
        <v>Ipe</v>
      </c>
      <c r="K362" t="str">
        <f>_xlfn.XLOOKUP(E362,'Base SKUs'!E:E,'Base SKUs'!H:H)</f>
        <v>S4S E4E</v>
      </c>
      <c r="L362" t="str">
        <f>_xlfn.XLOOKUP(E362,'Base SKUs'!E:E,'Base SKUs'!I:I)</f>
        <v>-</v>
      </c>
      <c r="M362" t="str">
        <f>_xlfn.XLOOKUP(E362,'Base SKUs'!E:E,'Base SKUs'!J:J)</f>
        <v>5/4x6</v>
      </c>
      <c r="N362">
        <f>_xlfn.XLOOKUP(E362,'Base SKUs'!E:E,'Base SKUs'!K:K)</f>
        <v>22</v>
      </c>
      <c r="O362" t="str">
        <f>_xlfn.XLOOKUP(E362,'Base SKUs'!E:E,'Base SKUs'!C:C)</f>
        <v>Long</v>
      </c>
      <c r="P362" t="s">
        <v>4931</v>
      </c>
    </row>
    <row r="363" spans="1:16" x14ac:dyDescent="0.25">
      <c r="A363" t="s">
        <v>4925</v>
      </c>
      <c r="B363" t="s">
        <v>4844</v>
      </c>
      <c r="C363" t="s">
        <v>4845</v>
      </c>
      <c r="D363" s="11">
        <v>9011</v>
      </c>
      <c r="E363" t="s">
        <v>2429</v>
      </c>
      <c r="F363">
        <v>47</v>
      </c>
      <c r="G363" t="str">
        <f>_xlfn.XLOOKUP(E363,'Base SKUs'!E:E,'Base SKUs'!D:D)</f>
        <v>Hardwoods</v>
      </c>
      <c r="H363" s="10">
        <f>_xlfn.XLOOKUP(E363,'Base SKUs'!E:E,'Base SKUs'!S:S)</f>
        <v>1.9467832031999997E-2</v>
      </c>
      <c r="I363" s="9">
        <f t="shared" si="5"/>
        <v>0.91500000000000004</v>
      </c>
      <c r="J363" t="str">
        <f>_xlfn.XLOOKUP(E363,'Base SKUs'!E:E,'Base SKUs'!G:G)</f>
        <v>Massaranduba Bullet Wood</v>
      </c>
      <c r="K363" t="str">
        <f>_xlfn.XLOOKUP(E363,'Base SKUs'!E:E,'Base SKUs'!H:H)</f>
        <v>S4S E4E</v>
      </c>
      <c r="L363" t="str">
        <f>_xlfn.XLOOKUP(E363,'Base SKUs'!E:E,'Base SKUs'!I:I)</f>
        <v>-</v>
      </c>
      <c r="M363" t="str">
        <f>_xlfn.XLOOKUP(E363,'Base SKUs'!E:E,'Base SKUs'!J:J)</f>
        <v>5/4x6</v>
      </c>
      <c r="N363">
        <f>_xlfn.XLOOKUP(E363,'Base SKUs'!E:E,'Base SKUs'!K:K)</f>
        <v>18</v>
      </c>
      <c r="O363" t="str">
        <f>_xlfn.XLOOKUP(E363,'Base SKUs'!E:E,'Base SKUs'!C:C)</f>
        <v>Long</v>
      </c>
      <c r="P363" t="s">
        <v>4931</v>
      </c>
    </row>
    <row r="364" spans="1:16" x14ac:dyDescent="0.25">
      <c r="A364" t="s">
        <v>4925</v>
      </c>
      <c r="B364" t="s">
        <v>4844</v>
      </c>
      <c r="C364" t="s">
        <v>4845</v>
      </c>
      <c r="D364" s="11">
        <v>9011</v>
      </c>
      <c r="E364" t="s">
        <v>2134</v>
      </c>
      <c r="F364">
        <v>1</v>
      </c>
      <c r="G364" t="str">
        <f>_xlfn.XLOOKUP(E364,'Base SKUs'!E:E,'Base SKUs'!D:D)</f>
        <v>Hardwoods</v>
      </c>
      <c r="H364" s="10">
        <f>_xlfn.XLOOKUP(E364,'Base SKUs'!E:E,'Base SKUs'!S:S)</f>
        <v>0.11897008463999999</v>
      </c>
      <c r="I364" s="9">
        <f t="shared" si="5"/>
        <v>0.11899999999999999</v>
      </c>
      <c r="J364" t="str">
        <f>_xlfn.XLOOKUP(E364,'Base SKUs'!E:E,'Base SKUs'!G:G)</f>
        <v>Ipe</v>
      </c>
      <c r="K364" t="str">
        <f>_xlfn.XLOOKUP(E364,'Base SKUs'!E:E,'Base SKUs'!H:H)</f>
        <v>S4S E4E</v>
      </c>
      <c r="L364" t="str">
        <f>_xlfn.XLOOKUP(E364,'Base SKUs'!E:E,'Base SKUs'!I:I)</f>
        <v>-</v>
      </c>
      <c r="M364" t="str">
        <f>_xlfn.XLOOKUP(E364,'Base SKUs'!E:E,'Base SKUs'!J:J)</f>
        <v>6x6</v>
      </c>
      <c r="N364">
        <f>_xlfn.XLOOKUP(E364,'Base SKUs'!E:E,'Base SKUs'!K:K)</f>
        <v>20</v>
      </c>
      <c r="O364" t="str">
        <f>_xlfn.XLOOKUP(E364,'Base SKUs'!E:E,'Base SKUs'!C:C)</f>
        <v>Long</v>
      </c>
      <c r="P364" t="s">
        <v>4931</v>
      </c>
    </row>
    <row r="365" spans="1:16" x14ac:dyDescent="0.25">
      <c r="A365" t="s">
        <v>4926</v>
      </c>
      <c r="B365" t="s">
        <v>4844</v>
      </c>
      <c r="C365" t="s">
        <v>4845</v>
      </c>
      <c r="D365" s="11">
        <v>9008</v>
      </c>
      <c r="E365" t="s">
        <v>3403</v>
      </c>
      <c r="F365">
        <v>47</v>
      </c>
      <c r="G365" t="str">
        <f>_xlfn.XLOOKUP(E365,'Base SKUs'!E:E,'Base SKUs'!D:D)</f>
        <v>Thermowood</v>
      </c>
      <c r="H365" s="10">
        <f>_xlfn.XLOOKUP(E365,'Base SKUs'!E:E,'Base SKUs'!S:S)</f>
        <v>4.7880000000000006E-3</v>
      </c>
      <c r="I365" s="9">
        <f t="shared" si="5"/>
        <v>0.22500000000000001</v>
      </c>
      <c r="J365" t="str">
        <f>_xlfn.XLOOKUP(E365,'Base SKUs'!E:E,'Base SKUs'!G:G)</f>
        <v>Maximo Thermo Ayous Dark</v>
      </c>
      <c r="K365" t="str">
        <f>_xlfn.XLOOKUP(E365,'Base SKUs'!E:E,'Base SKUs'!H:H)</f>
        <v>VJoint - Square Back</v>
      </c>
      <c r="L365" t="str">
        <f>_xlfn.XLOOKUP(E365,'Base SKUs'!E:E,'Base SKUs'!I:I)</f>
        <v>-</v>
      </c>
      <c r="M365" t="str">
        <f>_xlfn.XLOOKUP(E365,'Base SKUs'!E:E,'Base SKUs'!J:J)</f>
        <v>1x6</v>
      </c>
      <c r="N365">
        <f>_xlfn.XLOOKUP(E365,'Base SKUs'!E:E,'Base SKUs'!K:K)</f>
        <v>6</v>
      </c>
      <c r="O365" t="str">
        <f>_xlfn.XLOOKUP(E365,'Base SKUs'!E:E,'Base SKUs'!C:C)</f>
        <v>Short</v>
      </c>
      <c r="P365" t="s">
        <v>4931</v>
      </c>
    </row>
    <row r="366" spans="1:16" x14ac:dyDescent="0.25">
      <c r="A366" t="s">
        <v>4926</v>
      </c>
      <c r="B366" t="s">
        <v>4844</v>
      </c>
      <c r="C366" t="s">
        <v>4845</v>
      </c>
      <c r="D366" s="11">
        <v>9008</v>
      </c>
      <c r="E366" t="s">
        <v>67</v>
      </c>
      <c r="F366">
        <v>632</v>
      </c>
      <c r="G366" t="str">
        <f>_xlfn.XLOOKUP(E366,'Base SKUs'!E:E,'Base SKUs'!D:D)</f>
        <v>Thermowood</v>
      </c>
      <c r="H366" s="10">
        <f>_xlfn.XLOOKUP(E366,'Base SKUs'!E:E,'Base SKUs'!S:S)</f>
        <v>7.980000000000001E-3</v>
      </c>
      <c r="I366" s="9">
        <f t="shared" si="5"/>
        <v>5.0430000000000001</v>
      </c>
      <c r="J366" t="str">
        <f>_xlfn.XLOOKUP(E366,'Base SKUs'!E:E,'Base SKUs'!G:G)</f>
        <v>Maximo Thermo Ayous Dark</v>
      </c>
      <c r="K366" t="str">
        <f>_xlfn.XLOOKUP(E366,'Base SKUs'!E:E,'Base SKUs'!H:H)</f>
        <v>VJoint - Square Back</v>
      </c>
      <c r="L366" t="str">
        <f>_xlfn.XLOOKUP(E366,'Base SKUs'!E:E,'Base SKUs'!I:I)</f>
        <v>-</v>
      </c>
      <c r="M366" t="str">
        <f>_xlfn.XLOOKUP(E366,'Base SKUs'!E:E,'Base SKUs'!J:J)</f>
        <v>1x6</v>
      </c>
      <c r="N366">
        <f>_xlfn.XLOOKUP(E366,'Base SKUs'!E:E,'Base SKUs'!K:K)</f>
        <v>10</v>
      </c>
      <c r="O366" t="str">
        <f>_xlfn.XLOOKUP(E366,'Base SKUs'!E:E,'Base SKUs'!C:C)</f>
        <v>Long</v>
      </c>
      <c r="P366" t="s">
        <v>4931</v>
      </c>
    </row>
    <row r="367" spans="1:16" x14ac:dyDescent="0.25">
      <c r="A367" t="s">
        <v>4926</v>
      </c>
      <c r="B367" t="s">
        <v>4844</v>
      </c>
      <c r="C367" t="s">
        <v>4845</v>
      </c>
      <c r="D367" s="11">
        <v>9008</v>
      </c>
      <c r="E367" t="s">
        <v>83</v>
      </c>
      <c r="F367">
        <v>472</v>
      </c>
      <c r="G367" t="str">
        <f>_xlfn.XLOOKUP(E367,'Base SKUs'!E:E,'Base SKUs'!D:D)</f>
        <v>Thermowood</v>
      </c>
      <c r="H367" s="10">
        <f>_xlfn.XLOOKUP(E367,'Base SKUs'!E:E,'Base SKUs'!S:S)</f>
        <v>8.7779999999999993E-3</v>
      </c>
      <c r="I367" s="9">
        <f t="shared" si="5"/>
        <v>4.1429999999999998</v>
      </c>
      <c r="J367" t="str">
        <f>_xlfn.XLOOKUP(E367,'Base SKUs'!E:E,'Base SKUs'!G:G)</f>
        <v>Maximo Thermo Ayous Dark</v>
      </c>
      <c r="K367" t="str">
        <f>_xlfn.XLOOKUP(E367,'Base SKUs'!E:E,'Base SKUs'!H:H)</f>
        <v>VJoint - Square Back</v>
      </c>
      <c r="L367" t="str">
        <f>_xlfn.XLOOKUP(E367,'Base SKUs'!E:E,'Base SKUs'!I:I)</f>
        <v>-</v>
      </c>
      <c r="M367" t="str">
        <f>_xlfn.XLOOKUP(E367,'Base SKUs'!E:E,'Base SKUs'!J:J)</f>
        <v>1x6</v>
      </c>
      <c r="N367">
        <f>_xlfn.XLOOKUP(E367,'Base SKUs'!E:E,'Base SKUs'!K:K)</f>
        <v>11</v>
      </c>
      <c r="O367" t="str">
        <f>_xlfn.XLOOKUP(E367,'Base SKUs'!E:E,'Base SKUs'!C:C)</f>
        <v>Long</v>
      </c>
      <c r="P367" t="s">
        <v>4931</v>
      </c>
    </row>
    <row r="368" spans="1:16" x14ac:dyDescent="0.25">
      <c r="A368" t="s">
        <v>4926</v>
      </c>
      <c r="B368" t="s">
        <v>4844</v>
      </c>
      <c r="C368" t="s">
        <v>4845</v>
      </c>
      <c r="D368" s="11">
        <v>9008</v>
      </c>
      <c r="E368" t="s">
        <v>260</v>
      </c>
      <c r="F368">
        <v>77</v>
      </c>
      <c r="G368" t="str">
        <f>_xlfn.XLOOKUP(E368,'Base SKUs'!E:E,'Base SKUs'!D:D)</f>
        <v>Thermowood</v>
      </c>
      <c r="H368" s="10">
        <f>_xlfn.XLOOKUP(E368,'Base SKUs'!E:E,'Base SKUs'!S:S)</f>
        <v>9.5760000000000012E-3</v>
      </c>
      <c r="I368" s="9">
        <f t="shared" si="5"/>
        <v>0.73699999999999999</v>
      </c>
      <c r="J368" t="str">
        <f>_xlfn.XLOOKUP(E368,'Base SKUs'!E:E,'Base SKUs'!G:G)</f>
        <v>Maximo Thermo Ayous Dark</v>
      </c>
      <c r="K368" t="str">
        <f>_xlfn.XLOOKUP(E368,'Base SKUs'!E:E,'Base SKUs'!H:H)</f>
        <v>VJoint - Square Back</v>
      </c>
      <c r="L368" t="str">
        <f>_xlfn.XLOOKUP(E368,'Base SKUs'!E:E,'Base SKUs'!I:I)</f>
        <v>-</v>
      </c>
      <c r="M368" t="str">
        <f>_xlfn.XLOOKUP(E368,'Base SKUs'!E:E,'Base SKUs'!J:J)</f>
        <v>1x6</v>
      </c>
      <c r="N368">
        <f>_xlfn.XLOOKUP(E368,'Base SKUs'!E:E,'Base SKUs'!K:K)</f>
        <v>12</v>
      </c>
      <c r="O368" t="str">
        <f>_xlfn.XLOOKUP(E368,'Base SKUs'!E:E,'Base SKUs'!C:C)</f>
        <v>Long</v>
      </c>
      <c r="P368" t="s">
        <v>4931</v>
      </c>
    </row>
    <row r="369" spans="1:16" x14ac:dyDescent="0.25">
      <c r="A369" t="s">
        <v>4926</v>
      </c>
      <c r="B369" t="s">
        <v>4844</v>
      </c>
      <c r="C369" t="s">
        <v>4845</v>
      </c>
      <c r="D369" s="11">
        <v>9008</v>
      </c>
      <c r="E369" t="s">
        <v>84</v>
      </c>
      <c r="F369">
        <v>497</v>
      </c>
      <c r="G369" t="str">
        <f>_xlfn.XLOOKUP(E369,'Base SKUs'!E:E,'Base SKUs'!D:D)</f>
        <v>Thermowood</v>
      </c>
      <c r="H369" s="10">
        <f>_xlfn.XLOOKUP(E369,'Base SKUs'!E:E,'Base SKUs'!S:S)</f>
        <v>1.0374000000000001E-2</v>
      </c>
      <c r="I369" s="9">
        <f t="shared" si="5"/>
        <v>5.1559999999999997</v>
      </c>
      <c r="J369" t="str">
        <f>_xlfn.XLOOKUP(E369,'Base SKUs'!E:E,'Base SKUs'!G:G)</f>
        <v>Maximo Thermo Ayous Dark</v>
      </c>
      <c r="K369" t="str">
        <f>_xlfn.XLOOKUP(E369,'Base SKUs'!E:E,'Base SKUs'!H:H)</f>
        <v>VJoint - Square Back</v>
      </c>
      <c r="L369" t="str">
        <f>_xlfn.XLOOKUP(E369,'Base SKUs'!E:E,'Base SKUs'!I:I)</f>
        <v>-</v>
      </c>
      <c r="M369" t="str">
        <f>_xlfn.XLOOKUP(E369,'Base SKUs'!E:E,'Base SKUs'!J:J)</f>
        <v>1x6</v>
      </c>
      <c r="N369">
        <f>_xlfn.XLOOKUP(E369,'Base SKUs'!E:E,'Base SKUs'!K:K)</f>
        <v>13</v>
      </c>
      <c r="O369" t="str">
        <f>_xlfn.XLOOKUP(E369,'Base SKUs'!E:E,'Base SKUs'!C:C)</f>
        <v>Long</v>
      </c>
      <c r="P369" t="s">
        <v>4931</v>
      </c>
    </row>
    <row r="370" spans="1:16" x14ac:dyDescent="0.25">
      <c r="A370" t="s">
        <v>4926</v>
      </c>
      <c r="B370" t="s">
        <v>4844</v>
      </c>
      <c r="C370" t="s">
        <v>4845</v>
      </c>
      <c r="D370" s="11">
        <v>9008</v>
      </c>
      <c r="E370" t="s">
        <v>68</v>
      </c>
      <c r="F370">
        <v>63</v>
      </c>
      <c r="G370" t="str">
        <f>_xlfn.XLOOKUP(E370,'Base SKUs'!E:E,'Base SKUs'!D:D)</f>
        <v>Thermowood</v>
      </c>
      <c r="H370" s="10">
        <f>_xlfn.XLOOKUP(E370,'Base SKUs'!E:E,'Base SKUs'!S:S)</f>
        <v>1.1172E-2</v>
      </c>
      <c r="I370" s="9">
        <f t="shared" si="5"/>
        <v>0.70399999999999996</v>
      </c>
      <c r="J370" t="str">
        <f>_xlfn.XLOOKUP(E370,'Base SKUs'!E:E,'Base SKUs'!G:G)</f>
        <v>Maximo Thermo Ayous Dark</v>
      </c>
      <c r="K370" t="str">
        <f>_xlfn.XLOOKUP(E370,'Base SKUs'!E:E,'Base SKUs'!H:H)</f>
        <v>VJoint - Square Back</v>
      </c>
      <c r="L370" t="str">
        <f>_xlfn.XLOOKUP(E370,'Base SKUs'!E:E,'Base SKUs'!I:I)</f>
        <v>-</v>
      </c>
      <c r="M370" t="str">
        <f>_xlfn.XLOOKUP(E370,'Base SKUs'!E:E,'Base SKUs'!J:J)</f>
        <v>1x6</v>
      </c>
      <c r="N370">
        <f>_xlfn.XLOOKUP(E370,'Base SKUs'!E:E,'Base SKUs'!K:K)</f>
        <v>14</v>
      </c>
      <c r="O370" t="str">
        <f>_xlfn.XLOOKUP(E370,'Base SKUs'!E:E,'Base SKUs'!C:C)</f>
        <v>Long</v>
      </c>
      <c r="P370" t="s">
        <v>4931</v>
      </c>
    </row>
    <row r="371" spans="1:16" x14ac:dyDescent="0.25">
      <c r="A371" t="s">
        <v>4926</v>
      </c>
      <c r="B371" t="s">
        <v>4844</v>
      </c>
      <c r="C371" t="s">
        <v>4845</v>
      </c>
      <c r="D371" s="11">
        <v>9008</v>
      </c>
      <c r="E371" t="s">
        <v>85</v>
      </c>
      <c r="F371">
        <v>714</v>
      </c>
      <c r="G371" t="str">
        <f>_xlfn.XLOOKUP(E371,'Base SKUs'!E:E,'Base SKUs'!D:D)</f>
        <v>Thermowood</v>
      </c>
      <c r="H371" s="10">
        <f>_xlfn.XLOOKUP(E371,'Base SKUs'!E:E,'Base SKUs'!S:S)</f>
        <v>1.1970000000000001E-2</v>
      </c>
      <c r="I371" s="9">
        <f t="shared" si="5"/>
        <v>8.5470000000000006</v>
      </c>
      <c r="J371" t="str">
        <f>_xlfn.XLOOKUP(E371,'Base SKUs'!E:E,'Base SKUs'!G:G)</f>
        <v>Maximo Thermo Ayous Dark</v>
      </c>
      <c r="K371" t="str">
        <f>_xlfn.XLOOKUP(E371,'Base SKUs'!E:E,'Base SKUs'!H:H)</f>
        <v>VJoint - Square Back</v>
      </c>
      <c r="L371" t="str">
        <f>_xlfn.XLOOKUP(E371,'Base SKUs'!E:E,'Base SKUs'!I:I)</f>
        <v>-</v>
      </c>
      <c r="M371" t="str">
        <f>_xlfn.XLOOKUP(E371,'Base SKUs'!E:E,'Base SKUs'!J:J)</f>
        <v>1x6</v>
      </c>
      <c r="N371">
        <f>_xlfn.XLOOKUP(E371,'Base SKUs'!E:E,'Base SKUs'!K:K)</f>
        <v>15</v>
      </c>
      <c r="O371" t="str">
        <f>_xlfn.XLOOKUP(E371,'Base SKUs'!E:E,'Base SKUs'!C:C)</f>
        <v>Long</v>
      </c>
      <c r="P371" t="s">
        <v>4931</v>
      </c>
    </row>
    <row r="372" spans="1:16" x14ac:dyDescent="0.25">
      <c r="A372" t="s">
        <v>4926</v>
      </c>
      <c r="B372" t="s">
        <v>4844</v>
      </c>
      <c r="C372" t="s">
        <v>4845</v>
      </c>
      <c r="D372" s="11">
        <v>9008</v>
      </c>
      <c r="E372" t="s">
        <v>3404</v>
      </c>
      <c r="F372">
        <v>483</v>
      </c>
      <c r="G372" t="str">
        <f>_xlfn.XLOOKUP(E372,'Base SKUs'!E:E,'Base SKUs'!D:D)</f>
        <v>Thermowood</v>
      </c>
      <c r="H372" s="10">
        <f>_xlfn.XLOOKUP(E372,'Base SKUs'!E:E,'Base SKUs'!S:S)</f>
        <v>5.5859999999999998E-3</v>
      </c>
      <c r="I372" s="9">
        <f t="shared" si="5"/>
        <v>2.698</v>
      </c>
      <c r="J372" t="str">
        <f>_xlfn.XLOOKUP(E372,'Base SKUs'!E:E,'Base SKUs'!G:G)</f>
        <v>Maximo Thermo Ayous Dark</v>
      </c>
      <c r="K372" t="str">
        <f>_xlfn.XLOOKUP(E372,'Base SKUs'!E:E,'Base SKUs'!H:H)</f>
        <v>VJoint - Square Back</v>
      </c>
      <c r="L372" t="str">
        <f>_xlfn.XLOOKUP(E372,'Base SKUs'!E:E,'Base SKUs'!I:I)</f>
        <v>-</v>
      </c>
      <c r="M372" t="str">
        <f>_xlfn.XLOOKUP(E372,'Base SKUs'!E:E,'Base SKUs'!J:J)</f>
        <v>1x6</v>
      </c>
      <c r="N372">
        <f>_xlfn.XLOOKUP(E372,'Base SKUs'!E:E,'Base SKUs'!K:K)</f>
        <v>7</v>
      </c>
      <c r="O372" t="str">
        <f>_xlfn.XLOOKUP(E372,'Base SKUs'!E:E,'Base SKUs'!C:C)</f>
        <v>Short</v>
      </c>
      <c r="P372" t="s">
        <v>4931</v>
      </c>
    </row>
    <row r="373" spans="1:16" x14ac:dyDescent="0.25">
      <c r="A373" t="s">
        <v>4926</v>
      </c>
      <c r="B373" t="s">
        <v>4844</v>
      </c>
      <c r="C373" t="s">
        <v>4845</v>
      </c>
      <c r="D373" s="11">
        <v>9008</v>
      </c>
      <c r="E373" t="s">
        <v>90</v>
      </c>
      <c r="F373">
        <v>235</v>
      </c>
      <c r="G373" t="str">
        <f>_xlfn.XLOOKUP(E373,'Base SKUs'!E:E,'Base SKUs'!D:D)</f>
        <v>Thermowood</v>
      </c>
      <c r="H373" s="10">
        <f>_xlfn.XLOOKUP(E373,'Base SKUs'!E:E,'Base SKUs'!S:S)</f>
        <v>6.3839999999999999E-3</v>
      </c>
      <c r="I373" s="9">
        <f t="shared" si="5"/>
        <v>1.5</v>
      </c>
      <c r="J373" t="str">
        <f>_xlfn.XLOOKUP(E373,'Base SKUs'!E:E,'Base SKUs'!G:G)</f>
        <v>Maximo Thermo Ayous Dark</v>
      </c>
      <c r="K373" t="str">
        <f>_xlfn.XLOOKUP(E373,'Base SKUs'!E:E,'Base SKUs'!H:H)</f>
        <v>VJoint - Square Back</v>
      </c>
      <c r="L373" t="str">
        <f>_xlfn.XLOOKUP(E373,'Base SKUs'!E:E,'Base SKUs'!I:I)</f>
        <v>-</v>
      </c>
      <c r="M373" t="str">
        <f>_xlfn.XLOOKUP(E373,'Base SKUs'!E:E,'Base SKUs'!J:J)</f>
        <v>1x6</v>
      </c>
      <c r="N373">
        <f>_xlfn.XLOOKUP(E373,'Base SKUs'!E:E,'Base SKUs'!K:K)</f>
        <v>8</v>
      </c>
      <c r="O373" t="str">
        <f>_xlfn.XLOOKUP(E373,'Base SKUs'!E:E,'Base SKUs'!C:C)</f>
        <v>Long</v>
      </c>
      <c r="P373" t="s">
        <v>4931</v>
      </c>
    </row>
    <row r="374" spans="1:16" x14ac:dyDescent="0.25">
      <c r="A374" t="s">
        <v>4926</v>
      </c>
      <c r="B374" t="s">
        <v>4844</v>
      </c>
      <c r="C374" t="s">
        <v>4845</v>
      </c>
      <c r="D374" s="11">
        <v>9008</v>
      </c>
      <c r="E374" t="s">
        <v>3405</v>
      </c>
      <c r="F374">
        <v>173</v>
      </c>
      <c r="G374" t="str">
        <f>_xlfn.XLOOKUP(E374,'Base SKUs'!E:E,'Base SKUs'!D:D)</f>
        <v>Thermowood</v>
      </c>
      <c r="H374" s="10">
        <f>_xlfn.XLOOKUP(E374,'Base SKUs'!E:E,'Base SKUs'!S:S)</f>
        <v>7.182E-3</v>
      </c>
      <c r="I374" s="9">
        <f t="shared" si="5"/>
        <v>1.242</v>
      </c>
      <c r="J374" t="str">
        <f>_xlfn.XLOOKUP(E374,'Base SKUs'!E:E,'Base SKUs'!G:G)</f>
        <v>Maximo Thermo Ayous Dark</v>
      </c>
      <c r="K374" t="str">
        <f>_xlfn.XLOOKUP(E374,'Base SKUs'!E:E,'Base SKUs'!H:H)</f>
        <v>VJoint - Square Back</v>
      </c>
      <c r="L374" t="str">
        <f>_xlfn.XLOOKUP(E374,'Base SKUs'!E:E,'Base SKUs'!I:I)</f>
        <v>-</v>
      </c>
      <c r="M374" t="str">
        <f>_xlfn.XLOOKUP(E374,'Base SKUs'!E:E,'Base SKUs'!J:J)</f>
        <v>1x6</v>
      </c>
      <c r="N374">
        <f>_xlfn.XLOOKUP(E374,'Base SKUs'!E:E,'Base SKUs'!K:K)</f>
        <v>9</v>
      </c>
      <c r="O374" t="str">
        <f>_xlfn.XLOOKUP(E374,'Base SKUs'!E:E,'Base SKUs'!C:C)</f>
        <v>Long</v>
      </c>
      <c r="P374" t="s">
        <v>4931</v>
      </c>
    </row>
    <row r="375" spans="1:16" x14ac:dyDescent="0.25">
      <c r="A375" t="s">
        <v>4926</v>
      </c>
      <c r="B375" t="s">
        <v>4844</v>
      </c>
      <c r="C375" t="s">
        <v>4845</v>
      </c>
      <c r="D375" s="11">
        <v>9008</v>
      </c>
      <c r="E375" t="s">
        <v>171</v>
      </c>
      <c r="F375">
        <v>14</v>
      </c>
      <c r="G375" t="str">
        <f>_xlfn.XLOOKUP(E375,'Base SKUs'!E:E,'Base SKUs'!D:D)</f>
        <v>Thermowood</v>
      </c>
      <c r="H375" s="10">
        <f>_xlfn.XLOOKUP(E375,'Base SKUs'!E:E,'Base SKUs'!S:S)</f>
        <v>9.5760000000000012E-3</v>
      </c>
      <c r="I375" s="9">
        <f t="shared" si="5"/>
        <v>0.13400000000000001</v>
      </c>
      <c r="J375" t="str">
        <f>_xlfn.XLOOKUP(E375,'Base SKUs'!E:E,'Base SKUs'!G:G)</f>
        <v>Maximo Thermo Ayous</v>
      </c>
      <c r="K375" t="str">
        <f>_xlfn.XLOOKUP(E375,'Base SKUs'!E:E,'Base SKUs'!H:H)</f>
        <v>Fluted</v>
      </c>
      <c r="L375" t="str">
        <f>_xlfn.XLOOKUP(E375,'Base SKUs'!E:E,'Base SKUs'!I:I)</f>
        <v>-</v>
      </c>
      <c r="M375" t="str">
        <f>_xlfn.XLOOKUP(E375,'Base SKUs'!E:E,'Base SKUs'!J:J)</f>
        <v>1x6</v>
      </c>
      <c r="N375">
        <f>_xlfn.XLOOKUP(E375,'Base SKUs'!E:E,'Base SKUs'!K:K)</f>
        <v>12</v>
      </c>
      <c r="O375" t="str">
        <f>_xlfn.XLOOKUP(E375,'Base SKUs'!E:E,'Base SKUs'!C:C)</f>
        <v>Long</v>
      </c>
      <c r="P375" t="s">
        <v>4931</v>
      </c>
    </row>
    <row r="376" spans="1:16" x14ac:dyDescent="0.25">
      <c r="A376" t="s">
        <v>4926</v>
      </c>
      <c r="B376" t="s">
        <v>4844</v>
      </c>
      <c r="C376" t="s">
        <v>4845</v>
      </c>
      <c r="D376" s="11">
        <v>9008</v>
      </c>
      <c r="E376" t="s">
        <v>3408</v>
      </c>
      <c r="F376">
        <v>14</v>
      </c>
      <c r="G376" t="str">
        <f>_xlfn.XLOOKUP(E376,'Base SKUs'!E:E,'Base SKUs'!D:D)</f>
        <v>Thermowood</v>
      </c>
      <c r="H376" s="10">
        <f>_xlfn.XLOOKUP(E376,'Base SKUs'!E:E,'Base SKUs'!S:S)</f>
        <v>1.2768E-2</v>
      </c>
      <c r="I376" s="9">
        <f t="shared" si="5"/>
        <v>0.17899999999999999</v>
      </c>
      <c r="J376" t="str">
        <f>_xlfn.XLOOKUP(E376,'Base SKUs'!E:E,'Base SKUs'!G:G)</f>
        <v>Maximo Thermo Ayous</v>
      </c>
      <c r="K376" t="str">
        <f>_xlfn.XLOOKUP(E376,'Base SKUs'!E:E,'Base SKUs'!H:H)</f>
        <v>Fluted</v>
      </c>
      <c r="L376" t="str">
        <f>_xlfn.XLOOKUP(E376,'Base SKUs'!E:E,'Base SKUs'!I:I)</f>
        <v>-</v>
      </c>
      <c r="M376" t="str">
        <f>_xlfn.XLOOKUP(E376,'Base SKUs'!E:E,'Base SKUs'!J:J)</f>
        <v>1x6</v>
      </c>
      <c r="N376">
        <f>_xlfn.XLOOKUP(E376,'Base SKUs'!E:E,'Base SKUs'!K:K)</f>
        <v>16</v>
      </c>
      <c r="O376" t="str">
        <f>_xlfn.XLOOKUP(E376,'Base SKUs'!E:E,'Base SKUs'!C:C)</f>
        <v>Long</v>
      </c>
      <c r="P376" t="s">
        <v>4931</v>
      </c>
    </row>
    <row r="377" spans="1:16" x14ac:dyDescent="0.25">
      <c r="A377" t="s">
        <v>4926</v>
      </c>
      <c r="B377" t="s">
        <v>4844</v>
      </c>
      <c r="C377" t="s">
        <v>4845</v>
      </c>
      <c r="D377" s="11">
        <v>9008</v>
      </c>
      <c r="E377" t="s">
        <v>8</v>
      </c>
      <c r="F377">
        <v>42</v>
      </c>
      <c r="G377" t="str">
        <f>_xlfn.XLOOKUP(E377,'Base SKUs'!E:E,'Base SKUs'!D:D)</f>
        <v>Thermowood</v>
      </c>
      <c r="H377" s="10">
        <f>_xlfn.XLOOKUP(E377,'Base SKUs'!E:E,'Base SKUs'!S:S)</f>
        <v>7.980000000000001E-3</v>
      </c>
      <c r="I377" s="9">
        <f t="shared" si="5"/>
        <v>0.33500000000000002</v>
      </c>
      <c r="J377" t="str">
        <f>_xlfn.XLOOKUP(E377,'Base SKUs'!E:E,'Base SKUs'!G:G)</f>
        <v>Maximo Thermo Ayous</v>
      </c>
      <c r="K377" t="str">
        <f>_xlfn.XLOOKUP(E377,'Base SKUs'!E:E,'Base SKUs'!H:H)</f>
        <v>Fluted</v>
      </c>
      <c r="L377" t="str">
        <f>_xlfn.XLOOKUP(E377,'Base SKUs'!E:E,'Base SKUs'!I:I)</f>
        <v>-</v>
      </c>
      <c r="M377" t="str">
        <f>_xlfn.XLOOKUP(E377,'Base SKUs'!E:E,'Base SKUs'!J:J)</f>
        <v>1x6</v>
      </c>
      <c r="N377">
        <f>_xlfn.XLOOKUP(E377,'Base SKUs'!E:E,'Base SKUs'!K:K)</f>
        <v>10</v>
      </c>
      <c r="O377" t="str">
        <f>_xlfn.XLOOKUP(E377,'Base SKUs'!E:E,'Base SKUs'!C:C)</f>
        <v>Long</v>
      </c>
      <c r="P377" t="s">
        <v>4931</v>
      </c>
    </row>
    <row r="378" spans="1:16" x14ac:dyDescent="0.25">
      <c r="A378" t="s">
        <v>4926</v>
      </c>
      <c r="B378" t="s">
        <v>4844</v>
      </c>
      <c r="C378" t="s">
        <v>4845</v>
      </c>
      <c r="D378" s="11">
        <v>9008</v>
      </c>
      <c r="E378" t="s">
        <v>2005</v>
      </c>
      <c r="F378">
        <v>198</v>
      </c>
      <c r="G378" t="str">
        <f>_xlfn.XLOOKUP(E378,'Base SKUs'!E:E,'Base SKUs'!D:D)</f>
        <v>Hardwoods</v>
      </c>
      <c r="H378" s="10">
        <f>_xlfn.XLOOKUP(E378,'Base SKUs'!E:E,'Base SKUs'!S:S)</f>
        <v>5.5060535040000001E-3</v>
      </c>
      <c r="I378" s="9">
        <f t="shared" si="5"/>
        <v>1.0900000000000001</v>
      </c>
      <c r="J378" t="str">
        <f>_xlfn.XLOOKUP(E378,'Base SKUs'!E:E,'Base SKUs'!G:G)</f>
        <v>Ipe</v>
      </c>
      <c r="K378" t="str">
        <f>_xlfn.XLOOKUP(E378,'Base SKUs'!E:E,'Base SKUs'!H:H)</f>
        <v>Grooved</v>
      </c>
      <c r="L378" t="str">
        <f>_xlfn.XLOOKUP(E378,'Base SKUs'!E:E,'Base SKUs'!I:I)</f>
        <v>-</v>
      </c>
      <c r="M378" t="str">
        <f>_xlfn.XLOOKUP(E378,'Base SKUs'!E:E,'Base SKUs'!J:J)</f>
        <v>5/4x4</v>
      </c>
      <c r="N378">
        <f>_xlfn.XLOOKUP(E378,'Base SKUs'!E:E,'Base SKUs'!K:K)</f>
        <v>8</v>
      </c>
      <c r="O378" t="str">
        <f>_xlfn.XLOOKUP(E378,'Base SKUs'!E:E,'Base SKUs'!C:C)</f>
        <v>Long</v>
      </c>
      <c r="P378" t="s">
        <v>4931</v>
      </c>
    </row>
    <row r="379" spans="1:16" x14ac:dyDescent="0.25">
      <c r="A379" t="s">
        <v>4926</v>
      </c>
      <c r="B379" t="s">
        <v>4844</v>
      </c>
      <c r="C379" t="s">
        <v>4845</v>
      </c>
      <c r="D379" s="11">
        <v>9008</v>
      </c>
      <c r="E379" t="s">
        <v>1969</v>
      </c>
      <c r="F379">
        <v>198</v>
      </c>
      <c r="G379" t="str">
        <f>_xlfn.XLOOKUP(E379,'Base SKUs'!E:E,'Base SKUs'!D:D)</f>
        <v>Hardwoods</v>
      </c>
      <c r="H379" s="10">
        <f>_xlfn.XLOOKUP(E379,'Base SKUs'!E:E,'Base SKUs'!S:S)</f>
        <v>6.8825668800000014E-3</v>
      </c>
      <c r="I379" s="9">
        <f t="shared" si="5"/>
        <v>1.363</v>
      </c>
      <c r="J379" t="str">
        <f>_xlfn.XLOOKUP(E379,'Base SKUs'!E:E,'Base SKUs'!G:G)</f>
        <v>Ipe</v>
      </c>
      <c r="K379" t="str">
        <f>_xlfn.XLOOKUP(E379,'Base SKUs'!E:E,'Base SKUs'!H:H)</f>
        <v>Grooved</v>
      </c>
      <c r="L379" t="str">
        <f>_xlfn.XLOOKUP(E379,'Base SKUs'!E:E,'Base SKUs'!I:I)</f>
        <v>-</v>
      </c>
      <c r="M379" t="str">
        <f>_xlfn.XLOOKUP(E379,'Base SKUs'!E:E,'Base SKUs'!J:J)</f>
        <v>5/4x4</v>
      </c>
      <c r="N379">
        <f>_xlfn.XLOOKUP(E379,'Base SKUs'!E:E,'Base SKUs'!K:K)</f>
        <v>10</v>
      </c>
      <c r="O379" t="str">
        <f>_xlfn.XLOOKUP(E379,'Base SKUs'!E:E,'Base SKUs'!C:C)</f>
        <v>Long</v>
      </c>
      <c r="P379" t="s">
        <v>4931</v>
      </c>
    </row>
    <row r="380" spans="1:16" x14ac:dyDescent="0.25">
      <c r="A380" t="s">
        <v>4926</v>
      </c>
      <c r="B380" t="s">
        <v>4844</v>
      </c>
      <c r="C380" t="s">
        <v>4845</v>
      </c>
      <c r="D380" s="11">
        <v>9008</v>
      </c>
      <c r="E380" t="s">
        <v>1974</v>
      </c>
      <c r="F380">
        <v>44</v>
      </c>
      <c r="G380" t="str">
        <f>_xlfn.XLOOKUP(E380,'Base SKUs'!E:E,'Base SKUs'!D:D)</f>
        <v>Hardwoods</v>
      </c>
      <c r="H380" s="10">
        <f>_xlfn.XLOOKUP(E380,'Base SKUs'!E:E,'Base SKUs'!S:S)</f>
        <v>8.259080256000001E-3</v>
      </c>
      <c r="I380" s="9">
        <f t="shared" si="5"/>
        <v>0.36299999999999999</v>
      </c>
      <c r="J380" t="str">
        <f>_xlfn.XLOOKUP(E380,'Base SKUs'!E:E,'Base SKUs'!G:G)</f>
        <v>Ipe</v>
      </c>
      <c r="K380" t="str">
        <f>_xlfn.XLOOKUP(E380,'Base SKUs'!E:E,'Base SKUs'!H:H)</f>
        <v>Grooved</v>
      </c>
      <c r="L380" t="str">
        <f>_xlfn.XLOOKUP(E380,'Base SKUs'!E:E,'Base SKUs'!I:I)</f>
        <v>-</v>
      </c>
      <c r="M380" t="str">
        <f>_xlfn.XLOOKUP(E380,'Base SKUs'!E:E,'Base SKUs'!J:J)</f>
        <v>5/4x4</v>
      </c>
      <c r="N380">
        <f>_xlfn.XLOOKUP(E380,'Base SKUs'!E:E,'Base SKUs'!K:K)</f>
        <v>12</v>
      </c>
      <c r="O380" t="str">
        <f>_xlfn.XLOOKUP(E380,'Base SKUs'!E:E,'Base SKUs'!C:C)</f>
        <v>Long</v>
      </c>
      <c r="P380" t="s">
        <v>4931</v>
      </c>
    </row>
    <row r="381" spans="1:16" x14ac:dyDescent="0.25">
      <c r="A381" t="s">
        <v>4926</v>
      </c>
      <c r="B381" t="s">
        <v>4844</v>
      </c>
      <c r="C381" t="s">
        <v>4845</v>
      </c>
      <c r="D381" s="11">
        <v>9008</v>
      </c>
      <c r="E381" t="s">
        <v>1977</v>
      </c>
      <c r="F381">
        <v>198</v>
      </c>
      <c r="G381" t="str">
        <f>_xlfn.XLOOKUP(E381,'Base SKUs'!E:E,'Base SKUs'!D:D)</f>
        <v>Hardwoods</v>
      </c>
      <c r="H381" s="10">
        <f>_xlfn.XLOOKUP(E381,'Base SKUs'!E:E,'Base SKUs'!S:S)</f>
        <v>9.6355936319999988E-3</v>
      </c>
      <c r="I381" s="9">
        <f t="shared" si="5"/>
        <v>1.9079999999999999</v>
      </c>
      <c r="J381" t="str">
        <f>_xlfn.XLOOKUP(E381,'Base SKUs'!E:E,'Base SKUs'!G:G)</f>
        <v>Ipe</v>
      </c>
      <c r="K381" t="str">
        <f>_xlfn.XLOOKUP(E381,'Base SKUs'!E:E,'Base SKUs'!H:H)</f>
        <v>Grooved</v>
      </c>
      <c r="L381" t="str">
        <f>_xlfn.XLOOKUP(E381,'Base SKUs'!E:E,'Base SKUs'!I:I)</f>
        <v>-</v>
      </c>
      <c r="M381" t="str">
        <f>_xlfn.XLOOKUP(E381,'Base SKUs'!E:E,'Base SKUs'!J:J)</f>
        <v>5/4x4</v>
      </c>
      <c r="N381">
        <f>_xlfn.XLOOKUP(E381,'Base SKUs'!E:E,'Base SKUs'!K:K)</f>
        <v>14</v>
      </c>
      <c r="O381" t="str">
        <f>_xlfn.XLOOKUP(E381,'Base SKUs'!E:E,'Base SKUs'!C:C)</f>
        <v>Long</v>
      </c>
      <c r="P381" t="s">
        <v>4931</v>
      </c>
    </row>
    <row r="382" spans="1:16" x14ac:dyDescent="0.25">
      <c r="A382" t="s">
        <v>4926</v>
      </c>
      <c r="B382" t="s">
        <v>4844</v>
      </c>
      <c r="C382" t="s">
        <v>4845</v>
      </c>
      <c r="D382" s="11">
        <v>9008</v>
      </c>
      <c r="E382" t="s">
        <v>1981</v>
      </c>
      <c r="F382">
        <v>77</v>
      </c>
      <c r="G382" t="str">
        <f>_xlfn.XLOOKUP(E382,'Base SKUs'!E:E,'Base SKUs'!D:D)</f>
        <v>Hardwoods</v>
      </c>
      <c r="H382" s="10">
        <f>_xlfn.XLOOKUP(E382,'Base SKUs'!E:E,'Base SKUs'!S:S)</f>
        <v>1.1012107008E-2</v>
      </c>
      <c r="I382" s="9">
        <f t="shared" si="5"/>
        <v>0.84799999999999998</v>
      </c>
      <c r="J382" t="str">
        <f>_xlfn.XLOOKUP(E382,'Base SKUs'!E:E,'Base SKUs'!G:G)</f>
        <v>Ipe</v>
      </c>
      <c r="K382" t="str">
        <f>_xlfn.XLOOKUP(E382,'Base SKUs'!E:E,'Base SKUs'!H:H)</f>
        <v>Grooved</v>
      </c>
      <c r="L382" t="str">
        <f>_xlfn.XLOOKUP(E382,'Base SKUs'!E:E,'Base SKUs'!I:I)</f>
        <v>-</v>
      </c>
      <c r="M382" t="str">
        <f>_xlfn.XLOOKUP(E382,'Base SKUs'!E:E,'Base SKUs'!J:J)</f>
        <v>5/4x4</v>
      </c>
      <c r="N382">
        <f>_xlfn.XLOOKUP(E382,'Base SKUs'!E:E,'Base SKUs'!K:K)</f>
        <v>16</v>
      </c>
      <c r="O382" t="str">
        <f>_xlfn.XLOOKUP(E382,'Base SKUs'!E:E,'Base SKUs'!C:C)</f>
        <v>Long</v>
      </c>
      <c r="P382" t="s">
        <v>4931</v>
      </c>
    </row>
    <row r="383" spans="1:16" x14ac:dyDescent="0.25">
      <c r="A383" t="s">
        <v>4926</v>
      </c>
      <c r="B383" t="s">
        <v>4844</v>
      </c>
      <c r="C383" t="s">
        <v>4845</v>
      </c>
      <c r="D383" s="11">
        <v>9008</v>
      </c>
      <c r="E383" t="s">
        <v>1985</v>
      </c>
      <c r="F383">
        <v>77</v>
      </c>
      <c r="G383" t="str">
        <f>_xlfn.XLOOKUP(E383,'Base SKUs'!E:E,'Base SKUs'!D:D)</f>
        <v>Hardwoods</v>
      </c>
      <c r="H383" s="10">
        <f>_xlfn.XLOOKUP(E383,'Base SKUs'!E:E,'Base SKUs'!S:S)</f>
        <v>1.2388620384E-2</v>
      </c>
      <c r="I383" s="9">
        <f t="shared" si="5"/>
        <v>0.95399999999999996</v>
      </c>
      <c r="J383" t="str">
        <f>_xlfn.XLOOKUP(E383,'Base SKUs'!E:E,'Base SKUs'!G:G)</f>
        <v>Ipe</v>
      </c>
      <c r="K383" t="str">
        <f>_xlfn.XLOOKUP(E383,'Base SKUs'!E:E,'Base SKUs'!H:H)</f>
        <v>Grooved</v>
      </c>
      <c r="L383" t="str">
        <f>_xlfn.XLOOKUP(E383,'Base SKUs'!E:E,'Base SKUs'!I:I)</f>
        <v>-</v>
      </c>
      <c r="M383" t="str">
        <f>_xlfn.XLOOKUP(E383,'Base SKUs'!E:E,'Base SKUs'!J:J)</f>
        <v>5/4x4</v>
      </c>
      <c r="N383">
        <f>_xlfn.XLOOKUP(E383,'Base SKUs'!E:E,'Base SKUs'!K:K)</f>
        <v>18</v>
      </c>
      <c r="O383" t="str">
        <f>_xlfn.XLOOKUP(E383,'Base SKUs'!E:E,'Base SKUs'!C:C)</f>
        <v>Long</v>
      </c>
      <c r="P383" t="s">
        <v>4931</v>
      </c>
    </row>
    <row r="384" spans="1:16" x14ac:dyDescent="0.25">
      <c r="A384" t="s">
        <v>4926</v>
      </c>
      <c r="B384" t="s">
        <v>4844</v>
      </c>
      <c r="C384" t="s">
        <v>4845</v>
      </c>
      <c r="D384" s="11">
        <v>9008</v>
      </c>
      <c r="E384" t="s">
        <v>1989</v>
      </c>
      <c r="F384">
        <v>55</v>
      </c>
      <c r="G384" t="str">
        <f>_xlfn.XLOOKUP(E384,'Base SKUs'!E:E,'Base SKUs'!D:D)</f>
        <v>Hardwoods</v>
      </c>
      <c r="H384" s="10">
        <f>_xlfn.XLOOKUP(E384,'Base SKUs'!E:E,'Base SKUs'!S:S)</f>
        <v>1.3765133760000003E-2</v>
      </c>
      <c r="I384" s="9">
        <f t="shared" si="5"/>
        <v>0.75700000000000001</v>
      </c>
      <c r="J384" t="str">
        <f>_xlfn.XLOOKUP(E384,'Base SKUs'!E:E,'Base SKUs'!G:G)</f>
        <v>Ipe</v>
      </c>
      <c r="K384" t="str">
        <f>_xlfn.XLOOKUP(E384,'Base SKUs'!E:E,'Base SKUs'!H:H)</f>
        <v>Grooved</v>
      </c>
      <c r="L384" t="str">
        <f>_xlfn.XLOOKUP(E384,'Base SKUs'!E:E,'Base SKUs'!I:I)</f>
        <v>-</v>
      </c>
      <c r="M384" t="str">
        <f>_xlfn.XLOOKUP(E384,'Base SKUs'!E:E,'Base SKUs'!J:J)</f>
        <v>5/4x4</v>
      </c>
      <c r="N384">
        <f>_xlfn.XLOOKUP(E384,'Base SKUs'!E:E,'Base SKUs'!K:K)</f>
        <v>20</v>
      </c>
      <c r="O384" t="str">
        <f>_xlfn.XLOOKUP(E384,'Base SKUs'!E:E,'Base SKUs'!C:C)</f>
        <v>Long</v>
      </c>
      <c r="P384" t="s">
        <v>4931</v>
      </c>
    </row>
    <row r="385" spans="1:16" x14ac:dyDescent="0.25">
      <c r="A385" t="s">
        <v>4926</v>
      </c>
      <c r="B385" t="s">
        <v>4844</v>
      </c>
      <c r="C385" t="s">
        <v>4845</v>
      </c>
      <c r="D385" s="11">
        <v>9008</v>
      </c>
      <c r="E385" t="s">
        <v>1993</v>
      </c>
      <c r="F385">
        <v>55</v>
      </c>
      <c r="G385" t="str">
        <f>_xlfn.XLOOKUP(E385,'Base SKUs'!E:E,'Base SKUs'!D:D)</f>
        <v>Hardwoods</v>
      </c>
      <c r="H385" s="10">
        <f>_xlfn.XLOOKUP(E385,'Base SKUs'!E:E,'Base SKUs'!S:S)</f>
        <v>1.5141647135999997E-2</v>
      </c>
      <c r="I385" s="9">
        <f t="shared" si="5"/>
        <v>0.83299999999999996</v>
      </c>
      <c r="J385" t="str">
        <f>_xlfn.XLOOKUP(E385,'Base SKUs'!E:E,'Base SKUs'!G:G)</f>
        <v>Ipe</v>
      </c>
      <c r="K385" t="str">
        <f>_xlfn.XLOOKUP(E385,'Base SKUs'!E:E,'Base SKUs'!H:H)</f>
        <v>Grooved</v>
      </c>
      <c r="L385" t="str">
        <f>_xlfn.XLOOKUP(E385,'Base SKUs'!E:E,'Base SKUs'!I:I)</f>
        <v>-</v>
      </c>
      <c r="M385" t="str">
        <f>_xlfn.XLOOKUP(E385,'Base SKUs'!E:E,'Base SKUs'!J:J)</f>
        <v>5/4x4</v>
      </c>
      <c r="N385">
        <f>_xlfn.XLOOKUP(E385,'Base SKUs'!E:E,'Base SKUs'!K:K)</f>
        <v>22</v>
      </c>
      <c r="O385" t="str">
        <f>_xlfn.XLOOKUP(E385,'Base SKUs'!E:E,'Base SKUs'!C:C)</f>
        <v>Long</v>
      </c>
      <c r="P385" t="s">
        <v>4931</v>
      </c>
    </row>
    <row r="386" spans="1:16" x14ac:dyDescent="0.25">
      <c r="A386" t="s">
        <v>4933</v>
      </c>
      <c r="B386" t="s">
        <v>4844</v>
      </c>
      <c r="C386" t="s">
        <v>4845</v>
      </c>
      <c r="D386" s="11">
        <v>9011</v>
      </c>
      <c r="E386" t="s">
        <v>236</v>
      </c>
      <c r="F386">
        <v>220</v>
      </c>
      <c r="G386" t="str">
        <f>_xlfn.XLOOKUP(E386,'Base SKUs'!E:E,'Base SKUs'!D:D)</f>
        <v>Hardwoods</v>
      </c>
      <c r="H386" s="10">
        <f>_xlfn.XLOOKUP(E386,'Base SKUs'!E:E,'Base SKUs'!S:S)</f>
        <v>8.6523697920000003E-3</v>
      </c>
      <c r="I386" s="9">
        <f t="shared" ref="I386:I430" si="6">IF(OR(G386="Norx",K386="Tiles"),ROUND(F386,3),ROUND(F386*H386,3))</f>
        <v>1.9039999999999999</v>
      </c>
      <c r="J386" t="str">
        <f>_xlfn.XLOOKUP(E386,'Base SKUs'!E:E,'Base SKUs'!G:G)</f>
        <v>Ipe</v>
      </c>
      <c r="K386" t="str">
        <f>_xlfn.XLOOKUP(E386,'Base SKUs'!E:E,'Base SKUs'!H:H)</f>
        <v>Grooved</v>
      </c>
      <c r="L386" t="str">
        <f>_xlfn.XLOOKUP(E386,'Base SKUs'!E:E,'Base SKUs'!I:I)</f>
        <v>-</v>
      </c>
      <c r="M386" t="str">
        <f>_xlfn.XLOOKUP(E386,'Base SKUs'!E:E,'Base SKUs'!J:J)</f>
        <v>5/4x6</v>
      </c>
      <c r="N386">
        <f>_xlfn.XLOOKUP(E386,'Base SKUs'!E:E,'Base SKUs'!K:K)</f>
        <v>8</v>
      </c>
      <c r="O386" t="str">
        <f>_xlfn.XLOOKUP(E386,'Base SKUs'!E:E,'Base SKUs'!C:C)</f>
        <v>Long</v>
      </c>
      <c r="P386" t="s">
        <v>4931</v>
      </c>
    </row>
    <row r="387" spans="1:16" x14ac:dyDescent="0.25">
      <c r="A387" t="s">
        <v>4933</v>
      </c>
      <c r="B387" t="s">
        <v>4844</v>
      </c>
      <c r="C387" t="s">
        <v>4845</v>
      </c>
      <c r="D387" s="11">
        <v>9011</v>
      </c>
      <c r="E387" t="s">
        <v>236</v>
      </c>
      <c r="F387">
        <v>220</v>
      </c>
      <c r="G387" t="str">
        <f>_xlfn.XLOOKUP(E387,'Base SKUs'!E:E,'Base SKUs'!D:D)</f>
        <v>Hardwoods</v>
      </c>
      <c r="H387" s="10">
        <f>_xlfn.XLOOKUP(E387,'Base SKUs'!E:E,'Base SKUs'!S:S)</f>
        <v>8.6523697920000003E-3</v>
      </c>
      <c r="I387" s="9">
        <f t="shared" si="6"/>
        <v>1.9039999999999999</v>
      </c>
      <c r="J387" t="str">
        <f>_xlfn.XLOOKUP(E387,'Base SKUs'!E:E,'Base SKUs'!G:G)</f>
        <v>Ipe</v>
      </c>
      <c r="K387" t="str">
        <f>_xlfn.XLOOKUP(E387,'Base SKUs'!E:E,'Base SKUs'!H:H)</f>
        <v>Grooved</v>
      </c>
      <c r="L387" t="str">
        <f>_xlfn.XLOOKUP(E387,'Base SKUs'!E:E,'Base SKUs'!I:I)</f>
        <v>-</v>
      </c>
      <c r="M387" t="str">
        <f>_xlfn.XLOOKUP(E387,'Base SKUs'!E:E,'Base SKUs'!J:J)</f>
        <v>5/4x6</v>
      </c>
      <c r="N387">
        <f>_xlfn.XLOOKUP(E387,'Base SKUs'!E:E,'Base SKUs'!K:K)</f>
        <v>8</v>
      </c>
      <c r="O387" t="str">
        <f>_xlfn.XLOOKUP(E387,'Base SKUs'!E:E,'Base SKUs'!C:C)</f>
        <v>Long</v>
      </c>
      <c r="P387" t="s">
        <v>4931</v>
      </c>
    </row>
    <row r="388" spans="1:16" x14ac:dyDescent="0.25">
      <c r="A388" t="s">
        <v>4933</v>
      </c>
      <c r="B388" t="s">
        <v>4844</v>
      </c>
      <c r="C388" t="s">
        <v>4845</v>
      </c>
      <c r="D388" s="11">
        <v>9011</v>
      </c>
      <c r="E388" t="s">
        <v>4323</v>
      </c>
      <c r="F388">
        <v>1</v>
      </c>
      <c r="G388" t="str">
        <f>_xlfn.XLOOKUP(E388,'Base SKUs'!E:E,'Base SKUs'!D:D)</f>
        <v>Wood Table</v>
      </c>
      <c r="H388" s="10">
        <f>_xlfn.XLOOKUP(E388,'Base SKUs'!E:E,'Base SKUs'!S:S)</f>
        <v>0</v>
      </c>
      <c r="I388" s="9">
        <f t="shared" si="6"/>
        <v>0</v>
      </c>
      <c r="J388" t="str">
        <f>_xlfn.XLOOKUP(E388,'Base SKUs'!E:E,'Base SKUs'!G:G)</f>
        <v>Double Cascade</v>
      </c>
      <c r="K388" t="str">
        <f>_xlfn.XLOOKUP(E388,'Base SKUs'!E:E,'Base SKUs'!H:H)</f>
        <v>Wood Table</v>
      </c>
      <c r="L388" t="str">
        <f>_xlfn.XLOOKUP(E388,'Base SKUs'!E:E,'Base SKUs'!I:I)</f>
        <v>-</v>
      </c>
      <c r="M388">
        <f>_xlfn.XLOOKUP(E388,'Base SKUs'!E:E,'Base SKUs'!J:J)</f>
        <v>0</v>
      </c>
      <c r="N388">
        <f>_xlfn.XLOOKUP(E388,'Base SKUs'!E:E,'Base SKUs'!K:K)</f>
        <v>0</v>
      </c>
      <c r="O388" t="str">
        <f>_xlfn.XLOOKUP(E388,'Base SKUs'!E:E,'Base SKUs'!C:C)</f>
        <v>Double</v>
      </c>
      <c r="P388" t="s">
        <v>4931</v>
      </c>
    </row>
    <row r="389" spans="1:16" x14ac:dyDescent="0.25">
      <c r="A389" t="s">
        <v>4933</v>
      </c>
      <c r="B389" t="s">
        <v>4844</v>
      </c>
      <c r="C389" t="s">
        <v>4845</v>
      </c>
      <c r="D389" s="11">
        <v>9011</v>
      </c>
      <c r="E389" t="s">
        <v>4320</v>
      </c>
      <c r="F389">
        <v>1</v>
      </c>
      <c r="G389" t="str">
        <f>_xlfn.XLOOKUP(E389,'Base SKUs'!E:E,'Base SKUs'!D:D)</f>
        <v>Wood Table</v>
      </c>
      <c r="H389" s="10">
        <f>_xlfn.XLOOKUP(E389,'Base SKUs'!E:E,'Base SKUs'!S:S)</f>
        <v>0</v>
      </c>
      <c r="I389" s="9">
        <f t="shared" si="6"/>
        <v>0</v>
      </c>
      <c r="J389" t="str">
        <f>_xlfn.XLOOKUP(E389,'Base SKUs'!E:E,'Base SKUs'!G:G)</f>
        <v>Cascade</v>
      </c>
      <c r="K389" t="str">
        <f>_xlfn.XLOOKUP(E389,'Base SKUs'!E:E,'Base SKUs'!H:H)</f>
        <v>Wood Table</v>
      </c>
      <c r="L389" t="str">
        <f>_xlfn.XLOOKUP(E389,'Base SKUs'!E:E,'Base SKUs'!I:I)</f>
        <v>-</v>
      </c>
      <c r="M389">
        <f>_xlfn.XLOOKUP(E389,'Base SKUs'!E:E,'Base SKUs'!J:J)</f>
        <v>0</v>
      </c>
      <c r="N389">
        <f>_xlfn.XLOOKUP(E389,'Base SKUs'!E:E,'Base SKUs'!K:K)</f>
        <v>0</v>
      </c>
      <c r="O389" t="str">
        <f>_xlfn.XLOOKUP(E389,'Base SKUs'!E:E,'Base SKUs'!C:C)</f>
        <v>Regular</v>
      </c>
      <c r="P389" t="s">
        <v>4931</v>
      </c>
    </row>
    <row r="390" spans="1:16" x14ac:dyDescent="0.25">
      <c r="A390" t="s">
        <v>4933</v>
      </c>
      <c r="B390" t="s">
        <v>4844</v>
      </c>
      <c r="C390" t="s">
        <v>4845</v>
      </c>
      <c r="D390" s="11">
        <v>9011</v>
      </c>
      <c r="E390" t="s">
        <v>4323</v>
      </c>
      <c r="F390">
        <v>1</v>
      </c>
      <c r="G390" t="str">
        <f>_xlfn.XLOOKUP(E390,'Base SKUs'!E:E,'Base SKUs'!D:D)</f>
        <v>Wood Table</v>
      </c>
      <c r="H390" s="10">
        <f>_xlfn.XLOOKUP(E390,'Base SKUs'!E:E,'Base SKUs'!S:S)</f>
        <v>0</v>
      </c>
      <c r="I390" s="9">
        <f t="shared" si="6"/>
        <v>0</v>
      </c>
      <c r="J390" t="str">
        <f>_xlfn.XLOOKUP(E390,'Base SKUs'!E:E,'Base SKUs'!G:G)</f>
        <v>Double Cascade</v>
      </c>
      <c r="K390" t="str">
        <f>_xlfn.XLOOKUP(E390,'Base SKUs'!E:E,'Base SKUs'!H:H)</f>
        <v>Wood Table</v>
      </c>
      <c r="L390" t="str">
        <f>_xlfn.XLOOKUP(E390,'Base SKUs'!E:E,'Base SKUs'!I:I)</f>
        <v>-</v>
      </c>
      <c r="M390">
        <f>_xlfn.XLOOKUP(E390,'Base SKUs'!E:E,'Base SKUs'!J:J)</f>
        <v>0</v>
      </c>
      <c r="N390">
        <f>_xlfn.XLOOKUP(E390,'Base SKUs'!E:E,'Base SKUs'!K:K)</f>
        <v>0</v>
      </c>
      <c r="O390" t="str">
        <f>_xlfn.XLOOKUP(E390,'Base SKUs'!E:E,'Base SKUs'!C:C)</f>
        <v>Double</v>
      </c>
      <c r="P390" t="s">
        <v>4931</v>
      </c>
    </row>
    <row r="391" spans="1:16" x14ac:dyDescent="0.25">
      <c r="A391" t="s">
        <v>4933</v>
      </c>
      <c r="B391" t="s">
        <v>4844</v>
      </c>
      <c r="C391" t="s">
        <v>4845</v>
      </c>
      <c r="D391" s="11">
        <v>9011</v>
      </c>
      <c r="E391" t="s">
        <v>4320</v>
      </c>
      <c r="F391">
        <v>1</v>
      </c>
      <c r="G391" t="str">
        <f>_xlfn.XLOOKUP(E391,'Base SKUs'!E:E,'Base SKUs'!D:D)</f>
        <v>Wood Table</v>
      </c>
      <c r="H391" s="10">
        <f>_xlfn.XLOOKUP(E391,'Base SKUs'!E:E,'Base SKUs'!S:S)</f>
        <v>0</v>
      </c>
      <c r="I391" s="9">
        <f t="shared" si="6"/>
        <v>0</v>
      </c>
      <c r="J391" t="str">
        <f>_xlfn.XLOOKUP(E391,'Base SKUs'!E:E,'Base SKUs'!G:G)</f>
        <v>Cascade</v>
      </c>
      <c r="K391" t="str">
        <f>_xlfn.XLOOKUP(E391,'Base SKUs'!E:E,'Base SKUs'!H:H)</f>
        <v>Wood Table</v>
      </c>
      <c r="L391" t="str">
        <f>_xlfn.XLOOKUP(E391,'Base SKUs'!E:E,'Base SKUs'!I:I)</f>
        <v>-</v>
      </c>
      <c r="M391">
        <f>_xlfn.XLOOKUP(E391,'Base SKUs'!E:E,'Base SKUs'!J:J)</f>
        <v>0</v>
      </c>
      <c r="N391">
        <f>_xlfn.XLOOKUP(E391,'Base SKUs'!E:E,'Base SKUs'!K:K)</f>
        <v>0</v>
      </c>
      <c r="O391" t="str">
        <f>_xlfn.XLOOKUP(E391,'Base SKUs'!E:E,'Base SKUs'!C:C)</f>
        <v>Regular</v>
      </c>
      <c r="P391" t="s">
        <v>4931</v>
      </c>
    </row>
    <row r="392" spans="1:16" x14ac:dyDescent="0.25">
      <c r="A392" t="s">
        <v>4933</v>
      </c>
      <c r="B392" t="s">
        <v>4844</v>
      </c>
      <c r="C392" t="s">
        <v>4845</v>
      </c>
      <c r="D392" s="11">
        <v>9011</v>
      </c>
      <c r="E392" t="s">
        <v>4323</v>
      </c>
      <c r="F392">
        <v>1</v>
      </c>
      <c r="G392" t="str">
        <f>_xlfn.XLOOKUP(E392,'Base SKUs'!E:E,'Base SKUs'!D:D)</f>
        <v>Wood Table</v>
      </c>
      <c r="H392" s="10">
        <f>_xlfn.XLOOKUP(E392,'Base SKUs'!E:E,'Base SKUs'!S:S)</f>
        <v>0</v>
      </c>
      <c r="I392" s="9">
        <f t="shared" si="6"/>
        <v>0</v>
      </c>
      <c r="J392" t="str">
        <f>_xlfn.XLOOKUP(E392,'Base SKUs'!E:E,'Base SKUs'!G:G)</f>
        <v>Double Cascade</v>
      </c>
      <c r="K392" t="str">
        <f>_xlfn.XLOOKUP(E392,'Base SKUs'!E:E,'Base SKUs'!H:H)</f>
        <v>Wood Table</v>
      </c>
      <c r="L392" t="str">
        <f>_xlfn.XLOOKUP(E392,'Base SKUs'!E:E,'Base SKUs'!I:I)</f>
        <v>-</v>
      </c>
      <c r="M392">
        <f>_xlfn.XLOOKUP(E392,'Base SKUs'!E:E,'Base SKUs'!J:J)</f>
        <v>0</v>
      </c>
      <c r="N392">
        <f>_xlfn.XLOOKUP(E392,'Base SKUs'!E:E,'Base SKUs'!K:K)</f>
        <v>0</v>
      </c>
      <c r="O392" t="str">
        <f>_xlfn.XLOOKUP(E392,'Base SKUs'!E:E,'Base SKUs'!C:C)</f>
        <v>Double</v>
      </c>
      <c r="P392" t="s">
        <v>4931</v>
      </c>
    </row>
    <row r="393" spans="1:16" x14ac:dyDescent="0.25">
      <c r="A393" t="s">
        <v>4933</v>
      </c>
      <c r="B393" t="s">
        <v>4844</v>
      </c>
      <c r="C393" t="s">
        <v>4845</v>
      </c>
      <c r="D393" s="11">
        <v>9011</v>
      </c>
      <c r="E393" t="s">
        <v>4320</v>
      </c>
      <c r="F393">
        <v>1</v>
      </c>
      <c r="G393" t="str">
        <f>_xlfn.XLOOKUP(E393,'Base SKUs'!E:E,'Base SKUs'!D:D)</f>
        <v>Wood Table</v>
      </c>
      <c r="H393" s="10">
        <f>_xlfn.XLOOKUP(E393,'Base SKUs'!E:E,'Base SKUs'!S:S)</f>
        <v>0</v>
      </c>
      <c r="I393" s="9">
        <f t="shared" si="6"/>
        <v>0</v>
      </c>
      <c r="J393" t="str">
        <f>_xlfn.XLOOKUP(E393,'Base SKUs'!E:E,'Base SKUs'!G:G)</f>
        <v>Cascade</v>
      </c>
      <c r="K393" t="str">
        <f>_xlfn.XLOOKUP(E393,'Base SKUs'!E:E,'Base SKUs'!H:H)</f>
        <v>Wood Table</v>
      </c>
      <c r="L393" t="str">
        <f>_xlfn.XLOOKUP(E393,'Base SKUs'!E:E,'Base SKUs'!I:I)</f>
        <v>-</v>
      </c>
      <c r="M393">
        <f>_xlfn.XLOOKUP(E393,'Base SKUs'!E:E,'Base SKUs'!J:J)</f>
        <v>0</v>
      </c>
      <c r="N393">
        <f>_xlfn.XLOOKUP(E393,'Base SKUs'!E:E,'Base SKUs'!K:K)</f>
        <v>0</v>
      </c>
      <c r="O393" t="str">
        <f>_xlfn.XLOOKUP(E393,'Base SKUs'!E:E,'Base SKUs'!C:C)</f>
        <v>Regular</v>
      </c>
      <c r="P393" t="s">
        <v>4931</v>
      </c>
    </row>
    <row r="394" spans="1:16" x14ac:dyDescent="0.25">
      <c r="A394" t="s">
        <v>4933</v>
      </c>
      <c r="B394" t="s">
        <v>4844</v>
      </c>
      <c r="C394" t="s">
        <v>4845</v>
      </c>
      <c r="D394" s="11">
        <v>9011</v>
      </c>
      <c r="E394" t="s">
        <v>4330</v>
      </c>
      <c r="F394">
        <v>1</v>
      </c>
      <c r="G394" t="str">
        <f>_xlfn.XLOOKUP(E394,'Base SKUs'!E:E,'Base SKUs'!D:D)</f>
        <v>Wood Table</v>
      </c>
      <c r="H394" s="10">
        <f>_xlfn.XLOOKUP(E394,'Base SKUs'!E:E,'Base SKUs'!S:S)</f>
        <v>0</v>
      </c>
      <c r="I394" s="9">
        <f t="shared" si="6"/>
        <v>0</v>
      </c>
      <c r="J394" t="str">
        <f>_xlfn.XLOOKUP(E394,'Base SKUs'!E:E,'Base SKUs'!G:G)</f>
        <v>Round Wood</v>
      </c>
      <c r="K394" t="str">
        <f>_xlfn.XLOOKUP(E394,'Base SKUs'!E:E,'Base SKUs'!H:H)</f>
        <v>Table Slab</v>
      </c>
      <c r="L394" t="str">
        <f>_xlfn.XLOOKUP(E394,'Base SKUs'!E:E,'Base SKUs'!I:I)</f>
        <v>-</v>
      </c>
      <c r="M394">
        <f>_xlfn.XLOOKUP(E394,'Base SKUs'!E:E,'Base SKUs'!J:J)</f>
        <v>0</v>
      </c>
      <c r="N394">
        <f>_xlfn.XLOOKUP(E394,'Base SKUs'!E:E,'Base SKUs'!K:K)</f>
        <v>0</v>
      </c>
      <c r="O394" t="str">
        <f>_xlfn.XLOOKUP(E394,'Base SKUs'!E:E,'Base SKUs'!C:C)</f>
        <v>Regular</v>
      </c>
      <c r="P394" t="s">
        <v>4931</v>
      </c>
    </row>
    <row r="395" spans="1:16" x14ac:dyDescent="0.25">
      <c r="A395" t="s">
        <v>4933</v>
      </c>
      <c r="B395" t="s">
        <v>4844</v>
      </c>
      <c r="C395" t="s">
        <v>4845</v>
      </c>
      <c r="D395" s="11">
        <v>9011</v>
      </c>
      <c r="E395" t="s">
        <v>4330</v>
      </c>
      <c r="F395">
        <v>1</v>
      </c>
      <c r="G395" t="str">
        <f>_xlfn.XLOOKUP(E395,'Base SKUs'!E:E,'Base SKUs'!D:D)</f>
        <v>Wood Table</v>
      </c>
      <c r="H395" s="10">
        <f>_xlfn.XLOOKUP(E395,'Base SKUs'!E:E,'Base SKUs'!S:S)</f>
        <v>0</v>
      </c>
      <c r="I395" s="9">
        <f t="shared" si="6"/>
        <v>0</v>
      </c>
      <c r="J395" t="str">
        <f>_xlfn.XLOOKUP(E395,'Base SKUs'!E:E,'Base SKUs'!G:G)</f>
        <v>Round Wood</v>
      </c>
      <c r="K395" t="str">
        <f>_xlfn.XLOOKUP(E395,'Base SKUs'!E:E,'Base SKUs'!H:H)</f>
        <v>Table Slab</v>
      </c>
      <c r="L395" t="str">
        <f>_xlfn.XLOOKUP(E395,'Base SKUs'!E:E,'Base SKUs'!I:I)</f>
        <v>-</v>
      </c>
      <c r="M395">
        <f>_xlfn.XLOOKUP(E395,'Base SKUs'!E:E,'Base SKUs'!J:J)</f>
        <v>0</v>
      </c>
      <c r="N395">
        <f>_xlfn.XLOOKUP(E395,'Base SKUs'!E:E,'Base SKUs'!K:K)</f>
        <v>0</v>
      </c>
      <c r="O395" t="str">
        <f>_xlfn.XLOOKUP(E395,'Base SKUs'!E:E,'Base SKUs'!C:C)</f>
        <v>Regular</v>
      </c>
      <c r="P395" t="s">
        <v>4931</v>
      </c>
    </row>
    <row r="396" spans="1:16" x14ac:dyDescent="0.25">
      <c r="A396" t="s">
        <v>4933</v>
      </c>
      <c r="B396" t="s">
        <v>4844</v>
      </c>
      <c r="C396" t="s">
        <v>4845</v>
      </c>
      <c r="D396" s="11">
        <v>9011</v>
      </c>
      <c r="E396" t="s">
        <v>4330</v>
      </c>
      <c r="F396">
        <v>1</v>
      </c>
      <c r="G396" t="str">
        <f>_xlfn.XLOOKUP(E396,'Base SKUs'!E:E,'Base SKUs'!D:D)</f>
        <v>Wood Table</v>
      </c>
      <c r="H396" s="10">
        <f>_xlfn.XLOOKUP(E396,'Base SKUs'!E:E,'Base SKUs'!S:S)</f>
        <v>0</v>
      </c>
      <c r="I396" s="9">
        <f t="shared" si="6"/>
        <v>0</v>
      </c>
      <c r="J396" t="str">
        <f>_xlfn.XLOOKUP(E396,'Base SKUs'!E:E,'Base SKUs'!G:G)</f>
        <v>Round Wood</v>
      </c>
      <c r="K396" t="str">
        <f>_xlfn.XLOOKUP(E396,'Base SKUs'!E:E,'Base SKUs'!H:H)</f>
        <v>Table Slab</v>
      </c>
      <c r="L396" t="str">
        <f>_xlfn.XLOOKUP(E396,'Base SKUs'!E:E,'Base SKUs'!I:I)</f>
        <v>-</v>
      </c>
      <c r="M396">
        <f>_xlfn.XLOOKUP(E396,'Base SKUs'!E:E,'Base SKUs'!J:J)</f>
        <v>0</v>
      </c>
      <c r="N396">
        <f>_xlfn.XLOOKUP(E396,'Base SKUs'!E:E,'Base SKUs'!K:K)</f>
        <v>0</v>
      </c>
      <c r="O396" t="str">
        <f>_xlfn.XLOOKUP(E396,'Base SKUs'!E:E,'Base SKUs'!C:C)</f>
        <v>Regular</v>
      </c>
      <c r="P396" t="s">
        <v>4931</v>
      </c>
    </row>
    <row r="397" spans="1:16" x14ac:dyDescent="0.25">
      <c r="A397" t="s">
        <v>4933</v>
      </c>
      <c r="B397" t="s">
        <v>4844</v>
      </c>
      <c r="C397" t="s">
        <v>4845</v>
      </c>
      <c r="D397" s="11">
        <v>9011</v>
      </c>
      <c r="E397" t="s">
        <v>4330</v>
      </c>
      <c r="F397">
        <v>1</v>
      </c>
      <c r="G397" t="str">
        <f>_xlfn.XLOOKUP(E397,'Base SKUs'!E:E,'Base SKUs'!D:D)</f>
        <v>Wood Table</v>
      </c>
      <c r="H397" s="10">
        <f>_xlfn.XLOOKUP(E397,'Base SKUs'!E:E,'Base SKUs'!S:S)</f>
        <v>0</v>
      </c>
      <c r="I397" s="9">
        <f t="shared" si="6"/>
        <v>0</v>
      </c>
      <c r="J397" t="str">
        <f>_xlfn.XLOOKUP(E397,'Base SKUs'!E:E,'Base SKUs'!G:G)</f>
        <v>Round Wood</v>
      </c>
      <c r="K397" t="str">
        <f>_xlfn.XLOOKUP(E397,'Base SKUs'!E:E,'Base SKUs'!H:H)</f>
        <v>Table Slab</v>
      </c>
      <c r="L397" t="str">
        <f>_xlfn.XLOOKUP(E397,'Base SKUs'!E:E,'Base SKUs'!I:I)</f>
        <v>-</v>
      </c>
      <c r="M397">
        <f>_xlfn.XLOOKUP(E397,'Base SKUs'!E:E,'Base SKUs'!J:J)</f>
        <v>0</v>
      </c>
      <c r="N397">
        <f>_xlfn.XLOOKUP(E397,'Base SKUs'!E:E,'Base SKUs'!K:K)</f>
        <v>0</v>
      </c>
      <c r="O397" t="str">
        <f>_xlfn.XLOOKUP(E397,'Base SKUs'!E:E,'Base SKUs'!C:C)</f>
        <v>Regular</v>
      </c>
      <c r="P397" t="s">
        <v>4931</v>
      </c>
    </row>
    <row r="398" spans="1:16" x14ac:dyDescent="0.25">
      <c r="A398" t="s">
        <v>4933</v>
      </c>
      <c r="B398" t="s">
        <v>4844</v>
      </c>
      <c r="C398" t="s">
        <v>4845</v>
      </c>
      <c r="D398" s="11">
        <v>9011</v>
      </c>
      <c r="E398" t="s">
        <v>4330</v>
      </c>
      <c r="F398">
        <v>1</v>
      </c>
      <c r="G398" t="str">
        <f>_xlfn.XLOOKUP(E398,'Base SKUs'!E:E,'Base SKUs'!D:D)</f>
        <v>Wood Table</v>
      </c>
      <c r="H398" s="10">
        <f>_xlfn.XLOOKUP(E398,'Base SKUs'!E:E,'Base SKUs'!S:S)</f>
        <v>0</v>
      </c>
      <c r="I398" s="9">
        <f t="shared" si="6"/>
        <v>0</v>
      </c>
      <c r="J398" t="str">
        <f>_xlfn.XLOOKUP(E398,'Base SKUs'!E:E,'Base SKUs'!G:G)</f>
        <v>Round Wood</v>
      </c>
      <c r="K398" t="str">
        <f>_xlfn.XLOOKUP(E398,'Base SKUs'!E:E,'Base SKUs'!H:H)</f>
        <v>Table Slab</v>
      </c>
      <c r="L398" t="str">
        <f>_xlfn.XLOOKUP(E398,'Base SKUs'!E:E,'Base SKUs'!I:I)</f>
        <v>-</v>
      </c>
      <c r="M398">
        <f>_xlfn.XLOOKUP(E398,'Base SKUs'!E:E,'Base SKUs'!J:J)</f>
        <v>0</v>
      </c>
      <c r="N398">
        <f>_xlfn.XLOOKUP(E398,'Base SKUs'!E:E,'Base SKUs'!K:K)</f>
        <v>0</v>
      </c>
      <c r="O398" t="str">
        <f>_xlfn.XLOOKUP(E398,'Base SKUs'!E:E,'Base SKUs'!C:C)</f>
        <v>Regular</v>
      </c>
      <c r="P398" t="s">
        <v>4931</v>
      </c>
    </row>
    <row r="399" spans="1:16" x14ac:dyDescent="0.25">
      <c r="A399" t="s">
        <v>4933</v>
      </c>
      <c r="B399" t="s">
        <v>4844</v>
      </c>
      <c r="C399" t="s">
        <v>4845</v>
      </c>
      <c r="D399" s="11">
        <v>9011</v>
      </c>
      <c r="E399" t="s">
        <v>4330</v>
      </c>
      <c r="F399">
        <v>1</v>
      </c>
      <c r="G399" t="str">
        <f>_xlfn.XLOOKUP(E399,'Base SKUs'!E:E,'Base SKUs'!D:D)</f>
        <v>Wood Table</v>
      </c>
      <c r="H399" s="10">
        <f>_xlfn.XLOOKUP(E399,'Base SKUs'!E:E,'Base SKUs'!S:S)</f>
        <v>0</v>
      </c>
      <c r="I399" s="9">
        <f t="shared" si="6"/>
        <v>0</v>
      </c>
      <c r="J399" t="str">
        <f>_xlfn.XLOOKUP(E399,'Base SKUs'!E:E,'Base SKUs'!G:G)</f>
        <v>Round Wood</v>
      </c>
      <c r="K399" t="str">
        <f>_xlfn.XLOOKUP(E399,'Base SKUs'!E:E,'Base SKUs'!H:H)</f>
        <v>Table Slab</v>
      </c>
      <c r="L399" t="str">
        <f>_xlfn.XLOOKUP(E399,'Base SKUs'!E:E,'Base SKUs'!I:I)</f>
        <v>-</v>
      </c>
      <c r="M399">
        <f>_xlfn.XLOOKUP(E399,'Base SKUs'!E:E,'Base SKUs'!J:J)</f>
        <v>0</v>
      </c>
      <c r="N399">
        <f>_xlfn.XLOOKUP(E399,'Base SKUs'!E:E,'Base SKUs'!K:K)</f>
        <v>0</v>
      </c>
      <c r="O399" t="str">
        <f>_xlfn.XLOOKUP(E399,'Base SKUs'!E:E,'Base SKUs'!C:C)</f>
        <v>Regular</v>
      </c>
      <c r="P399" t="s">
        <v>4931</v>
      </c>
    </row>
    <row r="400" spans="1:16" x14ac:dyDescent="0.25">
      <c r="A400" t="s">
        <v>4933</v>
      </c>
      <c r="B400" t="s">
        <v>4844</v>
      </c>
      <c r="C400" t="s">
        <v>4845</v>
      </c>
      <c r="D400" s="11">
        <v>9011</v>
      </c>
      <c r="E400" t="s">
        <v>4330</v>
      </c>
      <c r="F400">
        <v>1</v>
      </c>
      <c r="G400" t="str">
        <f>_xlfn.XLOOKUP(E400,'Base SKUs'!E:E,'Base SKUs'!D:D)</f>
        <v>Wood Table</v>
      </c>
      <c r="H400" s="10">
        <f>_xlfn.XLOOKUP(E400,'Base SKUs'!E:E,'Base SKUs'!S:S)</f>
        <v>0</v>
      </c>
      <c r="I400" s="9">
        <f t="shared" si="6"/>
        <v>0</v>
      </c>
      <c r="J400" t="str">
        <f>_xlfn.XLOOKUP(E400,'Base SKUs'!E:E,'Base SKUs'!G:G)</f>
        <v>Round Wood</v>
      </c>
      <c r="K400" t="str">
        <f>_xlfn.XLOOKUP(E400,'Base SKUs'!E:E,'Base SKUs'!H:H)</f>
        <v>Table Slab</v>
      </c>
      <c r="L400" t="str">
        <f>_xlfn.XLOOKUP(E400,'Base SKUs'!E:E,'Base SKUs'!I:I)</f>
        <v>-</v>
      </c>
      <c r="M400">
        <f>_xlfn.XLOOKUP(E400,'Base SKUs'!E:E,'Base SKUs'!J:J)</f>
        <v>0</v>
      </c>
      <c r="N400">
        <f>_xlfn.XLOOKUP(E400,'Base SKUs'!E:E,'Base SKUs'!K:K)</f>
        <v>0</v>
      </c>
      <c r="O400" t="str">
        <f>_xlfn.XLOOKUP(E400,'Base SKUs'!E:E,'Base SKUs'!C:C)</f>
        <v>Regular</v>
      </c>
      <c r="P400" t="s">
        <v>4931</v>
      </c>
    </row>
    <row r="401" spans="1:16" x14ac:dyDescent="0.25">
      <c r="A401" t="s">
        <v>4934</v>
      </c>
      <c r="B401" t="s">
        <v>4844</v>
      </c>
      <c r="C401" t="s">
        <v>4845</v>
      </c>
      <c r="D401" s="11">
        <v>9011</v>
      </c>
      <c r="E401" t="s">
        <v>135</v>
      </c>
      <c r="F401">
        <v>192</v>
      </c>
      <c r="G401" t="str">
        <f>_xlfn.XLOOKUP(E401,'Base SKUs'!E:E,'Base SKUs'!D:D)</f>
        <v>Norx</v>
      </c>
      <c r="H401" s="10">
        <f>_xlfn.XLOOKUP(E401,'Base SKUs'!E:E,'Base SKUs'!S:S)</f>
        <v>0</v>
      </c>
      <c r="I401" s="9">
        <f t="shared" si="6"/>
        <v>192</v>
      </c>
      <c r="J401" t="str">
        <f>_xlfn.XLOOKUP(E401,'Base SKUs'!E:E,'Base SKUs'!G:G)</f>
        <v>Rockefeller</v>
      </c>
      <c r="K401" t="str">
        <f>_xlfn.XLOOKUP(E401,'Base SKUs'!E:E,'Base SKUs'!H:H)</f>
        <v>Profile</v>
      </c>
      <c r="L401" t="str">
        <f>_xlfn.XLOOKUP(E401,'Base SKUs'!E:E,'Base SKUs'!I:I)</f>
        <v>-</v>
      </c>
      <c r="M401" t="str">
        <f>_xlfn.XLOOKUP(E401,'Base SKUs'!E:E,'Base SKUs'!J:J)</f>
        <v>1x6</v>
      </c>
      <c r="N401">
        <f>_xlfn.XLOOKUP(E401,'Base SKUs'!E:E,'Base SKUs'!K:K)</f>
        <v>16</v>
      </c>
      <c r="O401" t="str">
        <f>_xlfn.XLOOKUP(E401,'Base SKUs'!E:E,'Base SKUs'!C:C)</f>
        <v>Long</v>
      </c>
      <c r="P401" t="s">
        <v>4931</v>
      </c>
    </row>
    <row r="402" spans="1:16" x14ac:dyDescent="0.25">
      <c r="A402" t="s">
        <v>4934</v>
      </c>
      <c r="B402" t="s">
        <v>4844</v>
      </c>
      <c r="C402" t="s">
        <v>4845</v>
      </c>
      <c r="D402" s="11">
        <v>9011</v>
      </c>
      <c r="E402" t="s">
        <v>135</v>
      </c>
      <c r="F402">
        <v>192</v>
      </c>
      <c r="G402" t="str">
        <f>_xlfn.XLOOKUP(E402,'Base SKUs'!E:E,'Base SKUs'!D:D)</f>
        <v>Norx</v>
      </c>
      <c r="H402" s="10">
        <f>_xlfn.XLOOKUP(E402,'Base SKUs'!E:E,'Base SKUs'!S:S)</f>
        <v>0</v>
      </c>
      <c r="I402" s="9">
        <f t="shared" si="6"/>
        <v>192</v>
      </c>
      <c r="J402" t="str">
        <f>_xlfn.XLOOKUP(E402,'Base SKUs'!E:E,'Base SKUs'!G:G)</f>
        <v>Rockefeller</v>
      </c>
      <c r="K402" t="str">
        <f>_xlfn.XLOOKUP(E402,'Base SKUs'!E:E,'Base SKUs'!H:H)</f>
        <v>Profile</v>
      </c>
      <c r="L402" t="str">
        <f>_xlfn.XLOOKUP(E402,'Base SKUs'!E:E,'Base SKUs'!I:I)</f>
        <v>-</v>
      </c>
      <c r="M402" t="str">
        <f>_xlfn.XLOOKUP(E402,'Base SKUs'!E:E,'Base SKUs'!J:J)</f>
        <v>1x6</v>
      </c>
      <c r="N402">
        <f>_xlfn.XLOOKUP(E402,'Base SKUs'!E:E,'Base SKUs'!K:K)</f>
        <v>16</v>
      </c>
      <c r="O402" t="str">
        <f>_xlfn.XLOOKUP(E402,'Base SKUs'!E:E,'Base SKUs'!C:C)</f>
        <v>Long</v>
      </c>
      <c r="P402" t="s">
        <v>4931</v>
      </c>
    </row>
    <row r="403" spans="1:16" x14ac:dyDescent="0.25">
      <c r="A403" t="s">
        <v>4934</v>
      </c>
      <c r="B403" t="s">
        <v>4844</v>
      </c>
      <c r="C403" t="s">
        <v>4845</v>
      </c>
      <c r="D403" s="11">
        <v>9011</v>
      </c>
      <c r="E403" t="s">
        <v>135</v>
      </c>
      <c r="F403">
        <v>224</v>
      </c>
      <c r="G403" t="str">
        <f>_xlfn.XLOOKUP(E403,'Base SKUs'!E:E,'Base SKUs'!D:D)</f>
        <v>Norx</v>
      </c>
      <c r="H403" s="10">
        <f>_xlfn.XLOOKUP(E403,'Base SKUs'!E:E,'Base SKUs'!S:S)</f>
        <v>0</v>
      </c>
      <c r="I403" s="9">
        <f t="shared" si="6"/>
        <v>224</v>
      </c>
      <c r="J403" t="str">
        <f>_xlfn.XLOOKUP(E403,'Base SKUs'!E:E,'Base SKUs'!G:G)</f>
        <v>Rockefeller</v>
      </c>
      <c r="K403" t="str">
        <f>_xlfn.XLOOKUP(E403,'Base SKUs'!E:E,'Base SKUs'!H:H)</f>
        <v>Profile</v>
      </c>
      <c r="L403" t="str">
        <f>_xlfn.XLOOKUP(E403,'Base SKUs'!E:E,'Base SKUs'!I:I)</f>
        <v>-</v>
      </c>
      <c r="M403" t="str">
        <f>_xlfn.XLOOKUP(E403,'Base SKUs'!E:E,'Base SKUs'!J:J)</f>
        <v>1x6</v>
      </c>
      <c r="N403">
        <f>_xlfn.XLOOKUP(E403,'Base SKUs'!E:E,'Base SKUs'!K:K)</f>
        <v>16</v>
      </c>
      <c r="O403" t="str">
        <f>_xlfn.XLOOKUP(E403,'Base SKUs'!E:E,'Base SKUs'!C:C)</f>
        <v>Long</v>
      </c>
      <c r="P403" t="s">
        <v>4931</v>
      </c>
    </row>
    <row r="404" spans="1:16" x14ac:dyDescent="0.25">
      <c r="A404" t="s">
        <v>4934</v>
      </c>
      <c r="B404" t="s">
        <v>4844</v>
      </c>
      <c r="C404" t="s">
        <v>4845</v>
      </c>
      <c r="D404" s="11">
        <v>9011</v>
      </c>
      <c r="E404" t="s">
        <v>135</v>
      </c>
      <c r="F404">
        <v>96</v>
      </c>
      <c r="G404" t="str">
        <f>_xlfn.XLOOKUP(E404,'Base SKUs'!E:E,'Base SKUs'!D:D)</f>
        <v>Norx</v>
      </c>
      <c r="H404" s="10">
        <f>_xlfn.XLOOKUP(E404,'Base SKUs'!E:E,'Base SKUs'!S:S)</f>
        <v>0</v>
      </c>
      <c r="I404" s="9">
        <f t="shared" si="6"/>
        <v>96</v>
      </c>
      <c r="J404" t="str">
        <f>_xlfn.XLOOKUP(E404,'Base SKUs'!E:E,'Base SKUs'!G:G)</f>
        <v>Rockefeller</v>
      </c>
      <c r="K404" t="str">
        <f>_xlfn.XLOOKUP(E404,'Base SKUs'!E:E,'Base SKUs'!H:H)</f>
        <v>Profile</v>
      </c>
      <c r="L404" t="str">
        <f>_xlfn.XLOOKUP(E404,'Base SKUs'!E:E,'Base SKUs'!I:I)</f>
        <v>-</v>
      </c>
      <c r="M404" t="str">
        <f>_xlfn.XLOOKUP(E404,'Base SKUs'!E:E,'Base SKUs'!J:J)</f>
        <v>1x6</v>
      </c>
      <c r="N404">
        <f>_xlfn.XLOOKUP(E404,'Base SKUs'!E:E,'Base SKUs'!K:K)</f>
        <v>16</v>
      </c>
      <c r="O404" t="str">
        <f>_xlfn.XLOOKUP(E404,'Base SKUs'!E:E,'Base SKUs'!C:C)</f>
        <v>Long</v>
      </c>
      <c r="P404" t="s">
        <v>4931</v>
      </c>
    </row>
    <row r="405" spans="1:16" x14ac:dyDescent="0.25">
      <c r="A405" t="s">
        <v>4934</v>
      </c>
      <c r="B405" t="s">
        <v>4844</v>
      </c>
      <c r="C405" t="s">
        <v>4845</v>
      </c>
      <c r="D405" s="11">
        <v>9011</v>
      </c>
      <c r="E405" t="s">
        <v>2629</v>
      </c>
      <c r="F405">
        <v>1</v>
      </c>
      <c r="G405" t="str">
        <f>_xlfn.XLOOKUP(E405,'Base SKUs'!E:E,'Base SKUs'!D:D)</f>
        <v>Norx</v>
      </c>
      <c r="H405" s="10">
        <f>_xlfn.XLOOKUP(E405,'Base SKUs'!E:E,'Base SKUs'!S:S)</f>
        <v>0</v>
      </c>
      <c r="I405" s="9">
        <f t="shared" si="6"/>
        <v>1</v>
      </c>
      <c r="J405" t="str">
        <f>_xlfn.XLOOKUP(E405,'Base SKUs'!E:E,'Base SKUs'!G:G)</f>
        <v>Gray</v>
      </c>
      <c r="K405" t="str">
        <f>_xlfn.XLOOKUP(E405,'Base SKUs'!E:E,'Base SKUs'!H:H)</f>
        <v>Corner Trim</v>
      </c>
      <c r="L405" t="str">
        <f>_xlfn.XLOOKUP(E405,'Base SKUs'!E:E,'Base SKUs'!I:I)</f>
        <v>-</v>
      </c>
      <c r="M405" t="str">
        <f>_xlfn.XLOOKUP(E405,'Base SKUs'!E:E,'Base SKUs'!J:J)</f>
        <v>1x1</v>
      </c>
      <c r="N405">
        <f>_xlfn.XLOOKUP(E405,'Base SKUs'!E:E,'Base SKUs'!K:K)</f>
        <v>16</v>
      </c>
      <c r="O405" t="str">
        <f>_xlfn.XLOOKUP(E405,'Base SKUs'!E:E,'Base SKUs'!C:C)</f>
        <v>Long</v>
      </c>
      <c r="P405" t="s">
        <v>4931</v>
      </c>
    </row>
    <row r="406" spans="1:16" x14ac:dyDescent="0.25">
      <c r="A406" t="s">
        <v>4934</v>
      </c>
      <c r="B406" t="s">
        <v>4844</v>
      </c>
      <c r="C406" t="s">
        <v>4845</v>
      </c>
      <c r="D406" s="11">
        <v>9011</v>
      </c>
      <c r="E406" t="s">
        <v>134</v>
      </c>
      <c r="F406">
        <v>1</v>
      </c>
      <c r="G406" t="str">
        <f>_xlfn.XLOOKUP(E406,'Base SKUs'!E:E,'Base SKUs'!D:D)</f>
        <v>Norx</v>
      </c>
      <c r="H406" s="10">
        <f>_xlfn.XLOOKUP(E406,'Base SKUs'!E:E,'Base SKUs'!S:S)</f>
        <v>0</v>
      </c>
      <c r="I406" s="9">
        <f t="shared" si="6"/>
        <v>1</v>
      </c>
      <c r="J406" t="str">
        <f>_xlfn.XLOOKUP(E406,'Base SKUs'!E:E,'Base SKUs'!G:G)</f>
        <v>Empire State</v>
      </c>
      <c r="K406" t="str">
        <f>_xlfn.XLOOKUP(E406,'Base SKUs'!E:E,'Base SKUs'!H:H)</f>
        <v>Profile</v>
      </c>
      <c r="L406" t="str">
        <f>_xlfn.XLOOKUP(E406,'Base SKUs'!E:E,'Base SKUs'!I:I)</f>
        <v>-</v>
      </c>
      <c r="M406" t="str">
        <f>_xlfn.XLOOKUP(E406,'Base SKUs'!E:E,'Base SKUs'!J:J)</f>
        <v>1x6</v>
      </c>
      <c r="N406">
        <f>_xlfn.XLOOKUP(E406,'Base SKUs'!E:E,'Base SKUs'!K:K)</f>
        <v>16</v>
      </c>
      <c r="O406" t="str">
        <f>_xlfn.XLOOKUP(E406,'Base SKUs'!E:E,'Base SKUs'!C:C)</f>
        <v>Long</v>
      </c>
      <c r="P406" t="s">
        <v>4931</v>
      </c>
    </row>
    <row r="407" spans="1:16" x14ac:dyDescent="0.25">
      <c r="A407" t="s">
        <v>4934</v>
      </c>
      <c r="B407" t="s">
        <v>4844</v>
      </c>
      <c r="C407" t="s">
        <v>4845</v>
      </c>
      <c r="D407" s="11">
        <v>9011</v>
      </c>
      <c r="E407" t="s">
        <v>92</v>
      </c>
      <c r="F407">
        <v>184</v>
      </c>
      <c r="G407" t="str">
        <f>_xlfn.XLOOKUP(E407,'Base SKUs'!E:E,'Base SKUs'!D:D)</f>
        <v>Thermowood</v>
      </c>
      <c r="H407" s="10">
        <f>_xlfn.XLOOKUP(E407,'Base SKUs'!E:E,'Base SKUs'!S:S)</f>
        <v>1.2585600000000001E-2</v>
      </c>
      <c r="I407" s="9">
        <f t="shared" si="6"/>
        <v>2.3159999999999998</v>
      </c>
      <c r="J407" t="str">
        <f>_xlfn.XLOOKUP(E407,'Base SKUs'!E:E,'Base SKUs'!G:G)</f>
        <v>Maximo Thermo Clear Radiata</v>
      </c>
      <c r="K407" t="str">
        <f>_xlfn.XLOOKUP(E407,'Base SKUs'!E:E,'Base SKUs'!H:H)</f>
        <v>Nickel Gap</v>
      </c>
      <c r="L407" t="str">
        <f>_xlfn.XLOOKUP(E407,'Base SKUs'!E:E,'Base SKUs'!I:I)</f>
        <v>Pre Finished Black</v>
      </c>
      <c r="M407" t="str">
        <f>_xlfn.XLOOKUP(E407,'Base SKUs'!E:E,'Base SKUs'!J:J)</f>
        <v>1x6</v>
      </c>
      <c r="N407">
        <f>_xlfn.XLOOKUP(E407,'Base SKUs'!E:E,'Base SKUs'!K:K)</f>
        <v>16</v>
      </c>
      <c r="O407" t="str">
        <f>_xlfn.XLOOKUP(E407,'Base SKUs'!E:E,'Base SKUs'!C:C)</f>
        <v>Long</v>
      </c>
      <c r="P407" t="s">
        <v>4931</v>
      </c>
    </row>
    <row r="408" spans="1:16" x14ac:dyDescent="0.25">
      <c r="A408" t="s">
        <v>4934</v>
      </c>
      <c r="B408" t="s">
        <v>4844</v>
      </c>
      <c r="C408" t="s">
        <v>4845</v>
      </c>
      <c r="D408" s="11">
        <v>9011</v>
      </c>
      <c r="E408" t="s">
        <v>2005</v>
      </c>
      <c r="F408">
        <v>220</v>
      </c>
      <c r="G408" t="str">
        <f>_xlfn.XLOOKUP(E408,'Base SKUs'!E:E,'Base SKUs'!D:D)</f>
        <v>Hardwoods</v>
      </c>
      <c r="H408" s="10">
        <f>_xlfn.XLOOKUP(E408,'Base SKUs'!E:E,'Base SKUs'!S:S)</f>
        <v>5.5060535040000001E-3</v>
      </c>
      <c r="I408" s="9">
        <f t="shared" si="6"/>
        <v>1.2110000000000001</v>
      </c>
      <c r="J408" t="str">
        <f>_xlfn.XLOOKUP(E408,'Base SKUs'!E:E,'Base SKUs'!G:G)</f>
        <v>Ipe</v>
      </c>
      <c r="K408" t="str">
        <f>_xlfn.XLOOKUP(E408,'Base SKUs'!E:E,'Base SKUs'!H:H)</f>
        <v>Grooved</v>
      </c>
      <c r="L408" t="str">
        <f>_xlfn.XLOOKUP(E408,'Base SKUs'!E:E,'Base SKUs'!I:I)</f>
        <v>-</v>
      </c>
      <c r="M408" t="str">
        <f>_xlfn.XLOOKUP(E408,'Base SKUs'!E:E,'Base SKUs'!J:J)</f>
        <v>5/4x4</v>
      </c>
      <c r="N408">
        <f>_xlfn.XLOOKUP(E408,'Base SKUs'!E:E,'Base SKUs'!K:K)</f>
        <v>8</v>
      </c>
      <c r="O408" t="str">
        <f>_xlfn.XLOOKUP(E408,'Base SKUs'!E:E,'Base SKUs'!C:C)</f>
        <v>Long</v>
      </c>
      <c r="P408" t="s">
        <v>4931</v>
      </c>
    </row>
    <row r="409" spans="1:16" x14ac:dyDescent="0.25">
      <c r="A409" t="s">
        <v>4934</v>
      </c>
      <c r="B409" t="s">
        <v>4844</v>
      </c>
      <c r="C409" t="s">
        <v>4845</v>
      </c>
      <c r="D409" s="11">
        <v>9011</v>
      </c>
      <c r="E409" t="s">
        <v>2005</v>
      </c>
      <c r="F409">
        <v>220</v>
      </c>
      <c r="G409" t="str">
        <f>_xlfn.XLOOKUP(E409,'Base SKUs'!E:E,'Base SKUs'!D:D)</f>
        <v>Hardwoods</v>
      </c>
      <c r="H409" s="10">
        <f>_xlfn.XLOOKUP(E409,'Base SKUs'!E:E,'Base SKUs'!S:S)</f>
        <v>5.5060535040000001E-3</v>
      </c>
      <c r="I409" s="9">
        <f t="shared" si="6"/>
        <v>1.2110000000000001</v>
      </c>
      <c r="J409" t="str">
        <f>_xlfn.XLOOKUP(E409,'Base SKUs'!E:E,'Base SKUs'!G:G)</f>
        <v>Ipe</v>
      </c>
      <c r="K409" t="str">
        <f>_xlfn.XLOOKUP(E409,'Base SKUs'!E:E,'Base SKUs'!H:H)</f>
        <v>Grooved</v>
      </c>
      <c r="L409" t="str">
        <f>_xlfn.XLOOKUP(E409,'Base SKUs'!E:E,'Base SKUs'!I:I)</f>
        <v>-</v>
      </c>
      <c r="M409" t="str">
        <f>_xlfn.XLOOKUP(E409,'Base SKUs'!E:E,'Base SKUs'!J:J)</f>
        <v>5/4x4</v>
      </c>
      <c r="N409">
        <f>_xlfn.XLOOKUP(E409,'Base SKUs'!E:E,'Base SKUs'!K:K)</f>
        <v>8</v>
      </c>
      <c r="O409" t="str">
        <f>_xlfn.XLOOKUP(E409,'Base SKUs'!E:E,'Base SKUs'!C:C)</f>
        <v>Long</v>
      </c>
      <c r="P409" t="s">
        <v>4931</v>
      </c>
    </row>
    <row r="410" spans="1:16" x14ac:dyDescent="0.25">
      <c r="A410" t="s">
        <v>4934</v>
      </c>
      <c r="B410" t="s">
        <v>4844</v>
      </c>
      <c r="C410" t="s">
        <v>4845</v>
      </c>
      <c r="D410" s="11">
        <v>9011</v>
      </c>
      <c r="E410" t="s">
        <v>2005</v>
      </c>
      <c r="F410">
        <v>220</v>
      </c>
      <c r="G410" t="str">
        <f>_xlfn.XLOOKUP(E410,'Base SKUs'!E:E,'Base SKUs'!D:D)</f>
        <v>Hardwoods</v>
      </c>
      <c r="H410" s="10">
        <f>_xlfn.XLOOKUP(E410,'Base SKUs'!E:E,'Base SKUs'!S:S)</f>
        <v>5.5060535040000001E-3</v>
      </c>
      <c r="I410" s="9">
        <f t="shared" si="6"/>
        <v>1.2110000000000001</v>
      </c>
      <c r="J410" t="str">
        <f>_xlfn.XLOOKUP(E410,'Base SKUs'!E:E,'Base SKUs'!G:G)</f>
        <v>Ipe</v>
      </c>
      <c r="K410" t="str">
        <f>_xlfn.XLOOKUP(E410,'Base SKUs'!E:E,'Base SKUs'!H:H)</f>
        <v>Grooved</v>
      </c>
      <c r="L410" t="str">
        <f>_xlfn.XLOOKUP(E410,'Base SKUs'!E:E,'Base SKUs'!I:I)</f>
        <v>-</v>
      </c>
      <c r="M410" t="str">
        <f>_xlfn.XLOOKUP(E410,'Base SKUs'!E:E,'Base SKUs'!J:J)</f>
        <v>5/4x4</v>
      </c>
      <c r="N410">
        <f>_xlfn.XLOOKUP(E410,'Base SKUs'!E:E,'Base SKUs'!K:K)</f>
        <v>8</v>
      </c>
      <c r="O410" t="str">
        <f>_xlfn.XLOOKUP(E410,'Base SKUs'!E:E,'Base SKUs'!C:C)</f>
        <v>Long</v>
      </c>
      <c r="P410" t="s">
        <v>4931</v>
      </c>
    </row>
    <row r="411" spans="1:16" x14ac:dyDescent="0.25">
      <c r="A411" t="s">
        <v>4934</v>
      </c>
      <c r="B411" t="s">
        <v>4844</v>
      </c>
      <c r="C411" t="s">
        <v>4845</v>
      </c>
      <c r="D411" s="11">
        <v>9011</v>
      </c>
      <c r="E411" t="s">
        <v>2005</v>
      </c>
      <c r="F411">
        <v>220</v>
      </c>
      <c r="G411" t="str">
        <f>_xlfn.XLOOKUP(E411,'Base SKUs'!E:E,'Base SKUs'!D:D)</f>
        <v>Hardwoods</v>
      </c>
      <c r="H411" s="10">
        <f>_xlfn.XLOOKUP(E411,'Base SKUs'!E:E,'Base SKUs'!S:S)</f>
        <v>5.5060535040000001E-3</v>
      </c>
      <c r="I411" s="9">
        <f t="shared" si="6"/>
        <v>1.2110000000000001</v>
      </c>
      <c r="J411" t="str">
        <f>_xlfn.XLOOKUP(E411,'Base SKUs'!E:E,'Base SKUs'!G:G)</f>
        <v>Ipe</v>
      </c>
      <c r="K411" t="str">
        <f>_xlfn.XLOOKUP(E411,'Base SKUs'!E:E,'Base SKUs'!H:H)</f>
        <v>Grooved</v>
      </c>
      <c r="L411" t="str">
        <f>_xlfn.XLOOKUP(E411,'Base SKUs'!E:E,'Base SKUs'!I:I)</f>
        <v>-</v>
      </c>
      <c r="M411" t="str">
        <f>_xlfn.XLOOKUP(E411,'Base SKUs'!E:E,'Base SKUs'!J:J)</f>
        <v>5/4x4</v>
      </c>
      <c r="N411">
        <f>_xlfn.XLOOKUP(E411,'Base SKUs'!E:E,'Base SKUs'!K:K)</f>
        <v>8</v>
      </c>
      <c r="O411" t="str">
        <f>_xlfn.XLOOKUP(E411,'Base SKUs'!E:E,'Base SKUs'!C:C)</f>
        <v>Long</v>
      </c>
      <c r="P411" t="s">
        <v>4931</v>
      </c>
    </row>
    <row r="412" spans="1:16" x14ac:dyDescent="0.25">
      <c r="A412" t="s">
        <v>4935</v>
      </c>
      <c r="B412" t="s">
        <v>4844</v>
      </c>
      <c r="C412" t="s">
        <v>4845</v>
      </c>
      <c r="D412" s="11">
        <v>9011</v>
      </c>
      <c r="E412" t="s">
        <v>2719</v>
      </c>
      <c r="F412">
        <v>1</v>
      </c>
      <c r="G412" t="str">
        <f>_xlfn.XLOOKUP(E412,'Base SKUs'!E:E,'Base SKUs'!D:D)</f>
        <v>Norx</v>
      </c>
      <c r="H412" s="10">
        <f>_xlfn.XLOOKUP(E412,'Base SKUs'!E:E,'Base SKUs'!S:S)</f>
        <v>0</v>
      </c>
      <c r="I412" s="9">
        <f t="shared" si="6"/>
        <v>1</v>
      </c>
      <c r="J412" t="str">
        <f>_xlfn.XLOOKUP(E412,'Base SKUs'!E:E,'Base SKUs'!G:G)</f>
        <v>Light Brown</v>
      </c>
      <c r="K412" t="str">
        <f>_xlfn.XLOOKUP(E412,'Base SKUs'!E:E,'Base SKUs'!H:H)</f>
        <v>L Trim</v>
      </c>
      <c r="L412" t="str">
        <f>_xlfn.XLOOKUP(E412,'Base SKUs'!E:E,'Base SKUs'!I:I)</f>
        <v>-</v>
      </c>
      <c r="M412" t="str">
        <f>_xlfn.XLOOKUP(E412,'Base SKUs'!E:E,'Base SKUs'!J:J)</f>
        <v>2x2</v>
      </c>
      <c r="N412">
        <f>_xlfn.XLOOKUP(E412,'Base SKUs'!E:E,'Base SKUs'!K:K)</f>
        <v>16</v>
      </c>
      <c r="O412" t="str">
        <f>_xlfn.XLOOKUP(E412,'Base SKUs'!E:E,'Base SKUs'!C:C)</f>
        <v>Long</v>
      </c>
      <c r="P412" t="s">
        <v>4931</v>
      </c>
    </row>
    <row r="413" spans="1:16" x14ac:dyDescent="0.25">
      <c r="A413" t="s">
        <v>4936</v>
      </c>
      <c r="B413" t="s">
        <v>4844</v>
      </c>
      <c r="C413" t="s">
        <v>4845</v>
      </c>
      <c r="D413" s="11">
        <v>9011</v>
      </c>
      <c r="E413" t="s">
        <v>2809</v>
      </c>
      <c r="F413">
        <v>147</v>
      </c>
      <c r="G413" t="str">
        <f>_xlfn.XLOOKUP(E413,'Base SKUs'!E:E,'Base SKUs'!D:D)</f>
        <v>Norx</v>
      </c>
      <c r="H413" s="10">
        <f>_xlfn.XLOOKUP(E413,'Base SKUs'!E:E,'Base SKUs'!S:S)</f>
        <v>0</v>
      </c>
      <c r="I413" s="9">
        <f t="shared" si="6"/>
        <v>147</v>
      </c>
      <c r="J413" t="str">
        <f>_xlfn.XLOOKUP(E413,'Base SKUs'!E:E,'Base SKUs'!G:G)</f>
        <v>Trevi</v>
      </c>
      <c r="K413" t="str">
        <f>_xlfn.XLOOKUP(E413,'Base SKUs'!E:E,'Base SKUs'!H:H)</f>
        <v>Profile</v>
      </c>
      <c r="L413" t="str">
        <f>_xlfn.XLOOKUP(E413,'Base SKUs'!E:E,'Base SKUs'!I:I)</f>
        <v>-</v>
      </c>
      <c r="M413" t="str">
        <f>_xlfn.XLOOKUP(E413,'Base SKUs'!E:E,'Base SKUs'!J:J)</f>
        <v>1x7</v>
      </c>
      <c r="N413">
        <f>_xlfn.XLOOKUP(E413,'Base SKUs'!E:E,'Base SKUs'!K:K)</f>
        <v>16</v>
      </c>
      <c r="O413" t="str">
        <f>_xlfn.XLOOKUP(E413,'Base SKUs'!E:E,'Base SKUs'!C:C)</f>
        <v>Long</v>
      </c>
      <c r="P413" t="s">
        <v>4931</v>
      </c>
    </row>
    <row r="414" spans="1:16" x14ac:dyDescent="0.25">
      <c r="A414" t="s">
        <v>4936</v>
      </c>
      <c r="B414" t="s">
        <v>4844</v>
      </c>
      <c r="C414" t="s">
        <v>4845</v>
      </c>
      <c r="D414" s="11">
        <v>9011</v>
      </c>
      <c r="E414" t="s">
        <v>4345</v>
      </c>
      <c r="F414">
        <v>1</v>
      </c>
      <c r="G414" t="str">
        <f>_xlfn.XLOOKUP(E414,'Base SKUs'!E:E,'Base SKUs'!D:D)</f>
        <v>Wood Table</v>
      </c>
      <c r="H414" s="10">
        <f>_xlfn.XLOOKUP(E414,'Base SKUs'!E:E,'Base SKUs'!S:S)</f>
        <v>0</v>
      </c>
      <c r="I414" s="9">
        <f t="shared" si="6"/>
        <v>0</v>
      </c>
      <c r="J414" t="str">
        <f>_xlfn.XLOOKUP(E414,'Base SKUs'!E:E,'Base SKUs'!G:G)</f>
        <v>Wood Table</v>
      </c>
      <c r="K414">
        <f>_xlfn.XLOOKUP(E414,'Base SKUs'!E:E,'Base SKUs'!H:H)</f>
        <v>1</v>
      </c>
      <c r="L414" t="str">
        <f>_xlfn.XLOOKUP(E414,'Base SKUs'!E:E,'Base SKUs'!I:I)</f>
        <v>-</v>
      </c>
      <c r="M414">
        <f>_xlfn.XLOOKUP(E414,'Base SKUs'!E:E,'Base SKUs'!J:J)</f>
        <v>0</v>
      </c>
      <c r="N414">
        <f>_xlfn.XLOOKUP(E414,'Base SKUs'!E:E,'Base SKUs'!K:K)</f>
        <v>0</v>
      </c>
      <c r="O414" t="str">
        <f>_xlfn.XLOOKUP(E414,'Base SKUs'!E:E,'Base SKUs'!C:C)</f>
        <v>Regular</v>
      </c>
      <c r="P414" t="s">
        <v>4931</v>
      </c>
    </row>
    <row r="415" spans="1:16" x14ac:dyDescent="0.25">
      <c r="A415" t="s">
        <v>4936</v>
      </c>
      <c r="B415" t="s">
        <v>4844</v>
      </c>
      <c r="C415" t="s">
        <v>4845</v>
      </c>
      <c r="D415" s="11">
        <v>9011</v>
      </c>
      <c r="E415" t="s">
        <v>4345</v>
      </c>
      <c r="F415">
        <v>1</v>
      </c>
      <c r="G415" t="str">
        <f>_xlfn.XLOOKUP(E415,'Base SKUs'!E:E,'Base SKUs'!D:D)</f>
        <v>Wood Table</v>
      </c>
      <c r="H415" s="10">
        <f>_xlfn.XLOOKUP(E415,'Base SKUs'!E:E,'Base SKUs'!S:S)</f>
        <v>0</v>
      </c>
      <c r="I415" s="9">
        <f t="shared" si="6"/>
        <v>0</v>
      </c>
      <c r="J415" t="str">
        <f>_xlfn.XLOOKUP(E415,'Base SKUs'!E:E,'Base SKUs'!G:G)</f>
        <v>Wood Table</v>
      </c>
      <c r="K415">
        <f>_xlfn.XLOOKUP(E415,'Base SKUs'!E:E,'Base SKUs'!H:H)</f>
        <v>1</v>
      </c>
      <c r="L415" t="str">
        <f>_xlfn.XLOOKUP(E415,'Base SKUs'!E:E,'Base SKUs'!I:I)</f>
        <v>-</v>
      </c>
      <c r="M415">
        <f>_xlfn.XLOOKUP(E415,'Base SKUs'!E:E,'Base SKUs'!J:J)</f>
        <v>0</v>
      </c>
      <c r="N415">
        <f>_xlfn.XLOOKUP(E415,'Base SKUs'!E:E,'Base SKUs'!K:K)</f>
        <v>0</v>
      </c>
      <c r="O415" t="str">
        <f>_xlfn.XLOOKUP(E415,'Base SKUs'!E:E,'Base SKUs'!C:C)</f>
        <v>Regular</v>
      </c>
      <c r="P415" t="s">
        <v>4931</v>
      </c>
    </row>
    <row r="416" spans="1:16" x14ac:dyDescent="0.25">
      <c r="A416" t="s">
        <v>4937</v>
      </c>
      <c r="B416" t="s">
        <v>4844</v>
      </c>
      <c r="C416" t="s">
        <v>4845</v>
      </c>
      <c r="D416" s="11">
        <v>9009</v>
      </c>
      <c r="E416" t="s">
        <v>235</v>
      </c>
      <c r="F416">
        <v>315</v>
      </c>
      <c r="G416" t="str">
        <f>_xlfn.XLOOKUP(E416,'Base SKUs'!E:E,'Base SKUs'!D:D)</f>
        <v>Hardwoods</v>
      </c>
      <c r="H416" s="10">
        <f>_xlfn.XLOOKUP(E416,'Base SKUs'!E:E,'Base SKUs'!S:S)</f>
        <v>8.6523697920000003E-3</v>
      </c>
      <c r="I416" s="9">
        <f t="shared" si="6"/>
        <v>2.7250000000000001</v>
      </c>
      <c r="J416" t="str">
        <f>_xlfn.XLOOKUP(E416,'Base SKUs'!E:E,'Base SKUs'!G:G)</f>
        <v>Ipe</v>
      </c>
      <c r="K416" t="str">
        <f>_xlfn.XLOOKUP(E416,'Base SKUs'!E:E,'Base SKUs'!H:H)</f>
        <v>S4S E4E</v>
      </c>
      <c r="L416" t="str">
        <f>_xlfn.XLOOKUP(E416,'Base SKUs'!E:E,'Base SKUs'!I:I)</f>
        <v>-</v>
      </c>
      <c r="M416" t="str">
        <f>_xlfn.XLOOKUP(E416,'Base SKUs'!E:E,'Base SKUs'!J:J)</f>
        <v>5/4x6</v>
      </c>
      <c r="N416">
        <f>_xlfn.XLOOKUP(E416,'Base SKUs'!E:E,'Base SKUs'!K:K)</f>
        <v>8</v>
      </c>
      <c r="O416" t="str">
        <f>_xlfn.XLOOKUP(E416,'Base SKUs'!E:E,'Base SKUs'!C:C)</f>
        <v>Long</v>
      </c>
      <c r="P416" t="s">
        <v>4930</v>
      </c>
    </row>
    <row r="417" spans="1:16" x14ac:dyDescent="0.25">
      <c r="A417" t="s">
        <v>4937</v>
      </c>
      <c r="B417" t="s">
        <v>4844</v>
      </c>
      <c r="C417" t="s">
        <v>4845</v>
      </c>
      <c r="D417" s="11">
        <v>9009</v>
      </c>
      <c r="E417" t="s">
        <v>52</v>
      </c>
      <c r="F417">
        <v>280</v>
      </c>
      <c r="G417" t="str">
        <f>_xlfn.XLOOKUP(E417,'Base SKUs'!E:E,'Base SKUs'!D:D)</f>
        <v>Hardwoods</v>
      </c>
      <c r="H417" s="10">
        <f>_xlfn.XLOOKUP(E417,'Base SKUs'!E:E,'Base SKUs'!S:S)</f>
        <v>1.081546224E-2</v>
      </c>
      <c r="I417" s="9">
        <f t="shared" si="6"/>
        <v>3.028</v>
      </c>
      <c r="J417" t="str">
        <f>_xlfn.XLOOKUP(E417,'Base SKUs'!E:E,'Base SKUs'!G:G)</f>
        <v>Ipe</v>
      </c>
      <c r="K417" t="str">
        <f>_xlfn.XLOOKUP(E417,'Base SKUs'!E:E,'Base SKUs'!H:H)</f>
        <v>S4S E4E</v>
      </c>
      <c r="L417" t="str">
        <f>_xlfn.XLOOKUP(E417,'Base SKUs'!E:E,'Base SKUs'!I:I)</f>
        <v>-</v>
      </c>
      <c r="M417" t="str">
        <f>_xlfn.XLOOKUP(E417,'Base SKUs'!E:E,'Base SKUs'!J:J)</f>
        <v>5/4x6</v>
      </c>
      <c r="N417">
        <f>_xlfn.XLOOKUP(E417,'Base SKUs'!E:E,'Base SKUs'!K:K)</f>
        <v>10</v>
      </c>
      <c r="O417" t="str">
        <f>_xlfn.XLOOKUP(E417,'Base SKUs'!E:E,'Base SKUs'!C:C)</f>
        <v>Long</v>
      </c>
      <c r="P417" t="s">
        <v>4930</v>
      </c>
    </row>
    <row r="418" spans="1:16" x14ac:dyDescent="0.25">
      <c r="A418" t="s">
        <v>4937</v>
      </c>
      <c r="B418" t="s">
        <v>4844</v>
      </c>
      <c r="C418" t="s">
        <v>4845</v>
      </c>
      <c r="D418" s="11">
        <v>9009</v>
      </c>
      <c r="E418" t="s">
        <v>198</v>
      </c>
      <c r="F418">
        <v>280</v>
      </c>
      <c r="G418" t="str">
        <f>_xlfn.XLOOKUP(E418,'Base SKUs'!E:E,'Base SKUs'!D:D)</f>
        <v>Hardwoods</v>
      </c>
      <c r="H418" s="10">
        <f>_xlfn.XLOOKUP(E418,'Base SKUs'!E:E,'Base SKUs'!S:S)</f>
        <v>1.2978554687999997E-2</v>
      </c>
      <c r="I418" s="9">
        <f t="shared" si="6"/>
        <v>3.6339999999999999</v>
      </c>
      <c r="J418" t="str">
        <f>_xlfn.XLOOKUP(E418,'Base SKUs'!E:E,'Base SKUs'!G:G)</f>
        <v>Ipe</v>
      </c>
      <c r="K418" t="str">
        <f>_xlfn.XLOOKUP(E418,'Base SKUs'!E:E,'Base SKUs'!H:H)</f>
        <v>S4S E4E</v>
      </c>
      <c r="L418" t="str">
        <f>_xlfn.XLOOKUP(E418,'Base SKUs'!E:E,'Base SKUs'!I:I)</f>
        <v>-</v>
      </c>
      <c r="M418" t="str">
        <f>_xlfn.XLOOKUP(E418,'Base SKUs'!E:E,'Base SKUs'!J:J)</f>
        <v>5/4x6</v>
      </c>
      <c r="N418">
        <f>_xlfn.XLOOKUP(E418,'Base SKUs'!E:E,'Base SKUs'!K:K)</f>
        <v>12</v>
      </c>
      <c r="O418" t="str">
        <f>_xlfn.XLOOKUP(E418,'Base SKUs'!E:E,'Base SKUs'!C:C)</f>
        <v>Long</v>
      </c>
      <c r="P418" t="s">
        <v>4930</v>
      </c>
    </row>
    <row r="419" spans="1:16" x14ac:dyDescent="0.25">
      <c r="A419" t="s">
        <v>4937</v>
      </c>
      <c r="B419" t="s">
        <v>4844</v>
      </c>
      <c r="C419" t="s">
        <v>4845</v>
      </c>
      <c r="D419" s="11">
        <v>9009</v>
      </c>
      <c r="E419" t="s">
        <v>197</v>
      </c>
      <c r="F419">
        <v>140</v>
      </c>
      <c r="G419" t="str">
        <f>_xlfn.XLOOKUP(E419,'Base SKUs'!E:E,'Base SKUs'!D:D)</f>
        <v>Hardwoods</v>
      </c>
      <c r="H419" s="10">
        <f>_xlfn.XLOOKUP(E419,'Base SKUs'!E:E,'Base SKUs'!S:S)</f>
        <v>1.5141647135999997E-2</v>
      </c>
      <c r="I419" s="9">
        <f t="shared" si="6"/>
        <v>2.12</v>
      </c>
      <c r="J419" t="str">
        <f>_xlfn.XLOOKUP(E419,'Base SKUs'!E:E,'Base SKUs'!G:G)</f>
        <v>Ipe</v>
      </c>
      <c r="K419" t="str">
        <f>_xlfn.XLOOKUP(E419,'Base SKUs'!E:E,'Base SKUs'!H:H)</f>
        <v>S4S E4E</v>
      </c>
      <c r="L419" t="str">
        <f>_xlfn.XLOOKUP(E419,'Base SKUs'!E:E,'Base SKUs'!I:I)</f>
        <v>-</v>
      </c>
      <c r="M419" t="str">
        <f>_xlfn.XLOOKUP(E419,'Base SKUs'!E:E,'Base SKUs'!J:J)</f>
        <v>5/4x6</v>
      </c>
      <c r="N419">
        <f>_xlfn.XLOOKUP(E419,'Base SKUs'!E:E,'Base SKUs'!K:K)</f>
        <v>14</v>
      </c>
      <c r="O419" t="str">
        <f>_xlfn.XLOOKUP(E419,'Base SKUs'!E:E,'Base SKUs'!C:C)</f>
        <v>Long</v>
      </c>
      <c r="P419" t="s">
        <v>4930</v>
      </c>
    </row>
    <row r="420" spans="1:16" x14ac:dyDescent="0.25">
      <c r="A420" t="s">
        <v>4937</v>
      </c>
      <c r="B420" t="s">
        <v>4844</v>
      </c>
      <c r="C420" t="s">
        <v>4845</v>
      </c>
      <c r="D420" s="11">
        <v>9009</v>
      </c>
      <c r="E420" t="s">
        <v>199</v>
      </c>
      <c r="F420">
        <v>112</v>
      </c>
      <c r="G420" t="str">
        <f>_xlfn.XLOOKUP(E420,'Base SKUs'!E:E,'Base SKUs'!D:D)</f>
        <v>Hardwoods</v>
      </c>
      <c r="H420" s="10">
        <f>_xlfn.XLOOKUP(E420,'Base SKUs'!E:E,'Base SKUs'!S:S)</f>
        <v>1.7304739584000001E-2</v>
      </c>
      <c r="I420" s="9">
        <f t="shared" si="6"/>
        <v>1.9379999999999999</v>
      </c>
      <c r="J420" t="str">
        <f>_xlfn.XLOOKUP(E420,'Base SKUs'!E:E,'Base SKUs'!G:G)</f>
        <v>Ipe</v>
      </c>
      <c r="K420" t="str">
        <f>_xlfn.XLOOKUP(E420,'Base SKUs'!E:E,'Base SKUs'!H:H)</f>
        <v>S4S E4E</v>
      </c>
      <c r="L420" t="str">
        <f>_xlfn.XLOOKUP(E420,'Base SKUs'!E:E,'Base SKUs'!I:I)</f>
        <v>-</v>
      </c>
      <c r="M420" t="str">
        <f>_xlfn.XLOOKUP(E420,'Base SKUs'!E:E,'Base SKUs'!J:J)</f>
        <v>5/4x6</v>
      </c>
      <c r="N420">
        <f>_xlfn.XLOOKUP(E420,'Base SKUs'!E:E,'Base SKUs'!K:K)</f>
        <v>16</v>
      </c>
      <c r="O420" t="str">
        <f>_xlfn.XLOOKUP(E420,'Base SKUs'!E:E,'Base SKUs'!C:C)</f>
        <v>Long</v>
      </c>
      <c r="P420" t="s">
        <v>4930</v>
      </c>
    </row>
    <row r="421" spans="1:16" x14ac:dyDescent="0.25">
      <c r="A421" t="s">
        <v>4937</v>
      </c>
      <c r="B421" t="s">
        <v>4844</v>
      </c>
      <c r="C421" t="s">
        <v>4845</v>
      </c>
      <c r="D421" s="11">
        <v>9009</v>
      </c>
      <c r="E421" t="s">
        <v>205</v>
      </c>
      <c r="F421">
        <v>112</v>
      </c>
      <c r="G421" t="str">
        <f>_xlfn.XLOOKUP(E421,'Base SKUs'!E:E,'Base SKUs'!D:D)</f>
        <v>Hardwoods</v>
      </c>
      <c r="H421" s="10">
        <f>_xlfn.XLOOKUP(E421,'Base SKUs'!E:E,'Base SKUs'!S:S)</f>
        <v>1.9467832031999997E-2</v>
      </c>
      <c r="I421" s="9">
        <f t="shared" si="6"/>
        <v>2.1800000000000002</v>
      </c>
      <c r="J421" t="str">
        <f>_xlfn.XLOOKUP(E421,'Base SKUs'!E:E,'Base SKUs'!G:G)</f>
        <v>Ipe</v>
      </c>
      <c r="K421" t="str">
        <f>_xlfn.XLOOKUP(E421,'Base SKUs'!E:E,'Base SKUs'!H:H)</f>
        <v>S4S E4E</v>
      </c>
      <c r="L421" t="str">
        <f>_xlfn.XLOOKUP(E421,'Base SKUs'!E:E,'Base SKUs'!I:I)</f>
        <v>-</v>
      </c>
      <c r="M421" t="str">
        <f>_xlfn.XLOOKUP(E421,'Base SKUs'!E:E,'Base SKUs'!J:J)</f>
        <v>5/4x6</v>
      </c>
      <c r="N421">
        <f>_xlfn.XLOOKUP(E421,'Base SKUs'!E:E,'Base SKUs'!K:K)</f>
        <v>18</v>
      </c>
      <c r="O421" t="str">
        <f>_xlfn.XLOOKUP(E421,'Base SKUs'!E:E,'Base SKUs'!C:C)</f>
        <v>Long</v>
      </c>
      <c r="P421" t="s">
        <v>4930</v>
      </c>
    </row>
    <row r="422" spans="1:16" x14ac:dyDescent="0.25">
      <c r="A422" t="s">
        <v>4937</v>
      </c>
      <c r="B422" t="s">
        <v>4844</v>
      </c>
      <c r="C422" t="s">
        <v>4845</v>
      </c>
      <c r="D422" s="11">
        <v>9009</v>
      </c>
      <c r="E422" t="s">
        <v>200</v>
      </c>
      <c r="F422">
        <v>77</v>
      </c>
      <c r="G422" t="str">
        <f>_xlfn.XLOOKUP(E422,'Base SKUs'!E:E,'Base SKUs'!D:D)</f>
        <v>Hardwoods</v>
      </c>
      <c r="H422" s="10">
        <f>_xlfn.XLOOKUP(E422,'Base SKUs'!E:E,'Base SKUs'!S:S)</f>
        <v>2.1630924480000001E-2</v>
      </c>
      <c r="I422" s="9">
        <f t="shared" si="6"/>
        <v>1.6659999999999999</v>
      </c>
      <c r="J422" t="str">
        <f>_xlfn.XLOOKUP(E422,'Base SKUs'!E:E,'Base SKUs'!G:G)</f>
        <v>Ipe</v>
      </c>
      <c r="K422" t="str">
        <f>_xlfn.XLOOKUP(E422,'Base SKUs'!E:E,'Base SKUs'!H:H)</f>
        <v>S4S E4E</v>
      </c>
      <c r="L422" t="str">
        <f>_xlfn.XLOOKUP(E422,'Base SKUs'!E:E,'Base SKUs'!I:I)</f>
        <v>-</v>
      </c>
      <c r="M422" t="str">
        <f>_xlfn.XLOOKUP(E422,'Base SKUs'!E:E,'Base SKUs'!J:J)</f>
        <v>5/4x6</v>
      </c>
      <c r="N422">
        <f>_xlfn.XLOOKUP(E422,'Base SKUs'!E:E,'Base SKUs'!K:K)</f>
        <v>20</v>
      </c>
      <c r="O422" t="str">
        <f>_xlfn.XLOOKUP(E422,'Base SKUs'!E:E,'Base SKUs'!C:C)</f>
        <v>Long</v>
      </c>
      <c r="P422" t="s">
        <v>4930</v>
      </c>
    </row>
    <row r="423" spans="1:16" x14ac:dyDescent="0.25">
      <c r="A423" t="s">
        <v>4937</v>
      </c>
      <c r="B423" t="s">
        <v>4844</v>
      </c>
      <c r="C423" t="s">
        <v>4845</v>
      </c>
      <c r="D423" s="11">
        <v>9009</v>
      </c>
      <c r="E423" t="s">
        <v>2051</v>
      </c>
      <c r="F423">
        <v>49</v>
      </c>
      <c r="G423" t="str">
        <f>_xlfn.XLOOKUP(E423,'Base SKUs'!E:E,'Base SKUs'!D:D)</f>
        <v>Hardwoods</v>
      </c>
      <c r="H423" s="10">
        <f>_xlfn.XLOOKUP(E423,'Base SKUs'!E:E,'Base SKUs'!S:S)</f>
        <v>2.3794016927999991E-2</v>
      </c>
      <c r="I423" s="9">
        <f t="shared" si="6"/>
        <v>1.1659999999999999</v>
      </c>
      <c r="J423" t="str">
        <f>_xlfn.XLOOKUP(E423,'Base SKUs'!E:E,'Base SKUs'!G:G)</f>
        <v>Ipe</v>
      </c>
      <c r="K423" t="str">
        <f>_xlfn.XLOOKUP(E423,'Base SKUs'!E:E,'Base SKUs'!H:H)</f>
        <v>S4S E4E</v>
      </c>
      <c r="L423" t="str">
        <f>_xlfn.XLOOKUP(E423,'Base SKUs'!E:E,'Base SKUs'!I:I)</f>
        <v>-</v>
      </c>
      <c r="M423" t="str">
        <f>_xlfn.XLOOKUP(E423,'Base SKUs'!E:E,'Base SKUs'!J:J)</f>
        <v>5/4x6</v>
      </c>
      <c r="N423">
        <f>_xlfn.XLOOKUP(E423,'Base SKUs'!E:E,'Base SKUs'!K:K)</f>
        <v>22</v>
      </c>
      <c r="O423" t="str">
        <f>_xlfn.XLOOKUP(E423,'Base SKUs'!E:E,'Base SKUs'!C:C)</f>
        <v>Long</v>
      </c>
      <c r="P423" t="s">
        <v>4930</v>
      </c>
    </row>
    <row r="424" spans="1:16" x14ac:dyDescent="0.25">
      <c r="A424" t="s">
        <v>4938</v>
      </c>
      <c r="B424" t="s">
        <v>4844</v>
      </c>
      <c r="C424" t="s">
        <v>4845</v>
      </c>
      <c r="D424" s="11">
        <v>9009</v>
      </c>
      <c r="E424" t="s">
        <v>235</v>
      </c>
      <c r="F424">
        <v>315</v>
      </c>
      <c r="G424" t="str">
        <f>_xlfn.XLOOKUP(E424,'Base SKUs'!E:E,'Base SKUs'!D:D)</f>
        <v>Hardwoods</v>
      </c>
      <c r="H424" s="10">
        <f>_xlfn.XLOOKUP(E424,'Base SKUs'!E:E,'Base SKUs'!S:S)</f>
        <v>8.6523697920000003E-3</v>
      </c>
      <c r="I424" s="9">
        <f t="shared" si="6"/>
        <v>2.7250000000000001</v>
      </c>
      <c r="J424" t="str">
        <f>_xlfn.XLOOKUP(E424,'Base SKUs'!E:E,'Base SKUs'!G:G)</f>
        <v>Ipe</v>
      </c>
      <c r="K424" t="str">
        <f>_xlfn.XLOOKUP(E424,'Base SKUs'!E:E,'Base SKUs'!H:H)</f>
        <v>S4S E4E</v>
      </c>
      <c r="L424" t="str">
        <f>_xlfn.XLOOKUP(E424,'Base SKUs'!E:E,'Base SKUs'!I:I)</f>
        <v>-</v>
      </c>
      <c r="M424" t="str">
        <f>_xlfn.XLOOKUP(E424,'Base SKUs'!E:E,'Base SKUs'!J:J)</f>
        <v>5/4x6</v>
      </c>
      <c r="N424">
        <f>_xlfn.XLOOKUP(E424,'Base SKUs'!E:E,'Base SKUs'!K:K)</f>
        <v>8</v>
      </c>
      <c r="O424" t="str">
        <f>_xlfn.XLOOKUP(E424,'Base SKUs'!E:E,'Base SKUs'!C:C)</f>
        <v>Long</v>
      </c>
      <c r="P424" t="s">
        <v>4930</v>
      </c>
    </row>
    <row r="425" spans="1:16" x14ac:dyDescent="0.25">
      <c r="A425" t="s">
        <v>4938</v>
      </c>
      <c r="B425" t="s">
        <v>4844</v>
      </c>
      <c r="C425" t="s">
        <v>4845</v>
      </c>
      <c r="D425" s="11">
        <v>9009</v>
      </c>
      <c r="E425" t="s">
        <v>52</v>
      </c>
      <c r="F425">
        <v>280</v>
      </c>
      <c r="G425" t="str">
        <f>_xlfn.XLOOKUP(E425,'Base SKUs'!E:E,'Base SKUs'!D:D)</f>
        <v>Hardwoods</v>
      </c>
      <c r="H425" s="10">
        <f>_xlfn.XLOOKUP(E425,'Base SKUs'!E:E,'Base SKUs'!S:S)</f>
        <v>1.081546224E-2</v>
      </c>
      <c r="I425" s="9">
        <f t="shared" si="6"/>
        <v>3.028</v>
      </c>
      <c r="J425" t="str">
        <f>_xlfn.XLOOKUP(E425,'Base SKUs'!E:E,'Base SKUs'!G:G)</f>
        <v>Ipe</v>
      </c>
      <c r="K425" t="str">
        <f>_xlfn.XLOOKUP(E425,'Base SKUs'!E:E,'Base SKUs'!H:H)</f>
        <v>S4S E4E</v>
      </c>
      <c r="L425" t="str">
        <f>_xlfn.XLOOKUP(E425,'Base SKUs'!E:E,'Base SKUs'!I:I)</f>
        <v>-</v>
      </c>
      <c r="M425" t="str">
        <f>_xlfn.XLOOKUP(E425,'Base SKUs'!E:E,'Base SKUs'!J:J)</f>
        <v>5/4x6</v>
      </c>
      <c r="N425">
        <f>_xlfn.XLOOKUP(E425,'Base SKUs'!E:E,'Base SKUs'!K:K)</f>
        <v>10</v>
      </c>
      <c r="O425" t="str">
        <f>_xlfn.XLOOKUP(E425,'Base SKUs'!E:E,'Base SKUs'!C:C)</f>
        <v>Long</v>
      </c>
      <c r="P425" t="s">
        <v>4930</v>
      </c>
    </row>
    <row r="426" spans="1:16" x14ac:dyDescent="0.25">
      <c r="A426" t="s">
        <v>4938</v>
      </c>
      <c r="B426" t="s">
        <v>4844</v>
      </c>
      <c r="C426" t="s">
        <v>4845</v>
      </c>
      <c r="D426" s="11">
        <v>9009</v>
      </c>
      <c r="E426" t="s">
        <v>198</v>
      </c>
      <c r="F426">
        <v>280</v>
      </c>
      <c r="G426" t="str">
        <f>_xlfn.XLOOKUP(E426,'Base SKUs'!E:E,'Base SKUs'!D:D)</f>
        <v>Hardwoods</v>
      </c>
      <c r="H426" s="10">
        <f>_xlfn.XLOOKUP(E426,'Base SKUs'!E:E,'Base SKUs'!S:S)</f>
        <v>1.2978554687999997E-2</v>
      </c>
      <c r="I426" s="9">
        <f t="shared" si="6"/>
        <v>3.6339999999999999</v>
      </c>
      <c r="J426" t="str">
        <f>_xlfn.XLOOKUP(E426,'Base SKUs'!E:E,'Base SKUs'!G:G)</f>
        <v>Ipe</v>
      </c>
      <c r="K426" t="str">
        <f>_xlfn.XLOOKUP(E426,'Base SKUs'!E:E,'Base SKUs'!H:H)</f>
        <v>S4S E4E</v>
      </c>
      <c r="L426" t="str">
        <f>_xlfn.XLOOKUP(E426,'Base SKUs'!E:E,'Base SKUs'!I:I)</f>
        <v>-</v>
      </c>
      <c r="M426" t="str">
        <f>_xlfn.XLOOKUP(E426,'Base SKUs'!E:E,'Base SKUs'!J:J)</f>
        <v>5/4x6</v>
      </c>
      <c r="N426">
        <f>_xlfn.XLOOKUP(E426,'Base SKUs'!E:E,'Base SKUs'!K:K)</f>
        <v>12</v>
      </c>
      <c r="O426" t="str">
        <f>_xlfn.XLOOKUP(E426,'Base SKUs'!E:E,'Base SKUs'!C:C)</f>
        <v>Long</v>
      </c>
      <c r="P426" t="s">
        <v>4930</v>
      </c>
    </row>
    <row r="427" spans="1:16" x14ac:dyDescent="0.25">
      <c r="A427" t="s">
        <v>4938</v>
      </c>
      <c r="B427" t="s">
        <v>4844</v>
      </c>
      <c r="C427" t="s">
        <v>4845</v>
      </c>
      <c r="D427" s="11">
        <v>9009</v>
      </c>
      <c r="E427" t="s">
        <v>197</v>
      </c>
      <c r="F427">
        <v>140</v>
      </c>
      <c r="G427" t="str">
        <f>_xlfn.XLOOKUP(E427,'Base SKUs'!E:E,'Base SKUs'!D:D)</f>
        <v>Hardwoods</v>
      </c>
      <c r="H427" s="10">
        <f>_xlfn.XLOOKUP(E427,'Base SKUs'!E:E,'Base SKUs'!S:S)</f>
        <v>1.5141647135999997E-2</v>
      </c>
      <c r="I427" s="9">
        <f t="shared" si="6"/>
        <v>2.12</v>
      </c>
      <c r="J427" t="str">
        <f>_xlfn.XLOOKUP(E427,'Base SKUs'!E:E,'Base SKUs'!G:G)</f>
        <v>Ipe</v>
      </c>
      <c r="K427" t="str">
        <f>_xlfn.XLOOKUP(E427,'Base SKUs'!E:E,'Base SKUs'!H:H)</f>
        <v>S4S E4E</v>
      </c>
      <c r="L427" t="str">
        <f>_xlfn.XLOOKUP(E427,'Base SKUs'!E:E,'Base SKUs'!I:I)</f>
        <v>-</v>
      </c>
      <c r="M427" t="str">
        <f>_xlfn.XLOOKUP(E427,'Base SKUs'!E:E,'Base SKUs'!J:J)</f>
        <v>5/4x6</v>
      </c>
      <c r="N427">
        <f>_xlfn.XLOOKUP(E427,'Base SKUs'!E:E,'Base SKUs'!K:K)</f>
        <v>14</v>
      </c>
      <c r="O427" t="str">
        <f>_xlfn.XLOOKUP(E427,'Base SKUs'!E:E,'Base SKUs'!C:C)</f>
        <v>Long</v>
      </c>
      <c r="P427" t="s">
        <v>4930</v>
      </c>
    </row>
    <row r="428" spans="1:16" x14ac:dyDescent="0.25">
      <c r="A428" t="s">
        <v>4938</v>
      </c>
      <c r="B428" t="s">
        <v>4844</v>
      </c>
      <c r="C428" t="s">
        <v>4845</v>
      </c>
      <c r="D428" s="11">
        <v>9009</v>
      </c>
      <c r="E428" t="s">
        <v>199</v>
      </c>
      <c r="F428">
        <v>112</v>
      </c>
      <c r="G428" t="str">
        <f>_xlfn.XLOOKUP(E428,'Base SKUs'!E:E,'Base SKUs'!D:D)</f>
        <v>Hardwoods</v>
      </c>
      <c r="H428" s="10">
        <f>_xlfn.XLOOKUP(E428,'Base SKUs'!E:E,'Base SKUs'!S:S)</f>
        <v>1.7304739584000001E-2</v>
      </c>
      <c r="I428" s="9">
        <f t="shared" si="6"/>
        <v>1.9379999999999999</v>
      </c>
      <c r="J428" t="str">
        <f>_xlfn.XLOOKUP(E428,'Base SKUs'!E:E,'Base SKUs'!G:G)</f>
        <v>Ipe</v>
      </c>
      <c r="K428" t="str">
        <f>_xlfn.XLOOKUP(E428,'Base SKUs'!E:E,'Base SKUs'!H:H)</f>
        <v>S4S E4E</v>
      </c>
      <c r="L428" t="str">
        <f>_xlfn.XLOOKUP(E428,'Base SKUs'!E:E,'Base SKUs'!I:I)</f>
        <v>-</v>
      </c>
      <c r="M428" t="str">
        <f>_xlfn.XLOOKUP(E428,'Base SKUs'!E:E,'Base SKUs'!J:J)</f>
        <v>5/4x6</v>
      </c>
      <c r="N428">
        <f>_xlfn.XLOOKUP(E428,'Base SKUs'!E:E,'Base SKUs'!K:K)</f>
        <v>16</v>
      </c>
      <c r="O428" t="str">
        <f>_xlfn.XLOOKUP(E428,'Base SKUs'!E:E,'Base SKUs'!C:C)</f>
        <v>Long</v>
      </c>
      <c r="P428" t="s">
        <v>4930</v>
      </c>
    </row>
    <row r="429" spans="1:16" x14ac:dyDescent="0.25">
      <c r="A429" t="s">
        <v>4938</v>
      </c>
      <c r="B429" t="s">
        <v>4844</v>
      </c>
      <c r="C429" t="s">
        <v>4845</v>
      </c>
      <c r="D429" s="11">
        <v>9009</v>
      </c>
      <c r="E429" t="s">
        <v>205</v>
      </c>
      <c r="F429">
        <v>112</v>
      </c>
      <c r="G429" t="str">
        <f>_xlfn.XLOOKUP(E429,'Base SKUs'!E:E,'Base SKUs'!D:D)</f>
        <v>Hardwoods</v>
      </c>
      <c r="H429" s="10">
        <f>_xlfn.XLOOKUP(E429,'Base SKUs'!E:E,'Base SKUs'!S:S)</f>
        <v>1.9467832031999997E-2</v>
      </c>
      <c r="I429" s="9">
        <f t="shared" si="6"/>
        <v>2.1800000000000002</v>
      </c>
      <c r="J429" t="str">
        <f>_xlfn.XLOOKUP(E429,'Base SKUs'!E:E,'Base SKUs'!G:G)</f>
        <v>Ipe</v>
      </c>
      <c r="K429" t="str">
        <f>_xlfn.XLOOKUP(E429,'Base SKUs'!E:E,'Base SKUs'!H:H)</f>
        <v>S4S E4E</v>
      </c>
      <c r="L429" t="str">
        <f>_xlfn.XLOOKUP(E429,'Base SKUs'!E:E,'Base SKUs'!I:I)</f>
        <v>-</v>
      </c>
      <c r="M429" t="str">
        <f>_xlfn.XLOOKUP(E429,'Base SKUs'!E:E,'Base SKUs'!J:J)</f>
        <v>5/4x6</v>
      </c>
      <c r="N429">
        <f>_xlfn.XLOOKUP(E429,'Base SKUs'!E:E,'Base SKUs'!K:K)</f>
        <v>18</v>
      </c>
      <c r="O429" t="str">
        <f>_xlfn.XLOOKUP(E429,'Base SKUs'!E:E,'Base SKUs'!C:C)</f>
        <v>Long</v>
      </c>
      <c r="P429" t="s">
        <v>4930</v>
      </c>
    </row>
    <row r="430" spans="1:16" x14ac:dyDescent="0.25">
      <c r="A430" t="s">
        <v>4938</v>
      </c>
      <c r="B430" t="s">
        <v>4844</v>
      </c>
      <c r="C430" t="s">
        <v>4845</v>
      </c>
      <c r="D430" s="11">
        <v>9009</v>
      </c>
      <c r="E430" t="s">
        <v>200</v>
      </c>
      <c r="F430">
        <v>77</v>
      </c>
      <c r="G430" t="str">
        <f>_xlfn.XLOOKUP(E430,'Base SKUs'!E:E,'Base SKUs'!D:D)</f>
        <v>Hardwoods</v>
      </c>
      <c r="H430" s="10">
        <f>_xlfn.XLOOKUP(E430,'Base SKUs'!E:E,'Base SKUs'!S:S)</f>
        <v>2.1630924480000001E-2</v>
      </c>
      <c r="I430" s="9">
        <f t="shared" si="6"/>
        <v>1.6659999999999999</v>
      </c>
      <c r="J430" t="str">
        <f>_xlfn.XLOOKUP(E430,'Base SKUs'!E:E,'Base SKUs'!G:G)</f>
        <v>Ipe</v>
      </c>
      <c r="K430" t="str">
        <f>_xlfn.XLOOKUP(E430,'Base SKUs'!E:E,'Base SKUs'!H:H)</f>
        <v>S4S E4E</v>
      </c>
      <c r="L430" t="str">
        <f>_xlfn.XLOOKUP(E430,'Base SKUs'!E:E,'Base SKUs'!I:I)</f>
        <v>-</v>
      </c>
      <c r="M430" t="str">
        <f>_xlfn.XLOOKUP(E430,'Base SKUs'!E:E,'Base SKUs'!J:J)</f>
        <v>5/4x6</v>
      </c>
      <c r="N430">
        <f>_xlfn.XLOOKUP(E430,'Base SKUs'!E:E,'Base SKUs'!K:K)</f>
        <v>20</v>
      </c>
      <c r="O430" t="str">
        <f>_xlfn.XLOOKUP(E430,'Base SKUs'!E:E,'Base SKUs'!C:C)</f>
        <v>Long</v>
      </c>
      <c r="P430" t="s">
        <v>4930</v>
      </c>
    </row>
    <row r="431" spans="1:16" x14ac:dyDescent="0.25">
      <c r="A431" t="s">
        <v>4938</v>
      </c>
      <c r="B431" t="s">
        <v>4844</v>
      </c>
      <c r="C431" t="s">
        <v>4845</v>
      </c>
      <c r="D431" s="11">
        <v>9009</v>
      </c>
      <c r="E431" t="s">
        <v>2051</v>
      </c>
      <c r="F431">
        <v>49</v>
      </c>
      <c r="G431" t="str">
        <f>_xlfn.XLOOKUP(E431,'Base SKUs'!E:E,'Base SKUs'!D:D)</f>
        <v>Hardwoods</v>
      </c>
      <c r="H431" s="10">
        <f>_xlfn.XLOOKUP(E431,'Base SKUs'!E:E,'Base SKUs'!S:S)</f>
        <v>2.3794016927999991E-2</v>
      </c>
      <c r="I431" s="9">
        <f>IF(OR(G431="Norx",K431="Tiles"),ROUND(F431,3),ROUND(F431*H431,3))</f>
        <v>1.1659999999999999</v>
      </c>
      <c r="J431" t="str">
        <f>_xlfn.XLOOKUP(E431,'Base SKUs'!E:E,'Base SKUs'!G:G)</f>
        <v>Ipe</v>
      </c>
      <c r="K431" t="str">
        <f>_xlfn.XLOOKUP(E431,'Base SKUs'!E:E,'Base SKUs'!H:H)</f>
        <v>S4S E4E</v>
      </c>
      <c r="L431" t="str">
        <f>_xlfn.XLOOKUP(E431,'Base SKUs'!E:E,'Base SKUs'!I:I)</f>
        <v>-</v>
      </c>
      <c r="M431" t="str">
        <f>_xlfn.XLOOKUP(E431,'Base SKUs'!E:E,'Base SKUs'!J:J)</f>
        <v>5/4x6</v>
      </c>
      <c r="N431">
        <f>_xlfn.XLOOKUP(E431,'Base SKUs'!E:E,'Base SKUs'!K:K)</f>
        <v>22</v>
      </c>
      <c r="O431" t="str">
        <f>_xlfn.XLOOKUP(E431,'Base SKUs'!E:E,'Base SKUs'!C:C)</f>
        <v>Long</v>
      </c>
      <c r="P431" t="s">
        <v>4930</v>
      </c>
    </row>
    <row r="432" spans="1:16" x14ac:dyDescent="0.25">
      <c r="A432" t="s">
        <v>4939</v>
      </c>
      <c r="B432" t="s">
        <v>4896</v>
      </c>
      <c r="C432" t="s">
        <v>4897</v>
      </c>
      <c r="D432" s="11">
        <v>9007</v>
      </c>
      <c r="E432" t="s">
        <v>158</v>
      </c>
      <c r="F432">
        <v>56</v>
      </c>
      <c r="G432" t="str">
        <f>_xlfn.XLOOKUP(E432,'Base SKUs'!E:E,'Base SKUs'!D:D)</f>
        <v>Thermowood</v>
      </c>
      <c r="H432" s="10">
        <f>_xlfn.XLOOKUP(E432,'Base SKUs'!E:E,'Base SKUs'!S:S)</f>
        <v>5.5859999999999998E-3</v>
      </c>
      <c r="I432" s="9">
        <f t="shared" ref="I432:I453" si="7">IF(OR(G432="Norx",K432="Tiles"),ROUND(F432,3),ROUND(F432*H432,3))</f>
        <v>0.313</v>
      </c>
      <c r="J432" t="str">
        <f>_xlfn.XLOOKUP(E432,'Base SKUs'!E:E,'Base SKUs'!G:G)</f>
        <v>Maximo Thermo Ayous</v>
      </c>
      <c r="K432" t="str">
        <f>_xlfn.XLOOKUP(E432,'Base SKUs'!E:E,'Base SKUs'!H:H)</f>
        <v>S4S E4E</v>
      </c>
      <c r="L432" t="str">
        <f>_xlfn.XLOOKUP(E432,'Base SKUs'!E:E,'Base SKUs'!I:I)</f>
        <v>-</v>
      </c>
      <c r="M432" t="str">
        <f>_xlfn.XLOOKUP(E432,'Base SKUs'!E:E,'Base SKUs'!J:J)</f>
        <v>1x6</v>
      </c>
      <c r="N432">
        <f>_xlfn.XLOOKUP(E432,'Base SKUs'!E:E,'Base SKUs'!K:K)</f>
        <v>7</v>
      </c>
      <c r="O432" t="str">
        <f>_xlfn.XLOOKUP(E432,'Base SKUs'!E:E,'Base SKUs'!C:C)</f>
        <v>Short</v>
      </c>
      <c r="P432" t="s">
        <v>4930</v>
      </c>
    </row>
    <row r="433" spans="1:16" x14ac:dyDescent="0.25">
      <c r="A433" t="s">
        <v>4939</v>
      </c>
      <c r="B433" t="s">
        <v>4896</v>
      </c>
      <c r="C433" t="s">
        <v>4897</v>
      </c>
      <c r="D433" s="11">
        <v>9007</v>
      </c>
      <c r="E433" t="s">
        <v>14</v>
      </c>
      <c r="F433">
        <v>14</v>
      </c>
      <c r="G433" t="str">
        <f>_xlfn.XLOOKUP(E433,'Base SKUs'!E:E,'Base SKUs'!D:D)</f>
        <v>Thermowood</v>
      </c>
      <c r="H433" s="10">
        <f>_xlfn.XLOOKUP(E433,'Base SKUs'!E:E,'Base SKUs'!S:S)</f>
        <v>6.3839999999999999E-3</v>
      </c>
      <c r="I433" s="9">
        <f t="shared" si="7"/>
        <v>8.8999999999999996E-2</v>
      </c>
      <c r="J433" t="str">
        <f>_xlfn.XLOOKUP(E433,'Base SKUs'!E:E,'Base SKUs'!G:G)</f>
        <v>Maximo Thermo Ayous</v>
      </c>
      <c r="K433" t="str">
        <f>_xlfn.XLOOKUP(E433,'Base SKUs'!E:E,'Base SKUs'!H:H)</f>
        <v>VJoint - Nickel Gap</v>
      </c>
      <c r="L433" t="str">
        <f>_xlfn.XLOOKUP(E433,'Base SKUs'!E:E,'Base SKUs'!I:I)</f>
        <v>-</v>
      </c>
      <c r="M433" t="str">
        <f>_xlfn.XLOOKUP(E433,'Base SKUs'!E:E,'Base SKUs'!J:J)</f>
        <v>1x6</v>
      </c>
      <c r="N433">
        <f>_xlfn.XLOOKUP(E433,'Base SKUs'!E:E,'Base SKUs'!K:K)</f>
        <v>8</v>
      </c>
      <c r="O433" t="str">
        <f>_xlfn.XLOOKUP(E433,'Base SKUs'!E:E,'Base SKUs'!C:C)</f>
        <v>Long</v>
      </c>
      <c r="P433" t="s">
        <v>4930</v>
      </c>
    </row>
    <row r="434" spans="1:16" x14ac:dyDescent="0.25">
      <c r="A434" t="s">
        <v>4939</v>
      </c>
      <c r="B434" t="s">
        <v>4896</v>
      </c>
      <c r="C434" t="s">
        <v>4897</v>
      </c>
      <c r="D434" s="11">
        <v>9007</v>
      </c>
      <c r="E434" t="s">
        <v>162</v>
      </c>
      <c r="F434">
        <v>14</v>
      </c>
      <c r="G434" t="str">
        <f>_xlfn.XLOOKUP(E434,'Base SKUs'!E:E,'Base SKUs'!D:D)</f>
        <v>Thermowood</v>
      </c>
      <c r="H434" s="10">
        <f>_xlfn.XLOOKUP(E434,'Base SKUs'!E:E,'Base SKUs'!S:S)</f>
        <v>1.0374000000000001E-2</v>
      </c>
      <c r="I434" s="9">
        <f t="shared" si="7"/>
        <v>0.14499999999999999</v>
      </c>
      <c r="J434" t="str">
        <f>_xlfn.XLOOKUP(E434,'Base SKUs'!E:E,'Base SKUs'!G:G)</f>
        <v>Maximo Thermo Ayous</v>
      </c>
      <c r="K434" t="str">
        <f>_xlfn.XLOOKUP(E434,'Base SKUs'!E:E,'Base SKUs'!H:H)</f>
        <v>S4S E4E</v>
      </c>
      <c r="L434" t="str">
        <f>_xlfn.XLOOKUP(E434,'Base SKUs'!E:E,'Base SKUs'!I:I)</f>
        <v>-</v>
      </c>
      <c r="M434" t="str">
        <f>_xlfn.XLOOKUP(E434,'Base SKUs'!E:E,'Base SKUs'!J:J)</f>
        <v>1x6</v>
      </c>
      <c r="N434">
        <f>_xlfn.XLOOKUP(E434,'Base SKUs'!E:E,'Base SKUs'!K:K)</f>
        <v>13</v>
      </c>
      <c r="O434" t="str">
        <f>_xlfn.XLOOKUP(E434,'Base SKUs'!E:E,'Base SKUs'!C:C)</f>
        <v>Long</v>
      </c>
      <c r="P434" t="s">
        <v>4930</v>
      </c>
    </row>
    <row r="435" spans="1:16" x14ac:dyDescent="0.25">
      <c r="A435" t="s">
        <v>4939</v>
      </c>
      <c r="B435" t="s">
        <v>4896</v>
      </c>
      <c r="C435" t="s">
        <v>4897</v>
      </c>
      <c r="D435" s="11">
        <v>9007</v>
      </c>
      <c r="E435" t="s">
        <v>169</v>
      </c>
      <c r="F435">
        <v>11</v>
      </c>
      <c r="G435" t="str">
        <f>_xlfn.XLOOKUP(E435,'Base SKUs'!E:E,'Base SKUs'!D:D)</f>
        <v>Thermowood</v>
      </c>
      <c r="H435" s="10">
        <f>_xlfn.XLOOKUP(E435,'Base SKUs'!E:E,'Base SKUs'!S:S)</f>
        <v>1.1970000000000001E-2</v>
      </c>
      <c r="I435" s="9">
        <f t="shared" si="7"/>
        <v>0.13200000000000001</v>
      </c>
      <c r="J435" t="str">
        <f>_xlfn.XLOOKUP(E435,'Base SKUs'!E:E,'Base SKUs'!G:G)</f>
        <v>Maximo Thermo Ayous</v>
      </c>
      <c r="K435" t="str">
        <f>_xlfn.XLOOKUP(E435,'Base SKUs'!E:E,'Base SKUs'!H:H)</f>
        <v>VJoint - Nickel Gap</v>
      </c>
      <c r="L435" t="str">
        <f>_xlfn.XLOOKUP(E435,'Base SKUs'!E:E,'Base SKUs'!I:I)</f>
        <v>-</v>
      </c>
      <c r="M435" t="str">
        <f>_xlfn.XLOOKUP(E435,'Base SKUs'!E:E,'Base SKUs'!J:J)</f>
        <v>1x6</v>
      </c>
      <c r="N435">
        <f>_xlfn.XLOOKUP(E435,'Base SKUs'!E:E,'Base SKUs'!K:K)</f>
        <v>15</v>
      </c>
      <c r="O435" t="str">
        <f>_xlfn.XLOOKUP(E435,'Base SKUs'!E:E,'Base SKUs'!C:C)</f>
        <v>Long</v>
      </c>
      <c r="P435" t="s">
        <v>4930</v>
      </c>
    </row>
    <row r="436" spans="1:16" x14ac:dyDescent="0.25">
      <c r="A436" t="s">
        <v>4939</v>
      </c>
      <c r="B436" t="s">
        <v>4896</v>
      </c>
      <c r="C436" t="s">
        <v>4897</v>
      </c>
      <c r="D436" s="11">
        <v>9007</v>
      </c>
      <c r="E436" t="s">
        <v>15</v>
      </c>
      <c r="F436">
        <v>2</v>
      </c>
      <c r="G436" t="str">
        <f>_xlfn.XLOOKUP(E436,'Base SKUs'!E:E,'Base SKUs'!D:D)</f>
        <v>Thermowood</v>
      </c>
      <c r="H436" s="10">
        <f>_xlfn.XLOOKUP(E436,'Base SKUs'!E:E,'Base SKUs'!S:S)</f>
        <v>1.2768E-2</v>
      </c>
      <c r="I436" s="9">
        <f t="shared" si="7"/>
        <v>2.5999999999999999E-2</v>
      </c>
      <c r="J436" t="str">
        <f>_xlfn.XLOOKUP(E436,'Base SKUs'!E:E,'Base SKUs'!G:G)</f>
        <v>Maximo Thermo Ayous</v>
      </c>
      <c r="K436" t="str">
        <f>_xlfn.XLOOKUP(E436,'Base SKUs'!E:E,'Base SKUs'!H:H)</f>
        <v>VJoint - Nickel Gap</v>
      </c>
      <c r="L436" t="str">
        <f>_xlfn.XLOOKUP(E436,'Base SKUs'!E:E,'Base SKUs'!I:I)</f>
        <v>-</v>
      </c>
      <c r="M436" t="str">
        <f>_xlfn.XLOOKUP(E436,'Base SKUs'!E:E,'Base SKUs'!J:J)</f>
        <v>1x6</v>
      </c>
      <c r="N436">
        <f>_xlfn.XLOOKUP(E436,'Base SKUs'!E:E,'Base SKUs'!K:K)</f>
        <v>16</v>
      </c>
      <c r="O436" t="str">
        <f>_xlfn.XLOOKUP(E436,'Base SKUs'!E:E,'Base SKUs'!C:C)</f>
        <v>Long</v>
      </c>
      <c r="P436" t="s">
        <v>4930</v>
      </c>
    </row>
    <row r="437" spans="1:16" x14ac:dyDescent="0.25">
      <c r="A437" t="s">
        <v>4940</v>
      </c>
      <c r="B437" t="s">
        <v>4896</v>
      </c>
      <c r="C437" t="s">
        <v>4897</v>
      </c>
      <c r="D437" s="11">
        <v>9007</v>
      </c>
      <c r="E437" t="s">
        <v>159</v>
      </c>
      <c r="F437">
        <v>28</v>
      </c>
      <c r="G437" t="str">
        <f>_xlfn.XLOOKUP(E437,'Base SKUs'!E:E,'Base SKUs'!D:D)</f>
        <v>Thermowood</v>
      </c>
      <c r="H437" s="10">
        <f>_xlfn.XLOOKUP(E437,'Base SKUs'!E:E,'Base SKUs'!S:S)</f>
        <v>6.3839999999999999E-3</v>
      </c>
      <c r="I437" s="9">
        <f t="shared" si="7"/>
        <v>0.17899999999999999</v>
      </c>
      <c r="J437" t="str">
        <f>_xlfn.XLOOKUP(E437,'Base SKUs'!E:E,'Base SKUs'!G:G)</f>
        <v>Maximo Thermo Ayous</v>
      </c>
      <c r="K437" t="str">
        <f>_xlfn.XLOOKUP(E437,'Base SKUs'!E:E,'Base SKUs'!H:H)</f>
        <v>S4S E4E</v>
      </c>
      <c r="L437" t="str">
        <f>_xlfn.XLOOKUP(E437,'Base SKUs'!E:E,'Base SKUs'!I:I)</f>
        <v>-</v>
      </c>
      <c r="M437" t="str">
        <f>_xlfn.XLOOKUP(E437,'Base SKUs'!E:E,'Base SKUs'!J:J)</f>
        <v>1x6</v>
      </c>
      <c r="N437">
        <f>_xlfn.XLOOKUP(E437,'Base SKUs'!E:E,'Base SKUs'!K:K)</f>
        <v>8</v>
      </c>
      <c r="O437" t="str">
        <f>_xlfn.XLOOKUP(E437,'Base SKUs'!E:E,'Base SKUs'!C:C)</f>
        <v>Long</v>
      </c>
      <c r="P437" t="s">
        <v>4930</v>
      </c>
    </row>
    <row r="438" spans="1:16" x14ac:dyDescent="0.25">
      <c r="A438" t="s">
        <v>4940</v>
      </c>
      <c r="B438" t="s">
        <v>4896</v>
      </c>
      <c r="C438" t="s">
        <v>4897</v>
      </c>
      <c r="D438" s="11">
        <v>9007</v>
      </c>
      <c r="E438" t="s">
        <v>161</v>
      </c>
      <c r="F438">
        <v>28</v>
      </c>
      <c r="G438" t="str">
        <f>_xlfn.XLOOKUP(E438,'Base SKUs'!E:E,'Base SKUs'!D:D)</f>
        <v>Thermowood</v>
      </c>
      <c r="H438" s="10">
        <f>_xlfn.XLOOKUP(E438,'Base SKUs'!E:E,'Base SKUs'!S:S)</f>
        <v>7.980000000000001E-3</v>
      </c>
      <c r="I438" s="9">
        <f t="shared" si="7"/>
        <v>0.223</v>
      </c>
      <c r="J438" t="str">
        <f>_xlfn.XLOOKUP(E438,'Base SKUs'!E:E,'Base SKUs'!G:G)</f>
        <v>Maximo Thermo Ayous</v>
      </c>
      <c r="K438" t="str">
        <f>_xlfn.XLOOKUP(E438,'Base SKUs'!E:E,'Base SKUs'!H:H)</f>
        <v>S4S E4E</v>
      </c>
      <c r="L438" t="str">
        <f>_xlfn.XLOOKUP(E438,'Base SKUs'!E:E,'Base SKUs'!I:I)</f>
        <v>-</v>
      </c>
      <c r="M438" t="str">
        <f>_xlfn.XLOOKUP(E438,'Base SKUs'!E:E,'Base SKUs'!J:J)</f>
        <v>1x6</v>
      </c>
      <c r="N438">
        <f>_xlfn.XLOOKUP(E438,'Base SKUs'!E:E,'Base SKUs'!K:K)</f>
        <v>10</v>
      </c>
      <c r="O438" t="str">
        <f>_xlfn.XLOOKUP(E438,'Base SKUs'!E:E,'Base SKUs'!C:C)</f>
        <v>Long</v>
      </c>
      <c r="P438" t="s">
        <v>4930</v>
      </c>
    </row>
    <row r="439" spans="1:16" x14ac:dyDescent="0.25">
      <c r="A439" t="s">
        <v>4941</v>
      </c>
      <c r="B439" t="s">
        <v>4844</v>
      </c>
      <c r="C439" t="s">
        <v>4942</v>
      </c>
      <c r="D439" s="11">
        <v>9008</v>
      </c>
      <c r="E439" t="s">
        <v>2004</v>
      </c>
      <c r="F439">
        <v>96</v>
      </c>
      <c r="G439" t="str">
        <f>_xlfn.XLOOKUP(E439,'Base SKUs'!E:E,'Base SKUs'!D:D)</f>
        <v>Hardwoods</v>
      </c>
      <c r="H439" s="10">
        <f>_xlfn.XLOOKUP(E439,'Base SKUs'!E:E,'Base SKUs'!S:S)</f>
        <v>5.5060535040000001E-3</v>
      </c>
      <c r="I439" s="9">
        <f t="shared" si="7"/>
        <v>0.52900000000000003</v>
      </c>
      <c r="J439" t="str">
        <f>_xlfn.XLOOKUP(E439,'Base SKUs'!E:E,'Base SKUs'!G:G)</f>
        <v>Ipe</v>
      </c>
      <c r="K439" t="str">
        <f>_xlfn.XLOOKUP(E439,'Base SKUs'!E:E,'Base SKUs'!H:H)</f>
        <v>S4S E4E</v>
      </c>
      <c r="L439" t="str">
        <f>_xlfn.XLOOKUP(E439,'Base SKUs'!E:E,'Base SKUs'!I:I)</f>
        <v>-</v>
      </c>
      <c r="M439" t="str">
        <f>_xlfn.XLOOKUP(E439,'Base SKUs'!E:E,'Base SKUs'!J:J)</f>
        <v>5/4x4</v>
      </c>
      <c r="N439">
        <f>_xlfn.XLOOKUP(E439,'Base SKUs'!E:E,'Base SKUs'!K:K)</f>
        <v>8</v>
      </c>
      <c r="O439" t="str">
        <f>_xlfn.XLOOKUP(E439,'Base SKUs'!E:E,'Base SKUs'!C:C)</f>
        <v>Long</v>
      </c>
      <c r="P439" t="s">
        <v>4930</v>
      </c>
    </row>
    <row r="440" spans="1:16" x14ac:dyDescent="0.25">
      <c r="A440" t="s">
        <v>4941</v>
      </c>
      <c r="B440" t="s">
        <v>4844</v>
      </c>
      <c r="C440" t="s">
        <v>4942</v>
      </c>
      <c r="D440" s="11">
        <v>9008</v>
      </c>
      <c r="E440" t="s">
        <v>1973</v>
      </c>
      <c r="F440">
        <v>50</v>
      </c>
      <c r="G440" t="str">
        <f>_xlfn.XLOOKUP(E440,'Base SKUs'!E:E,'Base SKUs'!D:D)</f>
        <v>Hardwoods</v>
      </c>
      <c r="H440" s="10">
        <f>_xlfn.XLOOKUP(E440,'Base SKUs'!E:E,'Base SKUs'!S:S)</f>
        <v>8.259080256000001E-3</v>
      </c>
      <c r="I440" s="9">
        <f t="shared" si="7"/>
        <v>0.41299999999999998</v>
      </c>
      <c r="J440" t="str">
        <f>_xlfn.XLOOKUP(E440,'Base SKUs'!E:E,'Base SKUs'!G:G)</f>
        <v>Ipe</v>
      </c>
      <c r="K440" t="str">
        <f>_xlfn.XLOOKUP(E440,'Base SKUs'!E:E,'Base SKUs'!H:H)</f>
        <v>S4S E4E</v>
      </c>
      <c r="L440" t="str">
        <f>_xlfn.XLOOKUP(E440,'Base SKUs'!E:E,'Base SKUs'!I:I)</f>
        <v>-</v>
      </c>
      <c r="M440" t="str">
        <f>_xlfn.XLOOKUP(E440,'Base SKUs'!E:E,'Base SKUs'!J:J)</f>
        <v>5/4x4</v>
      </c>
      <c r="N440">
        <f>_xlfn.XLOOKUP(E440,'Base SKUs'!E:E,'Base SKUs'!K:K)</f>
        <v>12</v>
      </c>
      <c r="O440" t="str">
        <f>_xlfn.XLOOKUP(E440,'Base SKUs'!E:E,'Base SKUs'!C:C)</f>
        <v>Long</v>
      </c>
      <c r="P440" t="s">
        <v>4930</v>
      </c>
    </row>
    <row r="441" spans="1:16" x14ac:dyDescent="0.25">
      <c r="A441" t="s">
        <v>4941</v>
      </c>
      <c r="B441" t="s">
        <v>4844</v>
      </c>
      <c r="C441" t="s">
        <v>4942</v>
      </c>
      <c r="D441" s="11">
        <v>9008</v>
      </c>
      <c r="E441" t="s">
        <v>1984</v>
      </c>
      <c r="F441">
        <v>55</v>
      </c>
      <c r="G441" t="str">
        <f>_xlfn.XLOOKUP(E441,'Base SKUs'!E:E,'Base SKUs'!D:D)</f>
        <v>Hardwoods</v>
      </c>
      <c r="H441" s="10">
        <f>_xlfn.XLOOKUP(E441,'Base SKUs'!E:E,'Base SKUs'!S:S)</f>
        <v>1.2388620384E-2</v>
      </c>
      <c r="I441" s="9">
        <f t="shared" si="7"/>
        <v>0.68100000000000005</v>
      </c>
      <c r="J441" t="str">
        <f>_xlfn.XLOOKUP(E441,'Base SKUs'!E:E,'Base SKUs'!G:G)</f>
        <v>Ipe</v>
      </c>
      <c r="K441" t="str">
        <f>_xlfn.XLOOKUP(E441,'Base SKUs'!E:E,'Base SKUs'!H:H)</f>
        <v>S4S E4E</v>
      </c>
      <c r="L441" t="str">
        <f>_xlfn.XLOOKUP(E441,'Base SKUs'!E:E,'Base SKUs'!I:I)</f>
        <v>-</v>
      </c>
      <c r="M441" t="str">
        <f>_xlfn.XLOOKUP(E441,'Base SKUs'!E:E,'Base SKUs'!J:J)</f>
        <v>5/4x4</v>
      </c>
      <c r="N441">
        <f>_xlfn.XLOOKUP(E441,'Base SKUs'!E:E,'Base SKUs'!K:K)</f>
        <v>18</v>
      </c>
      <c r="O441" t="str">
        <f>_xlfn.XLOOKUP(E441,'Base SKUs'!E:E,'Base SKUs'!C:C)</f>
        <v>Long</v>
      </c>
      <c r="P441" t="s">
        <v>4930</v>
      </c>
    </row>
    <row r="442" spans="1:16" x14ac:dyDescent="0.25">
      <c r="A442" t="s">
        <v>4943</v>
      </c>
      <c r="B442" t="s">
        <v>4844</v>
      </c>
      <c r="C442" t="s">
        <v>4845</v>
      </c>
      <c r="D442" s="11">
        <v>9008</v>
      </c>
      <c r="E442" t="s">
        <v>2732</v>
      </c>
      <c r="F442">
        <v>3</v>
      </c>
      <c r="G442" t="str">
        <f>_xlfn.XLOOKUP(E442,'Base SKUs'!E:E,'Base SKUs'!D:D)</f>
        <v>Norx</v>
      </c>
      <c r="H442" s="10">
        <f>_xlfn.XLOOKUP(E442,'Base SKUs'!E:E,'Base SKUs'!S:S)</f>
        <v>0</v>
      </c>
      <c r="I442" s="9">
        <f t="shared" si="7"/>
        <v>3</v>
      </c>
      <c r="J442" t="str">
        <f>_xlfn.XLOOKUP(E442,'Base SKUs'!E:E,'Base SKUs'!G:G)</f>
        <v>Navona</v>
      </c>
      <c r="K442" t="str">
        <f>_xlfn.XLOOKUP(E442,'Base SKUs'!E:E,'Base SKUs'!H:H)</f>
        <v>Profile</v>
      </c>
      <c r="L442" t="str">
        <f>_xlfn.XLOOKUP(E442,'Base SKUs'!E:E,'Base SKUs'!I:I)</f>
        <v>-</v>
      </c>
      <c r="M442" t="str">
        <f>_xlfn.XLOOKUP(E442,'Base SKUs'!E:E,'Base SKUs'!J:J)</f>
        <v>1x7</v>
      </c>
      <c r="N442">
        <f>_xlfn.XLOOKUP(E442,'Base SKUs'!E:E,'Base SKUs'!K:K)</f>
        <v>16</v>
      </c>
      <c r="O442" t="str">
        <f>_xlfn.XLOOKUP(E442,'Base SKUs'!E:E,'Base SKUs'!C:C)</f>
        <v>Long</v>
      </c>
      <c r="P442" t="s">
        <v>4930</v>
      </c>
    </row>
    <row r="443" spans="1:16" x14ac:dyDescent="0.25">
      <c r="A443" t="s">
        <v>4944</v>
      </c>
      <c r="B443" t="s">
        <v>4844</v>
      </c>
      <c r="C443" t="s">
        <v>4845</v>
      </c>
      <c r="D443" s="11">
        <v>9007</v>
      </c>
      <c r="E443" t="s">
        <v>37</v>
      </c>
      <c r="F443">
        <v>180</v>
      </c>
      <c r="G443" t="str">
        <f>_xlfn.XLOOKUP(E443,'Base SKUs'!E:E,'Base SKUs'!D:D)</f>
        <v>Thermowood</v>
      </c>
      <c r="H443" s="10">
        <f>_xlfn.XLOOKUP(E443,'Base SKUs'!E:E,'Base SKUs'!S:S)</f>
        <v>8.4000000000000012E-3</v>
      </c>
      <c r="I443" s="9">
        <f t="shared" si="7"/>
        <v>1.512</v>
      </c>
      <c r="J443" t="str">
        <f>_xlfn.XLOOKUP(E443,'Base SKUs'!E:E,'Base SKUs'!G:G)</f>
        <v>Maximo Thermo Ash</v>
      </c>
      <c r="K443" t="str">
        <f>_xlfn.XLOOKUP(E443,'Base SKUs'!E:E,'Base SKUs'!H:H)</f>
        <v>S4S E4E End Match</v>
      </c>
      <c r="L443" t="str">
        <f>_xlfn.XLOOKUP(E443,'Base SKUs'!E:E,'Base SKUs'!I:I)</f>
        <v>-</v>
      </c>
      <c r="M443" t="str">
        <f>_xlfn.XLOOKUP(E443,'Base SKUs'!E:E,'Base SKUs'!J:J)</f>
        <v>5/4x6</v>
      </c>
      <c r="N443">
        <f>_xlfn.XLOOKUP(E443,'Base SKUs'!E:E,'Base SKUs'!K:K)</f>
        <v>8</v>
      </c>
      <c r="O443" t="str">
        <f>_xlfn.XLOOKUP(E443,'Base SKUs'!E:E,'Base SKUs'!C:C)</f>
        <v>Long</v>
      </c>
      <c r="P443" t="s">
        <v>4930</v>
      </c>
    </row>
    <row r="444" spans="1:16" x14ac:dyDescent="0.25">
      <c r="A444" t="s">
        <v>4944</v>
      </c>
      <c r="B444" t="s">
        <v>4844</v>
      </c>
      <c r="C444" t="s">
        <v>4845</v>
      </c>
      <c r="D444" s="11">
        <v>9007</v>
      </c>
      <c r="E444" t="s">
        <v>37</v>
      </c>
      <c r="F444">
        <v>25</v>
      </c>
      <c r="G444" t="str">
        <f>_xlfn.XLOOKUP(E444,'Base SKUs'!E:E,'Base SKUs'!D:D)</f>
        <v>Thermowood</v>
      </c>
      <c r="H444" s="10">
        <f>_xlfn.XLOOKUP(E444,'Base SKUs'!E:E,'Base SKUs'!S:S)</f>
        <v>8.4000000000000012E-3</v>
      </c>
      <c r="I444" s="9">
        <f t="shared" si="7"/>
        <v>0.21</v>
      </c>
      <c r="J444" t="str">
        <f>_xlfn.XLOOKUP(E444,'Base SKUs'!E:E,'Base SKUs'!G:G)</f>
        <v>Maximo Thermo Ash</v>
      </c>
      <c r="K444" t="str">
        <f>_xlfn.XLOOKUP(E444,'Base SKUs'!E:E,'Base SKUs'!H:H)</f>
        <v>S4S E4E End Match</v>
      </c>
      <c r="L444" t="str">
        <f>_xlfn.XLOOKUP(E444,'Base SKUs'!E:E,'Base SKUs'!I:I)</f>
        <v>-</v>
      </c>
      <c r="M444" t="str">
        <f>_xlfn.XLOOKUP(E444,'Base SKUs'!E:E,'Base SKUs'!J:J)</f>
        <v>5/4x6</v>
      </c>
      <c r="N444">
        <f>_xlfn.XLOOKUP(E444,'Base SKUs'!E:E,'Base SKUs'!K:K)</f>
        <v>8</v>
      </c>
      <c r="O444" t="str">
        <f>_xlfn.XLOOKUP(E444,'Base SKUs'!E:E,'Base SKUs'!C:C)</f>
        <v>Long</v>
      </c>
      <c r="P444" t="s">
        <v>4930</v>
      </c>
    </row>
    <row r="445" spans="1:16" x14ac:dyDescent="0.25">
      <c r="A445" t="s">
        <v>4945</v>
      </c>
      <c r="B445" t="s">
        <v>4844</v>
      </c>
      <c r="C445" t="s">
        <v>4845</v>
      </c>
      <c r="D445" s="11">
        <v>9007</v>
      </c>
      <c r="E445" t="s">
        <v>235</v>
      </c>
      <c r="F445">
        <v>9</v>
      </c>
      <c r="G445" t="str">
        <f>_xlfn.XLOOKUP(E445,'Base SKUs'!E:E,'Base SKUs'!D:D)</f>
        <v>Hardwoods</v>
      </c>
      <c r="H445" s="10">
        <f>_xlfn.XLOOKUP(E445,'Base SKUs'!E:E,'Base SKUs'!S:S)</f>
        <v>8.6523697920000003E-3</v>
      </c>
      <c r="I445" s="9">
        <f t="shared" si="7"/>
        <v>7.8E-2</v>
      </c>
      <c r="J445" t="str">
        <f>_xlfn.XLOOKUP(E445,'Base SKUs'!E:E,'Base SKUs'!G:G)</f>
        <v>Ipe</v>
      </c>
      <c r="K445" t="str">
        <f>_xlfn.XLOOKUP(E445,'Base SKUs'!E:E,'Base SKUs'!H:H)</f>
        <v>S4S E4E</v>
      </c>
      <c r="L445" t="str">
        <f>_xlfn.XLOOKUP(E445,'Base SKUs'!E:E,'Base SKUs'!I:I)</f>
        <v>-</v>
      </c>
      <c r="M445" t="str">
        <f>_xlfn.XLOOKUP(E445,'Base SKUs'!E:E,'Base SKUs'!J:J)</f>
        <v>5/4x6</v>
      </c>
      <c r="N445">
        <f>_xlfn.XLOOKUP(E445,'Base SKUs'!E:E,'Base SKUs'!K:K)</f>
        <v>8</v>
      </c>
      <c r="O445" t="str">
        <f>_xlfn.XLOOKUP(E445,'Base SKUs'!E:E,'Base SKUs'!C:C)</f>
        <v>Long</v>
      </c>
      <c r="P445" t="s">
        <v>4930</v>
      </c>
    </row>
    <row r="446" spans="1:16" x14ac:dyDescent="0.25">
      <c r="A446" t="s">
        <v>4945</v>
      </c>
      <c r="B446" t="s">
        <v>4844</v>
      </c>
      <c r="C446" t="s">
        <v>4845</v>
      </c>
      <c r="D446" s="11">
        <v>9007</v>
      </c>
      <c r="E446" t="s">
        <v>52</v>
      </c>
      <c r="F446">
        <v>32</v>
      </c>
      <c r="G446" t="str">
        <f>_xlfn.XLOOKUP(E446,'Base SKUs'!E:E,'Base SKUs'!D:D)</f>
        <v>Hardwoods</v>
      </c>
      <c r="H446" s="10">
        <f>_xlfn.XLOOKUP(E446,'Base SKUs'!E:E,'Base SKUs'!S:S)</f>
        <v>1.081546224E-2</v>
      </c>
      <c r="I446" s="9">
        <f t="shared" si="7"/>
        <v>0.34599999999999997</v>
      </c>
      <c r="J446" t="str">
        <f>_xlfn.XLOOKUP(E446,'Base SKUs'!E:E,'Base SKUs'!G:G)</f>
        <v>Ipe</v>
      </c>
      <c r="K446" t="str">
        <f>_xlfn.XLOOKUP(E446,'Base SKUs'!E:E,'Base SKUs'!H:H)</f>
        <v>S4S E4E</v>
      </c>
      <c r="L446" t="str">
        <f>_xlfn.XLOOKUP(E446,'Base SKUs'!E:E,'Base SKUs'!I:I)</f>
        <v>-</v>
      </c>
      <c r="M446" t="str">
        <f>_xlfn.XLOOKUP(E446,'Base SKUs'!E:E,'Base SKUs'!J:J)</f>
        <v>5/4x6</v>
      </c>
      <c r="N446">
        <f>_xlfn.XLOOKUP(E446,'Base SKUs'!E:E,'Base SKUs'!K:K)</f>
        <v>10</v>
      </c>
      <c r="O446" t="str">
        <f>_xlfn.XLOOKUP(E446,'Base SKUs'!E:E,'Base SKUs'!C:C)</f>
        <v>Long</v>
      </c>
      <c r="P446" t="s">
        <v>4930</v>
      </c>
    </row>
    <row r="447" spans="1:16" x14ac:dyDescent="0.25">
      <c r="A447" t="s">
        <v>4945</v>
      </c>
      <c r="B447" t="s">
        <v>4844</v>
      </c>
      <c r="C447" t="s">
        <v>4845</v>
      </c>
      <c r="D447" s="11">
        <v>9007</v>
      </c>
      <c r="E447" t="s">
        <v>198</v>
      </c>
      <c r="F447">
        <v>40</v>
      </c>
      <c r="G447" t="str">
        <f>_xlfn.XLOOKUP(E447,'Base SKUs'!E:E,'Base SKUs'!D:D)</f>
        <v>Hardwoods</v>
      </c>
      <c r="H447" s="10">
        <f>_xlfn.XLOOKUP(E447,'Base SKUs'!E:E,'Base SKUs'!S:S)</f>
        <v>1.2978554687999997E-2</v>
      </c>
      <c r="I447" s="9">
        <f t="shared" si="7"/>
        <v>0.51900000000000002</v>
      </c>
      <c r="J447" t="str">
        <f>_xlfn.XLOOKUP(E447,'Base SKUs'!E:E,'Base SKUs'!G:G)</f>
        <v>Ipe</v>
      </c>
      <c r="K447" t="str">
        <f>_xlfn.XLOOKUP(E447,'Base SKUs'!E:E,'Base SKUs'!H:H)</f>
        <v>S4S E4E</v>
      </c>
      <c r="L447" t="str">
        <f>_xlfn.XLOOKUP(E447,'Base SKUs'!E:E,'Base SKUs'!I:I)</f>
        <v>-</v>
      </c>
      <c r="M447" t="str">
        <f>_xlfn.XLOOKUP(E447,'Base SKUs'!E:E,'Base SKUs'!J:J)</f>
        <v>5/4x6</v>
      </c>
      <c r="N447">
        <f>_xlfn.XLOOKUP(E447,'Base SKUs'!E:E,'Base SKUs'!K:K)</f>
        <v>12</v>
      </c>
      <c r="O447" t="str">
        <f>_xlfn.XLOOKUP(E447,'Base SKUs'!E:E,'Base SKUs'!C:C)</f>
        <v>Long</v>
      </c>
      <c r="P447" t="s">
        <v>4930</v>
      </c>
    </row>
    <row r="448" spans="1:16" x14ac:dyDescent="0.25">
      <c r="A448" t="s">
        <v>4945</v>
      </c>
      <c r="B448" t="s">
        <v>4844</v>
      </c>
      <c r="C448" t="s">
        <v>4845</v>
      </c>
      <c r="D448" s="11">
        <v>9007</v>
      </c>
      <c r="E448" t="s">
        <v>197</v>
      </c>
      <c r="F448">
        <v>2</v>
      </c>
      <c r="G448" t="str">
        <f>_xlfn.XLOOKUP(E448,'Base SKUs'!E:E,'Base SKUs'!D:D)</f>
        <v>Hardwoods</v>
      </c>
      <c r="H448" s="10">
        <f>_xlfn.XLOOKUP(E448,'Base SKUs'!E:E,'Base SKUs'!S:S)</f>
        <v>1.5141647135999997E-2</v>
      </c>
      <c r="I448" s="9">
        <f t="shared" si="7"/>
        <v>0.03</v>
      </c>
      <c r="J448" t="str">
        <f>_xlfn.XLOOKUP(E448,'Base SKUs'!E:E,'Base SKUs'!G:G)</f>
        <v>Ipe</v>
      </c>
      <c r="K448" t="str">
        <f>_xlfn.XLOOKUP(E448,'Base SKUs'!E:E,'Base SKUs'!H:H)</f>
        <v>S4S E4E</v>
      </c>
      <c r="L448" t="str">
        <f>_xlfn.XLOOKUP(E448,'Base SKUs'!E:E,'Base SKUs'!I:I)</f>
        <v>-</v>
      </c>
      <c r="M448" t="str">
        <f>_xlfn.XLOOKUP(E448,'Base SKUs'!E:E,'Base SKUs'!J:J)</f>
        <v>5/4x6</v>
      </c>
      <c r="N448">
        <f>_xlfn.XLOOKUP(E448,'Base SKUs'!E:E,'Base SKUs'!K:K)</f>
        <v>14</v>
      </c>
      <c r="O448" t="str">
        <f>_xlfn.XLOOKUP(E448,'Base SKUs'!E:E,'Base SKUs'!C:C)</f>
        <v>Long</v>
      </c>
      <c r="P448" t="s">
        <v>4930</v>
      </c>
    </row>
    <row r="449" spans="1:16" x14ac:dyDescent="0.25">
      <c r="A449" t="s">
        <v>4945</v>
      </c>
      <c r="B449" t="s">
        <v>4844</v>
      </c>
      <c r="C449" t="s">
        <v>4845</v>
      </c>
      <c r="D449" s="11">
        <v>9007</v>
      </c>
      <c r="E449" t="s">
        <v>199</v>
      </c>
      <c r="F449">
        <v>13</v>
      </c>
      <c r="G449" t="str">
        <f>_xlfn.XLOOKUP(E449,'Base SKUs'!E:E,'Base SKUs'!D:D)</f>
        <v>Hardwoods</v>
      </c>
      <c r="H449" s="10">
        <f>_xlfn.XLOOKUP(E449,'Base SKUs'!E:E,'Base SKUs'!S:S)</f>
        <v>1.7304739584000001E-2</v>
      </c>
      <c r="I449" s="9">
        <f t="shared" si="7"/>
        <v>0.22500000000000001</v>
      </c>
      <c r="J449" t="str">
        <f>_xlfn.XLOOKUP(E449,'Base SKUs'!E:E,'Base SKUs'!G:G)</f>
        <v>Ipe</v>
      </c>
      <c r="K449" t="str">
        <f>_xlfn.XLOOKUP(E449,'Base SKUs'!E:E,'Base SKUs'!H:H)</f>
        <v>S4S E4E</v>
      </c>
      <c r="L449" t="str">
        <f>_xlfn.XLOOKUP(E449,'Base SKUs'!E:E,'Base SKUs'!I:I)</f>
        <v>-</v>
      </c>
      <c r="M449" t="str">
        <f>_xlfn.XLOOKUP(E449,'Base SKUs'!E:E,'Base SKUs'!J:J)</f>
        <v>5/4x6</v>
      </c>
      <c r="N449">
        <f>_xlfn.XLOOKUP(E449,'Base SKUs'!E:E,'Base SKUs'!K:K)</f>
        <v>16</v>
      </c>
      <c r="O449" t="str">
        <f>_xlfn.XLOOKUP(E449,'Base SKUs'!E:E,'Base SKUs'!C:C)</f>
        <v>Long</v>
      </c>
      <c r="P449" t="s">
        <v>4930</v>
      </c>
    </row>
    <row r="450" spans="1:16" x14ac:dyDescent="0.25">
      <c r="A450" t="s">
        <v>4946</v>
      </c>
      <c r="B450" t="s">
        <v>4844</v>
      </c>
      <c r="C450" t="s">
        <v>4845</v>
      </c>
      <c r="D450" s="11">
        <v>9008</v>
      </c>
      <c r="E450" t="s">
        <v>121</v>
      </c>
      <c r="F450">
        <v>1</v>
      </c>
      <c r="G450" t="str">
        <f>_xlfn.XLOOKUP(E450,'Base SKUs'!E:E,'Base SKUs'!D:D)</f>
        <v>Hardwoods</v>
      </c>
      <c r="H450" s="10">
        <f>_xlfn.XLOOKUP(E450,'Base SKUs'!E:E,'Base SKUs'!S:S)</f>
        <v>8.1803360000000012E-4</v>
      </c>
      <c r="I450" s="9">
        <f t="shared" si="7"/>
        <v>1</v>
      </c>
      <c r="J450" t="str">
        <f>_xlfn.XLOOKUP(E450,'Base SKUs'!E:E,'Base SKUs'!G:G)</f>
        <v>IpeB</v>
      </c>
      <c r="K450" t="str">
        <f>_xlfn.XLOOKUP(E450,'Base SKUs'!E:E,'Base SKUs'!H:H)</f>
        <v>Tiles</v>
      </c>
      <c r="L450" t="str">
        <f>_xlfn.XLOOKUP(E450,'Base SKUs'!E:E,'Base SKUs'!I:I)</f>
        <v>-</v>
      </c>
      <c r="M450" t="str">
        <f>_xlfn.XLOOKUP(E450,'Base SKUs'!E:E,'Base SKUs'!J:J)</f>
        <v>24x24</v>
      </c>
      <c r="N450">
        <f>_xlfn.XLOOKUP(E450,'Base SKUs'!E:E,'Base SKUs'!K:K)</f>
        <v>24</v>
      </c>
      <c r="O450" t="str">
        <f>_xlfn.XLOOKUP(E450,'Base SKUs'!E:E,'Base SKUs'!C:C)</f>
        <v>Tiles</v>
      </c>
      <c r="P450" t="s">
        <v>4930</v>
      </c>
    </row>
    <row r="451" spans="1:16" x14ac:dyDescent="0.25">
      <c r="A451" t="s">
        <v>4946</v>
      </c>
      <c r="B451" t="s">
        <v>4844</v>
      </c>
      <c r="C451" t="s">
        <v>4845</v>
      </c>
      <c r="D451" s="11">
        <v>9008</v>
      </c>
      <c r="E451" t="s">
        <v>123</v>
      </c>
      <c r="F451">
        <v>1</v>
      </c>
      <c r="G451" t="str">
        <f>_xlfn.XLOOKUP(E451,'Base SKUs'!E:E,'Base SKUs'!D:D)</f>
        <v>Hardwoods</v>
      </c>
      <c r="H451" s="10">
        <f>_xlfn.XLOOKUP(E451,'Base SKUs'!E:E,'Base SKUs'!S:S)</f>
        <v>8.1803360000000012E-4</v>
      </c>
      <c r="I451" s="9">
        <f t="shared" si="7"/>
        <v>1</v>
      </c>
      <c r="J451" t="str">
        <f>_xlfn.XLOOKUP(E451,'Base SKUs'!E:E,'Base SKUs'!G:G)</f>
        <v>Cumaru</v>
      </c>
      <c r="K451" t="str">
        <f>_xlfn.XLOOKUP(E451,'Base SKUs'!E:E,'Base SKUs'!H:H)</f>
        <v>Tiles</v>
      </c>
      <c r="L451" t="str">
        <f>_xlfn.XLOOKUP(E451,'Base SKUs'!E:E,'Base SKUs'!I:I)</f>
        <v>-</v>
      </c>
      <c r="M451" t="str">
        <f>_xlfn.XLOOKUP(E451,'Base SKUs'!E:E,'Base SKUs'!J:J)</f>
        <v>24x24</v>
      </c>
      <c r="N451">
        <f>_xlfn.XLOOKUP(E451,'Base SKUs'!E:E,'Base SKUs'!K:K)</f>
        <v>24</v>
      </c>
      <c r="O451" t="str">
        <f>_xlfn.XLOOKUP(E451,'Base SKUs'!E:E,'Base SKUs'!C:C)</f>
        <v>Tiles</v>
      </c>
      <c r="P451" t="s">
        <v>4930</v>
      </c>
    </row>
    <row r="452" spans="1:16" x14ac:dyDescent="0.25">
      <c r="A452" t="s">
        <v>4947</v>
      </c>
      <c r="B452" t="s">
        <v>4907</v>
      </c>
      <c r="C452" t="s">
        <v>4908</v>
      </c>
      <c r="D452" s="11">
        <v>9008</v>
      </c>
      <c r="E452" t="s">
        <v>2287</v>
      </c>
      <c r="F452">
        <v>2</v>
      </c>
      <c r="G452" t="str">
        <f>_xlfn.XLOOKUP(E452,'Base SKUs'!E:E,'Base SKUs'!D:D)</f>
        <v>Hardwoods</v>
      </c>
      <c r="H452" s="10">
        <f>_xlfn.XLOOKUP(E452,'Base SKUs'!E:E,'Base SKUs'!S:S)</f>
        <v>2.3228663220000001E-2</v>
      </c>
      <c r="I452" s="9">
        <f t="shared" si="7"/>
        <v>4.5999999999999999E-2</v>
      </c>
      <c r="J452" t="str">
        <f>_xlfn.XLOOKUP(E452,'Base SKUs'!E:E,'Base SKUs'!G:G)</f>
        <v>Massaranduba Bullet Wood</v>
      </c>
      <c r="K452" t="str">
        <f>_xlfn.XLOOKUP(E452,'Base SKUs'!E:E,'Base SKUs'!H:H)</f>
        <v>S4S E4E</v>
      </c>
      <c r="L452" t="str">
        <f>_xlfn.XLOOKUP(E452,'Base SKUs'!E:E,'Base SKUs'!I:I)</f>
        <v>-</v>
      </c>
      <c r="M452" t="str">
        <f>_xlfn.XLOOKUP(E452,'Base SKUs'!E:E,'Base SKUs'!J:J)</f>
        <v>1x12</v>
      </c>
      <c r="N452">
        <f>_xlfn.XLOOKUP(E452,'Base SKUs'!E:E,'Base SKUs'!K:K)</f>
        <v>14</v>
      </c>
      <c r="O452" t="str">
        <f>_xlfn.XLOOKUP(E452,'Base SKUs'!E:E,'Base SKUs'!C:C)</f>
        <v>Long</v>
      </c>
      <c r="P452" t="s">
        <v>4930</v>
      </c>
    </row>
    <row r="453" spans="1:16" x14ac:dyDescent="0.25">
      <c r="A453" t="s">
        <v>4948</v>
      </c>
      <c r="B453" t="s">
        <v>4949</v>
      </c>
      <c r="C453" t="s">
        <v>4877</v>
      </c>
      <c r="D453" s="11">
        <v>9007</v>
      </c>
      <c r="E453" t="s">
        <v>1811</v>
      </c>
      <c r="F453">
        <v>1</v>
      </c>
      <c r="G453" t="str">
        <f>_xlfn.XLOOKUP(E453,'Base SKUs'!E:E,'Base SKUs'!D:D)</f>
        <v>Hardwoods</v>
      </c>
      <c r="H453" s="10">
        <f>_xlfn.XLOOKUP(E453,'Base SKUs'!E:E,'Base SKUs'!S:S)</f>
        <v>6.1943101920000014E-2</v>
      </c>
      <c r="I453" s="9">
        <f t="shared" si="7"/>
        <v>6.2E-2</v>
      </c>
      <c r="J453" t="str">
        <f>_xlfn.XLOOKUP(E453,'Base SKUs'!E:E,'Base SKUs'!G:G)</f>
        <v>Ipe</v>
      </c>
      <c r="K453" t="str">
        <f>_xlfn.XLOOKUP(E453,'Base SKUs'!E:E,'Base SKUs'!H:H)</f>
        <v>S4S E4E</v>
      </c>
      <c r="L453" t="str">
        <f>_xlfn.XLOOKUP(E453,'Base SKUs'!E:E,'Base SKUs'!I:I)</f>
        <v>-</v>
      </c>
      <c r="M453" t="str">
        <f>_xlfn.XLOOKUP(E453,'Base SKUs'!E:E,'Base SKUs'!J:J)</f>
        <v>4x12</v>
      </c>
      <c r="N453">
        <f>_xlfn.XLOOKUP(E453,'Base SKUs'!E:E,'Base SKUs'!K:K)</f>
        <v>8</v>
      </c>
      <c r="O453" t="str">
        <f>_xlfn.XLOOKUP(E453,'Base SKUs'!E:E,'Base SKUs'!C:C)</f>
        <v>Long</v>
      </c>
      <c r="P453" t="s">
        <v>4930</v>
      </c>
    </row>
  </sheetData>
  <autoFilter ref="A1:P45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9048-6D8E-4B4A-859F-F564485BE747}">
  <sheetPr>
    <tabColor theme="3" tint="-0.249977111117893"/>
  </sheetPr>
  <dimension ref="A1:T4017"/>
  <sheetViews>
    <sheetView topLeftCell="H1" zoomScale="80" zoomScaleNormal="80" workbookViewId="0">
      <pane ySplit="1" topLeftCell="A3119" activePane="bottomLeft" state="frozen"/>
      <selection pane="bottomLeft" activeCell="S3132" sqref="S3132"/>
    </sheetView>
  </sheetViews>
  <sheetFormatPr defaultRowHeight="15" x14ac:dyDescent="0.25"/>
  <cols>
    <col min="1" max="1" width="17.5703125" bestFit="1" customWidth="1"/>
    <col min="2" max="2" width="22.7109375" bestFit="1" customWidth="1"/>
    <col min="3" max="3" width="16.28515625" bestFit="1" customWidth="1"/>
    <col min="4" max="4" width="12.5703125" bestFit="1" customWidth="1"/>
    <col min="5" max="5" width="21.28515625" bestFit="1" customWidth="1"/>
    <col min="6" max="6" width="76.140625" bestFit="1" customWidth="1"/>
    <col min="7" max="7" width="32.5703125" bestFit="1" customWidth="1"/>
    <col min="8" max="8" width="47.7109375" bestFit="1" customWidth="1"/>
    <col min="9" max="9" width="22.85546875" bestFit="1" customWidth="1"/>
    <col min="10" max="10" width="10.85546875" bestFit="1" customWidth="1"/>
    <col min="11" max="11" width="13.5703125" bestFit="1" customWidth="1"/>
    <col min="12" max="12" width="17.140625" style="6" bestFit="1" customWidth="1"/>
    <col min="13" max="13" width="17.28515625" style="7" bestFit="1" customWidth="1"/>
    <col min="14" max="14" width="18" style="7" bestFit="1" customWidth="1"/>
    <col min="15" max="16" width="18.42578125" style="7" bestFit="1" customWidth="1"/>
    <col min="17" max="17" width="19.28515625" style="7" bestFit="1" customWidth="1"/>
    <col min="18" max="18" width="18.5703125" style="6" bestFit="1" customWidth="1"/>
    <col min="19" max="19" width="18.7109375" style="6" bestFit="1" customWidth="1"/>
    <col min="20" max="20" width="81.28515625" bestFit="1" customWidth="1"/>
  </cols>
  <sheetData>
    <row r="1" spans="1:20" s="5" customFormat="1" ht="15.75" x14ac:dyDescent="0.25">
      <c r="A1" s="2" t="s">
        <v>262</v>
      </c>
      <c r="B1" s="3" t="s">
        <v>263</v>
      </c>
      <c r="C1" s="3" t="s">
        <v>264</v>
      </c>
      <c r="D1" s="3" t="s">
        <v>265</v>
      </c>
      <c r="E1" s="3" t="s">
        <v>4</v>
      </c>
      <c r="F1" s="3" t="s">
        <v>266</v>
      </c>
      <c r="G1" s="3" t="s">
        <v>267</v>
      </c>
      <c r="H1" s="3" t="s">
        <v>268</v>
      </c>
      <c r="I1" s="3" t="s">
        <v>269</v>
      </c>
      <c r="J1" s="3" t="s">
        <v>270</v>
      </c>
      <c r="K1" s="3" t="s">
        <v>271</v>
      </c>
      <c r="L1" s="4" t="s">
        <v>272</v>
      </c>
      <c r="M1" s="3" t="s">
        <v>273</v>
      </c>
      <c r="N1" s="3" t="s">
        <v>274</v>
      </c>
      <c r="O1" s="3" t="s">
        <v>275</v>
      </c>
      <c r="P1" s="3" t="s">
        <v>276</v>
      </c>
      <c r="Q1" s="3" t="s">
        <v>277</v>
      </c>
      <c r="R1" s="3" t="s">
        <v>278</v>
      </c>
      <c r="S1" s="3" t="s">
        <v>279</v>
      </c>
      <c r="T1" s="3" t="s">
        <v>280</v>
      </c>
    </row>
    <row r="2" spans="1:20" x14ac:dyDescent="0.25">
      <c r="A2" t="s">
        <v>281</v>
      </c>
      <c r="B2" t="s">
        <v>282</v>
      </c>
      <c r="C2" t="s">
        <v>283</v>
      </c>
      <c r="D2" t="s">
        <v>284</v>
      </c>
      <c r="E2" t="s">
        <v>285</v>
      </c>
      <c r="F2" t="s">
        <v>286</v>
      </c>
      <c r="G2" t="s">
        <v>287</v>
      </c>
      <c r="H2" t="s">
        <v>288</v>
      </c>
      <c r="I2" t="s">
        <v>289</v>
      </c>
      <c r="J2" t="s">
        <v>290</v>
      </c>
      <c r="K2">
        <v>10</v>
      </c>
      <c r="L2" s="6">
        <v>3.048</v>
      </c>
      <c r="M2" s="7">
        <v>25.4</v>
      </c>
      <c r="N2" s="7">
        <v>146.05000000000001</v>
      </c>
      <c r="O2" s="7">
        <f t="shared" ref="O2:O65" si="0">L2/0.0254</f>
        <v>120</v>
      </c>
      <c r="P2" s="7">
        <f t="shared" ref="P2:Q65" si="1">M2/25.4</f>
        <v>1</v>
      </c>
      <c r="Q2" s="7">
        <f t="shared" si="1"/>
        <v>5.7500000000000009</v>
      </c>
      <c r="R2" s="6">
        <f t="shared" ref="R2:R65" si="2">ROUND(IFERROR(1/((M2*N2*0.3048)/1000000),0),3)</f>
        <v>884.40200000000004</v>
      </c>
      <c r="S2" s="6">
        <f>L2*M2/1000*N2/1000</f>
        <v>1.1307074160000003E-2</v>
      </c>
      <c r="T2" t="str">
        <f t="shared" ref="T2:T65" si="3">F2&amp;" "&amp;C2</f>
        <v>Maximo Accoya Rough Sawn 4/4x6 Long</v>
      </c>
    </row>
    <row r="3" spans="1:20" x14ac:dyDescent="0.25">
      <c r="A3" t="s">
        <v>281</v>
      </c>
      <c r="B3" t="s">
        <v>282</v>
      </c>
      <c r="C3" t="s">
        <v>283</v>
      </c>
      <c r="D3" t="s">
        <v>284</v>
      </c>
      <c r="E3" t="s">
        <v>291</v>
      </c>
      <c r="F3" t="s">
        <v>286</v>
      </c>
      <c r="G3" t="s">
        <v>287</v>
      </c>
      <c r="H3" t="s">
        <v>288</v>
      </c>
      <c r="I3" t="s">
        <v>289</v>
      </c>
      <c r="J3" t="s">
        <v>290</v>
      </c>
      <c r="K3">
        <v>11</v>
      </c>
      <c r="L3" s="6">
        <v>3.3527999999999998</v>
      </c>
      <c r="M3" s="7">
        <v>25.4</v>
      </c>
      <c r="N3" s="7">
        <v>146.05000000000001</v>
      </c>
      <c r="O3" s="7">
        <f t="shared" si="0"/>
        <v>132</v>
      </c>
      <c r="P3" s="7">
        <f t="shared" si="1"/>
        <v>1</v>
      </c>
      <c r="Q3" s="7">
        <f t="shared" si="1"/>
        <v>5.7500000000000009</v>
      </c>
      <c r="R3" s="6">
        <f t="shared" si="2"/>
        <v>884.40200000000004</v>
      </c>
      <c r="S3" s="6">
        <f>L3*M3/1000*N3/1000</f>
        <v>1.2437781575999998E-2</v>
      </c>
      <c r="T3" t="str">
        <f t="shared" si="3"/>
        <v>Maximo Accoya Rough Sawn 4/4x6 Long</v>
      </c>
    </row>
    <row r="4" spans="1:20" x14ac:dyDescent="0.25">
      <c r="A4" t="s">
        <v>281</v>
      </c>
      <c r="B4" t="s">
        <v>282</v>
      </c>
      <c r="C4" t="s">
        <v>283</v>
      </c>
      <c r="D4" t="s">
        <v>284</v>
      </c>
      <c r="E4" t="s">
        <v>292</v>
      </c>
      <c r="F4" t="s">
        <v>286</v>
      </c>
      <c r="G4" t="s">
        <v>287</v>
      </c>
      <c r="H4" t="s">
        <v>288</v>
      </c>
      <c r="I4" t="s">
        <v>289</v>
      </c>
      <c r="J4" t="s">
        <v>290</v>
      </c>
      <c r="K4">
        <v>12</v>
      </c>
      <c r="L4" s="6">
        <v>3.6576</v>
      </c>
      <c r="M4" s="7">
        <v>25.4</v>
      </c>
      <c r="N4" s="7">
        <v>146.05000000000001</v>
      </c>
      <c r="O4" s="7">
        <f t="shared" si="0"/>
        <v>144</v>
      </c>
      <c r="P4" s="7">
        <f t="shared" si="1"/>
        <v>1</v>
      </c>
      <c r="Q4" s="7">
        <f t="shared" si="1"/>
        <v>5.7500000000000009</v>
      </c>
      <c r="R4" s="6">
        <f t="shared" si="2"/>
        <v>884.40200000000004</v>
      </c>
      <c r="S4" s="6">
        <f t="shared" ref="S4:S67" si="4">L4*M4/1000*N4/1000</f>
        <v>1.3568488992000001E-2</v>
      </c>
      <c r="T4" t="str">
        <f t="shared" si="3"/>
        <v>Maximo Accoya Rough Sawn 4/4x6 Long</v>
      </c>
    </row>
    <row r="5" spans="1:20" x14ac:dyDescent="0.25">
      <c r="A5" t="s">
        <v>281</v>
      </c>
      <c r="B5" t="s">
        <v>282</v>
      </c>
      <c r="C5" t="s">
        <v>283</v>
      </c>
      <c r="D5" t="s">
        <v>284</v>
      </c>
      <c r="E5" t="s">
        <v>293</v>
      </c>
      <c r="F5" t="s">
        <v>286</v>
      </c>
      <c r="G5" t="s">
        <v>287</v>
      </c>
      <c r="H5" t="s">
        <v>288</v>
      </c>
      <c r="I5" t="s">
        <v>289</v>
      </c>
      <c r="J5" t="s">
        <v>290</v>
      </c>
      <c r="K5">
        <v>13</v>
      </c>
      <c r="L5" s="6">
        <v>3.9624000000000001</v>
      </c>
      <c r="M5" s="7">
        <v>25.4</v>
      </c>
      <c r="N5" s="7">
        <v>146.05000000000001</v>
      </c>
      <c r="O5" s="7">
        <f t="shared" si="0"/>
        <v>156</v>
      </c>
      <c r="P5" s="7">
        <f t="shared" si="1"/>
        <v>1</v>
      </c>
      <c r="Q5" s="7">
        <f t="shared" si="1"/>
        <v>5.7500000000000009</v>
      </c>
      <c r="R5" s="6">
        <f t="shared" si="2"/>
        <v>884.40200000000004</v>
      </c>
      <c r="S5" s="6">
        <f t="shared" si="4"/>
        <v>1.4699196408000001E-2</v>
      </c>
      <c r="T5" t="str">
        <f t="shared" si="3"/>
        <v>Maximo Accoya Rough Sawn 4/4x6 Long</v>
      </c>
    </row>
    <row r="6" spans="1:20" x14ac:dyDescent="0.25">
      <c r="A6" t="s">
        <v>281</v>
      </c>
      <c r="B6" t="s">
        <v>282</v>
      </c>
      <c r="C6" t="s">
        <v>283</v>
      </c>
      <c r="D6" t="s">
        <v>284</v>
      </c>
      <c r="E6" t="s">
        <v>294</v>
      </c>
      <c r="F6" t="s">
        <v>286</v>
      </c>
      <c r="G6" t="s">
        <v>287</v>
      </c>
      <c r="H6" t="s">
        <v>288</v>
      </c>
      <c r="I6" t="s">
        <v>289</v>
      </c>
      <c r="J6" t="s">
        <v>290</v>
      </c>
      <c r="K6">
        <v>14</v>
      </c>
      <c r="L6" s="6">
        <v>4.2671999999999999</v>
      </c>
      <c r="M6" s="7">
        <v>25.4</v>
      </c>
      <c r="N6" s="7">
        <v>146.05000000000001</v>
      </c>
      <c r="O6" s="7">
        <f t="shared" si="0"/>
        <v>168</v>
      </c>
      <c r="P6" s="7">
        <f t="shared" si="1"/>
        <v>1</v>
      </c>
      <c r="Q6" s="7">
        <f t="shared" si="1"/>
        <v>5.7500000000000009</v>
      </c>
      <c r="R6" s="6">
        <f t="shared" si="2"/>
        <v>884.40200000000004</v>
      </c>
      <c r="S6" s="6">
        <f t="shared" si="4"/>
        <v>1.5829903824E-2</v>
      </c>
      <c r="T6" t="str">
        <f t="shared" si="3"/>
        <v>Maximo Accoya Rough Sawn 4/4x6 Long</v>
      </c>
    </row>
    <row r="7" spans="1:20" x14ac:dyDescent="0.25">
      <c r="A7" t="s">
        <v>281</v>
      </c>
      <c r="B7" t="s">
        <v>282</v>
      </c>
      <c r="C7" t="s">
        <v>283</v>
      </c>
      <c r="D7" t="s">
        <v>284</v>
      </c>
      <c r="E7" t="s">
        <v>295</v>
      </c>
      <c r="F7" t="s">
        <v>286</v>
      </c>
      <c r="G7" t="s">
        <v>287</v>
      </c>
      <c r="H7" t="s">
        <v>288</v>
      </c>
      <c r="I7" t="s">
        <v>289</v>
      </c>
      <c r="J7" t="s">
        <v>290</v>
      </c>
      <c r="K7">
        <v>15</v>
      </c>
      <c r="L7" s="6">
        <v>4.5720000000000001</v>
      </c>
      <c r="M7" s="7">
        <v>25.4</v>
      </c>
      <c r="N7" s="7">
        <v>146.05000000000001</v>
      </c>
      <c r="O7" s="7">
        <f t="shared" si="0"/>
        <v>180</v>
      </c>
      <c r="P7" s="7">
        <f t="shared" si="1"/>
        <v>1</v>
      </c>
      <c r="Q7" s="7">
        <f t="shared" si="1"/>
        <v>5.7500000000000009</v>
      </c>
      <c r="R7" s="6">
        <f t="shared" si="2"/>
        <v>884.40200000000004</v>
      </c>
      <c r="S7" s="6">
        <f t="shared" si="4"/>
        <v>1.6960611240000003E-2</v>
      </c>
      <c r="T7" t="str">
        <f t="shared" si="3"/>
        <v>Maximo Accoya Rough Sawn 4/4x6 Long</v>
      </c>
    </row>
    <row r="8" spans="1:20" x14ac:dyDescent="0.25">
      <c r="A8" t="s">
        <v>281</v>
      </c>
      <c r="B8" t="s">
        <v>282</v>
      </c>
      <c r="C8" t="s">
        <v>283</v>
      </c>
      <c r="D8" t="s">
        <v>284</v>
      </c>
      <c r="E8" t="s">
        <v>296</v>
      </c>
      <c r="F8" t="s">
        <v>286</v>
      </c>
      <c r="G8" t="s">
        <v>287</v>
      </c>
      <c r="H8" t="s">
        <v>288</v>
      </c>
      <c r="I8" t="s">
        <v>289</v>
      </c>
      <c r="J8" t="s">
        <v>290</v>
      </c>
      <c r="K8">
        <v>16</v>
      </c>
      <c r="L8" s="6">
        <v>4.8768000000000002</v>
      </c>
      <c r="M8" s="7">
        <v>25.4</v>
      </c>
      <c r="N8" s="7">
        <v>146.05000000000001</v>
      </c>
      <c r="O8" s="7">
        <f t="shared" si="0"/>
        <v>192.00000000000003</v>
      </c>
      <c r="P8" s="7">
        <f t="shared" si="1"/>
        <v>1</v>
      </c>
      <c r="Q8" s="7">
        <f t="shared" si="1"/>
        <v>5.7500000000000009</v>
      </c>
      <c r="R8" s="6">
        <f t="shared" si="2"/>
        <v>884.40200000000004</v>
      </c>
      <c r="S8" s="6">
        <f t="shared" si="4"/>
        <v>1.8091318656000003E-2</v>
      </c>
      <c r="T8" t="str">
        <f t="shared" si="3"/>
        <v>Maximo Accoya Rough Sawn 4/4x6 Long</v>
      </c>
    </row>
    <row r="9" spans="1:20" x14ac:dyDescent="0.25">
      <c r="A9" t="s">
        <v>281</v>
      </c>
      <c r="B9" t="s">
        <v>282</v>
      </c>
      <c r="C9" t="s">
        <v>283</v>
      </c>
      <c r="D9" t="s">
        <v>284</v>
      </c>
      <c r="E9" t="s">
        <v>297</v>
      </c>
      <c r="F9" t="s">
        <v>286</v>
      </c>
      <c r="G9" t="s">
        <v>287</v>
      </c>
      <c r="H9" t="s">
        <v>288</v>
      </c>
      <c r="I9" t="s">
        <v>289</v>
      </c>
      <c r="J9" t="s">
        <v>290</v>
      </c>
      <c r="K9">
        <v>8</v>
      </c>
      <c r="L9" s="6">
        <v>2.4384000000000001</v>
      </c>
      <c r="M9" s="7">
        <v>25.4</v>
      </c>
      <c r="N9" s="7">
        <v>146.05000000000001</v>
      </c>
      <c r="O9" s="7">
        <f t="shared" si="0"/>
        <v>96.000000000000014</v>
      </c>
      <c r="P9" s="7">
        <f t="shared" si="1"/>
        <v>1</v>
      </c>
      <c r="Q9" s="7">
        <f t="shared" si="1"/>
        <v>5.7500000000000009</v>
      </c>
      <c r="R9" s="6">
        <f t="shared" si="2"/>
        <v>884.40200000000004</v>
      </c>
      <c r="S9" s="6">
        <f t="shared" si="4"/>
        <v>9.0456593280000015E-3</v>
      </c>
      <c r="T9" t="str">
        <f t="shared" si="3"/>
        <v>Maximo Accoya Rough Sawn 4/4x6 Long</v>
      </c>
    </row>
    <row r="10" spans="1:20" x14ac:dyDescent="0.25">
      <c r="A10" t="s">
        <v>281</v>
      </c>
      <c r="B10" t="s">
        <v>282</v>
      </c>
      <c r="C10" t="s">
        <v>283</v>
      </c>
      <c r="D10" t="s">
        <v>284</v>
      </c>
      <c r="E10" t="s">
        <v>298</v>
      </c>
      <c r="F10" t="s">
        <v>286</v>
      </c>
      <c r="G10" t="s">
        <v>287</v>
      </c>
      <c r="H10" t="s">
        <v>288</v>
      </c>
      <c r="I10" t="s">
        <v>289</v>
      </c>
      <c r="J10" t="s">
        <v>290</v>
      </c>
      <c r="K10">
        <v>9</v>
      </c>
      <c r="L10" s="6">
        <v>2.7431999999999999</v>
      </c>
      <c r="M10" s="7">
        <v>25.4</v>
      </c>
      <c r="N10" s="7">
        <v>146.05000000000001</v>
      </c>
      <c r="O10" s="7">
        <f t="shared" si="0"/>
        <v>108</v>
      </c>
      <c r="P10" s="7">
        <f t="shared" si="1"/>
        <v>1</v>
      </c>
      <c r="Q10" s="7">
        <f t="shared" si="1"/>
        <v>5.7500000000000009</v>
      </c>
      <c r="R10" s="6">
        <f t="shared" si="2"/>
        <v>884.40200000000004</v>
      </c>
      <c r="S10" s="6">
        <f t="shared" si="4"/>
        <v>1.0176366744E-2</v>
      </c>
      <c r="T10" t="str">
        <f t="shared" si="3"/>
        <v>Maximo Accoya Rough Sawn 4/4x6 Long</v>
      </c>
    </row>
    <row r="11" spans="1:20" x14ac:dyDescent="0.25">
      <c r="A11" t="s">
        <v>281</v>
      </c>
      <c r="B11" t="s">
        <v>282</v>
      </c>
      <c r="C11" t="s">
        <v>283</v>
      </c>
      <c r="D11" t="s">
        <v>284</v>
      </c>
      <c r="E11" t="s">
        <v>299</v>
      </c>
      <c r="F11" t="s">
        <v>300</v>
      </c>
      <c r="G11" t="s">
        <v>287</v>
      </c>
      <c r="H11" t="s">
        <v>288</v>
      </c>
      <c r="I11" t="s">
        <v>289</v>
      </c>
      <c r="J11" t="s">
        <v>301</v>
      </c>
      <c r="K11">
        <v>10</v>
      </c>
      <c r="L11" s="6">
        <v>3.048</v>
      </c>
      <c r="M11" s="7">
        <v>25.4</v>
      </c>
      <c r="N11" s="7">
        <v>146.05000000000001</v>
      </c>
      <c r="O11" s="7">
        <f t="shared" si="0"/>
        <v>120</v>
      </c>
      <c r="P11" s="7">
        <f t="shared" si="1"/>
        <v>1</v>
      </c>
      <c r="Q11" s="7">
        <f t="shared" si="1"/>
        <v>5.7500000000000009</v>
      </c>
      <c r="R11" s="6">
        <f t="shared" si="2"/>
        <v>884.40200000000004</v>
      </c>
      <c r="S11" s="6">
        <f t="shared" si="4"/>
        <v>1.1307074160000003E-2</v>
      </c>
      <c r="T11" t="str">
        <f t="shared" si="3"/>
        <v>Maximo Accoya Rough Sawn 5/4x6 Long</v>
      </c>
    </row>
    <row r="12" spans="1:20" x14ac:dyDescent="0.25">
      <c r="A12" t="s">
        <v>281</v>
      </c>
      <c r="B12" t="s">
        <v>282</v>
      </c>
      <c r="C12" t="s">
        <v>283</v>
      </c>
      <c r="D12" t="s">
        <v>284</v>
      </c>
      <c r="E12" t="s">
        <v>302</v>
      </c>
      <c r="F12" t="s">
        <v>300</v>
      </c>
      <c r="G12" t="s">
        <v>287</v>
      </c>
      <c r="H12" t="s">
        <v>288</v>
      </c>
      <c r="I12" t="s">
        <v>289</v>
      </c>
      <c r="J12" t="s">
        <v>301</v>
      </c>
      <c r="K12">
        <v>11</v>
      </c>
      <c r="L12" s="6">
        <v>3.3527999999999998</v>
      </c>
      <c r="M12" s="7">
        <v>25.4</v>
      </c>
      <c r="N12" s="7">
        <v>146.05000000000001</v>
      </c>
      <c r="O12" s="7">
        <f t="shared" si="0"/>
        <v>132</v>
      </c>
      <c r="P12" s="7">
        <f t="shared" si="1"/>
        <v>1</v>
      </c>
      <c r="Q12" s="7">
        <f t="shared" si="1"/>
        <v>5.7500000000000009</v>
      </c>
      <c r="R12" s="6">
        <f t="shared" si="2"/>
        <v>884.40200000000004</v>
      </c>
      <c r="S12" s="6">
        <f t="shared" si="4"/>
        <v>1.2437781575999998E-2</v>
      </c>
      <c r="T12" t="str">
        <f t="shared" si="3"/>
        <v>Maximo Accoya Rough Sawn 5/4x6 Long</v>
      </c>
    </row>
    <row r="13" spans="1:20" x14ac:dyDescent="0.25">
      <c r="A13" t="s">
        <v>281</v>
      </c>
      <c r="B13" t="s">
        <v>282</v>
      </c>
      <c r="C13" t="s">
        <v>283</v>
      </c>
      <c r="D13" t="s">
        <v>284</v>
      </c>
      <c r="E13" t="s">
        <v>303</v>
      </c>
      <c r="F13" t="s">
        <v>300</v>
      </c>
      <c r="G13" t="s">
        <v>287</v>
      </c>
      <c r="H13" t="s">
        <v>288</v>
      </c>
      <c r="I13" t="s">
        <v>289</v>
      </c>
      <c r="J13" t="s">
        <v>301</v>
      </c>
      <c r="K13">
        <v>12</v>
      </c>
      <c r="L13" s="6">
        <v>3.6576</v>
      </c>
      <c r="M13" s="7">
        <v>25.4</v>
      </c>
      <c r="N13" s="7">
        <v>146.05000000000001</v>
      </c>
      <c r="O13" s="7">
        <f t="shared" si="0"/>
        <v>144</v>
      </c>
      <c r="P13" s="7">
        <f t="shared" si="1"/>
        <v>1</v>
      </c>
      <c r="Q13" s="7">
        <f t="shared" si="1"/>
        <v>5.7500000000000009</v>
      </c>
      <c r="R13" s="6">
        <f t="shared" si="2"/>
        <v>884.40200000000004</v>
      </c>
      <c r="S13" s="6">
        <f t="shared" si="4"/>
        <v>1.3568488992000001E-2</v>
      </c>
      <c r="T13" t="str">
        <f t="shared" si="3"/>
        <v>Maximo Accoya Rough Sawn 5/4x6 Long</v>
      </c>
    </row>
    <row r="14" spans="1:20" x14ac:dyDescent="0.25">
      <c r="A14" t="s">
        <v>281</v>
      </c>
      <c r="B14" t="s">
        <v>282</v>
      </c>
      <c r="C14" t="s">
        <v>283</v>
      </c>
      <c r="D14" t="s">
        <v>284</v>
      </c>
      <c r="E14" t="s">
        <v>304</v>
      </c>
      <c r="F14" t="s">
        <v>300</v>
      </c>
      <c r="G14" t="s">
        <v>287</v>
      </c>
      <c r="H14" t="s">
        <v>288</v>
      </c>
      <c r="I14" t="s">
        <v>289</v>
      </c>
      <c r="J14" t="s">
        <v>301</v>
      </c>
      <c r="K14">
        <v>13</v>
      </c>
      <c r="L14" s="6">
        <v>3.9624000000000001</v>
      </c>
      <c r="M14" s="7">
        <v>25.4</v>
      </c>
      <c r="N14" s="7">
        <v>146.05000000000001</v>
      </c>
      <c r="O14" s="7">
        <f t="shared" si="0"/>
        <v>156</v>
      </c>
      <c r="P14" s="7">
        <f t="shared" si="1"/>
        <v>1</v>
      </c>
      <c r="Q14" s="7">
        <f t="shared" si="1"/>
        <v>5.7500000000000009</v>
      </c>
      <c r="R14" s="6">
        <f t="shared" si="2"/>
        <v>884.40200000000004</v>
      </c>
      <c r="S14" s="6">
        <f t="shared" si="4"/>
        <v>1.4699196408000001E-2</v>
      </c>
      <c r="T14" t="str">
        <f t="shared" si="3"/>
        <v>Maximo Accoya Rough Sawn 5/4x6 Long</v>
      </c>
    </row>
    <row r="15" spans="1:20" x14ac:dyDescent="0.25">
      <c r="A15" t="s">
        <v>281</v>
      </c>
      <c r="B15" t="s">
        <v>282</v>
      </c>
      <c r="C15" t="s">
        <v>283</v>
      </c>
      <c r="D15" t="s">
        <v>284</v>
      </c>
      <c r="E15" t="s">
        <v>305</v>
      </c>
      <c r="F15" t="s">
        <v>300</v>
      </c>
      <c r="G15" t="s">
        <v>287</v>
      </c>
      <c r="H15" t="s">
        <v>288</v>
      </c>
      <c r="I15" t="s">
        <v>289</v>
      </c>
      <c r="J15" t="s">
        <v>301</v>
      </c>
      <c r="K15">
        <v>14</v>
      </c>
      <c r="L15" s="6">
        <v>4.2671999999999999</v>
      </c>
      <c r="M15" s="7">
        <v>25.4</v>
      </c>
      <c r="N15" s="7">
        <v>146.05000000000001</v>
      </c>
      <c r="O15" s="7">
        <f t="shared" si="0"/>
        <v>168</v>
      </c>
      <c r="P15" s="7">
        <f t="shared" si="1"/>
        <v>1</v>
      </c>
      <c r="Q15" s="7">
        <f t="shared" si="1"/>
        <v>5.7500000000000009</v>
      </c>
      <c r="R15" s="6">
        <f t="shared" si="2"/>
        <v>884.40200000000004</v>
      </c>
      <c r="S15" s="6">
        <f t="shared" si="4"/>
        <v>1.5829903824E-2</v>
      </c>
      <c r="T15" t="str">
        <f t="shared" si="3"/>
        <v>Maximo Accoya Rough Sawn 5/4x6 Long</v>
      </c>
    </row>
    <row r="16" spans="1:20" x14ac:dyDescent="0.25">
      <c r="A16" t="s">
        <v>281</v>
      </c>
      <c r="B16" t="s">
        <v>282</v>
      </c>
      <c r="C16" t="s">
        <v>283</v>
      </c>
      <c r="D16" t="s">
        <v>284</v>
      </c>
      <c r="E16" t="s">
        <v>306</v>
      </c>
      <c r="F16" t="s">
        <v>300</v>
      </c>
      <c r="G16" t="s">
        <v>287</v>
      </c>
      <c r="H16" t="s">
        <v>288</v>
      </c>
      <c r="I16" t="s">
        <v>289</v>
      </c>
      <c r="J16" t="s">
        <v>301</v>
      </c>
      <c r="K16">
        <v>15</v>
      </c>
      <c r="L16" s="6">
        <v>4.5720000000000001</v>
      </c>
      <c r="M16" s="7">
        <v>25.4</v>
      </c>
      <c r="N16" s="7">
        <v>146.05000000000001</v>
      </c>
      <c r="O16" s="7">
        <f t="shared" si="0"/>
        <v>180</v>
      </c>
      <c r="P16" s="7">
        <f t="shared" si="1"/>
        <v>1</v>
      </c>
      <c r="Q16" s="7">
        <f t="shared" si="1"/>
        <v>5.7500000000000009</v>
      </c>
      <c r="R16" s="6">
        <f t="shared" si="2"/>
        <v>884.40200000000004</v>
      </c>
      <c r="S16" s="6">
        <f t="shared" si="4"/>
        <v>1.6960611240000003E-2</v>
      </c>
      <c r="T16" t="str">
        <f t="shared" si="3"/>
        <v>Maximo Accoya Rough Sawn 5/4x6 Long</v>
      </c>
    </row>
    <row r="17" spans="1:20" x14ac:dyDescent="0.25">
      <c r="A17" t="s">
        <v>281</v>
      </c>
      <c r="B17" t="s">
        <v>282</v>
      </c>
      <c r="C17" t="s">
        <v>283</v>
      </c>
      <c r="D17" t="s">
        <v>284</v>
      </c>
      <c r="E17" t="s">
        <v>307</v>
      </c>
      <c r="F17" t="s">
        <v>300</v>
      </c>
      <c r="G17" t="s">
        <v>287</v>
      </c>
      <c r="H17" t="s">
        <v>288</v>
      </c>
      <c r="I17" t="s">
        <v>289</v>
      </c>
      <c r="J17" t="s">
        <v>301</v>
      </c>
      <c r="K17">
        <v>16</v>
      </c>
      <c r="L17" s="6">
        <v>4.8768000000000002</v>
      </c>
      <c r="M17" s="7">
        <v>25.4</v>
      </c>
      <c r="N17" s="7">
        <v>146.05000000000001</v>
      </c>
      <c r="O17" s="7">
        <f t="shared" si="0"/>
        <v>192.00000000000003</v>
      </c>
      <c r="P17" s="7">
        <f t="shared" si="1"/>
        <v>1</v>
      </c>
      <c r="Q17" s="7">
        <f t="shared" si="1"/>
        <v>5.7500000000000009</v>
      </c>
      <c r="R17" s="6">
        <f t="shared" si="2"/>
        <v>884.40200000000004</v>
      </c>
      <c r="S17" s="6">
        <f t="shared" si="4"/>
        <v>1.8091318656000003E-2</v>
      </c>
      <c r="T17" t="str">
        <f t="shared" si="3"/>
        <v>Maximo Accoya Rough Sawn 5/4x6 Long</v>
      </c>
    </row>
    <row r="18" spans="1:20" x14ac:dyDescent="0.25">
      <c r="A18" t="s">
        <v>281</v>
      </c>
      <c r="B18" t="s">
        <v>282</v>
      </c>
      <c r="C18" t="s">
        <v>283</v>
      </c>
      <c r="D18" t="s">
        <v>284</v>
      </c>
      <c r="E18" t="s">
        <v>308</v>
      </c>
      <c r="F18" t="s">
        <v>300</v>
      </c>
      <c r="G18" t="s">
        <v>287</v>
      </c>
      <c r="H18" t="s">
        <v>288</v>
      </c>
      <c r="I18" t="s">
        <v>289</v>
      </c>
      <c r="J18" t="s">
        <v>301</v>
      </c>
      <c r="K18">
        <v>8</v>
      </c>
      <c r="L18" s="6">
        <v>2.4384000000000001</v>
      </c>
      <c r="M18" s="7">
        <v>25.4</v>
      </c>
      <c r="N18" s="7">
        <v>146.05000000000001</v>
      </c>
      <c r="O18" s="7">
        <f t="shared" si="0"/>
        <v>96.000000000000014</v>
      </c>
      <c r="P18" s="7">
        <f t="shared" si="1"/>
        <v>1</v>
      </c>
      <c r="Q18" s="7">
        <f t="shared" si="1"/>
        <v>5.7500000000000009</v>
      </c>
      <c r="R18" s="6">
        <f t="shared" si="2"/>
        <v>884.40200000000004</v>
      </c>
      <c r="S18" s="6">
        <f t="shared" si="4"/>
        <v>9.0456593280000015E-3</v>
      </c>
      <c r="T18" t="str">
        <f t="shared" si="3"/>
        <v>Maximo Accoya Rough Sawn 5/4x6 Long</v>
      </c>
    </row>
    <row r="19" spans="1:20" x14ac:dyDescent="0.25">
      <c r="A19" t="s">
        <v>281</v>
      </c>
      <c r="B19" t="s">
        <v>282</v>
      </c>
      <c r="C19" t="s">
        <v>283</v>
      </c>
      <c r="D19" t="s">
        <v>284</v>
      </c>
      <c r="E19" t="s">
        <v>309</v>
      </c>
      <c r="F19" t="s">
        <v>300</v>
      </c>
      <c r="G19" t="s">
        <v>287</v>
      </c>
      <c r="H19" t="s">
        <v>288</v>
      </c>
      <c r="I19" t="s">
        <v>289</v>
      </c>
      <c r="J19" t="s">
        <v>301</v>
      </c>
      <c r="K19">
        <v>9</v>
      </c>
      <c r="L19" s="6">
        <v>2.7431999999999999</v>
      </c>
      <c r="M19" s="7">
        <v>25.4</v>
      </c>
      <c r="N19" s="7">
        <v>146.05000000000001</v>
      </c>
      <c r="O19" s="7">
        <f t="shared" si="0"/>
        <v>108</v>
      </c>
      <c r="P19" s="7">
        <f t="shared" si="1"/>
        <v>1</v>
      </c>
      <c r="Q19" s="7">
        <f t="shared" si="1"/>
        <v>5.7500000000000009</v>
      </c>
      <c r="R19" s="6">
        <f t="shared" si="2"/>
        <v>884.40200000000004</v>
      </c>
      <c r="S19" s="6">
        <f t="shared" si="4"/>
        <v>1.0176366744E-2</v>
      </c>
      <c r="T19" t="str">
        <f t="shared" si="3"/>
        <v>Maximo Accoya Rough Sawn 5/4x6 Long</v>
      </c>
    </row>
    <row r="20" spans="1:20" x14ac:dyDescent="0.25">
      <c r="A20" t="s">
        <v>281</v>
      </c>
      <c r="B20" t="s">
        <v>282</v>
      </c>
      <c r="C20" t="s">
        <v>283</v>
      </c>
      <c r="D20" t="s">
        <v>284</v>
      </c>
      <c r="E20" t="s">
        <v>310</v>
      </c>
      <c r="F20" t="s">
        <v>311</v>
      </c>
      <c r="G20" t="s">
        <v>287</v>
      </c>
      <c r="H20" t="s">
        <v>288</v>
      </c>
      <c r="I20" t="s">
        <v>312</v>
      </c>
      <c r="J20" t="s">
        <v>290</v>
      </c>
      <c r="K20">
        <v>10</v>
      </c>
      <c r="L20" s="6">
        <v>3.048</v>
      </c>
      <c r="M20" s="7">
        <v>25.4</v>
      </c>
      <c r="N20" s="7">
        <v>146.05000000000001</v>
      </c>
      <c r="O20" s="7">
        <f t="shared" si="0"/>
        <v>120</v>
      </c>
      <c r="P20" s="7">
        <f t="shared" si="1"/>
        <v>1</v>
      </c>
      <c r="Q20" s="7">
        <f t="shared" si="1"/>
        <v>5.7500000000000009</v>
      </c>
      <c r="R20" s="6">
        <f t="shared" si="2"/>
        <v>884.40200000000004</v>
      </c>
      <c r="S20" s="6">
        <f t="shared" si="4"/>
        <v>1.1307074160000003E-2</v>
      </c>
      <c r="T20" t="str">
        <f t="shared" si="3"/>
        <v>Maximo Accoya Rough Sawn Grey 4/4x6 Long</v>
      </c>
    </row>
    <row r="21" spans="1:20" x14ac:dyDescent="0.25">
      <c r="A21" t="s">
        <v>281</v>
      </c>
      <c r="B21" t="s">
        <v>282</v>
      </c>
      <c r="C21" t="s">
        <v>283</v>
      </c>
      <c r="D21" t="s">
        <v>284</v>
      </c>
      <c r="E21" t="s">
        <v>313</v>
      </c>
      <c r="F21" t="s">
        <v>311</v>
      </c>
      <c r="G21" t="s">
        <v>287</v>
      </c>
      <c r="H21" t="s">
        <v>288</v>
      </c>
      <c r="I21" t="s">
        <v>312</v>
      </c>
      <c r="J21" t="s">
        <v>290</v>
      </c>
      <c r="K21">
        <v>11</v>
      </c>
      <c r="L21" s="6">
        <v>3.3527999999999998</v>
      </c>
      <c r="M21" s="7">
        <v>25.4</v>
      </c>
      <c r="N21" s="7">
        <v>146.05000000000001</v>
      </c>
      <c r="O21" s="7">
        <f t="shared" si="0"/>
        <v>132</v>
      </c>
      <c r="P21" s="7">
        <f t="shared" si="1"/>
        <v>1</v>
      </c>
      <c r="Q21" s="7">
        <f t="shared" si="1"/>
        <v>5.7500000000000009</v>
      </c>
      <c r="R21" s="6">
        <f t="shared" si="2"/>
        <v>884.40200000000004</v>
      </c>
      <c r="S21" s="6">
        <f t="shared" si="4"/>
        <v>1.2437781575999998E-2</v>
      </c>
      <c r="T21" t="str">
        <f t="shared" si="3"/>
        <v>Maximo Accoya Rough Sawn Grey 4/4x6 Long</v>
      </c>
    </row>
    <row r="22" spans="1:20" x14ac:dyDescent="0.25">
      <c r="A22" t="s">
        <v>281</v>
      </c>
      <c r="B22" t="s">
        <v>282</v>
      </c>
      <c r="C22" t="s">
        <v>283</v>
      </c>
      <c r="D22" t="s">
        <v>284</v>
      </c>
      <c r="E22" t="s">
        <v>314</v>
      </c>
      <c r="F22" t="s">
        <v>311</v>
      </c>
      <c r="G22" t="s">
        <v>287</v>
      </c>
      <c r="H22" t="s">
        <v>288</v>
      </c>
      <c r="I22" t="s">
        <v>312</v>
      </c>
      <c r="J22" t="s">
        <v>290</v>
      </c>
      <c r="K22">
        <v>12</v>
      </c>
      <c r="L22" s="6">
        <v>3.6576</v>
      </c>
      <c r="M22" s="7">
        <v>25.4</v>
      </c>
      <c r="N22" s="7">
        <v>146.05000000000001</v>
      </c>
      <c r="O22" s="7">
        <f t="shared" si="0"/>
        <v>144</v>
      </c>
      <c r="P22" s="7">
        <f t="shared" si="1"/>
        <v>1</v>
      </c>
      <c r="Q22" s="7">
        <f t="shared" si="1"/>
        <v>5.7500000000000009</v>
      </c>
      <c r="R22" s="6">
        <f t="shared" si="2"/>
        <v>884.40200000000004</v>
      </c>
      <c r="S22" s="6">
        <f t="shared" si="4"/>
        <v>1.3568488992000001E-2</v>
      </c>
      <c r="T22" t="str">
        <f t="shared" si="3"/>
        <v>Maximo Accoya Rough Sawn Grey 4/4x6 Long</v>
      </c>
    </row>
    <row r="23" spans="1:20" x14ac:dyDescent="0.25">
      <c r="A23" t="s">
        <v>281</v>
      </c>
      <c r="B23" t="s">
        <v>282</v>
      </c>
      <c r="C23" t="s">
        <v>283</v>
      </c>
      <c r="D23" t="s">
        <v>284</v>
      </c>
      <c r="E23" t="s">
        <v>315</v>
      </c>
      <c r="F23" t="s">
        <v>311</v>
      </c>
      <c r="G23" t="s">
        <v>287</v>
      </c>
      <c r="H23" t="s">
        <v>288</v>
      </c>
      <c r="I23" t="s">
        <v>312</v>
      </c>
      <c r="J23" t="s">
        <v>290</v>
      </c>
      <c r="K23">
        <v>13</v>
      </c>
      <c r="L23" s="6">
        <v>3.9624000000000001</v>
      </c>
      <c r="M23" s="7">
        <v>25.4</v>
      </c>
      <c r="N23" s="7">
        <v>146.05000000000001</v>
      </c>
      <c r="O23" s="7">
        <f t="shared" si="0"/>
        <v>156</v>
      </c>
      <c r="P23" s="7">
        <f t="shared" si="1"/>
        <v>1</v>
      </c>
      <c r="Q23" s="7">
        <f t="shared" si="1"/>
        <v>5.7500000000000009</v>
      </c>
      <c r="R23" s="6">
        <f t="shared" si="2"/>
        <v>884.40200000000004</v>
      </c>
      <c r="S23" s="6">
        <f t="shared" si="4"/>
        <v>1.4699196408000001E-2</v>
      </c>
      <c r="T23" t="str">
        <f t="shared" si="3"/>
        <v>Maximo Accoya Rough Sawn Grey 4/4x6 Long</v>
      </c>
    </row>
    <row r="24" spans="1:20" x14ac:dyDescent="0.25">
      <c r="A24" t="s">
        <v>281</v>
      </c>
      <c r="B24" t="s">
        <v>282</v>
      </c>
      <c r="C24" t="s">
        <v>283</v>
      </c>
      <c r="D24" t="s">
        <v>284</v>
      </c>
      <c r="E24" t="s">
        <v>316</v>
      </c>
      <c r="F24" t="s">
        <v>311</v>
      </c>
      <c r="G24" t="s">
        <v>287</v>
      </c>
      <c r="H24" t="s">
        <v>288</v>
      </c>
      <c r="I24" t="s">
        <v>312</v>
      </c>
      <c r="J24" t="s">
        <v>290</v>
      </c>
      <c r="K24">
        <v>14</v>
      </c>
      <c r="L24" s="6">
        <v>4.2671999999999999</v>
      </c>
      <c r="M24" s="7">
        <v>25.4</v>
      </c>
      <c r="N24" s="7">
        <v>146.05000000000001</v>
      </c>
      <c r="O24" s="7">
        <f t="shared" si="0"/>
        <v>168</v>
      </c>
      <c r="P24" s="7">
        <f t="shared" si="1"/>
        <v>1</v>
      </c>
      <c r="Q24" s="7">
        <f t="shared" si="1"/>
        <v>5.7500000000000009</v>
      </c>
      <c r="R24" s="6">
        <f t="shared" si="2"/>
        <v>884.40200000000004</v>
      </c>
      <c r="S24" s="6">
        <f t="shared" si="4"/>
        <v>1.5829903824E-2</v>
      </c>
      <c r="T24" t="str">
        <f t="shared" si="3"/>
        <v>Maximo Accoya Rough Sawn Grey 4/4x6 Long</v>
      </c>
    </row>
    <row r="25" spans="1:20" x14ac:dyDescent="0.25">
      <c r="A25" t="s">
        <v>281</v>
      </c>
      <c r="B25" t="s">
        <v>282</v>
      </c>
      <c r="C25" t="s">
        <v>283</v>
      </c>
      <c r="D25" t="s">
        <v>284</v>
      </c>
      <c r="E25" t="s">
        <v>317</v>
      </c>
      <c r="F25" t="s">
        <v>311</v>
      </c>
      <c r="G25" t="s">
        <v>287</v>
      </c>
      <c r="H25" t="s">
        <v>288</v>
      </c>
      <c r="I25" t="s">
        <v>312</v>
      </c>
      <c r="J25" t="s">
        <v>290</v>
      </c>
      <c r="K25">
        <v>15</v>
      </c>
      <c r="L25" s="6">
        <v>4.5720000000000001</v>
      </c>
      <c r="M25" s="7">
        <v>25.4</v>
      </c>
      <c r="N25" s="7">
        <v>146.05000000000001</v>
      </c>
      <c r="O25" s="7">
        <f t="shared" si="0"/>
        <v>180</v>
      </c>
      <c r="P25" s="7">
        <f t="shared" si="1"/>
        <v>1</v>
      </c>
      <c r="Q25" s="7">
        <f t="shared" si="1"/>
        <v>5.7500000000000009</v>
      </c>
      <c r="R25" s="6">
        <f t="shared" si="2"/>
        <v>884.40200000000004</v>
      </c>
      <c r="S25" s="6">
        <f t="shared" si="4"/>
        <v>1.6960611240000003E-2</v>
      </c>
      <c r="T25" t="str">
        <f t="shared" si="3"/>
        <v>Maximo Accoya Rough Sawn Grey 4/4x6 Long</v>
      </c>
    </row>
    <row r="26" spans="1:20" x14ac:dyDescent="0.25">
      <c r="A26" t="s">
        <v>281</v>
      </c>
      <c r="B26" t="s">
        <v>282</v>
      </c>
      <c r="C26" t="s">
        <v>283</v>
      </c>
      <c r="D26" t="s">
        <v>284</v>
      </c>
      <c r="E26" t="s">
        <v>318</v>
      </c>
      <c r="F26" t="s">
        <v>311</v>
      </c>
      <c r="G26" t="s">
        <v>287</v>
      </c>
      <c r="H26" t="s">
        <v>288</v>
      </c>
      <c r="I26" t="s">
        <v>312</v>
      </c>
      <c r="J26" t="s">
        <v>290</v>
      </c>
      <c r="K26">
        <v>16</v>
      </c>
      <c r="L26" s="6">
        <v>4.8768000000000002</v>
      </c>
      <c r="M26" s="7">
        <v>25.4</v>
      </c>
      <c r="N26" s="7">
        <v>146.05000000000001</v>
      </c>
      <c r="O26" s="7">
        <f t="shared" si="0"/>
        <v>192.00000000000003</v>
      </c>
      <c r="P26" s="7">
        <f t="shared" si="1"/>
        <v>1</v>
      </c>
      <c r="Q26" s="7">
        <f t="shared" si="1"/>
        <v>5.7500000000000009</v>
      </c>
      <c r="R26" s="6">
        <f t="shared" si="2"/>
        <v>884.40200000000004</v>
      </c>
      <c r="S26" s="6">
        <f t="shared" si="4"/>
        <v>1.8091318656000003E-2</v>
      </c>
      <c r="T26" t="str">
        <f t="shared" si="3"/>
        <v>Maximo Accoya Rough Sawn Grey 4/4x6 Long</v>
      </c>
    </row>
    <row r="27" spans="1:20" x14ac:dyDescent="0.25">
      <c r="A27" t="s">
        <v>281</v>
      </c>
      <c r="B27" t="s">
        <v>282</v>
      </c>
      <c r="C27" t="s">
        <v>283</v>
      </c>
      <c r="D27" t="s">
        <v>284</v>
      </c>
      <c r="E27" t="s">
        <v>319</v>
      </c>
      <c r="F27" t="s">
        <v>311</v>
      </c>
      <c r="G27" t="s">
        <v>287</v>
      </c>
      <c r="H27" t="s">
        <v>288</v>
      </c>
      <c r="I27" t="s">
        <v>312</v>
      </c>
      <c r="J27" t="s">
        <v>290</v>
      </c>
      <c r="K27">
        <v>8</v>
      </c>
      <c r="L27" s="6">
        <v>2.4384000000000001</v>
      </c>
      <c r="M27" s="7">
        <v>25.4</v>
      </c>
      <c r="N27" s="7">
        <v>146.05000000000001</v>
      </c>
      <c r="O27" s="7">
        <f t="shared" si="0"/>
        <v>96.000000000000014</v>
      </c>
      <c r="P27" s="7">
        <f t="shared" si="1"/>
        <v>1</v>
      </c>
      <c r="Q27" s="7">
        <f t="shared" si="1"/>
        <v>5.7500000000000009</v>
      </c>
      <c r="R27" s="6">
        <f t="shared" si="2"/>
        <v>884.40200000000004</v>
      </c>
      <c r="S27" s="6">
        <f t="shared" si="4"/>
        <v>9.0456593280000015E-3</v>
      </c>
      <c r="T27" t="str">
        <f t="shared" si="3"/>
        <v>Maximo Accoya Rough Sawn Grey 4/4x6 Long</v>
      </c>
    </row>
    <row r="28" spans="1:20" x14ac:dyDescent="0.25">
      <c r="A28" t="s">
        <v>281</v>
      </c>
      <c r="B28" t="s">
        <v>282</v>
      </c>
      <c r="C28" t="s">
        <v>283</v>
      </c>
      <c r="D28" t="s">
        <v>284</v>
      </c>
      <c r="E28" t="s">
        <v>320</v>
      </c>
      <c r="F28" t="s">
        <v>311</v>
      </c>
      <c r="G28" t="s">
        <v>287</v>
      </c>
      <c r="H28" t="s">
        <v>288</v>
      </c>
      <c r="I28" t="s">
        <v>312</v>
      </c>
      <c r="J28" t="s">
        <v>290</v>
      </c>
      <c r="K28">
        <v>9</v>
      </c>
      <c r="L28" s="6">
        <v>2.7431999999999999</v>
      </c>
      <c r="M28" s="7">
        <v>25.4</v>
      </c>
      <c r="N28" s="7">
        <v>146.05000000000001</v>
      </c>
      <c r="O28" s="7">
        <f t="shared" si="0"/>
        <v>108</v>
      </c>
      <c r="P28" s="7">
        <f t="shared" si="1"/>
        <v>1</v>
      </c>
      <c r="Q28" s="7">
        <f t="shared" si="1"/>
        <v>5.7500000000000009</v>
      </c>
      <c r="R28" s="6">
        <f t="shared" si="2"/>
        <v>884.40200000000004</v>
      </c>
      <c r="S28" s="6">
        <f t="shared" si="4"/>
        <v>1.0176366744E-2</v>
      </c>
      <c r="T28" t="str">
        <f t="shared" si="3"/>
        <v>Maximo Accoya Rough Sawn Grey 4/4x6 Long</v>
      </c>
    </row>
    <row r="29" spans="1:20" x14ac:dyDescent="0.25">
      <c r="A29" t="s">
        <v>281</v>
      </c>
      <c r="B29" t="s">
        <v>321</v>
      </c>
      <c r="C29" t="s">
        <v>283</v>
      </c>
      <c r="D29" t="s">
        <v>284</v>
      </c>
      <c r="E29" t="s">
        <v>322</v>
      </c>
      <c r="F29" t="s">
        <v>323</v>
      </c>
      <c r="G29" t="s">
        <v>287</v>
      </c>
      <c r="H29" t="s">
        <v>324</v>
      </c>
      <c r="I29" t="s">
        <v>325</v>
      </c>
      <c r="J29" t="s">
        <v>301</v>
      </c>
      <c r="K29">
        <v>10</v>
      </c>
      <c r="L29" s="6">
        <v>3.048</v>
      </c>
      <c r="M29" s="7">
        <v>25.4</v>
      </c>
      <c r="N29" s="7">
        <v>146.05000000000001</v>
      </c>
      <c r="O29" s="7">
        <f t="shared" si="0"/>
        <v>120</v>
      </c>
      <c r="P29" s="7">
        <f t="shared" si="1"/>
        <v>1</v>
      </c>
      <c r="Q29" s="7">
        <f t="shared" si="1"/>
        <v>5.7500000000000009</v>
      </c>
      <c r="R29" s="6">
        <f t="shared" si="2"/>
        <v>884.40200000000004</v>
      </c>
      <c r="S29" s="6">
        <f t="shared" si="4"/>
        <v>1.1307074160000003E-2</v>
      </c>
      <c r="T29" t="str">
        <f t="shared" si="3"/>
        <v>Maximo Accoya Grooved Brown Ipe (Coated) 5/4x6 Long</v>
      </c>
    </row>
    <row r="30" spans="1:20" x14ac:dyDescent="0.25">
      <c r="A30" t="s">
        <v>281</v>
      </c>
      <c r="B30" t="s">
        <v>321</v>
      </c>
      <c r="C30" t="s">
        <v>283</v>
      </c>
      <c r="D30" t="s">
        <v>284</v>
      </c>
      <c r="E30" t="s">
        <v>326</v>
      </c>
      <c r="F30" t="s">
        <v>323</v>
      </c>
      <c r="G30" t="s">
        <v>287</v>
      </c>
      <c r="H30" t="s">
        <v>324</v>
      </c>
      <c r="I30" t="s">
        <v>325</v>
      </c>
      <c r="J30" t="s">
        <v>301</v>
      </c>
      <c r="K30">
        <v>11</v>
      </c>
      <c r="L30" s="6">
        <v>3.3527999999999998</v>
      </c>
      <c r="M30" s="7">
        <v>25.4</v>
      </c>
      <c r="N30" s="7">
        <v>146.05000000000001</v>
      </c>
      <c r="O30" s="7">
        <f t="shared" si="0"/>
        <v>132</v>
      </c>
      <c r="P30" s="7">
        <f t="shared" si="1"/>
        <v>1</v>
      </c>
      <c r="Q30" s="7">
        <f t="shared" si="1"/>
        <v>5.7500000000000009</v>
      </c>
      <c r="R30" s="6">
        <f t="shared" si="2"/>
        <v>884.40200000000004</v>
      </c>
      <c r="S30" s="6">
        <f t="shared" si="4"/>
        <v>1.2437781575999998E-2</v>
      </c>
      <c r="T30" t="str">
        <f t="shared" si="3"/>
        <v>Maximo Accoya Grooved Brown Ipe (Coated) 5/4x6 Long</v>
      </c>
    </row>
    <row r="31" spans="1:20" x14ac:dyDescent="0.25">
      <c r="A31" t="s">
        <v>281</v>
      </c>
      <c r="B31" t="s">
        <v>321</v>
      </c>
      <c r="C31" t="s">
        <v>283</v>
      </c>
      <c r="D31" t="s">
        <v>284</v>
      </c>
      <c r="E31" t="s">
        <v>327</v>
      </c>
      <c r="F31" t="s">
        <v>323</v>
      </c>
      <c r="G31" t="s">
        <v>287</v>
      </c>
      <c r="H31" t="s">
        <v>324</v>
      </c>
      <c r="I31" t="s">
        <v>325</v>
      </c>
      <c r="J31" t="s">
        <v>301</v>
      </c>
      <c r="K31">
        <v>12</v>
      </c>
      <c r="L31" s="6">
        <v>3.6576</v>
      </c>
      <c r="M31" s="7">
        <v>25.4</v>
      </c>
      <c r="N31" s="7">
        <v>146.05000000000001</v>
      </c>
      <c r="O31" s="7">
        <f t="shared" si="0"/>
        <v>144</v>
      </c>
      <c r="P31" s="7">
        <f t="shared" si="1"/>
        <v>1</v>
      </c>
      <c r="Q31" s="7">
        <f t="shared" si="1"/>
        <v>5.7500000000000009</v>
      </c>
      <c r="R31" s="6">
        <f t="shared" si="2"/>
        <v>884.40200000000004</v>
      </c>
      <c r="S31" s="6">
        <f t="shared" si="4"/>
        <v>1.3568488992000001E-2</v>
      </c>
      <c r="T31" t="str">
        <f t="shared" si="3"/>
        <v>Maximo Accoya Grooved Brown Ipe (Coated) 5/4x6 Long</v>
      </c>
    </row>
    <row r="32" spans="1:20" x14ac:dyDescent="0.25">
      <c r="A32" t="s">
        <v>281</v>
      </c>
      <c r="B32" t="s">
        <v>321</v>
      </c>
      <c r="C32" t="s">
        <v>283</v>
      </c>
      <c r="D32" t="s">
        <v>284</v>
      </c>
      <c r="E32" t="s">
        <v>328</v>
      </c>
      <c r="F32" t="s">
        <v>323</v>
      </c>
      <c r="G32" t="s">
        <v>287</v>
      </c>
      <c r="H32" t="s">
        <v>324</v>
      </c>
      <c r="I32" t="s">
        <v>325</v>
      </c>
      <c r="J32" t="s">
        <v>301</v>
      </c>
      <c r="K32">
        <v>13</v>
      </c>
      <c r="L32" s="6">
        <v>3.9624000000000001</v>
      </c>
      <c r="M32" s="7">
        <v>25.4</v>
      </c>
      <c r="N32" s="7">
        <v>146.05000000000001</v>
      </c>
      <c r="O32" s="7">
        <f t="shared" si="0"/>
        <v>156</v>
      </c>
      <c r="P32" s="7">
        <f t="shared" si="1"/>
        <v>1</v>
      </c>
      <c r="Q32" s="7">
        <f t="shared" si="1"/>
        <v>5.7500000000000009</v>
      </c>
      <c r="R32" s="6">
        <f t="shared" si="2"/>
        <v>884.40200000000004</v>
      </c>
      <c r="S32" s="6">
        <f t="shared" si="4"/>
        <v>1.4699196408000001E-2</v>
      </c>
      <c r="T32" t="str">
        <f t="shared" si="3"/>
        <v>Maximo Accoya Grooved Brown Ipe (Coated) 5/4x6 Long</v>
      </c>
    </row>
    <row r="33" spans="1:20" x14ac:dyDescent="0.25">
      <c r="A33" t="s">
        <v>281</v>
      </c>
      <c r="B33" t="s">
        <v>321</v>
      </c>
      <c r="C33" t="s">
        <v>283</v>
      </c>
      <c r="D33" t="s">
        <v>284</v>
      </c>
      <c r="E33" t="s">
        <v>329</v>
      </c>
      <c r="F33" t="s">
        <v>323</v>
      </c>
      <c r="G33" t="s">
        <v>287</v>
      </c>
      <c r="H33" t="s">
        <v>324</v>
      </c>
      <c r="I33" t="s">
        <v>325</v>
      </c>
      <c r="J33" t="s">
        <v>301</v>
      </c>
      <c r="K33">
        <v>14</v>
      </c>
      <c r="L33" s="6">
        <v>4.2671999999999999</v>
      </c>
      <c r="M33" s="7">
        <v>25.4</v>
      </c>
      <c r="N33" s="7">
        <v>146.05000000000001</v>
      </c>
      <c r="O33" s="7">
        <f t="shared" si="0"/>
        <v>168</v>
      </c>
      <c r="P33" s="7">
        <f t="shared" si="1"/>
        <v>1</v>
      </c>
      <c r="Q33" s="7">
        <f t="shared" si="1"/>
        <v>5.7500000000000009</v>
      </c>
      <c r="R33" s="6">
        <f t="shared" si="2"/>
        <v>884.40200000000004</v>
      </c>
      <c r="S33" s="6">
        <f t="shared" si="4"/>
        <v>1.5829903824E-2</v>
      </c>
      <c r="T33" t="str">
        <f t="shared" si="3"/>
        <v>Maximo Accoya Grooved Brown Ipe (Coated) 5/4x6 Long</v>
      </c>
    </row>
    <row r="34" spans="1:20" x14ac:dyDescent="0.25">
      <c r="A34" t="s">
        <v>281</v>
      </c>
      <c r="B34" t="s">
        <v>321</v>
      </c>
      <c r="C34" t="s">
        <v>283</v>
      </c>
      <c r="D34" t="s">
        <v>284</v>
      </c>
      <c r="E34" t="s">
        <v>330</v>
      </c>
      <c r="F34" t="s">
        <v>323</v>
      </c>
      <c r="G34" t="s">
        <v>287</v>
      </c>
      <c r="H34" t="s">
        <v>324</v>
      </c>
      <c r="I34" t="s">
        <v>325</v>
      </c>
      <c r="J34" t="s">
        <v>301</v>
      </c>
      <c r="K34">
        <v>15</v>
      </c>
      <c r="L34" s="6">
        <v>4.5720000000000001</v>
      </c>
      <c r="M34" s="7">
        <v>25.4</v>
      </c>
      <c r="N34" s="7">
        <v>146.05000000000001</v>
      </c>
      <c r="O34" s="7">
        <f t="shared" si="0"/>
        <v>180</v>
      </c>
      <c r="P34" s="7">
        <f t="shared" si="1"/>
        <v>1</v>
      </c>
      <c r="Q34" s="7">
        <f t="shared" si="1"/>
        <v>5.7500000000000009</v>
      </c>
      <c r="R34" s="6">
        <f t="shared" si="2"/>
        <v>884.40200000000004</v>
      </c>
      <c r="S34" s="6">
        <f t="shared" si="4"/>
        <v>1.6960611240000003E-2</v>
      </c>
      <c r="T34" t="str">
        <f t="shared" si="3"/>
        <v>Maximo Accoya Grooved Brown Ipe (Coated) 5/4x6 Long</v>
      </c>
    </row>
    <row r="35" spans="1:20" x14ac:dyDescent="0.25">
      <c r="A35" t="s">
        <v>281</v>
      </c>
      <c r="B35" t="s">
        <v>321</v>
      </c>
      <c r="C35" t="s">
        <v>283</v>
      </c>
      <c r="D35" t="s">
        <v>284</v>
      </c>
      <c r="E35" t="s">
        <v>331</v>
      </c>
      <c r="F35" t="s">
        <v>323</v>
      </c>
      <c r="G35" t="s">
        <v>287</v>
      </c>
      <c r="H35" t="s">
        <v>324</v>
      </c>
      <c r="I35" t="s">
        <v>325</v>
      </c>
      <c r="J35" t="s">
        <v>301</v>
      </c>
      <c r="K35">
        <v>16</v>
      </c>
      <c r="L35" s="6">
        <v>4.8768000000000002</v>
      </c>
      <c r="M35" s="7">
        <v>25.4</v>
      </c>
      <c r="N35" s="7">
        <v>146.05000000000001</v>
      </c>
      <c r="O35" s="7">
        <f t="shared" si="0"/>
        <v>192.00000000000003</v>
      </c>
      <c r="P35" s="7">
        <f t="shared" si="1"/>
        <v>1</v>
      </c>
      <c r="Q35" s="7">
        <f t="shared" si="1"/>
        <v>5.7500000000000009</v>
      </c>
      <c r="R35" s="6">
        <f t="shared" si="2"/>
        <v>884.40200000000004</v>
      </c>
      <c r="S35" s="6">
        <f t="shared" si="4"/>
        <v>1.8091318656000003E-2</v>
      </c>
      <c r="T35" t="str">
        <f t="shared" si="3"/>
        <v>Maximo Accoya Grooved Brown Ipe (Coated) 5/4x6 Long</v>
      </c>
    </row>
    <row r="36" spans="1:20" x14ac:dyDescent="0.25">
      <c r="A36" t="s">
        <v>281</v>
      </c>
      <c r="B36" t="s">
        <v>321</v>
      </c>
      <c r="C36" t="s">
        <v>283</v>
      </c>
      <c r="D36" t="s">
        <v>284</v>
      </c>
      <c r="E36" t="s">
        <v>332</v>
      </c>
      <c r="F36" t="s">
        <v>323</v>
      </c>
      <c r="G36" t="s">
        <v>287</v>
      </c>
      <c r="H36" t="s">
        <v>324</v>
      </c>
      <c r="I36" t="s">
        <v>325</v>
      </c>
      <c r="J36" t="s">
        <v>301</v>
      </c>
      <c r="K36">
        <v>17</v>
      </c>
      <c r="L36" s="6">
        <v>5.1816000000000004</v>
      </c>
      <c r="M36" s="7">
        <v>25.4</v>
      </c>
      <c r="N36" s="7">
        <v>146.05000000000001</v>
      </c>
      <c r="O36" s="7">
        <f t="shared" si="0"/>
        <v>204.00000000000003</v>
      </c>
      <c r="P36" s="7">
        <f t="shared" si="1"/>
        <v>1</v>
      </c>
      <c r="Q36" s="7">
        <f t="shared" si="1"/>
        <v>5.7500000000000009</v>
      </c>
      <c r="R36" s="6">
        <f t="shared" si="2"/>
        <v>884.40200000000004</v>
      </c>
      <c r="S36" s="6">
        <f t="shared" si="4"/>
        <v>1.9222026072000003E-2</v>
      </c>
      <c r="T36" t="str">
        <f t="shared" si="3"/>
        <v>Maximo Accoya Grooved Brown Ipe (Coated) 5/4x6 Long</v>
      </c>
    </row>
    <row r="37" spans="1:20" x14ac:dyDescent="0.25">
      <c r="A37" t="s">
        <v>281</v>
      </c>
      <c r="B37" t="s">
        <v>321</v>
      </c>
      <c r="C37" t="s">
        <v>283</v>
      </c>
      <c r="D37" t="s">
        <v>284</v>
      </c>
      <c r="E37" t="s">
        <v>333</v>
      </c>
      <c r="F37" t="s">
        <v>323</v>
      </c>
      <c r="G37" t="s">
        <v>287</v>
      </c>
      <c r="H37" t="s">
        <v>324</v>
      </c>
      <c r="I37" t="s">
        <v>325</v>
      </c>
      <c r="J37" t="s">
        <v>301</v>
      </c>
      <c r="K37">
        <v>18</v>
      </c>
      <c r="L37" s="6">
        <v>5.4863999999999997</v>
      </c>
      <c r="M37" s="7">
        <v>25.4</v>
      </c>
      <c r="N37" s="7">
        <v>146.05000000000001</v>
      </c>
      <c r="O37" s="7">
        <f t="shared" si="0"/>
        <v>216</v>
      </c>
      <c r="P37" s="7">
        <f t="shared" si="1"/>
        <v>1</v>
      </c>
      <c r="Q37" s="7">
        <f t="shared" si="1"/>
        <v>5.7500000000000009</v>
      </c>
      <c r="R37" s="6">
        <f t="shared" si="2"/>
        <v>884.40200000000004</v>
      </c>
      <c r="S37" s="6">
        <f t="shared" si="4"/>
        <v>2.0352733487999999E-2</v>
      </c>
      <c r="T37" t="str">
        <f t="shared" si="3"/>
        <v>Maximo Accoya Grooved Brown Ipe (Coated) 5/4x6 Long</v>
      </c>
    </row>
    <row r="38" spans="1:20" x14ac:dyDescent="0.25">
      <c r="A38" t="s">
        <v>281</v>
      </c>
      <c r="B38" t="s">
        <v>321</v>
      </c>
      <c r="C38" t="s">
        <v>283</v>
      </c>
      <c r="D38" t="s">
        <v>284</v>
      </c>
      <c r="E38" t="s">
        <v>334</v>
      </c>
      <c r="F38" t="s">
        <v>323</v>
      </c>
      <c r="G38" t="s">
        <v>287</v>
      </c>
      <c r="H38" t="s">
        <v>324</v>
      </c>
      <c r="I38" t="s">
        <v>325</v>
      </c>
      <c r="J38" t="s">
        <v>301</v>
      </c>
      <c r="K38">
        <v>19</v>
      </c>
      <c r="L38" s="6">
        <v>5.7911999999999999</v>
      </c>
      <c r="M38" s="7">
        <v>25.4</v>
      </c>
      <c r="N38" s="7">
        <v>146.05000000000001</v>
      </c>
      <c r="O38" s="7">
        <f t="shared" si="0"/>
        <v>228</v>
      </c>
      <c r="P38" s="7">
        <f t="shared" si="1"/>
        <v>1</v>
      </c>
      <c r="Q38" s="7">
        <f t="shared" si="1"/>
        <v>5.7500000000000009</v>
      </c>
      <c r="R38" s="6">
        <f t="shared" si="2"/>
        <v>884.40200000000004</v>
      </c>
      <c r="S38" s="6">
        <f t="shared" si="4"/>
        <v>2.1483440903999999E-2</v>
      </c>
      <c r="T38" t="str">
        <f t="shared" si="3"/>
        <v>Maximo Accoya Grooved Brown Ipe (Coated) 5/4x6 Long</v>
      </c>
    </row>
    <row r="39" spans="1:20" x14ac:dyDescent="0.25">
      <c r="A39" t="s">
        <v>281</v>
      </c>
      <c r="B39" t="s">
        <v>321</v>
      </c>
      <c r="C39" t="s">
        <v>283</v>
      </c>
      <c r="D39" t="s">
        <v>284</v>
      </c>
      <c r="E39" t="s">
        <v>335</v>
      </c>
      <c r="F39" t="s">
        <v>323</v>
      </c>
      <c r="G39" t="s">
        <v>287</v>
      </c>
      <c r="H39" t="s">
        <v>324</v>
      </c>
      <c r="I39" t="s">
        <v>325</v>
      </c>
      <c r="J39" t="s">
        <v>301</v>
      </c>
      <c r="K39">
        <v>20</v>
      </c>
      <c r="L39" s="6">
        <v>6.0960000000000001</v>
      </c>
      <c r="M39" s="7">
        <v>25.4</v>
      </c>
      <c r="N39" s="7">
        <v>146.05000000000001</v>
      </c>
      <c r="O39" s="7">
        <f t="shared" si="0"/>
        <v>240</v>
      </c>
      <c r="P39" s="7">
        <f t="shared" si="1"/>
        <v>1</v>
      </c>
      <c r="Q39" s="7">
        <f t="shared" si="1"/>
        <v>5.7500000000000009</v>
      </c>
      <c r="R39" s="6">
        <f t="shared" si="2"/>
        <v>884.40200000000004</v>
      </c>
      <c r="S39" s="6">
        <f t="shared" si="4"/>
        <v>2.2614148320000006E-2</v>
      </c>
      <c r="T39" t="str">
        <f t="shared" si="3"/>
        <v>Maximo Accoya Grooved Brown Ipe (Coated) 5/4x6 Long</v>
      </c>
    </row>
    <row r="40" spans="1:20" x14ac:dyDescent="0.25">
      <c r="A40" t="s">
        <v>281</v>
      </c>
      <c r="B40" t="s">
        <v>321</v>
      </c>
      <c r="C40" t="s">
        <v>283</v>
      </c>
      <c r="D40" t="s">
        <v>284</v>
      </c>
      <c r="E40" t="s">
        <v>336</v>
      </c>
      <c r="F40" t="s">
        <v>323</v>
      </c>
      <c r="G40" t="s">
        <v>287</v>
      </c>
      <c r="H40" t="s">
        <v>324</v>
      </c>
      <c r="I40" t="s">
        <v>325</v>
      </c>
      <c r="J40" t="s">
        <v>301</v>
      </c>
      <c r="K40">
        <v>21</v>
      </c>
      <c r="L40" s="6">
        <v>6.4008000000000003</v>
      </c>
      <c r="M40" s="7">
        <v>25.4</v>
      </c>
      <c r="N40" s="7">
        <v>146.05000000000001</v>
      </c>
      <c r="O40" s="7">
        <f t="shared" si="0"/>
        <v>252.00000000000003</v>
      </c>
      <c r="P40" s="7">
        <f t="shared" si="1"/>
        <v>1</v>
      </c>
      <c r="Q40" s="7">
        <f t="shared" si="1"/>
        <v>5.7500000000000009</v>
      </c>
      <c r="R40" s="6">
        <f t="shared" si="2"/>
        <v>884.40200000000004</v>
      </c>
      <c r="S40" s="6">
        <f t="shared" si="4"/>
        <v>2.3744855736000003E-2</v>
      </c>
      <c r="T40" t="str">
        <f t="shared" si="3"/>
        <v>Maximo Accoya Grooved Brown Ipe (Coated) 5/4x6 Long</v>
      </c>
    </row>
    <row r="41" spans="1:20" x14ac:dyDescent="0.25">
      <c r="A41" t="s">
        <v>281</v>
      </c>
      <c r="B41" t="s">
        <v>321</v>
      </c>
      <c r="C41" t="s">
        <v>283</v>
      </c>
      <c r="D41" t="s">
        <v>284</v>
      </c>
      <c r="E41" t="s">
        <v>337</v>
      </c>
      <c r="F41" t="s">
        <v>323</v>
      </c>
      <c r="G41" t="s">
        <v>287</v>
      </c>
      <c r="H41" t="s">
        <v>324</v>
      </c>
      <c r="I41" t="s">
        <v>325</v>
      </c>
      <c r="J41" t="s">
        <v>301</v>
      </c>
      <c r="K41">
        <v>22</v>
      </c>
      <c r="L41" s="6">
        <v>6.7055999999999996</v>
      </c>
      <c r="M41" s="7">
        <v>25.4</v>
      </c>
      <c r="N41" s="7">
        <v>146.05000000000001</v>
      </c>
      <c r="O41" s="7">
        <f t="shared" si="0"/>
        <v>264</v>
      </c>
      <c r="P41" s="7">
        <f t="shared" si="1"/>
        <v>1</v>
      </c>
      <c r="Q41" s="7">
        <f t="shared" si="1"/>
        <v>5.7500000000000009</v>
      </c>
      <c r="R41" s="6">
        <f t="shared" si="2"/>
        <v>884.40200000000004</v>
      </c>
      <c r="S41" s="6">
        <f t="shared" si="4"/>
        <v>2.4875563151999996E-2</v>
      </c>
      <c r="T41" t="str">
        <f t="shared" si="3"/>
        <v>Maximo Accoya Grooved Brown Ipe (Coated) 5/4x6 Long</v>
      </c>
    </row>
    <row r="42" spans="1:20" x14ac:dyDescent="0.25">
      <c r="A42" t="s">
        <v>281</v>
      </c>
      <c r="B42" t="s">
        <v>321</v>
      </c>
      <c r="C42" t="s">
        <v>283</v>
      </c>
      <c r="D42" t="s">
        <v>284</v>
      </c>
      <c r="E42" t="s">
        <v>338</v>
      </c>
      <c r="F42" t="s">
        <v>323</v>
      </c>
      <c r="G42" t="s">
        <v>287</v>
      </c>
      <c r="H42" t="s">
        <v>324</v>
      </c>
      <c r="I42" t="s">
        <v>325</v>
      </c>
      <c r="J42" t="s">
        <v>301</v>
      </c>
      <c r="K42">
        <v>8</v>
      </c>
      <c r="L42" s="6">
        <v>2.4384000000000001</v>
      </c>
      <c r="M42" s="7">
        <v>25.4</v>
      </c>
      <c r="N42" s="7">
        <v>146.05000000000001</v>
      </c>
      <c r="O42" s="7">
        <f t="shared" si="0"/>
        <v>96.000000000000014</v>
      </c>
      <c r="P42" s="7">
        <f t="shared" si="1"/>
        <v>1</v>
      </c>
      <c r="Q42" s="7">
        <f t="shared" si="1"/>
        <v>5.7500000000000009</v>
      </c>
      <c r="R42" s="6">
        <f t="shared" si="2"/>
        <v>884.40200000000004</v>
      </c>
      <c r="S42" s="6">
        <f t="shared" si="4"/>
        <v>9.0456593280000015E-3</v>
      </c>
      <c r="T42" t="str">
        <f t="shared" si="3"/>
        <v>Maximo Accoya Grooved Brown Ipe (Coated) 5/4x6 Long</v>
      </c>
    </row>
    <row r="43" spans="1:20" x14ac:dyDescent="0.25">
      <c r="A43" t="s">
        <v>281</v>
      </c>
      <c r="B43" t="s">
        <v>321</v>
      </c>
      <c r="C43" t="s">
        <v>283</v>
      </c>
      <c r="D43" t="s">
        <v>284</v>
      </c>
      <c r="E43" t="s">
        <v>339</v>
      </c>
      <c r="F43" t="s">
        <v>323</v>
      </c>
      <c r="G43" t="s">
        <v>287</v>
      </c>
      <c r="H43" t="s">
        <v>324</v>
      </c>
      <c r="I43" t="s">
        <v>325</v>
      </c>
      <c r="J43" t="s">
        <v>301</v>
      </c>
      <c r="K43">
        <v>9</v>
      </c>
      <c r="L43" s="6">
        <v>2.7431999999999999</v>
      </c>
      <c r="M43" s="7">
        <v>25.4</v>
      </c>
      <c r="N43" s="7">
        <v>146.05000000000001</v>
      </c>
      <c r="O43" s="7">
        <f t="shared" si="0"/>
        <v>108</v>
      </c>
      <c r="P43" s="7">
        <f t="shared" si="1"/>
        <v>1</v>
      </c>
      <c r="Q43" s="7">
        <f t="shared" si="1"/>
        <v>5.7500000000000009</v>
      </c>
      <c r="R43" s="6">
        <f t="shared" si="2"/>
        <v>884.40200000000004</v>
      </c>
      <c r="S43" s="6">
        <f t="shared" si="4"/>
        <v>1.0176366744E-2</v>
      </c>
      <c r="T43" t="str">
        <f t="shared" si="3"/>
        <v>Maximo Accoya Grooved Brown Ipe (Coated) 5/4x6 Long</v>
      </c>
    </row>
    <row r="44" spans="1:20" x14ac:dyDescent="0.25">
      <c r="A44" t="s">
        <v>281</v>
      </c>
      <c r="B44" t="s">
        <v>340</v>
      </c>
      <c r="C44" t="s">
        <v>283</v>
      </c>
      <c r="D44" t="s">
        <v>284</v>
      </c>
      <c r="E44" t="s">
        <v>341</v>
      </c>
      <c r="F44" t="s">
        <v>342</v>
      </c>
      <c r="G44" t="s">
        <v>287</v>
      </c>
      <c r="H44" t="s">
        <v>324</v>
      </c>
      <c r="I44" t="s">
        <v>343</v>
      </c>
      <c r="J44" t="s">
        <v>344</v>
      </c>
      <c r="K44">
        <v>10</v>
      </c>
      <c r="L44" s="6">
        <v>3.048</v>
      </c>
      <c r="M44" s="7">
        <v>19.049999999999997</v>
      </c>
      <c r="N44" s="7">
        <v>146.05000000000001</v>
      </c>
      <c r="O44" s="7">
        <f t="shared" si="0"/>
        <v>120</v>
      </c>
      <c r="P44" s="7">
        <f t="shared" si="1"/>
        <v>0.74999999999999989</v>
      </c>
      <c r="Q44" s="7">
        <f t="shared" si="1"/>
        <v>5.7500000000000009</v>
      </c>
      <c r="R44" s="6">
        <f t="shared" si="2"/>
        <v>1179.203</v>
      </c>
      <c r="S44" s="6">
        <f t="shared" si="4"/>
        <v>8.4803056199999997E-3</v>
      </c>
      <c r="T44" t="str">
        <f t="shared" si="3"/>
        <v>Maximo Accoya Grooved Slate Grey 1x6 Long</v>
      </c>
    </row>
    <row r="45" spans="1:20" x14ac:dyDescent="0.25">
      <c r="A45" t="s">
        <v>281</v>
      </c>
      <c r="B45" t="s">
        <v>340</v>
      </c>
      <c r="C45" t="s">
        <v>283</v>
      </c>
      <c r="D45" t="s">
        <v>284</v>
      </c>
      <c r="E45" t="s">
        <v>345</v>
      </c>
      <c r="F45" t="s">
        <v>342</v>
      </c>
      <c r="G45" t="s">
        <v>287</v>
      </c>
      <c r="H45" t="s">
        <v>324</v>
      </c>
      <c r="I45" t="s">
        <v>343</v>
      </c>
      <c r="J45" t="s">
        <v>344</v>
      </c>
      <c r="K45">
        <v>11</v>
      </c>
      <c r="L45" s="6">
        <v>3.3527999999999998</v>
      </c>
      <c r="M45" s="7">
        <v>19.049999999999997</v>
      </c>
      <c r="N45" s="7">
        <v>146.05000000000001</v>
      </c>
      <c r="O45" s="7">
        <f t="shared" si="0"/>
        <v>132</v>
      </c>
      <c r="P45" s="7">
        <f t="shared" si="1"/>
        <v>0.74999999999999989</v>
      </c>
      <c r="Q45" s="7">
        <f t="shared" si="1"/>
        <v>5.7500000000000009</v>
      </c>
      <c r="R45" s="6">
        <f t="shared" si="2"/>
        <v>1179.203</v>
      </c>
      <c r="S45" s="6">
        <f t="shared" si="4"/>
        <v>9.3283361819999997E-3</v>
      </c>
      <c r="T45" t="str">
        <f t="shared" si="3"/>
        <v>Maximo Accoya Grooved Slate Grey 1x6 Long</v>
      </c>
    </row>
    <row r="46" spans="1:20" x14ac:dyDescent="0.25">
      <c r="A46" t="s">
        <v>281</v>
      </c>
      <c r="B46" t="s">
        <v>340</v>
      </c>
      <c r="C46" t="s">
        <v>283</v>
      </c>
      <c r="D46" t="s">
        <v>284</v>
      </c>
      <c r="E46" t="s">
        <v>346</v>
      </c>
      <c r="F46" t="s">
        <v>342</v>
      </c>
      <c r="G46" t="s">
        <v>287</v>
      </c>
      <c r="H46" t="s">
        <v>324</v>
      </c>
      <c r="I46" t="s">
        <v>343</v>
      </c>
      <c r="J46" t="s">
        <v>344</v>
      </c>
      <c r="K46">
        <v>12</v>
      </c>
      <c r="L46" s="6">
        <v>3.6576</v>
      </c>
      <c r="M46" s="7">
        <v>19.049999999999997</v>
      </c>
      <c r="N46" s="7">
        <v>146.05000000000001</v>
      </c>
      <c r="O46" s="7">
        <f t="shared" si="0"/>
        <v>144</v>
      </c>
      <c r="P46" s="7">
        <f t="shared" si="1"/>
        <v>0.74999999999999989</v>
      </c>
      <c r="Q46" s="7">
        <f t="shared" si="1"/>
        <v>5.7500000000000009</v>
      </c>
      <c r="R46" s="6">
        <f t="shared" si="2"/>
        <v>1179.203</v>
      </c>
      <c r="S46" s="6">
        <f t="shared" si="4"/>
        <v>1.0176366743999998E-2</v>
      </c>
      <c r="T46" t="str">
        <f t="shared" si="3"/>
        <v>Maximo Accoya Grooved Slate Grey 1x6 Long</v>
      </c>
    </row>
    <row r="47" spans="1:20" x14ac:dyDescent="0.25">
      <c r="A47" t="s">
        <v>281</v>
      </c>
      <c r="B47" t="s">
        <v>340</v>
      </c>
      <c r="C47" t="s">
        <v>283</v>
      </c>
      <c r="D47" t="s">
        <v>284</v>
      </c>
      <c r="E47" t="s">
        <v>347</v>
      </c>
      <c r="F47" t="s">
        <v>342</v>
      </c>
      <c r="G47" t="s">
        <v>287</v>
      </c>
      <c r="H47" t="s">
        <v>324</v>
      </c>
      <c r="I47" t="s">
        <v>343</v>
      </c>
      <c r="J47" t="s">
        <v>344</v>
      </c>
      <c r="K47">
        <v>13</v>
      </c>
      <c r="L47" s="6">
        <v>3.9624000000000001</v>
      </c>
      <c r="M47" s="7">
        <v>19.049999999999997</v>
      </c>
      <c r="N47" s="7">
        <v>146.05000000000001</v>
      </c>
      <c r="O47" s="7">
        <f t="shared" si="0"/>
        <v>156</v>
      </c>
      <c r="P47" s="7">
        <f t="shared" si="1"/>
        <v>0.74999999999999989</v>
      </c>
      <c r="Q47" s="7">
        <f t="shared" si="1"/>
        <v>5.7500000000000009</v>
      </c>
      <c r="R47" s="6">
        <f t="shared" si="2"/>
        <v>1179.203</v>
      </c>
      <c r="S47" s="6">
        <f t="shared" si="4"/>
        <v>1.1024397306E-2</v>
      </c>
      <c r="T47" t="str">
        <f t="shared" si="3"/>
        <v>Maximo Accoya Grooved Slate Grey 1x6 Long</v>
      </c>
    </row>
    <row r="48" spans="1:20" x14ac:dyDescent="0.25">
      <c r="A48" t="s">
        <v>281</v>
      </c>
      <c r="B48" t="s">
        <v>340</v>
      </c>
      <c r="C48" t="s">
        <v>283</v>
      </c>
      <c r="D48" t="s">
        <v>284</v>
      </c>
      <c r="E48" t="s">
        <v>348</v>
      </c>
      <c r="F48" t="s">
        <v>342</v>
      </c>
      <c r="G48" t="s">
        <v>287</v>
      </c>
      <c r="H48" t="s">
        <v>324</v>
      </c>
      <c r="I48" t="s">
        <v>343</v>
      </c>
      <c r="J48" t="s">
        <v>344</v>
      </c>
      <c r="K48">
        <v>14</v>
      </c>
      <c r="L48" s="6">
        <v>4.2671999999999999</v>
      </c>
      <c r="M48" s="7">
        <v>19.049999999999997</v>
      </c>
      <c r="N48" s="7">
        <v>146.05000000000001</v>
      </c>
      <c r="O48" s="7">
        <f t="shared" si="0"/>
        <v>168</v>
      </c>
      <c r="P48" s="7">
        <f t="shared" si="1"/>
        <v>0.74999999999999989</v>
      </c>
      <c r="Q48" s="7">
        <f t="shared" si="1"/>
        <v>5.7500000000000009</v>
      </c>
      <c r="R48" s="6">
        <f t="shared" si="2"/>
        <v>1179.203</v>
      </c>
      <c r="S48" s="6">
        <f t="shared" si="4"/>
        <v>1.1872427868E-2</v>
      </c>
      <c r="T48" t="str">
        <f t="shared" si="3"/>
        <v>Maximo Accoya Grooved Slate Grey 1x6 Long</v>
      </c>
    </row>
    <row r="49" spans="1:20" x14ac:dyDescent="0.25">
      <c r="A49" t="s">
        <v>281</v>
      </c>
      <c r="B49" t="s">
        <v>340</v>
      </c>
      <c r="C49" t="s">
        <v>283</v>
      </c>
      <c r="D49" t="s">
        <v>284</v>
      </c>
      <c r="E49" t="s">
        <v>349</v>
      </c>
      <c r="F49" t="s">
        <v>342</v>
      </c>
      <c r="G49" t="s">
        <v>287</v>
      </c>
      <c r="H49" t="s">
        <v>324</v>
      </c>
      <c r="I49" t="s">
        <v>343</v>
      </c>
      <c r="J49" t="s">
        <v>344</v>
      </c>
      <c r="K49">
        <v>15</v>
      </c>
      <c r="L49" s="6">
        <v>4.5720000000000001</v>
      </c>
      <c r="M49" s="7">
        <v>19.049999999999997</v>
      </c>
      <c r="N49" s="7">
        <v>146.05000000000001</v>
      </c>
      <c r="O49" s="7">
        <f t="shared" si="0"/>
        <v>180</v>
      </c>
      <c r="P49" s="7">
        <f t="shared" si="1"/>
        <v>0.74999999999999989</v>
      </c>
      <c r="Q49" s="7">
        <f t="shared" si="1"/>
        <v>5.7500000000000009</v>
      </c>
      <c r="R49" s="6">
        <f t="shared" si="2"/>
        <v>1179.203</v>
      </c>
      <c r="S49" s="6">
        <f t="shared" si="4"/>
        <v>1.2720458430000001E-2</v>
      </c>
      <c r="T49" t="str">
        <f t="shared" si="3"/>
        <v>Maximo Accoya Grooved Slate Grey 1x6 Long</v>
      </c>
    </row>
    <row r="50" spans="1:20" x14ac:dyDescent="0.25">
      <c r="A50" t="s">
        <v>281</v>
      </c>
      <c r="B50" t="s">
        <v>340</v>
      </c>
      <c r="C50" t="s">
        <v>283</v>
      </c>
      <c r="D50" t="s">
        <v>284</v>
      </c>
      <c r="E50" t="s">
        <v>350</v>
      </c>
      <c r="F50" t="s">
        <v>342</v>
      </c>
      <c r="G50" t="s">
        <v>287</v>
      </c>
      <c r="H50" t="s">
        <v>324</v>
      </c>
      <c r="I50" t="s">
        <v>343</v>
      </c>
      <c r="J50" t="s">
        <v>344</v>
      </c>
      <c r="K50">
        <v>16</v>
      </c>
      <c r="L50" s="6">
        <v>4.8768000000000002</v>
      </c>
      <c r="M50" s="7">
        <v>19.049999999999997</v>
      </c>
      <c r="N50" s="7">
        <v>146.05000000000001</v>
      </c>
      <c r="O50" s="7">
        <f t="shared" si="0"/>
        <v>192.00000000000003</v>
      </c>
      <c r="P50" s="7">
        <f t="shared" si="1"/>
        <v>0.74999999999999989</v>
      </c>
      <c r="Q50" s="7">
        <f t="shared" si="1"/>
        <v>5.7500000000000009</v>
      </c>
      <c r="R50" s="6">
        <f t="shared" si="2"/>
        <v>1179.203</v>
      </c>
      <c r="S50" s="6">
        <f t="shared" si="4"/>
        <v>1.3568488992000001E-2</v>
      </c>
      <c r="T50" t="str">
        <f t="shared" si="3"/>
        <v>Maximo Accoya Grooved Slate Grey 1x6 Long</v>
      </c>
    </row>
    <row r="51" spans="1:20" x14ac:dyDescent="0.25">
      <c r="A51" t="s">
        <v>281</v>
      </c>
      <c r="B51" t="s">
        <v>340</v>
      </c>
      <c r="C51" t="s">
        <v>283</v>
      </c>
      <c r="D51" t="s">
        <v>284</v>
      </c>
      <c r="E51" t="s">
        <v>351</v>
      </c>
      <c r="F51" t="s">
        <v>342</v>
      </c>
      <c r="G51" t="s">
        <v>287</v>
      </c>
      <c r="H51" t="s">
        <v>324</v>
      </c>
      <c r="I51" t="s">
        <v>343</v>
      </c>
      <c r="J51" t="s">
        <v>344</v>
      </c>
      <c r="K51">
        <v>17</v>
      </c>
      <c r="L51" s="6">
        <v>5.1816000000000004</v>
      </c>
      <c r="M51" s="7">
        <v>19.049999999999997</v>
      </c>
      <c r="N51" s="7">
        <v>146.05000000000001</v>
      </c>
      <c r="O51" s="7">
        <f t="shared" si="0"/>
        <v>204.00000000000003</v>
      </c>
      <c r="P51" s="7">
        <f t="shared" si="1"/>
        <v>0.74999999999999989</v>
      </c>
      <c r="Q51" s="7">
        <f t="shared" si="1"/>
        <v>5.7500000000000009</v>
      </c>
      <c r="R51" s="6">
        <f t="shared" si="2"/>
        <v>1179.203</v>
      </c>
      <c r="S51" s="6">
        <f t="shared" si="4"/>
        <v>1.4416519554000001E-2</v>
      </c>
      <c r="T51" t="str">
        <f t="shared" si="3"/>
        <v>Maximo Accoya Grooved Slate Grey 1x6 Long</v>
      </c>
    </row>
    <row r="52" spans="1:20" x14ac:dyDescent="0.25">
      <c r="A52" t="s">
        <v>281</v>
      </c>
      <c r="B52" t="s">
        <v>340</v>
      </c>
      <c r="C52" t="s">
        <v>283</v>
      </c>
      <c r="D52" t="s">
        <v>284</v>
      </c>
      <c r="E52" t="s">
        <v>352</v>
      </c>
      <c r="F52" t="s">
        <v>342</v>
      </c>
      <c r="G52" t="s">
        <v>287</v>
      </c>
      <c r="H52" t="s">
        <v>324</v>
      </c>
      <c r="I52" t="s">
        <v>343</v>
      </c>
      <c r="J52" t="s">
        <v>344</v>
      </c>
      <c r="K52">
        <v>18</v>
      </c>
      <c r="L52" s="6">
        <v>5.4863999999999997</v>
      </c>
      <c r="M52" s="7">
        <v>19.049999999999997</v>
      </c>
      <c r="N52" s="7">
        <v>146.05000000000001</v>
      </c>
      <c r="O52" s="7">
        <f t="shared" si="0"/>
        <v>216</v>
      </c>
      <c r="P52" s="7">
        <f t="shared" si="1"/>
        <v>0.74999999999999989</v>
      </c>
      <c r="Q52" s="7">
        <f t="shared" si="1"/>
        <v>5.7500000000000009</v>
      </c>
      <c r="R52" s="6">
        <f t="shared" si="2"/>
        <v>1179.203</v>
      </c>
      <c r="S52" s="6">
        <f t="shared" si="4"/>
        <v>1.5264550116E-2</v>
      </c>
      <c r="T52" t="str">
        <f t="shared" si="3"/>
        <v>Maximo Accoya Grooved Slate Grey 1x6 Long</v>
      </c>
    </row>
    <row r="53" spans="1:20" x14ac:dyDescent="0.25">
      <c r="A53" t="s">
        <v>281</v>
      </c>
      <c r="B53" t="s">
        <v>340</v>
      </c>
      <c r="C53" t="s">
        <v>283</v>
      </c>
      <c r="D53" t="s">
        <v>284</v>
      </c>
      <c r="E53" t="s">
        <v>353</v>
      </c>
      <c r="F53" t="s">
        <v>342</v>
      </c>
      <c r="G53" t="s">
        <v>287</v>
      </c>
      <c r="H53" t="s">
        <v>324</v>
      </c>
      <c r="I53" t="s">
        <v>343</v>
      </c>
      <c r="J53" t="s">
        <v>344</v>
      </c>
      <c r="K53">
        <v>19</v>
      </c>
      <c r="L53" s="6">
        <v>5.7911999999999999</v>
      </c>
      <c r="M53" s="7">
        <v>19.049999999999997</v>
      </c>
      <c r="N53" s="7">
        <v>146.05000000000001</v>
      </c>
      <c r="O53" s="7">
        <f t="shared" si="0"/>
        <v>228</v>
      </c>
      <c r="P53" s="7">
        <f t="shared" si="1"/>
        <v>0.74999999999999989</v>
      </c>
      <c r="Q53" s="7">
        <f t="shared" si="1"/>
        <v>5.7500000000000009</v>
      </c>
      <c r="R53" s="6">
        <f t="shared" si="2"/>
        <v>1179.203</v>
      </c>
      <c r="S53" s="6">
        <f t="shared" si="4"/>
        <v>1.6112580677999998E-2</v>
      </c>
      <c r="T53" t="str">
        <f t="shared" si="3"/>
        <v>Maximo Accoya Grooved Slate Grey 1x6 Long</v>
      </c>
    </row>
    <row r="54" spans="1:20" x14ac:dyDescent="0.25">
      <c r="A54" t="s">
        <v>281</v>
      </c>
      <c r="B54" t="s">
        <v>340</v>
      </c>
      <c r="C54" t="s">
        <v>283</v>
      </c>
      <c r="D54" t="s">
        <v>284</v>
      </c>
      <c r="E54" t="s">
        <v>354</v>
      </c>
      <c r="F54" t="s">
        <v>342</v>
      </c>
      <c r="G54" t="s">
        <v>287</v>
      </c>
      <c r="H54" t="s">
        <v>324</v>
      </c>
      <c r="I54" t="s">
        <v>343</v>
      </c>
      <c r="J54" t="s">
        <v>344</v>
      </c>
      <c r="K54">
        <v>20</v>
      </c>
      <c r="L54" s="6">
        <v>6.0960000000000001</v>
      </c>
      <c r="M54" s="7">
        <v>19.049999999999997</v>
      </c>
      <c r="N54" s="7">
        <v>146.05000000000001</v>
      </c>
      <c r="O54" s="7">
        <f t="shared" si="0"/>
        <v>240</v>
      </c>
      <c r="P54" s="7">
        <f t="shared" si="1"/>
        <v>0.74999999999999989</v>
      </c>
      <c r="Q54" s="7">
        <f t="shared" si="1"/>
        <v>5.7500000000000009</v>
      </c>
      <c r="R54" s="6">
        <f t="shared" si="2"/>
        <v>1179.203</v>
      </c>
      <c r="S54" s="6">
        <f t="shared" si="4"/>
        <v>1.6960611239999999E-2</v>
      </c>
      <c r="T54" t="str">
        <f t="shared" si="3"/>
        <v>Maximo Accoya Grooved Slate Grey 1x6 Long</v>
      </c>
    </row>
    <row r="55" spans="1:20" x14ac:dyDescent="0.25">
      <c r="A55" t="s">
        <v>281</v>
      </c>
      <c r="B55" t="s">
        <v>340</v>
      </c>
      <c r="C55" t="s">
        <v>283</v>
      </c>
      <c r="D55" t="s">
        <v>284</v>
      </c>
      <c r="E55" t="s">
        <v>355</v>
      </c>
      <c r="F55" t="s">
        <v>342</v>
      </c>
      <c r="G55" t="s">
        <v>287</v>
      </c>
      <c r="H55" t="s">
        <v>324</v>
      </c>
      <c r="I55" t="s">
        <v>343</v>
      </c>
      <c r="J55" t="s">
        <v>344</v>
      </c>
      <c r="K55">
        <v>8</v>
      </c>
      <c r="L55" s="6">
        <v>2.4384000000000001</v>
      </c>
      <c r="M55" s="7">
        <v>19.049999999999997</v>
      </c>
      <c r="N55" s="7">
        <v>146.05000000000001</v>
      </c>
      <c r="O55" s="7">
        <f t="shared" si="0"/>
        <v>96.000000000000014</v>
      </c>
      <c r="P55" s="7">
        <f t="shared" si="1"/>
        <v>0.74999999999999989</v>
      </c>
      <c r="Q55" s="7">
        <f t="shared" si="1"/>
        <v>5.7500000000000009</v>
      </c>
      <c r="R55" s="6">
        <f t="shared" si="2"/>
        <v>1179.203</v>
      </c>
      <c r="S55" s="6">
        <f t="shared" si="4"/>
        <v>6.7842444960000007E-3</v>
      </c>
      <c r="T55" t="str">
        <f t="shared" si="3"/>
        <v>Maximo Accoya Grooved Slate Grey 1x6 Long</v>
      </c>
    </row>
    <row r="56" spans="1:20" x14ac:dyDescent="0.25">
      <c r="A56" t="s">
        <v>281</v>
      </c>
      <c r="B56" t="s">
        <v>340</v>
      </c>
      <c r="C56" t="s">
        <v>283</v>
      </c>
      <c r="D56" t="s">
        <v>284</v>
      </c>
      <c r="E56" t="s">
        <v>356</v>
      </c>
      <c r="F56" t="s">
        <v>342</v>
      </c>
      <c r="G56" t="s">
        <v>287</v>
      </c>
      <c r="H56" t="s">
        <v>324</v>
      </c>
      <c r="I56" t="s">
        <v>343</v>
      </c>
      <c r="J56" t="s">
        <v>344</v>
      </c>
      <c r="K56">
        <v>9</v>
      </c>
      <c r="L56" s="6">
        <v>2.7431999999999999</v>
      </c>
      <c r="M56" s="7">
        <v>19.049999999999997</v>
      </c>
      <c r="N56" s="7">
        <v>146.05000000000001</v>
      </c>
      <c r="O56" s="7">
        <f t="shared" si="0"/>
        <v>108</v>
      </c>
      <c r="P56" s="7">
        <f t="shared" si="1"/>
        <v>0.74999999999999989</v>
      </c>
      <c r="Q56" s="7">
        <f t="shared" si="1"/>
        <v>5.7500000000000009</v>
      </c>
      <c r="R56" s="6">
        <f t="shared" si="2"/>
        <v>1179.203</v>
      </c>
      <c r="S56" s="6">
        <f t="shared" si="4"/>
        <v>7.6322750579999998E-3</v>
      </c>
      <c r="T56" t="str">
        <f t="shared" si="3"/>
        <v>Maximo Accoya Grooved Slate Grey 1x6 Long</v>
      </c>
    </row>
    <row r="57" spans="1:20" x14ac:dyDescent="0.25">
      <c r="A57" t="s">
        <v>281</v>
      </c>
      <c r="B57" t="s">
        <v>321</v>
      </c>
      <c r="C57" t="s">
        <v>283</v>
      </c>
      <c r="D57" t="s">
        <v>284</v>
      </c>
      <c r="E57" t="s">
        <v>357</v>
      </c>
      <c r="F57" t="s">
        <v>358</v>
      </c>
      <c r="G57" t="s">
        <v>287</v>
      </c>
      <c r="H57" t="s">
        <v>324</v>
      </c>
      <c r="I57" t="s">
        <v>343</v>
      </c>
      <c r="J57" t="s">
        <v>301</v>
      </c>
      <c r="K57">
        <v>10</v>
      </c>
      <c r="L57" s="6">
        <v>3.048</v>
      </c>
      <c r="M57" s="7">
        <v>25.4</v>
      </c>
      <c r="N57" s="7">
        <v>146.05000000000001</v>
      </c>
      <c r="O57" s="7">
        <f t="shared" si="0"/>
        <v>120</v>
      </c>
      <c r="P57" s="7">
        <f t="shared" si="1"/>
        <v>1</v>
      </c>
      <c r="Q57" s="7">
        <f t="shared" si="1"/>
        <v>5.7500000000000009</v>
      </c>
      <c r="R57" s="6">
        <f t="shared" si="2"/>
        <v>884.40200000000004</v>
      </c>
      <c r="S57" s="6">
        <f t="shared" si="4"/>
        <v>1.1307074160000003E-2</v>
      </c>
      <c r="T57" t="str">
        <f t="shared" si="3"/>
        <v>Maximo Accoya Grooved Slate Grey 5/4x6 Long</v>
      </c>
    </row>
    <row r="58" spans="1:20" x14ac:dyDescent="0.25">
      <c r="A58" t="s">
        <v>281</v>
      </c>
      <c r="B58" t="s">
        <v>321</v>
      </c>
      <c r="C58" t="s">
        <v>283</v>
      </c>
      <c r="D58" t="s">
        <v>284</v>
      </c>
      <c r="E58" t="s">
        <v>359</v>
      </c>
      <c r="F58" t="s">
        <v>358</v>
      </c>
      <c r="G58" t="s">
        <v>287</v>
      </c>
      <c r="H58" t="s">
        <v>324</v>
      </c>
      <c r="I58" t="s">
        <v>343</v>
      </c>
      <c r="J58" t="s">
        <v>301</v>
      </c>
      <c r="K58">
        <v>11</v>
      </c>
      <c r="L58" s="6">
        <v>3.3527999999999998</v>
      </c>
      <c r="M58" s="7">
        <v>25.4</v>
      </c>
      <c r="N58" s="7">
        <v>146.05000000000001</v>
      </c>
      <c r="O58" s="7">
        <f t="shared" si="0"/>
        <v>132</v>
      </c>
      <c r="P58" s="7">
        <f t="shared" si="1"/>
        <v>1</v>
      </c>
      <c r="Q58" s="7">
        <f t="shared" si="1"/>
        <v>5.7500000000000009</v>
      </c>
      <c r="R58" s="6">
        <f t="shared" si="2"/>
        <v>884.40200000000004</v>
      </c>
      <c r="S58" s="6">
        <f t="shared" si="4"/>
        <v>1.2437781575999998E-2</v>
      </c>
      <c r="T58" t="str">
        <f t="shared" si="3"/>
        <v>Maximo Accoya Grooved Slate Grey 5/4x6 Long</v>
      </c>
    </row>
    <row r="59" spans="1:20" x14ac:dyDescent="0.25">
      <c r="A59" t="s">
        <v>281</v>
      </c>
      <c r="B59" t="s">
        <v>321</v>
      </c>
      <c r="C59" t="s">
        <v>283</v>
      </c>
      <c r="D59" t="s">
        <v>284</v>
      </c>
      <c r="E59" t="s">
        <v>360</v>
      </c>
      <c r="F59" t="s">
        <v>358</v>
      </c>
      <c r="G59" t="s">
        <v>287</v>
      </c>
      <c r="H59" t="s">
        <v>324</v>
      </c>
      <c r="I59" t="s">
        <v>343</v>
      </c>
      <c r="J59" t="s">
        <v>301</v>
      </c>
      <c r="K59">
        <v>12</v>
      </c>
      <c r="L59" s="6">
        <v>3.6576</v>
      </c>
      <c r="M59" s="7">
        <v>25.4</v>
      </c>
      <c r="N59" s="7">
        <v>146.05000000000001</v>
      </c>
      <c r="O59" s="7">
        <f t="shared" si="0"/>
        <v>144</v>
      </c>
      <c r="P59" s="7">
        <f t="shared" si="1"/>
        <v>1</v>
      </c>
      <c r="Q59" s="7">
        <f t="shared" si="1"/>
        <v>5.7500000000000009</v>
      </c>
      <c r="R59" s="6">
        <f t="shared" si="2"/>
        <v>884.40200000000004</v>
      </c>
      <c r="S59" s="6">
        <f t="shared" si="4"/>
        <v>1.3568488992000001E-2</v>
      </c>
      <c r="T59" t="str">
        <f t="shared" si="3"/>
        <v>Maximo Accoya Grooved Slate Grey 5/4x6 Long</v>
      </c>
    </row>
    <row r="60" spans="1:20" x14ac:dyDescent="0.25">
      <c r="A60" t="s">
        <v>281</v>
      </c>
      <c r="B60" t="s">
        <v>321</v>
      </c>
      <c r="C60" t="s">
        <v>283</v>
      </c>
      <c r="D60" t="s">
        <v>284</v>
      </c>
      <c r="E60" t="s">
        <v>361</v>
      </c>
      <c r="F60" t="s">
        <v>358</v>
      </c>
      <c r="G60" t="s">
        <v>287</v>
      </c>
      <c r="H60" t="s">
        <v>324</v>
      </c>
      <c r="I60" t="s">
        <v>343</v>
      </c>
      <c r="J60" t="s">
        <v>301</v>
      </c>
      <c r="K60">
        <v>13</v>
      </c>
      <c r="L60" s="6">
        <v>3.9624000000000001</v>
      </c>
      <c r="M60" s="7">
        <v>25.4</v>
      </c>
      <c r="N60" s="7">
        <v>146.05000000000001</v>
      </c>
      <c r="O60" s="7">
        <f t="shared" si="0"/>
        <v>156</v>
      </c>
      <c r="P60" s="7">
        <f t="shared" si="1"/>
        <v>1</v>
      </c>
      <c r="Q60" s="7">
        <f t="shared" si="1"/>
        <v>5.7500000000000009</v>
      </c>
      <c r="R60" s="6">
        <f t="shared" si="2"/>
        <v>884.40200000000004</v>
      </c>
      <c r="S60" s="6">
        <f t="shared" si="4"/>
        <v>1.4699196408000001E-2</v>
      </c>
      <c r="T60" t="str">
        <f t="shared" si="3"/>
        <v>Maximo Accoya Grooved Slate Grey 5/4x6 Long</v>
      </c>
    </row>
    <row r="61" spans="1:20" x14ac:dyDescent="0.25">
      <c r="A61" t="s">
        <v>281</v>
      </c>
      <c r="B61" t="s">
        <v>321</v>
      </c>
      <c r="C61" t="s">
        <v>283</v>
      </c>
      <c r="D61" t="s">
        <v>284</v>
      </c>
      <c r="E61" t="s">
        <v>362</v>
      </c>
      <c r="F61" t="s">
        <v>358</v>
      </c>
      <c r="G61" t="s">
        <v>287</v>
      </c>
      <c r="H61" t="s">
        <v>324</v>
      </c>
      <c r="I61" t="s">
        <v>343</v>
      </c>
      <c r="J61" t="s">
        <v>301</v>
      </c>
      <c r="K61">
        <v>14</v>
      </c>
      <c r="L61" s="6">
        <v>4.2671999999999999</v>
      </c>
      <c r="M61" s="7">
        <v>25.4</v>
      </c>
      <c r="N61" s="7">
        <v>146.05000000000001</v>
      </c>
      <c r="O61" s="7">
        <f t="shared" si="0"/>
        <v>168</v>
      </c>
      <c r="P61" s="7">
        <f t="shared" si="1"/>
        <v>1</v>
      </c>
      <c r="Q61" s="7">
        <f t="shared" si="1"/>
        <v>5.7500000000000009</v>
      </c>
      <c r="R61" s="6">
        <f t="shared" si="2"/>
        <v>884.40200000000004</v>
      </c>
      <c r="S61" s="6">
        <f t="shared" si="4"/>
        <v>1.5829903824E-2</v>
      </c>
      <c r="T61" t="str">
        <f t="shared" si="3"/>
        <v>Maximo Accoya Grooved Slate Grey 5/4x6 Long</v>
      </c>
    </row>
    <row r="62" spans="1:20" x14ac:dyDescent="0.25">
      <c r="A62" t="s">
        <v>281</v>
      </c>
      <c r="B62" t="s">
        <v>321</v>
      </c>
      <c r="C62" t="s">
        <v>283</v>
      </c>
      <c r="D62" t="s">
        <v>284</v>
      </c>
      <c r="E62" t="s">
        <v>363</v>
      </c>
      <c r="F62" t="s">
        <v>358</v>
      </c>
      <c r="G62" t="s">
        <v>287</v>
      </c>
      <c r="H62" t="s">
        <v>324</v>
      </c>
      <c r="I62" t="s">
        <v>343</v>
      </c>
      <c r="J62" t="s">
        <v>301</v>
      </c>
      <c r="K62">
        <v>15</v>
      </c>
      <c r="L62" s="6">
        <v>4.5720000000000001</v>
      </c>
      <c r="M62" s="7">
        <v>25.4</v>
      </c>
      <c r="N62" s="7">
        <v>146.05000000000001</v>
      </c>
      <c r="O62" s="7">
        <f t="shared" si="0"/>
        <v>180</v>
      </c>
      <c r="P62" s="7">
        <f t="shared" si="1"/>
        <v>1</v>
      </c>
      <c r="Q62" s="7">
        <f t="shared" si="1"/>
        <v>5.7500000000000009</v>
      </c>
      <c r="R62" s="6">
        <f t="shared" si="2"/>
        <v>884.40200000000004</v>
      </c>
      <c r="S62" s="6">
        <f t="shared" si="4"/>
        <v>1.6960611240000003E-2</v>
      </c>
      <c r="T62" t="str">
        <f t="shared" si="3"/>
        <v>Maximo Accoya Grooved Slate Grey 5/4x6 Long</v>
      </c>
    </row>
    <row r="63" spans="1:20" x14ac:dyDescent="0.25">
      <c r="A63" t="s">
        <v>281</v>
      </c>
      <c r="B63" t="s">
        <v>321</v>
      </c>
      <c r="C63" t="s">
        <v>283</v>
      </c>
      <c r="D63" t="s">
        <v>284</v>
      </c>
      <c r="E63" t="s">
        <v>364</v>
      </c>
      <c r="F63" t="s">
        <v>358</v>
      </c>
      <c r="G63" t="s">
        <v>287</v>
      </c>
      <c r="H63" t="s">
        <v>324</v>
      </c>
      <c r="I63" t="s">
        <v>343</v>
      </c>
      <c r="J63" t="s">
        <v>301</v>
      </c>
      <c r="K63">
        <v>16</v>
      </c>
      <c r="L63" s="6">
        <v>4.8768000000000002</v>
      </c>
      <c r="M63" s="7">
        <v>25.4</v>
      </c>
      <c r="N63" s="7">
        <v>146.05000000000001</v>
      </c>
      <c r="O63" s="7">
        <f t="shared" si="0"/>
        <v>192.00000000000003</v>
      </c>
      <c r="P63" s="7">
        <f t="shared" si="1"/>
        <v>1</v>
      </c>
      <c r="Q63" s="7">
        <f t="shared" si="1"/>
        <v>5.7500000000000009</v>
      </c>
      <c r="R63" s="6">
        <f t="shared" si="2"/>
        <v>884.40200000000004</v>
      </c>
      <c r="S63" s="6">
        <f t="shared" si="4"/>
        <v>1.8091318656000003E-2</v>
      </c>
      <c r="T63" t="str">
        <f t="shared" si="3"/>
        <v>Maximo Accoya Grooved Slate Grey 5/4x6 Long</v>
      </c>
    </row>
    <row r="64" spans="1:20" x14ac:dyDescent="0.25">
      <c r="A64" t="s">
        <v>281</v>
      </c>
      <c r="B64" t="s">
        <v>321</v>
      </c>
      <c r="C64" t="s">
        <v>283</v>
      </c>
      <c r="D64" t="s">
        <v>284</v>
      </c>
      <c r="E64" t="s">
        <v>365</v>
      </c>
      <c r="F64" t="s">
        <v>358</v>
      </c>
      <c r="G64" t="s">
        <v>287</v>
      </c>
      <c r="H64" t="s">
        <v>324</v>
      </c>
      <c r="I64" t="s">
        <v>343</v>
      </c>
      <c r="J64" t="s">
        <v>301</v>
      </c>
      <c r="K64">
        <v>17</v>
      </c>
      <c r="L64" s="6">
        <v>5.1816000000000004</v>
      </c>
      <c r="M64" s="7">
        <v>25.4</v>
      </c>
      <c r="N64" s="7">
        <v>146.05000000000001</v>
      </c>
      <c r="O64" s="7">
        <f t="shared" si="0"/>
        <v>204.00000000000003</v>
      </c>
      <c r="P64" s="7">
        <f t="shared" si="1"/>
        <v>1</v>
      </c>
      <c r="Q64" s="7">
        <f t="shared" si="1"/>
        <v>5.7500000000000009</v>
      </c>
      <c r="R64" s="6">
        <f t="shared" si="2"/>
        <v>884.40200000000004</v>
      </c>
      <c r="S64" s="6">
        <f t="shared" si="4"/>
        <v>1.9222026072000003E-2</v>
      </c>
      <c r="T64" t="str">
        <f t="shared" si="3"/>
        <v>Maximo Accoya Grooved Slate Grey 5/4x6 Long</v>
      </c>
    </row>
    <row r="65" spans="1:20" x14ac:dyDescent="0.25">
      <c r="A65" t="s">
        <v>281</v>
      </c>
      <c r="B65" t="s">
        <v>321</v>
      </c>
      <c r="C65" t="s">
        <v>283</v>
      </c>
      <c r="D65" t="s">
        <v>284</v>
      </c>
      <c r="E65" t="s">
        <v>366</v>
      </c>
      <c r="F65" t="s">
        <v>358</v>
      </c>
      <c r="G65" t="s">
        <v>287</v>
      </c>
      <c r="H65" t="s">
        <v>324</v>
      </c>
      <c r="I65" t="s">
        <v>343</v>
      </c>
      <c r="J65" t="s">
        <v>301</v>
      </c>
      <c r="K65">
        <v>18</v>
      </c>
      <c r="L65" s="6">
        <v>5.4863999999999997</v>
      </c>
      <c r="M65" s="7">
        <v>25.4</v>
      </c>
      <c r="N65" s="7">
        <v>146.05000000000001</v>
      </c>
      <c r="O65" s="7">
        <f t="shared" si="0"/>
        <v>216</v>
      </c>
      <c r="P65" s="7">
        <f t="shared" si="1"/>
        <v>1</v>
      </c>
      <c r="Q65" s="7">
        <f t="shared" si="1"/>
        <v>5.7500000000000009</v>
      </c>
      <c r="R65" s="6">
        <f t="shared" si="2"/>
        <v>884.40200000000004</v>
      </c>
      <c r="S65" s="6">
        <f t="shared" si="4"/>
        <v>2.0352733487999999E-2</v>
      </c>
      <c r="T65" t="str">
        <f t="shared" si="3"/>
        <v>Maximo Accoya Grooved Slate Grey 5/4x6 Long</v>
      </c>
    </row>
    <row r="66" spans="1:20" x14ac:dyDescent="0.25">
      <c r="A66" t="s">
        <v>281</v>
      </c>
      <c r="B66" t="s">
        <v>321</v>
      </c>
      <c r="C66" t="s">
        <v>283</v>
      </c>
      <c r="D66" t="s">
        <v>284</v>
      </c>
      <c r="E66" t="s">
        <v>367</v>
      </c>
      <c r="F66" t="s">
        <v>358</v>
      </c>
      <c r="G66" t="s">
        <v>287</v>
      </c>
      <c r="H66" t="s">
        <v>324</v>
      </c>
      <c r="I66" t="s">
        <v>343</v>
      </c>
      <c r="J66" t="s">
        <v>301</v>
      </c>
      <c r="K66">
        <v>19</v>
      </c>
      <c r="L66" s="6">
        <v>5.7911999999999999</v>
      </c>
      <c r="M66" s="7">
        <v>25.4</v>
      </c>
      <c r="N66" s="7">
        <v>146.05000000000001</v>
      </c>
      <c r="O66" s="7">
        <f t="shared" ref="O66:O129" si="5">L66/0.0254</f>
        <v>228</v>
      </c>
      <c r="P66" s="7">
        <f t="shared" ref="P66:Q129" si="6">M66/25.4</f>
        <v>1</v>
      </c>
      <c r="Q66" s="7">
        <f t="shared" si="6"/>
        <v>5.7500000000000009</v>
      </c>
      <c r="R66" s="6">
        <f t="shared" ref="R66:R129" si="7">ROUND(IFERROR(1/((M66*N66*0.3048)/1000000),0),3)</f>
        <v>884.40200000000004</v>
      </c>
      <c r="S66" s="6">
        <f t="shared" si="4"/>
        <v>2.1483440903999999E-2</v>
      </c>
      <c r="T66" t="str">
        <f t="shared" ref="T66:T129" si="8">F66&amp;" "&amp;C66</f>
        <v>Maximo Accoya Grooved Slate Grey 5/4x6 Long</v>
      </c>
    </row>
    <row r="67" spans="1:20" x14ac:dyDescent="0.25">
      <c r="A67" t="s">
        <v>281</v>
      </c>
      <c r="B67" t="s">
        <v>321</v>
      </c>
      <c r="C67" t="s">
        <v>283</v>
      </c>
      <c r="D67" t="s">
        <v>284</v>
      </c>
      <c r="E67" t="s">
        <v>368</v>
      </c>
      <c r="F67" t="s">
        <v>358</v>
      </c>
      <c r="G67" t="s">
        <v>287</v>
      </c>
      <c r="H67" t="s">
        <v>324</v>
      </c>
      <c r="I67" t="s">
        <v>343</v>
      </c>
      <c r="J67" t="s">
        <v>301</v>
      </c>
      <c r="K67">
        <v>20</v>
      </c>
      <c r="L67" s="6">
        <v>6.0960000000000001</v>
      </c>
      <c r="M67" s="7">
        <v>25.4</v>
      </c>
      <c r="N67" s="7">
        <v>146.05000000000001</v>
      </c>
      <c r="O67" s="7">
        <f t="shared" si="5"/>
        <v>240</v>
      </c>
      <c r="P67" s="7">
        <f t="shared" si="6"/>
        <v>1</v>
      </c>
      <c r="Q67" s="7">
        <f t="shared" si="6"/>
        <v>5.7500000000000009</v>
      </c>
      <c r="R67" s="6">
        <f t="shared" si="7"/>
        <v>884.40200000000004</v>
      </c>
      <c r="S67" s="6">
        <f t="shared" si="4"/>
        <v>2.2614148320000006E-2</v>
      </c>
      <c r="T67" t="str">
        <f t="shared" si="8"/>
        <v>Maximo Accoya Grooved Slate Grey 5/4x6 Long</v>
      </c>
    </row>
    <row r="68" spans="1:20" x14ac:dyDescent="0.25">
      <c r="A68" t="s">
        <v>281</v>
      </c>
      <c r="B68" t="s">
        <v>321</v>
      </c>
      <c r="C68" t="s">
        <v>283</v>
      </c>
      <c r="D68" t="s">
        <v>284</v>
      </c>
      <c r="E68" t="s">
        <v>369</v>
      </c>
      <c r="F68" t="s">
        <v>358</v>
      </c>
      <c r="G68" t="s">
        <v>287</v>
      </c>
      <c r="H68" t="s">
        <v>324</v>
      </c>
      <c r="I68" t="s">
        <v>343</v>
      </c>
      <c r="J68" t="s">
        <v>301</v>
      </c>
      <c r="K68">
        <v>8</v>
      </c>
      <c r="L68" s="6">
        <v>2.4384000000000001</v>
      </c>
      <c r="M68" s="7">
        <v>25.4</v>
      </c>
      <c r="N68" s="7">
        <v>146.05000000000001</v>
      </c>
      <c r="O68" s="7">
        <f t="shared" si="5"/>
        <v>96.000000000000014</v>
      </c>
      <c r="P68" s="7">
        <f t="shared" si="6"/>
        <v>1</v>
      </c>
      <c r="Q68" s="7">
        <f t="shared" si="6"/>
        <v>5.7500000000000009</v>
      </c>
      <c r="R68" s="6">
        <f t="shared" si="7"/>
        <v>884.40200000000004</v>
      </c>
      <c r="S68" s="6">
        <f t="shared" ref="S68:S131" si="9">L68*M68/1000*N68/1000</f>
        <v>9.0456593280000015E-3</v>
      </c>
      <c r="T68" t="str">
        <f t="shared" si="8"/>
        <v>Maximo Accoya Grooved Slate Grey 5/4x6 Long</v>
      </c>
    </row>
    <row r="69" spans="1:20" x14ac:dyDescent="0.25">
      <c r="A69" t="s">
        <v>281</v>
      </c>
      <c r="B69" t="s">
        <v>321</v>
      </c>
      <c r="C69" t="s">
        <v>283</v>
      </c>
      <c r="D69" t="s">
        <v>284</v>
      </c>
      <c r="E69" t="s">
        <v>370</v>
      </c>
      <c r="F69" t="s">
        <v>358</v>
      </c>
      <c r="G69" t="s">
        <v>287</v>
      </c>
      <c r="H69" t="s">
        <v>324</v>
      </c>
      <c r="I69" t="s">
        <v>343</v>
      </c>
      <c r="J69" t="s">
        <v>301</v>
      </c>
      <c r="K69">
        <v>9</v>
      </c>
      <c r="L69" s="6">
        <v>2.7431999999999999</v>
      </c>
      <c r="M69" s="7">
        <v>25.4</v>
      </c>
      <c r="N69" s="7">
        <v>146.05000000000001</v>
      </c>
      <c r="O69" s="7">
        <f t="shared" si="5"/>
        <v>108</v>
      </c>
      <c r="P69" s="7">
        <f t="shared" si="6"/>
        <v>1</v>
      </c>
      <c r="Q69" s="7">
        <f t="shared" si="6"/>
        <v>5.7500000000000009</v>
      </c>
      <c r="R69" s="6">
        <f t="shared" si="7"/>
        <v>884.40200000000004</v>
      </c>
      <c r="S69" s="6">
        <f t="shared" si="9"/>
        <v>1.0176366744E-2</v>
      </c>
      <c r="T69" t="str">
        <f t="shared" si="8"/>
        <v>Maximo Accoya Grooved Slate Grey 5/4x6 Long</v>
      </c>
    </row>
    <row r="70" spans="1:20" x14ac:dyDescent="0.25">
      <c r="A70" t="s">
        <v>281</v>
      </c>
      <c r="B70" t="s">
        <v>340</v>
      </c>
      <c r="C70" t="s">
        <v>283</v>
      </c>
      <c r="D70" t="s">
        <v>284</v>
      </c>
      <c r="E70" t="s">
        <v>371</v>
      </c>
      <c r="F70" t="s">
        <v>372</v>
      </c>
      <c r="G70" t="s">
        <v>287</v>
      </c>
      <c r="H70" t="s">
        <v>373</v>
      </c>
      <c r="I70" t="s">
        <v>289</v>
      </c>
      <c r="J70" t="s">
        <v>344</v>
      </c>
      <c r="K70">
        <v>10</v>
      </c>
      <c r="L70" s="6">
        <v>3.048</v>
      </c>
      <c r="M70" s="7">
        <v>19.049999999999997</v>
      </c>
      <c r="N70" s="7">
        <v>146.05000000000001</v>
      </c>
      <c r="O70" s="7">
        <f t="shared" si="5"/>
        <v>120</v>
      </c>
      <c r="P70" s="7">
        <f t="shared" si="6"/>
        <v>0.74999999999999989</v>
      </c>
      <c r="Q70" s="7">
        <f t="shared" si="6"/>
        <v>5.7500000000000009</v>
      </c>
      <c r="R70" s="6">
        <f t="shared" si="7"/>
        <v>1179.203</v>
      </c>
      <c r="S70" s="6">
        <f t="shared" si="9"/>
        <v>8.4803056199999997E-3</v>
      </c>
      <c r="T70" t="str">
        <f t="shared" si="8"/>
        <v>Maximo Accoya S4S E4E 1x6 Long</v>
      </c>
    </row>
    <row r="71" spans="1:20" x14ac:dyDescent="0.25">
      <c r="A71" t="s">
        <v>281</v>
      </c>
      <c r="B71" t="s">
        <v>340</v>
      </c>
      <c r="C71" t="s">
        <v>283</v>
      </c>
      <c r="D71" t="s">
        <v>284</v>
      </c>
      <c r="E71" t="s">
        <v>374</v>
      </c>
      <c r="F71" t="s">
        <v>372</v>
      </c>
      <c r="G71" t="s">
        <v>287</v>
      </c>
      <c r="H71" t="s">
        <v>373</v>
      </c>
      <c r="I71" t="s">
        <v>289</v>
      </c>
      <c r="J71" t="s">
        <v>344</v>
      </c>
      <c r="K71">
        <v>11</v>
      </c>
      <c r="L71" s="6">
        <v>3.3527999999999998</v>
      </c>
      <c r="M71" s="7">
        <v>19.049999999999997</v>
      </c>
      <c r="N71" s="7">
        <v>146.05000000000001</v>
      </c>
      <c r="O71" s="7">
        <f t="shared" si="5"/>
        <v>132</v>
      </c>
      <c r="P71" s="7">
        <f t="shared" si="6"/>
        <v>0.74999999999999989</v>
      </c>
      <c r="Q71" s="7">
        <f t="shared" si="6"/>
        <v>5.7500000000000009</v>
      </c>
      <c r="R71" s="6">
        <f t="shared" si="7"/>
        <v>1179.203</v>
      </c>
      <c r="S71" s="6">
        <f t="shared" si="9"/>
        <v>9.3283361819999997E-3</v>
      </c>
      <c r="T71" t="str">
        <f t="shared" si="8"/>
        <v>Maximo Accoya S4S E4E 1x6 Long</v>
      </c>
    </row>
    <row r="72" spans="1:20" x14ac:dyDescent="0.25">
      <c r="A72" t="s">
        <v>281</v>
      </c>
      <c r="B72" t="s">
        <v>340</v>
      </c>
      <c r="C72" t="s">
        <v>283</v>
      </c>
      <c r="D72" t="s">
        <v>284</v>
      </c>
      <c r="E72" t="s">
        <v>375</v>
      </c>
      <c r="F72" t="s">
        <v>372</v>
      </c>
      <c r="G72" t="s">
        <v>287</v>
      </c>
      <c r="H72" t="s">
        <v>373</v>
      </c>
      <c r="I72" t="s">
        <v>289</v>
      </c>
      <c r="J72" t="s">
        <v>344</v>
      </c>
      <c r="K72">
        <v>12</v>
      </c>
      <c r="L72" s="6">
        <v>3.6576</v>
      </c>
      <c r="M72" s="7">
        <v>19.049999999999997</v>
      </c>
      <c r="N72" s="7">
        <v>146.05000000000001</v>
      </c>
      <c r="O72" s="7">
        <f t="shared" si="5"/>
        <v>144</v>
      </c>
      <c r="P72" s="7">
        <f t="shared" si="6"/>
        <v>0.74999999999999989</v>
      </c>
      <c r="Q72" s="7">
        <f t="shared" si="6"/>
        <v>5.7500000000000009</v>
      </c>
      <c r="R72" s="6">
        <f t="shared" si="7"/>
        <v>1179.203</v>
      </c>
      <c r="S72" s="6">
        <f t="shared" si="9"/>
        <v>1.0176366743999998E-2</v>
      </c>
      <c r="T72" t="str">
        <f t="shared" si="8"/>
        <v>Maximo Accoya S4S E4E 1x6 Long</v>
      </c>
    </row>
    <row r="73" spans="1:20" x14ac:dyDescent="0.25">
      <c r="A73" t="s">
        <v>281</v>
      </c>
      <c r="B73" t="s">
        <v>340</v>
      </c>
      <c r="C73" t="s">
        <v>283</v>
      </c>
      <c r="D73" t="s">
        <v>284</v>
      </c>
      <c r="E73" t="s">
        <v>376</v>
      </c>
      <c r="F73" t="s">
        <v>372</v>
      </c>
      <c r="G73" t="s">
        <v>287</v>
      </c>
      <c r="H73" t="s">
        <v>373</v>
      </c>
      <c r="I73" t="s">
        <v>289</v>
      </c>
      <c r="J73" t="s">
        <v>344</v>
      </c>
      <c r="K73">
        <v>13</v>
      </c>
      <c r="L73" s="6">
        <v>3.9624000000000001</v>
      </c>
      <c r="M73" s="7">
        <v>19.049999999999997</v>
      </c>
      <c r="N73" s="7">
        <v>146.05000000000001</v>
      </c>
      <c r="O73" s="7">
        <f t="shared" si="5"/>
        <v>156</v>
      </c>
      <c r="P73" s="7">
        <f t="shared" si="6"/>
        <v>0.74999999999999989</v>
      </c>
      <c r="Q73" s="7">
        <f t="shared" si="6"/>
        <v>5.7500000000000009</v>
      </c>
      <c r="R73" s="6">
        <f t="shared" si="7"/>
        <v>1179.203</v>
      </c>
      <c r="S73" s="6">
        <f t="shared" si="9"/>
        <v>1.1024397306E-2</v>
      </c>
      <c r="T73" t="str">
        <f t="shared" si="8"/>
        <v>Maximo Accoya S4S E4E 1x6 Long</v>
      </c>
    </row>
    <row r="74" spans="1:20" x14ac:dyDescent="0.25">
      <c r="A74" t="s">
        <v>281</v>
      </c>
      <c r="B74" t="s">
        <v>340</v>
      </c>
      <c r="C74" t="s">
        <v>283</v>
      </c>
      <c r="D74" t="s">
        <v>284</v>
      </c>
      <c r="E74" t="s">
        <v>377</v>
      </c>
      <c r="F74" t="s">
        <v>372</v>
      </c>
      <c r="G74" t="s">
        <v>287</v>
      </c>
      <c r="H74" t="s">
        <v>373</v>
      </c>
      <c r="I74" t="s">
        <v>289</v>
      </c>
      <c r="J74" t="s">
        <v>344</v>
      </c>
      <c r="K74">
        <v>14</v>
      </c>
      <c r="L74" s="6">
        <v>4.2671999999999999</v>
      </c>
      <c r="M74" s="7">
        <v>19.049999999999997</v>
      </c>
      <c r="N74" s="7">
        <v>146.05000000000001</v>
      </c>
      <c r="O74" s="7">
        <f t="shared" si="5"/>
        <v>168</v>
      </c>
      <c r="P74" s="7">
        <f t="shared" si="6"/>
        <v>0.74999999999999989</v>
      </c>
      <c r="Q74" s="7">
        <f t="shared" si="6"/>
        <v>5.7500000000000009</v>
      </c>
      <c r="R74" s="6">
        <f t="shared" si="7"/>
        <v>1179.203</v>
      </c>
      <c r="S74" s="6">
        <f t="shared" si="9"/>
        <v>1.1872427868E-2</v>
      </c>
      <c r="T74" t="str">
        <f t="shared" si="8"/>
        <v>Maximo Accoya S4S E4E 1x6 Long</v>
      </c>
    </row>
    <row r="75" spans="1:20" x14ac:dyDescent="0.25">
      <c r="A75" t="s">
        <v>281</v>
      </c>
      <c r="B75" t="s">
        <v>340</v>
      </c>
      <c r="C75" t="s">
        <v>283</v>
      </c>
      <c r="D75" t="s">
        <v>284</v>
      </c>
      <c r="E75" t="s">
        <v>378</v>
      </c>
      <c r="F75" t="s">
        <v>372</v>
      </c>
      <c r="G75" t="s">
        <v>287</v>
      </c>
      <c r="H75" t="s">
        <v>373</v>
      </c>
      <c r="I75" t="s">
        <v>289</v>
      </c>
      <c r="J75" t="s">
        <v>344</v>
      </c>
      <c r="K75">
        <v>15</v>
      </c>
      <c r="L75" s="6">
        <v>4.5720000000000001</v>
      </c>
      <c r="M75" s="7">
        <v>19.049999999999997</v>
      </c>
      <c r="N75" s="7">
        <v>146.05000000000001</v>
      </c>
      <c r="O75" s="7">
        <f t="shared" si="5"/>
        <v>180</v>
      </c>
      <c r="P75" s="7">
        <f t="shared" si="6"/>
        <v>0.74999999999999989</v>
      </c>
      <c r="Q75" s="7">
        <f t="shared" si="6"/>
        <v>5.7500000000000009</v>
      </c>
      <c r="R75" s="6">
        <f t="shared" si="7"/>
        <v>1179.203</v>
      </c>
      <c r="S75" s="6">
        <f t="shared" si="9"/>
        <v>1.2720458430000001E-2</v>
      </c>
      <c r="T75" t="str">
        <f t="shared" si="8"/>
        <v>Maximo Accoya S4S E4E 1x6 Long</v>
      </c>
    </row>
    <row r="76" spans="1:20" x14ac:dyDescent="0.25">
      <c r="A76" t="s">
        <v>281</v>
      </c>
      <c r="B76" t="s">
        <v>340</v>
      </c>
      <c r="C76" t="s">
        <v>283</v>
      </c>
      <c r="D76" t="s">
        <v>284</v>
      </c>
      <c r="E76" t="s">
        <v>379</v>
      </c>
      <c r="F76" t="s">
        <v>372</v>
      </c>
      <c r="G76" t="s">
        <v>287</v>
      </c>
      <c r="H76" t="s">
        <v>373</v>
      </c>
      <c r="I76" t="s">
        <v>289</v>
      </c>
      <c r="J76" t="s">
        <v>344</v>
      </c>
      <c r="K76">
        <v>16</v>
      </c>
      <c r="L76" s="6">
        <v>4.8768000000000002</v>
      </c>
      <c r="M76" s="7">
        <v>19.049999999999997</v>
      </c>
      <c r="N76" s="7">
        <v>146.05000000000001</v>
      </c>
      <c r="O76" s="7">
        <f t="shared" si="5"/>
        <v>192.00000000000003</v>
      </c>
      <c r="P76" s="7">
        <f t="shared" si="6"/>
        <v>0.74999999999999989</v>
      </c>
      <c r="Q76" s="7">
        <f t="shared" si="6"/>
        <v>5.7500000000000009</v>
      </c>
      <c r="R76" s="6">
        <f t="shared" si="7"/>
        <v>1179.203</v>
      </c>
      <c r="S76" s="6">
        <f t="shared" si="9"/>
        <v>1.3568488992000001E-2</v>
      </c>
      <c r="T76" t="str">
        <f t="shared" si="8"/>
        <v>Maximo Accoya S4S E4E 1x6 Long</v>
      </c>
    </row>
    <row r="77" spans="1:20" x14ac:dyDescent="0.25">
      <c r="A77" t="s">
        <v>281</v>
      </c>
      <c r="B77" t="s">
        <v>340</v>
      </c>
      <c r="C77" t="s">
        <v>283</v>
      </c>
      <c r="D77" t="s">
        <v>284</v>
      </c>
      <c r="E77" t="s">
        <v>380</v>
      </c>
      <c r="F77" t="s">
        <v>372</v>
      </c>
      <c r="G77" t="s">
        <v>287</v>
      </c>
      <c r="H77" t="s">
        <v>373</v>
      </c>
      <c r="I77" t="s">
        <v>289</v>
      </c>
      <c r="J77" t="s">
        <v>344</v>
      </c>
      <c r="K77">
        <v>8</v>
      </c>
      <c r="L77" s="6">
        <v>2.4384000000000001</v>
      </c>
      <c r="M77" s="7">
        <v>19.049999999999997</v>
      </c>
      <c r="N77" s="7">
        <v>146.05000000000001</v>
      </c>
      <c r="O77" s="7">
        <f t="shared" si="5"/>
        <v>96.000000000000014</v>
      </c>
      <c r="P77" s="7">
        <f t="shared" si="6"/>
        <v>0.74999999999999989</v>
      </c>
      <c r="Q77" s="7">
        <f t="shared" si="6"/>
        <v>5.7500000000000009</v>
      </c>
      <c r="R77" s="6">
        <f t="shared" si="7"/>
        <v>1179.203</v>
      </c>
      <c r="S77" s="6">
        <f t="shared" si="9"/>
        <v>6.7842444960000007E-3</v>
      </c>
      <c r="T77" t="str">
        <f t="shared" si="8"/>
        <v>Maximo Accoya S4S E4E 1x6 Long</v>
      </c>
    </row>
    <row r="78" spans="1:20" x14ac:dyDescent="0.25">
      <c r="A78" t="s">
        <v>281</v>
      </c>
      <c r="B78" t="s">
        <v>340</v>
      </c>
      <c r="C78" t="s">
        <v>283</v>
      </c>
      <c r="D78" t="s">
        <v>284</v>
      </c>
      <c r="E78" t="s">
        <v>381</v>
      </c>
      <c r="F78" t="s">
        <v>372</v>
      </c>
      <c r="G78" t="s">
        <v>287</v>
      </c>
      <c r="H78" t="s">
        <v>373</v>
      </c>
      <c r="I78" t="s">
        <v>289</v>
      </c>
      <c r="J78" t="s">
        <v>344</v>
      </c>
      <c r="K78">
        <v>9</v>
      </c>
      <c r="L78" s="6">
        <v>2.7431999999999999</v>
      </c>
      <c r="M78" s="7">
        <v>19.049999999999997</v>
      </c>
      <c r="N78" s="7">
        <v>146.05000000000001</v>
      </c>
      <c r="O78" s="7">
        <f t="shared" si="5"/>
        <v>108</v>
      </c>
      <c r="P78" s="7">
        <f t="shared" si="6"/>
        <v>0.74999999999999989</v>
      </c>
      <c r="Q78" s="7">
        <f t="shared" si="6"/>
        <v>5.7500000000000009</v>
      </c>
      <c r="R78" s="6">
        <f t="shared" si="7"/>
        <v>1179.203</v>
      </c>
      <c r="S78" s="6">
        <f t="shared" si="9"/>
        <v>7.6322750579999998E-3</v>
      </c>
      <c r="T78" t="str">
        <f t="shared" si="8"/>
        <v>Maximo Accoya S4S E4E 1x6 Long</v>
      </c>
    </row>
    <row r="79" spans="1:20" x14ac:dyDescent="0.25">
      <c r="A79" t="s">
        <v>281</v>
      </c>
      <c r="B79" t="s">
        <v>321</v>
      </c>
      <c r="C79" t="s">
        <v>283</v>
      </c>
      <c r="D79" t="s">
        <v>284</v>
      </c>
      <c r="E79" t="s">
        <v>382</v>
      </c>
      <c r="F79" t="s">
        <v>383</v>
      </c>
      <c r="G79" t="s">
        <v>287</v>
      </c>
      <c r="H79" t="s">
        <v>373</v>
      </c>
      <c r="I79" t="s">
        <v>289</v>
      </c>
      <c r="J79" t="s">
        <v>301</v>
      </c>
      <c r="K79">
        <v>10</v>
      </c>
      <c r="L79" s="6">
        <v>3.048</v>
      </c>
      <c r="M79" s="7">
        <v>25.4</v>
      </c>
      <c r="N79" s="7">
        <v>146.05000000000001</v>
      </c>
      <c r="O79" s="7">
        <f t="shared" si="5"/>
        <v>120</v>
      </c>
      <c r="P79" s="7">
        <f t="shared" si="6"/>
        <v>1</v>
      </c>
      <c r="Q79" s="7">
        <f t="shared" si="6"/>
        <v>5.7500000000000009</v>
      </c>
      <c r="R79" s="6">
        <f t="shared" si="7"/>
        <v>884.40200000000004</v>
      </c>
      <c r="S79" s="6">
        <f t="shared" si="9"/>
        <v>1.1307074160000003E-2</v>
      </c>
      <c r="T79" t="str">
        <f t="shared" si="8"/>
        <v>Maximo Accoya S4S E4E 5/4x6 Long</v>
      </c>
    </row>
    <row r="80" spans="1:20" x14ac:dyDescent="0.25">
      <c r="A80" t="s">
        <v>281</v>
      </c>
      <c r="B80" t="s">
        <v>321</v>
      </c>
      <c r="C80" t="s">
        <v>283</v>
      </c>
      <c r="D80" t="s">
        <v>284</v>
      </c>
      <c r="E80" t="s">
        <v>384</v>
      </c>
      <c r="F80" t="s">
        <v>383</v>
      </c>
      <c r="G80" t="s">
        <v>287</v>
      </c>
      <c r="H80" t="s">
        <v>373</v>
      </c>
      <c r="I80" t="s">
        <v>289</v>
      </c>
      <c r="J80" t="s">
        <v>301</v>
      </c>
      <c r="K80">
        <v>11</v>
      </c>
      <c r="L80" s="6">
        <v>3.3527999999999998</v>
      </c>
      <c r="M80" s="7">
        <v>25.4</v>
      </c>
      <c r="N80" s="7">
        <v>146.05000000000001</v>
      </c>
      <c r="O80" s="7">
        <f t="shared" si="5"/>
        <v>132</v>
      </c>
      <c r="P80" s="7">
        <f t="shared" si="6"/>
        <v>1</v>
      </c>
      <c r="Q80" s="7">
        <f t="shared" si="6"/>
        <v>5.7500000000000009</v>
      </c>
      <c r="R80" s="6">
        <f t="shared" si="7"/>
        <v>884.40200000000004</v>
      </c>
      <c r="S80" s="6">
        <f t="shared" si="9"/>
        <v>1.2437781575999998E-2</v>
      </c>
      <c r="T80" t="str">
        <f t="shared" si="8"/>
        <v>Maximo Accoya S4S E4E 5/4x6 Long</v>
      </c>
    </row>
    <row r="81" spans="1:20" x14ac:dyDescent="0.25">
      <c r="A81" t="s">
        <v>281</v>
      </c>
      <c r="B81" t="s">
        <v>321</v>
      </c>
      <c r="C81" t="s">
        <v>283</v>
      </c>
      <c r="D81" t="s">
        <v>284</v>
      </c>
      <c r="E81" t="s">
        <v>385</v>
      </c>
      <c r="F81" t="s">
        <v>383</v>
      </c>
      <c r="G81" t="s">
        <v>287</v>
      </c>
      <c r="H81" t="s">
        <v>373</v>
      </c>
      <c r="I81" t="s">
        <v>289</v>
      </c>
      <c r="J81" t="s">
        <v>301</v>
      </c>
      <c r="K81">
        <v>12</v>
      </c>
      <c r="L81" s="6">
        <v>3.6576</v>
      </c>
      <c r="M81" s="7">
        <v>25.4</v>
      </c>
      <c r="N81" s="7">
        <v>146.05000000000001</v>
      </c>
      <c r="O81" s="7">
        <f t="shared" si="5"/>
        <v>144</v>
      </c>
      <c r="P81" s="7">
        <f t="shared" si="6"/>
        <v>1</v>
      </c>
      <c r="Q81" s="7">
        <f t="shared" si="6"/>
        <v>5.7500000000000009</v>
      </c>
      <c r="R81" s="6">
        <f t="shared" si="7"/>
        <v>884.40200000000004</v>
      </c>
      <c r="S81" s="6">
        <f t="shared" si="9"/>
        <v>1.3568488992000001E-2</v>
      </c>
      <c r="T81" t="str">
        <f t="shared" si="8"/>
        <v>Maximo Accoya S4S E4E 5/4x6 Long</v>
      </c>
    </row>
    <row r="82" spans="1:20" x14ac:dyDescent="0.25">
      <c r="A82" t="s">
        <v>281</v>
      </c>
      <c r="B82" t="s">
        <v>321</v>
      </c>
      <c r="C82" t="s">
        <v>283</v>
      </c>
      <c r="D82" t="s">
        <v>284</v>
      </c>
      <c r="E82" t="s">
        <v>386</v>
      </c>
      <c r="F82" t="s">
        <v>383</v>
      </c>
      <c r="G82" t="s">
        <v>287</v>
      </c>
      <c r="H82" t="s">
        <v>373</v>
      </c>
      <c r="I82" t="s">
        <v>289</v>
      </c>
      <c r="J82" t="s">
        <v>301</v>
      </c>
      <c r="K82">
        <v>13</v>
      </c>
      <c r="L82" s="6">
        <v>3.9624000000000001</v>
      </c>
      <c r="M82" s="7">
        <v>25.4</v>
      </c>
      <c r="N82" s="7">
        <v>146.05000000000001</v>
      </c>
      <c r="O82" s="7">
        <f t="shared" si="5"/>
        <v>156</v>
      </c>
      <c r="P82" s="7">
        <f t="shared" si="6"/>
        <v>1</v>
      </c>
      <c r="Q82" s="7">
        <f t="shared" si="6"/>
        <v>5.7500000000000009</v>
      </c>
      <c r="R82" s="6">
        <f t="shared" si="7"/>
        <v>884.40200000000004</v>
      </c>
      <c r="S82" s="6">
        <f t="shared" si="9"/>
        <v>1.4699196408000001E-2</v>
      </c>
      <c r="T82" t="str">
        <f t="shared" si="8"/>
        <v>Maximo Accoya S4S E4E 5/4x6 Long</v>
      </c>
    </row>
    <row r="83" spans="1:20" x14ac:dyDescent="0.25">
      <c r="A83" t="s">
        <v>281</v>
      </c>
      <c r="B83" t="s">
        <v>321</v>
      </c>
      <c r="C83" t="s">
        <v>283</v>
      </c>
      <c r="D83" t="s">
        <v>284</v>
      </c>
      <c r="E83" t="s">
        <v>387</v>
      </c>
      <c r="F83" t="s">
        <v>383</v>
      </c>
      <c r="G83" t="s">
        <v>287</v>
      </c>
      <c r="H83" t="s">
        <v>373</v>
      </c>
      <c r="I83" t="s">
        <v>289</v>
      </c>
      <c r="J83" t="s">
        <v>301</v>
      </c>
      <c r="K83">
        <v>14</v>
      </c>
      <c r="L83" s="6">
        <v>4.2671999999999999</v>
      </c>
      <c r="M83" s="7">
        <v>25.4</v>
      </c>
      <c r="N83" s="7">
        <v>146.05000000000001</v>
      </c>
      <c r="O83" s="7">
        <f t="shared" si="5"/>
        <v>168</v>
      </c>
      <c r="P83" s="7">
        <f t="shared" si="6"/>
        <v>1</v>
      </c>
      <c r="Q83" s="7">
        <f t="shared" si="6"/>
        <v>5.7500000000000009</v>
      </c>
      <c r="R83" s="6">
        <f t="shared" si="7"/>
        <v>884.40200000000004</v>
      </c>
      <c r="S83" s="6">
        <f t="shared" si="9"/>
        <v>1.5829903824E-2</v>
      </c>
      <c r="T83" t="str">
        <f t="shared" si="8"/>
        <v>Maximo Accoya S4S E4E 5/4x6 Long</v>
      </c>
    </row>
    <row r="84" spans="1:20" x14ac:dyDescent="0.25">
      <c r="A84" t="s">
        <v>281</v>
      </c>
      <c r="B84" t="s">
        <v>321</v>
      </c>
      <c r="C84" t="s">
        <v>283</v>
      </c>
      <c r="D84" t="s">
        <v>284</v>
      </c>
      <c r="E84" t="s">
        <v>388</v>
      </c>
      <c r="F84" t="s">
        <v>383</v>
      </c>
      <c r="G84" t="s">
        <v>287</v>
      </c>
      <c r="H84" t="s">
        <v>373</v>
      </c>
      <c r="I84" t="s">
        <v>289</v>
      </c>
      <c r="J84" t="s">
        <v>301</v>
      </c>
      <c r="K84">
        <v>15</v>
      </c>
      <c r="L84" s="6">
        <v>4.5720000000000001</v>
      </c>
      <c r="M84" s="7">
        <v>25.4</v>
      </c>
      <c r="N84" s="7">
        <v>146.05000000000001</v>
      </c>
      <c r="O84" s="7">
        <f t="shared" si="5"/>
        <v>180</v>
      </c>
      <c r="P84" s="7">
        <f t="shared" si="6"/>
        <v>1</v>
      </c>
      <c r="Q84" s="7">
        <f t="shared" si="6"/>
        <v>5.7500000000000009</v>
      </c>
      <c r="R84" s="6">
        <f t="shared" si="7"/>
        <v>884.40200000000004</v>
      </c>
      <c r="S84" s="6">
        <f t="shared" si="9"/>
        <v>1.6960611240000003E-2</v>
      </c>
      <c r="T84" t="str">
        <f t="shared" si="8"/>
        <v>Maximo Accoya S4S E4E 5/4x6 Long</v>
      </c>
    </row>
    <row r="85" spans="1:20" x14ac:dyDescent="0.25">
      <c r="A85" t="s">
        <v>281</v>
      </c>
      <c r="B85" t="s">
        <v>321</v>
      </c>
      <c r="C85" t="s">
        <v>283</v>
      </c>
      <c r="D85" t="s">
        <v>284</v>
      </c>
      <c r="E85" t="s">
        <v>389</v>
      </c>
      <c r="F85" t="s">
        <v>383</v>
      </c>
      <c r="G85" t="s">
        <v>287</v>
      </c>
      <c r="H85" t="s">
        <v>373</v>
      </c>
      <c r="I85" t="s">
        <v>289</v>
      </c>
      <c r="J85" t="s">
        <v>301</v>
      </c>
      <c r="K85">
        <v>16</v>
      </c>
      <c r="L85" s="6">
        <v>4.8768000000000002</v>
      </c>
      <c r="M85" s="7">
        <v>25.4</v>
      </c>
      <c r="N85" s="7">
        <v>146.05000000000001</v>
      </c>
      <c r="O85" s="7">
        <f t="shared" si="5"/>
        <v>192.00000000000003</v>
      </c>
      <c r="P85" s="7">
        <f t="shared" si="6"/>
        <v>1</v>
      </c>
      <c r="Q85" s="7">
        <f t="shared" si="6"/>
        <v>5.7500000000000009</v>
      </c>
      <c r="R85" s="6">
        <f t="shared" si="7"/>
        <v>884.40200000000004</v>
      </c>
      <c r="S85" s="6">
        <f t="shared" si="9"/>
        <v>1.8091318656000003E-2</v>
      </c>
      <c r="T85" t="str">
        <f t="shared" si="8"/>
        <v>Maximo Accoya S4S E4E 5/4x6 Long</v>
      </c>
    </row>
    <row r="86" spans="1:20" x14ac:dyDescent="0.25">
      <c r="A86" t="s">
        <v>281</v>
      </c>
      <c r="B86" t="s">
        <v>321</v>
      </c>
      <c r="C86" t="s">
        <v>283</v>
      </c>
      <c r="D86" t="s">
        <v>284</v>
      </c>
      <c r="E86" t="s">
        <v>390</v>
      </c>
      <c r="F86" t="s">
        <v>383</v>
      </c>
      <c r="G86" t="s">
        <v>287</v>
      </c>
      <c r="H86" t="s">
        <v>373</v>
      </c>
      <c r="I86" t="s">
        <v>289</v>
      </c>
      <c r="J86" t="s">
        <v>301</v>
      </c>
      <c r="K86">
        <v>8</v>
      </c>
      <c r="L86" s="6">
        <v>2.4384000000000001</v>
      </c>
      <c r="M86" s="7">
        <v>25.4</v>
      </c>
      <c r="N86" s="7">
        <v>146.05000000000001</v>
      </c>
      <c r="O86" s="7">
        <f t="shared" si="5"/>
        <v>96.000000000000014</v>
      </c>
      <c r="P86" s="7">
        <f t="shared" si="6"/>
        <v>1</v>
      </c>
      <c r="Q86" s="7">
        <f t="shared" si="6"/>
        <v>5.7500000000000009</v>
      </c>
      <c r="R86" s="6">
        <f t="shared" si="7"/>
        <v>884.40200000000004</v>
      </c>
      <c r="S86" s="6">
        <f t="shared" si="9"/>
        <v>9.0456593280000015E-3</v>
      </c>
      <c r="T86" t="str">
        <f t="shared" si="8"/>
        <v>Maximo Accoya S4S E4E 5/4x6 Long</v>
      </c>
    </row>
    <row r="87" spans="1:20" x14ac:dyDescent="0.25">
      <c r="A87" t="s">
        <v>281</v>
      </c>
      <c r="B87" t="s">
        <v>321</v>
      </c>
      <c r="C87" t="s">
        <v>283</v>
      </c>
      <c r="D87" t="s">
        <v>284</v>
      </c>
      <c r="E87" t="s">
        <v>391</v>
      </c>
      <c r="F87" t="s">
        <v>383</v>
      </c>
      <c r="G87" t="s">
        <v>287</v>
      </c>
      <c r="H87" t="s">
        <v>373</v>
      </c>
      <c r="I87" t="s">
        <v>289</v>
      </c>
      <c r="J87" t="s">
        <v>301</v>
      </c>
      <c r="K87">
        <v>9</v>
      </c>
      <c r="L87" s="6">
        <v>2.7431999999999999</v>
      </c>
      <c r="M87" s="7">
        <v>25.4</v>
      </c>
      <c r="N87" s="7">
        <v>146.05000000000001</v>
      </c>
      <c r="O87" s="7">
        <f t="shared" si="5"/>
        <v>108</v>
      </c>
      <c r="P87" s="7">
        <f t="shared" si="6"/>
        <v>1</v>
      </c>
      <c r="Q87" s="7">
        <f t="shared" si="6"/>
        <v>5.7500000000000009</v>
      </c>
      <c r="R87" s="6">
        <f t="shared" si="7"/>
        <v>884.40200000000004</v>
      </c>
      <c r="S87" s="6">
        <f t="shared" si="9"/>
        <v>1.0176366744E-2</v>
      </c>
      <c r="T87" t="str">
        <f t="shared" si="8"/>
        <v>Maximo Accoya S4S E4E 5/4x6 Long</v>
      </c>
    </row>
    <row r="88" spans="1:20" x14ac:dyDescent="0.25">
      <c r="A88" t="s">
        <v>281</v>
      </c>
      <c r="B88" t="s">
        <v>321</v>
      </c>
      <c r="C88" t="s">
        <v>283</v>
      </c>
      <c r="D88" t="s">
        <v>284</v>
      </c>
      <c r="E88" t="s">
        <v>392</v>
      </c>
      <c r="F88" t="s">
        <v>393</v>
      </c>
      <c r="G88" t="s">
        <v>287</v>
      </c>
      <c r="H88" t="s">
        <v>373</v>
      </c>
      <c r="I88" t="s">
        <v>325</v>
      </c>
      <c r="J88" t="s">
        <v>301</v>
      </c>
      <c r="K88">
        <v>10</v>
      </c>
      <c r="L88" s="6">
        <v>3.048</v>
      </c>
      <c r="M88" s="7">
        <v>25.4</v>
      </c>
      <c r="N88" s="7">
        <v>146.05000000000001</v>
      </c>
      <c r="O88" s="7">
        <f t="shared" si="5"/>
        <v>120</v>
      </c>
      <c r="P88" s="7">
        <f t="shared" si="6"/>
        <v>1</v>
      </c>
      <c r="Q88" s="7">
        <f t="shared" si="6"/>
        <v>5.7500000000000009</v>
      </c>
      <c r="R88" s="6">
        <f t="shared" si="7"/>
        <v>884.40200000000004</v>
      </c>
      <c r="S88" s="6">
        <f t="shared" si="9"/>
        <v>1.1307074160000003E-2</v>
      </c>
      <c r="T88" t="str">
        <f t="shared" si="8"/>
        <v>Maximo Accoya S4S E4E Brown Ipe (Coated) 5/4x6 Long</v>
      </c>
    </row>
    <row r="89" spans="1:20" x14ac:dyDescent="0.25">
      <c r="A89" t="s">
        <v>281</v>
      </c>
      <c r="B89" t="s">
        <v>321</v>
      </c>
      <c r="C89" t="s">
        <v>283</v>
      </c>
      <c r="D89" t="s">
        <v>284</v>
      </c>
      <c r="E89" t="s">
        <v>394</v>
      </c>
      <c r="F89" t="s">
        <v>393</v>
      </c>
      <c r="G89" t="s">
        <v>287</v>
      </c>
      <c r="H89" t="s">
        <v>373</v>
      </c>
      <c r="I89" t="s">
        <v>325</v>
      </c>
      <c r="J89" t="s">
        <v>301</v>
      </c>
      <c r="K89">
        <v>11</v>
      </c>
      <c r="L89" s="6">
        <v>3.3527999999999998</v>
      </c>
      <c r="M89" s="7">
        <v>25.4</v>
      </c>
      <c r="N89" s="7">
        <v>146.05000000000001</v>
      </c>
      <c r="O89" s="7">
        <f t="shared" si="5"/>
        <v>132</v>
      </c>
      <c r="P89" s="7">
        <f t="shared" si="6"/>
        <v>1</v>
      </c>
      <c r="Q89" s="7">
        <f t="shared" si="6"/>
        <v>5.7500000000000009</v>
      </c>
      <c r="R89" s="6">
        <f t="shared" si="7"/>
        <v>884.40200000000004</v>
      </c>
      <c r="S89" s="6">
        <f t="shared" si="9"/>
        <v>1.2437781575999998E-2</v>
      </c>
      <c r="T89" t="str">
        <f t="shared" si="8"/>
        <v>Maximo Accoya S4S E4E Brown Ipe (Coated) 5/4x6 Long</v>
      </c>
    </row>
    <row r="90" spans="1:20" x14ac:dyDescent="0.25">
      <c r="A90" t="s">
        <v>281</v>
      </c>
      <c r="B90" t="s">
        <v>321</v>
      </c>
      <c r="C90" t="s">
        <v>283</v>
      </c>
      <c r="D90" t="s">
        <v>284</v>
      </c>
      <c r="E90" t="s">
        <v>395</v>
      </c>
      <c r="F90" t="s">
        <v>393</v>
      </c>
      <c r="G90" t="s">
        <v>287</v>
      </c>
      <c r="H90" t="s">
        <v>373</v>
      </c>
      <c r="I90" t="s">
        <v>325</v>
      </c>
      <c r="J90" t="s">
        <v>301</v>
      </c>
      <c r="K90">
        <v>12</v>
      </c>
      <c r="L90" s="6">
        <v>3.6576</v>
      </c>
      <c r="M90" s="7">
        <v>25.4</v>
      </c>
      <c r="N90" s="7">
        <v>146.05000000000001</v>
      </c>
      <c r="O90" s="7">
        <f t="shared" si="5"/>
        <v>144</v>
      </c>
      <c r="P90" s="7">
        <f t="shared" si="6"/>
        <v>1</v>
      </c>
      <c r="Q90" s="7">
        <f t="shared" si="6"/>
        <v>5.7500000000000009</v>
      </c>
      <c r="R90" s="6">
        <f t="shared" si="7"/>
        <v>884.40200000000004</v>
      </c>
      <c r="S90" s="6">
        <f t="shared" si="9"/>
        <v>1.3568488992000001E-2</v>
      </c>
      <c r="T90" t="str">
        <f t="shared" si="8"/>
        <v>Maximo Accoya S4S E4E Brown Ipe (Coated) 5/4x6 Long</v>
      </c>
    </row>
    <row r="91" spans="1:20" x14ac:dyDescent="0.25">
      <c r="A91" t="s">
        <v>281</v>
      </c>
      <c r="B91" t="s">
        <v>321</v>
      </c>
      <c r="C91" t="s">
        <v>283</v>
      </c>
      <c r="D91" t="s">
        <v>284</v>
      </c>
      <c r="E91" t="s">
        <v>396</v>
      </c>
      <c r="F91" t="s">
        <v>393</v>
      </c>
      <c r="G91" t="s">
        <v>287</v>
      </c>
      <c r="H91" t="s">
        <v>373</v>
      </c>
      <c r="I91" t="s">
        <v>325</v>
      </c>
      <c r="J91" t="s">
        <v>301</v>
      </c>
      <c r="K91">
        <v>13</v>
      </c>
      <c r="L91" s="6">
        <v>3.9624000000000001</v>
      </c>
      <c r="M91" s="7">
        <v>25.4</v>
      </c>
      <c r="N91" s="7">
        <v>146.05000000000001</v>
      </c>
      <c r="O91" s="7">
        <f t="shared" si="5"/>
        <v>156</v>
      </c>
      <c r="P91" s="7">
        <f t="shared" si="6"/>
        <v>1</v>
      </c>
      <c r="Q91" s="7">
        <f t="shared" si="6"/>
        <v>5.7500000000000009</v>
      </c>
      <c r="R91" s="6">
        <f t="shared" si="7"/>
        <v>884.40200000000004</v>
      </c>
      <c r="S91" s="6">
        <f t="shared" si="9"/>
        <v>1.4699196408000001E-2</v>
      </c>
      <c r="T91" t="str">
        <f t="shared" si="8"/>
        <v>Maximo Accoya S4S E4E Brown Ipe (Coated) 5/4x6 Long</v>
      </c>
    </row>
    <row r="92" spans="1:20" x14ac:dyDescent="0.25">
      <c r="A92" t="s">
        <v>281</v>
      </c>
      <c r="B92" t="s">
        <v>321</v>
      </c>
      <c r="C92" t="s">
        <v>283</v>
      </c>
      <c r="D92" t="s">
        <v>284</v>
      </c>
      <c r="E92" t="s">
        <v>397</v>
      </c>
      <c r="F92" t="s">
        <v>393</v>
      </c>
      <c r="G92" t="s">
        <v>287</v>
      </c>
      <c r="H92" t="s">
        <v>373</v>
      </c>
      <c r="I92" t="s">
        <v>325</v>
      </c>
      <c r="J92" t="s">
        <v>301</v>
      </c>
      <c r="K92">
        <v>14</v>
      </c>
      <c r="L92" s="6">
        <v>4.2671999999999999</v>
      </c>
      <c r="M92" s="7">
        <v>25.4</v>
      </c>
      <c r="N92" s="7">
        <v>146.05000000000001</v>
      </c>
      <c r="O92" s="7">
        <f t="shared" si="5"/>
        <v>168</v>
      </c>
      <c r="P92" s="7">
        <f t="shared" si="6"/>
        <v>1</v>
      </c>
      <c r="Q92" s="7">
        <f t="shared" si="6"/>
        <v>5.7500000000000009</v>
      </c>
      <c r="R92" s="6">
        <f t="shared" si="7"/>
        <v>884.40200000000004</v>
      </c>
      <c r="S92" s="6">
        <f t="shared" si="9"/>
        <v>1.5829903824E-2</v>
      </c>
      <c r="T92" t="str">
        <f t="shared" si="8"/>
        <v>Maximo Accoya S4S E4E Brown Ipe (Coated) 5/4x6 Long</v>
      </c>
    </row>
    <row r="93" spans="1:20" x14ac:dyDescent="0.25">
      <c r="A93" t="s">
        <v>281</v>
      </c>
      <c r="B93" t="s">
        <v>321</v>
      </c>
      <c r="C93" t="s">
        <v>283</v>
      </c>
      <c r="D93" t="s">
        <v>284</v>
      </c>
      <c r="E93" t="s">
        <v>398</v>
      </c>
      <c r="F93" t="s">
        <v>393</v>
      </c>
      <c r="G93" t="s">
        <v>287</v>
      </c>
      <c r="H93" t="s">
        <v>373</v>
      </c>
      <c r="I93" t="s">
        <v>325</v>
      </c>
      <c r="J93" t="s">
        <v>301</v>
      </c>
      <c r="K93">
        <v>15</v>
      </c>
      <c r="L93" s="6">
        <v>4.5720000000000001</v>
      </c>
      <c r="M93" s="7">
        <v>25.4</v>
      </c>
      <c r="N93" s="7">
        <v>146.05000000000001</v>
      </c>
      <c r="O93" s="7">
        <f t="shared" si="5"/>
        <v>180</v>
      </c>
      <c r="P93" s="7">
        <f t="shared" si="6"/>
        <v>1</v>
      </c>
      <c r="Q93" s="7">
        <f t="shared" si="6"/>
        <v>5.7500000000000009</v>
      </c>
      <c r="R93" s="6">
        <f t="shared" si="7"/>
        <v>884.40200000000004</v>
      </c>
      <c r="S93" s="6">
        <f t="shared" si="9"/>
        <v>1.6960611240000003E-2</v>
      </c>
      <c r="T93" t="str">
        <f t="shared" si="8"/>
        <v>Maximo Accoya S4S E4E Brown Ipe (Coated) 5/4x6 Long</v>
      </c>
    </row>
    <row r="94" spans="1:20" x14ac:dyDescent="0.25">
      <c r="A94" t="s">
        <v>281</v>
      </c>
      <c r="B94" t="s">
        <v>321</v>
      </c>
      <c r="C94" t="s">
        <v>283</v>
      </c>
      <c r="D94" t="s">
        <v>284</v>
      </c>
      <c r="E94" t="s">
        <v>399</v>
      </c>
      <c r="F94" t="s">
        <v>393</v>
      </c>
      <c r="G94" t="s">
        <v>287</v>
      </c>
      <c r="H94" t="s">
        <v>373</v>
      </c>
      <c r="I94" t="s">
        <v>325</v>
      </c>
      <c r="J94" t="s">
        <v>301</v>
      </c>
      <c r="K94">
        <v>16</v>
      </c>
      <c r="L94" s="6">
        <v>4.8768000000000002</v>
      </c>
      <c r="M94" s="7">
        <v>25.4</v>
      </c>
      <c r="N94" s="7">
        <v>146.05000000000001</v>
      </c>
      <c r="O94" s="7">
        <f t="shared" si="5"/>
        <v>192.00000000000003</v>
      </c>
      <c r="P94" s="7">
        <f t="shared" si="6"/>
        <v>1</v>
      </c>
      <c r="Q94" s="7">
        <f t="shared" si="6"/>
        <v>5.7500000000000009</v>
      </c>
      <c r="R94" s="6">
        <f t="shared" si="7"/>
        <v>884.40200000000004</v>
      </c>
      <c r="S94" s="6">
        <f t="shared" si="9"/>
        <v>1.8091318656000003E-2</v>
      </c>
      <c r="T94" t="str">
        <f t="shared" si="8"/>
        <v>Maximo Accoya S4S E4E Brown Ipe (Coated) 5/4x6 Long</v>
      </c>
    </row>
    <row r="95" spans="1:20" x14ac:dyDescent="0.25">
      <c r="A95" t="s">
        <v>281</v>
      </c>
      <c r="B95" t="s">
        <v>321</v>
      </c>
      <c r="C95" t="s">
        <v>283</v>
      </c>
      <c r="D95" t="s">
        <v>284</v>
      </c>
      <c r="E95" t="s">
        <v>400</v>
      </c>
      <c r="F95" t="s">
        <v>393</v>
      </c>
      <c r="G95" t="s">
        <v>287</v>
      </c>
      <c r="H95" t="s">
        <v>373</v>
      </c>
      <c r="I95" t="s">
        <v>325</v>
      </c>
      <c r="J95" t="s">
        <v>301</v>
      </c>
      <c r="K95">
        <v>17</v>
      </c>
      <c r="L95" s="6">
        <v>5.1816000000000004</v>
      </c>
      <c r="M95" s="7">
        <v>25.4</v>
      </c>
      <c r="N95" s="7">
        <v>146.05000000000001</v>
      </c>
      <c r="O95" s="7">
        <f t="shared" si="5"/>
        <v>204.00000000000003</v>
      </c>
      <c r="P95" s="7">
        <f t="shared" si="6"/>
        <v>1</v>
      </c>
      <c r="Q95" s="7">
        <f t="shared" si="6"/>
        <v>5.7500000000000009</v>
      </c>
      <c r="R95" s="6">
        <f t="shared" si="7"/>
        <v>884.40200000000004</v>
      </c>
      <c r="S95" s="6">
        <f t="shared" si="9"/>
        <v>1.9222026072000003E-2</v>
      </c>
      <c r="T95" t="str">
        <f t="shared" si="8"/>
        <v>Maximo Accoya S4S E4E Brown Ipe (Coated) 5/4x6 Long</v>
      </c>
    </row>
    <row r="96" spans="1:20" x14ac:dyDescent="0.25">
      <c r="A96" t="s">
        <v>281</v>
      </c>
      <c r="B96" t="s">
        <v>321</v>
      </c>
      <c r="C96" t="s">
        <v>283</v>
      </c>
      <c r="D96" t="s">
        <v>284</v>
      </c>
      <c r="E96" t="s">
        <v>401</v>
      </c>
      <c r="F96" t="s">
        <v>393</v>
      </c>
      <c r="G96" t="s">
        <v>287</v>
      </c>
      <c r="H96" t="s">
        <v>373</v>
      </c>
      <c r="I96" t="s">
        <v>325</v>
      </c>
      <c r="J96" t="s">
        <v>301</v>
      </c>
      <c r="K96">
        <v>18</v>
      </c>
      <c r="L96" s="6">
        <v>5.4863999999999997</v>
      </c>
      <c r="M96" s="7">
        <v>25.4</v>
      </c>
      <c r="N96" s="7">
        <v>146.05000000000001</v>
      </c>
      <c r="O96" s="7">
        <f t="shared" si="5"/>
        <v>216</v>
      </c>
      <c r="P96" s="7">
        <f t="shared" si="6"/>
        <v>1</v>
      </c>
      <c r="Q96" s="7">
        <f t="shared" si="6"/>
        <v>5.7500000000000009</v>
      </c>
      <c r="R96" s="6">
        <f t="shared" si="7"/>
        <v>884.40200000000004</v>
      </c>
      <c r="S96" s="6">
        <f t="shared" si="9"/>
        <v>2.0352733487999999E-2</v>
      </c>
      <c r="T96" t="str">
        <f t="shared" si="8"/>
        <v>Maximo Accoya S4S E4E Brown Ipe (Coated) 5/4x6 Long</v>
      </c>
    </row>
    <row r="97" spans="1:20" x14ac:dyDescent="0.25">
      <c r="A97" t="s">
        <v>281</v>
      </c>
      <c r="B97" t="s">
        <v>321</v>
      </c>
      <c r="C97" t="s">
        <v>283</v>
      </c>
      <c r="D97" t="s">
        <v>284</v>
      </c>
      <c r="E97" t="s">
        <v>402</v>
      </c>
      <c r="F97" t="s">
        <v>393</v>
      </c>
      <c r="G97" t="s">
        <v>287</v>
      </c>
      <c r="H97" t="s">
        <v>373</v>
      </c>
      <c r="I97" t="s">
        <v>325</v>
      </c>
      <c r="J97" t="s">
        <v>301</v>
      </c>
      <c r="K97">
        <v>19</v>
      </c>
      <c r="L97" s="6">
        <v>5.7911999999999999</v>
      </c>
      <c r="M97" s="7">
        <v>25.4</v>
      </c>
      <c r="N97" s="7">
        <v>146.05000000000001</v>
      </c>
      <c r="O97" s="7">
        <f t="shared" si="5"/>
        <v>228</v>
      </c>
      <c r="P97" s="7">
        <f t="shared" si="6"/>
        <v>1</v>
      </c>
      <c r="Q97" s="7">
        <f t="shared" si="6"/>
        <v>5.7500000000000009</v>
      </c>
      <c r="R97" s="6">
        <f t="shared" si="7"/>
        <v>884.40200000000004</v>
      </c>
      <c r="S97" s="6">
        <f t="shared" si="9"/>
        <v>2.1483440903999999E-2</v>
      </c>
      <c r="T97" t="str">
        <f t="shared" si="8"/>
        <v>Maximo Accoya S4S E4E Brown Ipe (Coated) 5/4x6 Long</v>
      </c>
    </row>
    <row r="98" spans="1:20" x14ac:dyDescent="0.25">
      <c r="A98" t="s">
        <v>281</v>
      </c>
      <c r="B98" t="s">
        <v>321</v>
      </c>
      <c r="C98" t="s">
        <v>283</v>
      </c>
      <c r="D98" t="s">
        <v>284</v>
      </c>
      <c r="E98" t="s">
        <v>403</v>
      </c>
      <c r="F98" t="s">
        <v>393</v>
      </c>
      <c r="G98" t="s">
        <v>287</v>
      </c>
      <c r="H98" t="s">
        <v>373</v>
      </c>
      <c r="I98" t="s">
        <v>325</v>
      </c>
      <c r="J98" t="s">
        <v>301</v>
      </c>
      <c r="K98">
        <v>20</v>
      </c>
      <c r="L98" s="6">
        <v>6.0960000000000001</v>
      </c>
      <c r="M98" s="7">
        <v>25.4</v>
      </c>
      <c r="N98" s="7">
        <v>146.05000000000001</v>
      </c>
      <c r="O98" s="7">
        <f t="shared" si="5"/>
        <v>240</v>
      </c>
      <c r="P98" s="7">
        <f t="shared" si="6"/>
        <v>1</v>
      </c>
      <c r="Q98" s="7">
        <f t="shared" si="6"/>
        <v>5.7500000000000009</v>
      </c>
      <c r="R98" s="6">
        <f t="shared" si="7"/>
        <v>884.40200000000004</v>
      </c>
      <c r="S98" s="6">
        <f t="shared" si="9"/>
        <v>2.2614148320000006E-2</v>
      </c>
      <c r="T98" t="str">
        <f t="shared" si="8"/>
        <v>Maximo Accoya S4S E4E Brown Ipe (Coated) 5/4x6 Long</v>
      </c>
    </row>
    <row r="99" spans="1:20" x14ac:dyDescent="0.25">
      <c r="A99" t="s">
        <v>281</v>
      </c>
      <c r="B99" t="s">
        <v>321</v>
      </c>
      <c r="C99" t="s">
        <v>283</v>
      </c>
      <c r="D99" t="s">
        <v>284</v>
      </c>
      <c r="E99" t="s">
        <v>404</v>
      </c>
      <c r="F99" t="s">
        <v>393</v>
      </c>
      <c r="G99" t="s">
        <v>287</v>
      </c>
      <c r="H99" t="s">
        <v>373</v>
      </c>
      <c r="I99" t="s">
        <v>325</v>
      </c>
      <c r="J99" t="s">
        <v>301</v>
      </c>
      <c r="K99">
        <v>21</v>
      </c>
      <c r="L99" s="6">
        <v>6.4008000000000003</v>
      </c>
      <c r="M99" s="7">
        <v>25.4</v>
      </c>
      <c r="N99" s="7">
        <v>146.05000000000001</v>
      </c>
      <c r="O99" s="7">
        <f t="shared" si="5"/>
        <v>252.00000000000003</v>
      </c>
      <c r="P99" s="7">
        <f t="shared" si="6"/>
        <v>1</v>
      </c>
      <c r="Q99" s="7">
        <f t="shared" si="6"/>
        <v>5.7500000000000009</v>
      </c>
      <c r="R99" s="6">
        <f t="shared" si="7"/>
        <v>884.40200000000004</v>
      </c>
      <c r="S99" s="6">
        <f t="shared" si="9"/>
        <v>2.3744855736000003E-2</v>
      </c>
      <c r="T99" t="str">
        <f t="shared" si="8"/>
        <v>Maximo Accoya S4S E4E Brown Ipe (Coated) 5/4x6 Long</v>
      </c>
    </row>
    <row r="100" spans="1:20" x14ac:dyDescent="0.25">
      <c r="A100" t="s">
        <v>281</v>
      </c>
      <c r="B100" t="s">
        <v>321</v>
      </c>
      <c r="C100" t="s">
        <v>283</v>
      </c>
      <c r="D100" t="s">
        <v>284</v>
      </c>
      <c r="E100" t="s">
        <v>405</v>
      </c>
      <c r="F100" t="s">
        <v>393</v>
      </c>
      <c r="G100" t="s">
        <v>287</v>
      </c>
      <c r="H100" t="s">
        <v>373</v>
      </c>
      <c r="I100" t="s">
        <v>325</v>
      </c>
      <c r="J100" t="s">
        <v>301</v>
      </c>
      <c r="K100">
        <v>22</v>
      </c>
      <c r="L100" s="6">
        <v>6.7055999999999996</v>
      </c>
      <c r="M100" s="7">
        <v>25.4</v>
      </c>
      <c r="N100" s="7">
        <v>146.05000000000001</v>
      </c>
      <c r="O100" s="7">
        <f t="shared" si="5"/>
        <v>264</v>
      </c>
      <c r="P100" s="7">
        <f t="shared" si="6"/>
        <v>1</v>
      </c>
      <c r="Q100" s="7">
        <f t="shared" si="6"/>
        <v>5.7500000000000009</v>
      </c>
      <c r="R100" s="6">
        <f t="shared" si="7"/>
        <v>884.40200000000004</v>
      </c>
      <c r="S100" s="6">
        <f t="shared" si="9"/>
        <v>2.4875563151999996E-2</v>
      </c>
      <c r="T100" t="str">
        <f t="shared" si="8"/>
        <v>Maximo Accoya S4S E4E Brown Ipe (Coated) 5/4x6 Long</v>
      </c>
    </row>
    <row r="101" spans="1:20" x14ac:dyDescent="0.25">
      <c r="A101" t="s">
        <v>281</v>
      </c>
      <c r="B101" t="s">
        <v>321</v>
      </c>
      <c r="C101" t="s">
        <v>283</v>
      </c>
      <c r="D101" t="s">
        <v>284</v>
      </c>
      <c r="E101" t="s">
        <v>406</v>
      </c>
      <c r="F101" t="s">
        <v>393</v>
      </c>
      <c r="G101" t="s">
        <v>287</v>
      </c>
      <c r="H101" t="s">
        <v>373</v>
      </c>
      <c r="I101" t="s">
        <v>325</v>
      </c>
      <c r="J101" t="s">
        <v>301</v>
      </c>
      <c r="K101">
        <v>8</v>
      </c>
      <c r="L101" s="6">
        <v>2.4384000000000001</v>
      </c>
      <c r="M101" s="7">
        <v>25.4</v>
      </c>
      <c r="N101" s="7">
        <v>146.05000000000001</v>
      </c>
      <c r="O101" s="7">
        <f t="shared" si="5"/>
        <v>96.000000000000014</v>
      </c>
      <c r="P101" s="7">
        <f t="shared" si="6"/>
        <v>1</v>
      </c>
      <c r="Q101" s="7">
        <f t="shared" si="6"/>
        <v>5.7500000000000009</v>
      </c>
      <c r="R101" s="6">
        <f t="shared" si="7"/>
        <v>884.40200000000004</v>
      </c>
      <c r="S101" s="6">
        <f t="shared" si="9"/>
        <v>9.0456593280000015E-3</v>
      </c>
      <c r="T101" t="str">
        <f t="shared" si="8"/>
        <v>Maximo Accoya S4S E4E Brown Ipe (Coated) 5/4x6 Long</v>
      </c>
    </row>
    <row r="102" spans="1:20" x14ac:dyDescent="0.25">
      <c r="A102" t="s">
        <v>281</v>
      </c>
      <c r="B102" t="s">
        <v>321</v>
      </c>
      <c r="C102" t="s">
        <v>283</v>
      </c>
      <c r="D102" t="s">
        <v>284</v>
      </c>
      <c r="E102" t="s">
        <v>407</v>
      </c>
      <c r="F102" t="s">
        <v>393</v>
      </c>
      <c r="G102" t="s">
        <v>287</v>
      </c>
      <c r="H102" t="s">
        <v>373</v>
      </c>
      <c r="I102" t="s">
        <v>325</v>
      </c>
      <c r="J102" t="s">
        <v>301</v>
      </c>
      <c r="K102">
        <v>9</v>
      </c>
      <c r="L102" s="6">
        <v>2.7431999999999999</v>
      </c>
      <c r="M102" s="7">
        <v>25.4</v>
      </c>
      <c r="N102" s="7">
        <v>146.05000000000001</v>
      </c>
      <c r="O102" s="7">
        <f t="shared" si="5"/>
        <v>108</v>
      </c>
      <c r="P102" s="7">
        <f t="shared" si="6"/>
        <v>1</v>
      </c>
      <c r="Q102" s="7">
        <f t="shared" si="6"/>
        <v>5.7500000000000009</v>
      </c>
      <c r="R102" s="6">
        <f t="shared" si="7"/>
        <v>884.40200000000004</v>
      </c>
      <c r="S102" s="6">
        <f t="shared" si="9"/>
        <v>1.0176366744E-2</v>
      </c>
      <c r="T102" t="str">
        <f t="shared" si="8"/>
        <v>Maximo Accoya S4S E4E Brown Ipe (Coated) 5/4x6 Long</v>
      </c>
    </row>
    <row r="103" spans="1:20" x14ac:dyDescent="0.25">
      <c r="A103" t="s">
        <v>281</v>
      </c>
      <c r="B103" t="s">
        <v>340</v>
      </c>
      <c r="C103" t="s">
        <v>283</v>
      </c>
      <c r="D103" t="s">
        <v>284</v>
      </c>
      <c r="E103" t="s">
        <v>408</v>
      </c>
      <c r="F103" t="s">
        <v>409</v>
      </c>
      <c r="G103" t="s">
        <v>287</v>
      </c>
      <c r="H103" t="s">
        <v>373</v>
      </c>
      <c r="I103" t="s">
        <v>343</v>
      </c>
      <c r="J103" t="s">
        <v>344</v>
      </c>
      <c r="K103">
        <v>10</v>
      </c>
      <c r="L103" s="6">
        <v>3.048</v>
      </c>
      <c r="M103" s="7">
        <v>19.049999999999997</v>
      </c>
      <c r="N103" s="7">
        <v>146.05000000000001</v>
      </c>
      <c r="O103" s="7">
        <f t="shared" si="5"/>
        <v>120</v>
      </c>
      <c r="P103" s="7">
        <f t="shared" si="6"/>
        <v>0.74999999999999989</v>
      </c>
      <c r="Q103" s="7">
        <f t="shared" si="6"/>
        <v>5.7500000000000009</v>
      </c>
      <c r="R103" s="6">
        <f t="shared" si="7"/>
        <v>1179.203</v>
      </c>
      <c r="S103" s="6">
        <f t="shared" si="9"/>
        <v>8.4803056199999997E-3</v>
      </c>
      <c r="T103" t="str">
        <f t="shared" si="8"/>
        <v>Maximo Accoya S4S E4E Slate Grey 1x6 Long</v>
      </c>
    </row>
    <row r="104" spans="1:20" x14ac:dyDescent="0.25">
      <c r="A104" t="s">
        <v>281</v>
      </c>
      <c r="B104" t="s">
        <v>340</v>
      </c>
      <c r="C104" t="s">
        <v>283</v>
      </c>
      <c r="D104" t="s">
        <v>284</v>
      </c>
      <c r="E104" t="s">
        <v>410</v>
      </c>
      <c r="F104" t="s">
        <v>409</v>
      </c>
      <c r="G104" t="s">
        <v>287</v>
      </c>
      <c r="H104" t="s">
        <v>373</v>
      </c>
      <c r="I104" t="s">
        <v>343</v>
      </c>
      <c r="J104" t="s">
        <v>344</v>
      </c>
      <c r="K104">
        <v>11</v>
      </c>
      <c r="L104" s="6">
        <v>3.3527999999999998</v>
      </c>
      <c r="M104" s="7">
        <v>19.049999999999997</v>
      </c>
      <c r="N104" s="7">
        <v>146.05000000000001</v>
      </c>
      <c r="O104" s="7">
        <f t="shared" si="5"/>
        <v>132</v>
      </c>
      <c r="P104" s="7">
        <f t="shared" si="6"/>
        <v>0.74999999999999989</v>
      </c>
      <c r="Q104" s="7">
        <f t="shared" si="6"/>
        <v>5.7500000000000009</v>
      </c>
      <c r="R104" s="6">
        <f t="shared" si="7"/>
        <v>1179.203</v>
      </c>
      <c r="S104" s="6">
        <f t="shared" si="9"/>
        <v>9.3283361819999997E-3</v>
      </c>
      <c r="T104" t="str">
        <f t="shared" si="8"/>
        <v>Maximo Accoya S4S E4E Slate Grey 1x6 Long</v>
      </c>
    </row>
    <row r="105" spans="1:20" x14ac:dyDescent="0.25">
      <c r="A105" t="s">
        <v>281</v>
      </c>
      <c r="B105" t="s">
        <v>340</v>
      </c>
      <c r="C105" t="s">
        <v>283</v>
      </c>
      <c r="D105" t="s">
        <v>284</v>
      </c>
      <c r="E105" t="s">
        <v>411</v>
      </c>
      <c r="F105" t="s">
        <v>409</v>
      </c>
      <c r="G105" t="s">
        <v>287</v>
      </c>
      <c r="H105" t="s">
        <v>373</v>
      </c>
      <c r="I105" t="s">
        <v>343</v>
      </c>
      <c r="J105" t="s">
        <v>344</v>
      </c>
      <c r="K105">
        <v>12</v>
      </c>
      <c r="L105" s="6">
        <v>3.6576</v>
      </c>
      <c r="M105" s="7">
        <v>19.049999999999997</v>
      </c>
      <c r="N105" s="7">
        <v>146.05000000000001</v>
      </c>
      <c r="O105" s="7">
        <f t="shared" si="5"/>
        <v>144</v>
      </c>
      <c r="P105" s="7">
        <f t="shared" si="6"/>
        <v>0.74999999999999989</v>
      </c>
      <c r="Q105" s="7">
        <f t="shared" si="6"/>
        <v>5.7500000000000009</v>
      </c>
      <c r="R105" s="6">
        <f t="shared" si="7"/>
        <v>1179.203</v>
      </c>
      <c r="S105" s="6">
        <f t="shared" si="9"/>
        <v>1.0176366743999998E-2</v>
      </c>
      <c r="T105" t="str">
        <f t="shared" si="8"/>
        <v>Maximo Accoya S4S E4E Slate Grey 1x6 Long</v>
      </c>
    </row>
    <row r="106" spans="1:20" x14ac:dyDescent="0.25">
      <c r="A106" t="s">
        <v>281</v>
      </c>
      <c r="B106" t="s">
        <v>340</v>
      </c>
      <c r="C106" t="s">
        <v>283</v>
      </c>
      <c r="D106" t="s">
        <v>284</v>
      </c>
      <c r="E106" t="s">
        <v>412</v>
      </c>
      <c r="F106" t="s">
        <v>409</v>
      </c>
      <c r="G106" t="s">
        <v>287</v>
      </c>
      <c r="H106" t="s">
        <v>373</v>
      </c>
      <c r="I106" t="s">
        <v>343</v>
      </c>
      <c r="J106" t="s">
        <v>344</v>
      </c>
      <c r="K106">
        <v>13</v>
      </c>
      <c r="L106" s="6">
        <v>3.9624000000000001</v>
      </c>
      <c r="M106" s="7">
        <v>19.049999999999997</v>
      </c>
      <c r="N106" s="7">
        <v>146.05000000000001</v>
      </c>
      <c r="O106" s="7">
        <f t="shared" si="5"/>
        <v>156</v>
      </c>
      <c r="P106" s="7">
        <f t="shared" si="6"/>
        <v>0.74999999999999989</v>
      </c>
      <c r="Q106" s="7">
        <f t="shared" si="6"/>
        <v>5.7500000000000009</v>
      </c>
      <c r="R106" s="6">
        <f t="shared" si="7"/>
        <v>1179.203</v>
      </c>
      <c r="S106" s="6">
        <f t="shared" si="9"/>
        <v>1.1024397306E-2</v>
      </c>
      <c r="T106" t="str">
        <f t="shared" si="8"/>
        <v>Maximo Accoya S4S E4E Slate Grey 1x6 Long</v>
      </c>
    </row>
    <row r="107" spans="1:20" x14ac:dyDescent="0.25">
      <c r="A107" t="s">
        <v>281</v>
      </c>
      <c r="B107" t="s">
        <v>340</v>
      </c>
      <c r="C107" t="s">
        <v>283</v>
      </c>
      <c r="D107" t="s">
        <v>284</v>
      </c>
      <c r="E107" t="s">
        <v>413</v>
      </c>
      <c r="F107" t="s">
        <v>409</v>
      </c>
      <c r="G107" t="s">
        <v>287</v>
      </c>
      <c r="H107" t="s">
        <v>373</v>
      </c>
      <c r="I107" t="s">
        <v>343</v>
      </c>
      <c r="J107" t="s">
        <v>344</v>
      </c>
      <c r="K107">
        <v>14</v>
      </c>
      <c r="L107" s="6">
        <v>4.2671999999999999</v>
      </c>
      <c r="M107" s="7">
        <v>19.049999999999997</v>
      </c>
      <c r="N107" s="7">
        <v>146.05000000000001</v>
      </c>
      <c r="O107" s="7">
        <f t="shared" si="5"/>
        <v>168</v>
      </c>
      <c r="P107" s="7">
        <f t="shared" si="6"/>
        <v>0.74999999999999989</v>
      </c>
      <c r="Q107" s="7">
        <f t="shared" si="6"/>
        <v>5.7500000000000009</v>
      </c>
      <c r="R107" s="6">
        <f t="shared" si="7"/>
        <v>1179.203</v>
      </c>
      <c r="S107" s="6">
        <f t="shared" si="9"/>
        <v>1.1872427868E-2</v>
      </c>
      <c r="T107" t="str">
        <f t="shared" si="8"/>
        <v>Maximo Accoya S4S E4E Slate Grey 1x6 Long</v>
      </c>
    </row>
    <row r="108" spans="1:20" x14ac:dyDescent="0.25">
      <c r="A108" t="s">
        <v>281</v>
      </c>
      <c r="B108" t="s">
        <v>340</v>
      </c>
      <c r="C108" t="s">
        <v>283</v>
      </c>
      <c r="D108" t="s">
        <v>284</v>
      </c>
      <c r="E108" t="s">
        <v>414</v>
      </c>
      <c r="F108" t="s">
        <v>409</v>
      </c>
      <c r="G108" t="s">
        <v>287</v>
      </c>
      <c r="H108" t="s">
        <v>373</v>
      </c>
      <c r="I108" t="s">
        <v>343</v>
      </c>
      <c r="J108" t="s">
        <v>344</v>
      </c>
      <c r="K108">
        <v>15</v>
      </c>
      <c r="L108" s="6">
        <v>4.5720000000000001</v>
      </c>
      <c r="M108" s="7">
        <v>19.049999999999997</v>
      </c>
      <c r="N108" s="7">
        <v>146.05000000000001</v>
      </c>
      <c r="O108" s="7">
        <f t="shared" si="5"/>
        <v>180</v>
      </c>
      <c r="P108" s="7">
        <f t="shared" si="6"/>
        <v>0.74999999999999989</v>
      </c>
      <c r="Q108" s="7">
        <f t="shared" si="6"/>
        <v>5.7500000000000009</v>
      </c>
      <c r="R108" s="6">
        <f t="shared" si="7"/>
        <v>1179.203</v>
      </c>
      <c r="S108" s="6">
        <f t="shared" si="9"/>
        <v>1.2720458430000001E-2</v>
      </c>
      <c r="T108" t="str">
        <f t="shared" si="8"/>
        <v>Maximo Accoya S4S E4E Slate Grey 1x6 Long</v>
      </c>
    </row>
    <row r="109" spans="1:20" x14ac:dyDescent="0.25">
      <c r="A109" t="s">
        <v>281</v>
      </c>
      <c r="B109" t="s">
        <v>340</v>
      </c>
      <c r="C109" t="s">
        <v>283</v>
      </c>
      <c r="D109" t="s">
        <v>284</v>
      </c>
      <c r="E109" t="s">
        <v>415</v>
      </c>
      <c r="F109" t="s">
        <v>409</v>
      </c>
      <c r="G109" t="s">
        <v>287</v>
      </c>
      <c r="H109" t="s">
        <v>373</v>
      </c>
      <c r="I109" t="s">
        <v>343</v>
      </c>
      <c r="J109" t="s">
        <v>344</v>
      </c>
      <c r="K109">
        <v>16</v>
      </c>
      <c r="L109" s="6">
        <v>4.8768000000000002</v>
      </c>
      <c r="M109" s="7">
        <v>19.049999999999997</v>
      </c>
      <c r="N109" s="7">
        <v>146.05000000000001</v>
      </c>
      <c r="O109" s="7">
        <f t="shared" si="5"/>
        <v>192.00000000000003</v>
      </c>
      <c r="P109" s="7">
        <f t="shared" si="6"/>
        <v>0.74999999999999989</v>
      </c>
      <c r="Q109" s="7">
        <f t="shared" si="6"/>
        <v>5.7500000000000009</v>
      </c>
      <c r="R109" s="6">
        <f t="shared" si="7"/>
        <v>1179.203</v>
      </c>
      <c r="S109" s="6">
        <f t="shared" si="9"/>
        <v>1.3568488992000001E-2</v>
      </c>
      <c r="T109" t="str">
        <f t="shared" si="8"/>
        <v>Maximo Accoya S4S E4E Slate Grey 1x6 Long</v>
      </c>
    </row>
    <row r="110" spans="1:20" x14ac:dyDescent="0.25">
      <c r="A110" t="s">
        <v>281</v>
      </c>
      <c r="B110" t="s">
        <v>340</v>
      </c>
      <c r="C110" t="s">
        <v>283</v>
      </c>
      <c r="D110" t="s">
        <v>284</v>
      </c>
      <c r="E110" t="s">
        <v>416</v>
      </c>
      <c r="F110" t="s">
        <v>409</v>
      </c>
      <c r="G110" t="s">
        <v>287</v>
      </c>
      <c r="H110" t="s">
        <v>373</v>
      </c>
      <c r="I110" t="s">
        <v>343</v>
      </c>
      <c r="J110" t="s">
        <v>344</v>
      </c>
      <c r="K110">
        <v>17</v>
      </c>
      <c r="L110" s="6">
        <v>5.1816000000000004</v>
      </c>
      <c r="M110" s="7">
        <v>19.049999999999997</v>
      </c>
      <c r="N110" s="7">
        <v>146.05000000000001</v>
      </c>
      <c r="O110" s="7">
        <f t="shared" si="5"/>
        <v>204.00000000000003</v>
      </c>
      <c r="P110" s="7">
        <f t="shared" si="6"/>
        <v>0.74999999999999989</v>
      </c>
      <c r="Q110" s="7">
        <f t="shared" si="6"/>
        <v>5.7500000000000009</v>
      </c>
      <c r="R110" s="6">
        <f t="shared" si="7"/>
        <v>1179.203</v>
      </c>
      <c r="S110" s="6">
        <f t="shared" si="9"/>
        <v>1.4416519554000001E-2</v>
      </c>
      <c r="T110" t="str">
        <f t="shared" si="8"/>
        <v>Maximo Accoya S4S E4E Slate Grey 1x6 Long</v>
      </c>
    </row>
    <row r="111" spans="1:20" x14ac:dyDescent="0.25">
      <c r="A111" t="s">
        <v>281</v>
      </c>
      <c r="B111" t="s">
        <v>340</v>
      </c>
      <c r="C111" t="s">
        <v>283</v>
      </c>
      <c r="D111" t="s">
        <v>284</v>
      </c>
      <c r="E111" t="s">
        <v>417</v>
      </c>
      <c r="F111" t="s">
        <v>409</v>
      </c>
      <c r="G111" t="s">
        <v>287</v>
      </c>
      <c r="H111" t="s">
        <v>373</v>
      </c>
      <c r="I111" t="s">
        <v>343</v>
      </c>
      <c r="J111" t="s">
        <v>344</v>
      </c>
      <c r="K111">
        <v>18</v>
      </c>
      <c r="L111" s="6">
        <v>5.4863999999999997</v>
      </c>
      <c r="M111" s="7">
        <v>19.049999999999997</v>
      </c>
      <c r="N111" s="7">
        <v>146.05000000000001</v>
      </c>
      <c r="O111" s="7">
        <f t="shared" si="5"/>
        <v>216</v>
      </c>
      <c r="P111" s="7">
        <f t="shared" si="6"/>
        <v>0.74999999999999989</v>
      </c>
      <c r="Q111" s="7">
        <f t="shared" si="6"/>
        <v>5.7500000000000009</v>
      </c>
      <c r="R111" s="6">
        <f t="shared" si="7"/>
        <v>1179.203</v>
      </c>
      <c r="S111" s="6">
        <f t="shared" si="9"/>
        <v>1.5264550116E-2</v>
      </c>
      <c r="T111" t="str">
        <f t="shared" si="8"/>
        <v>Maximo Accoya S4S E4E Slate Grey 1x6 Long</v>
      </c>
    </row>
    <row r="112" spans="1:20" x14ac:dyDescent="0.25">
      <c r="A112" t="s">
        <v>281</v>
      </c>
      <c r="B112" t="s">
        <v>340</v>
      </c>
      <c r="C112" t="s">
        <v>283</v>
      </c>
      <c r="D112" t="s">
        <v>284</v>
      </c>
      <c r="E112" t="s">
        <v>418</v>
      </c>
      <c r="F112" t="s">
        <v>409</v>
      </c>
      <c r="G112" t="s">
        <v>287</v>
      </c>
      <c r="H112" t="s">
        <v>373</v>
      </c>
      <c r="I112" t="s">
        <v>343</v>
      </c>
      <c r="J112" t="s">
        <v>344</v>
      </c>
      <c r="K112">
        <v>19</v>
      </c>
      <c r="L112" s="6">
        <v>5.7911999999999999</v>
      </c>
      <c r="M112" s="7">
        <v>19.049999999999997</v>
      </c>
      <c r="N112" s="7">
        <v>146.05000000000001</v>
      </c>
      <c r="O112" s="7">
        <f t="shared" si="5"/>
        <v>228</v>
      </c>
      <c r="P112" s="7">
        <f t="shared" si="6"/>
        <v>0.74999999999999989</v>
      </c>
      <c r="Q112" s="7">
        <f t="shared" si="6"/>
        <v>5.7500000000000009</v>
      </c>
      <c r="R112" s="6">
        <f t="shared" si="7"/>
        <v>1179.203</v>
      </c>
      <c r="S112" s="6">
        <f t="shared" si="9"/>
        <v>1.6112580677999998E-2</v>
      </c>
      <c r="T112" t="str">
        <f t="shared" si="8"/>
        <v>Maximo Accoya S4S E4E Slate Grey 1x6 Long</v>
      </c>
    </row>
    <row r="113" spans="1:20" x14ac:dyDescent="0.25">
      <c r="A113" t="s">
        <v>281</v>
      </c>
      <c r="B113" t="s">
        <v>340</v>
      </c>
      <c r="C113" t="s">
        <v>283</v>
      </c>
      <c r="D113" t="s">
        <v>284</v>
      </c>
      <c r="E113" t="s">
        <v>419</v>
      </c>
      <c r="F113" t="s">
        <v>409</v>
      </c>
      <c r="G113" t="s">
        <v>287</v>
      </c>
      <c r="H113" t="s">
        <v>373</v>
      </c>
      <c r="I113" t="s">
        <v>343</v>
      </c>
      <c r="J113" t="s">
        <v>344</v>
      </c>
      <c r="K113">
        <v>20</v>
      </c>
      <c r="L113" s="6">
        <v>6.0960000000000001</v>
      </c>
      <c r="M113" s="7">
        <v>19.049999999999997</v>
      </c>
      <c r="N113" s="7">
        <v>146.05000000000001</v>
      </c>
      <c r="O113" s="7">
        <f t="shared" si="5"/>
        <v>240</v>
      </c>
      <c r="P113" s="7">
        <f t="shared" si="6"/>
        <v>0.74999999999999989</v>
      </c>
      <c r="Q113" s="7">
        <f t="shared" si="6"/>
        <v>5.7500000000000009</v>
      </c>
      <c r="R113" s="6">
        <f t="shared" si="7"/>
        <v>1179.203</v>
      </c>
      <c r="S113" s="6">
        <f t="shared" si="9"/>
        <v>1.6960611239999999E-2</v>
      </c>
      <c r="T113" t="str">
        <f t="shared" si="8"/>
        <v>Maximo Accoya S4S E4E Slate Grey 1x6 Long</v>
      </c>
    </row>
    <row r="114" spans="1:20" x14ac:dyDescent="0.25">
      <c r="A114" t="s">
        <v>281</v>
      </c>
      <c r="B114" t="s">
        <v>340</v>
      </c>
      <c r="C114" t="s">
        <v>283</v>
      </c>
      <c r="D114" t="s">
        <v>284</v>
      </c>
      <c r="E114" t="s">
        <v>420</v>
      </c>
      <c r="F114" t="s">
        <v>409</v>
      </c>
      <c r="G114" t="s">
        <v>287</v>
      </c>
      <c r="H114" t="s">
        <v>373</v>
      </c>
      <c r="I114" t="s">
        <v>343</v>
      </c>
      <c r="J114" t="s">
        <v>344</v>
      </c>
      <c r="K114">
        <v>8</v>
      </c>
      <c r="L114" s="6">
        <v>2.4384000000000001</v>
      </c>
      <c r="M114" s="7">
        <v>19.049999999999997</v>
      </c>
      <c r="N114" s="7">
        <v>146.05000000000001</v>
      </c>
      <c r="O114" s="7">
        <f t="shared" si="5"/>
        <v>96.000000000000014</v>
      </c>
      <c r="P114" s="7">
        <f t="shared" si="6"/>
        <v>0.74999999999999989</v>
      </c>
      <c r="Q114" s="7">
        <f t="shared" si="6"/>
        <v>5.7500000000000009</v>
      </c>
      <c r="R114" s="6">
        <f t="shared" si="7"/>
        <v>1179.203</v>
      </c>
      <c r="S114" s="6">
        <f t="shared" si="9"/>
        <v>6.7842444960000007E-3</v>
      </c>
      <c r="T114" t="str">
        <f t="shared" si="8"/>
        <v>Maximo Accoya S4S E4E Slate Grey 1x6 Long</v>
      </c>
    </row>
    <row r="115" spans="1:20" x14ac:dyDescent="0.25">
      <c r="A115" t="s">
        <v>281</v>
      </c>
      <c r="B115" t="s">
        <v>340</v>
      </c>
      <c r="C115" t="s">
        <v>283</v>
      </c>
      <c r="D115" t="s">
        <v>284</v>
      </c>
      <c r="E115" t="s">
        <v>421</v>
      </c>
      <c r="F115" t="s">
        <v>409</v>
      </c>
      <c r="G115" t="s">
        <v>287</v>
      </c>
      <c r="H115" t="s">
        <v>373</v>
      </c>
      <c r="I115" t="s">
        <v>343</v>
      </c>
      <c r="J115" t="s">
        <v>344</v>
      </c>
      <c r="K115">
        <v>9</v>
      </c>
      <c r="L115" s="6">
        <v>2.7431999999999999</v>
      </c>
      <c r="M115" s="7">
        <v>19.049999999999997</v>
      </c>
      <c r="N115" s="7">
        <v>146.05000000000001</v>
      </c>
      <c r="O115" s="7">
        <f t="shared" si="5"/>
        <v>108</v>
      </c>
      <c r="P115" s="7">
        <f t="shared" si="6"/>
        <v>0.74999999999999989</v>
      </c>
      <c r="Q115" s="7">
        <f t="shared" si="6"/>
        <v>5.7500000000000009</v>
      </c>
      <c r="R115" s="6">
        <f t="shared" si="7"/>
        <v>1179.203</v>
      </c>
      <c r="S115" s="6">
        <f t="shared" si="9"/>
        <v>7.6322750579999998E-3</v>
      </c>
      <c r="T115" t="str">
        <f t="shared" si="8"/>
        <v>Maximo Accoya S4S E4E Slate Grey 1x6 Long</v>
      </c>
    </row>
    <row r="116" spans="1:20" x14ac:dyDescent="0.25">
      <c r="A116" t="s">
        <v>281</v>
      </c>
      <c r="B116" t="s">
        <v>321</v>
      </c>
      <c r="C116" t="s">
        <v>283</v>
      </c>
      <c r="D116" t="s">
        <v>284</v>
      </c>
      <c r="E116" t="s">
        <v>422</v>
      </c>
      <c r="F116" t="s">
        <v>423</v>
      </c>
      <c r="G116" t="s">
        <v>287</v>
      </c>
      <c r="H116" t="s">
        <v>373</v>
      </c>
      <c r="I116" t="s">
        <v>343</v>
      </c>
      <c r="J116" t="s">
        <v>301</v>
      </c>
      <c r="K116">
        <v>10</v>
      </c>
      <c r="L116" s="6">
        <v>3.048</v>
      </c>
      <c r="M116" s="7">
        <v>25.4</v>
      </c>
      <c r="N116" s="7">
        <v>146.05000000000001</v>
      </c>
      <c r="O116" s="7">
        <f t="shared" si="5"/>
        <v>120</v>
      </c>
      <c r="P116" s="7">
        <f t="shared" si="6"/>
        <v>1</v>
      </c>
      <c r="Q116" s="7">
        <f t="shared" si="6"/>
        <v>5.7500000000000009</v>
      </c>
      <c r="R116" s="6">
        <f t="shared" si="7"/>
        <v>884.40200000000004</v>
      </c>
      <c r="S116" s="6">
        <f t="shared" si="9"/>
        <v>1.1307074160000003E-2</v>
      </c>
      <c r="T116" t="str">
        <f t="shared" si="8"/>
        <v>Maximo Accoya S4S E4E Slate Grey 5/4x6 Long</v>
      </c>
    </row>
    <row r="117" spans="1:20" x14ac:dyDescent="0.25">
      <c r="A117" t="s">
        <v>281</v>
      </c>
      <c r="B117" t="s">
        <v>321</v>
      </c>
      <c r="C117" t="s">
        <v>283</v>
      </c>
      <c r="D117" t="s">
        <v>284</v>
      </c>
      <c r="E117" t="s">
        <v>424</v>
      </c>
      <c r="F117" t="s">
        <v>423</v>
      </c>
      <c r="G117" t="s">
        <v>287</v>
      </c>
      <c r="H117" t="s">
        <v>373</v>
      </c>
      <c r="I117" t="s">
        <v>343</v>
      </c>
      <c r="J117" t="s">
        <v>301</v>
      </c>
      <c r="K117">
        <v>11</v>
      </c>
      <c r="L117" s="6">
        <v>3.3527999999999998</v>
      </c>
      <c r="M117" s="7">
        <v>25.4</v>
      </c>
      <c r="N117" s="7">
        <v>146.05000000000001</v>
      </c>
      <c r="O117" s="7">
        <f t="shared" si="5"/>
        <v>132</v>
      </c>
      <c r="P117" s="7">
        <f t="shared" si="6"/>
        <v>1</v>
      </c>
      <c r="Q117" s="7">
        <f t="shared" si="6"/>
        <v>5.7500000000000009</v>
      </c>
      <c r="R117" s="6">
        <f t="shared" si="7"/>
        <v>884.40200000000004</v>
      </c>
      <c r="S117" s="6">
        <f t="shared" si="9"/>
        <v>1.2437781575999998E-2</v>
      </c>
      <c r="T117" t="str">
        <f t="shared" si="8"/>
        <v>Maximo Accoya S4S E4E Slate Grey 5/4x6 Long</v>
      </c>
    </row>
    <row r="118" spans="1:20" x14ac:dyDescent="0.25">
      <c r="A118" t="s">
        <v>281</v>
      </c>
      <c r="B118" t="s">
        <v>321</v>
      </c>
      <c r="C118" t="s">
        <v>283</v>
      </c>
      <c r="D118" t="s">
        <v>284</v>
      </c>
      <c r="E118" t="s">
        <v>425</v>
      </c>
      <c r="F118" t="s">
        <v>423</v>
      </c>
      <c r="G118" t="s">
        <v>287</v>
      </c>
      <c r="H118" t="s">
        <v>373</v>
      </c>
      <c r="I118" t="s">
        <v>343</v>
      </c>
      <c r="J118" t="s">
        <v>301</v>
      </c>
      <c r="K118">
        <v>12</v>
      </c>
      <c r="L118" s="6">
        <v>3.6576</v>
      </c>
      <c r="M118" s="7">
        <v>25.4</v>
      </c>
      <c r="N118" s="7">
        <v>146.05000000000001</v>
      </c>
      <c r="O118" s="7">
        <f t="shared" si="5"/>
        <v>144</v>
      </c>
      <c r="P118" s="7">
        <f t="shared" si="6"/>
        <v>1</v>
      </c>
      <c r="Q118" s="7">
        <f t="shared" si="6"/>
        <v>5.7500000000000009</v>
      </c>
      <c r="R118" s="6">
        <f t="shared" si="7"/>
        <v>884.40200000000004</v>
      </c>
      <c r="S118" s="6">
        <f t="shared" si="9"/>
        <v>1.3568488992000001E-2</v>
      </c>
      <c r="T118" t="str">
        <f t="shared" si="8"/>
        <v>Maximo Accoya S4S E4E Slate Grey 5/4x6 Long</v>
      </c>
    </row>
    <row r="119" spans="1:20" x14ac:dyDescent="0.25">
      <c r="A119" t="s">
        <v>281</v>
      </c>
      <c r="B119" t="s">
        <v>321</v>
      </c>
      <c r="C119" t="s">
        <v>283</v>
      </c>
      <c r="D119" t="s">
        <v>284</v>
      </c>
      <c r="E119" t="s">
        <v>426</v>
      </c>
      <c r="F119" t="s">
        <v>423</v>
      </c>
      <c r="G119" t="s">
        <v>287</v>
      </c>
      <c r="H119" t="s">
        <v>373</v>
      </c>
      <c r="I119" t="s">
        <v>343</v>
      </c>
      <c r="J119" t="s">
        <v>301</v>
      </c>
      <c r="K119">
        <v>13</v>
      </c>
      <c r="L119" s="6">
        <v>3.9624000000000001</v>
      </c>
      <c r="M119" s="7">
        <v>25.4</v>
      </c>
      <c r="N119" s="7">
        <v>146.05000000000001</v>
      </c>
      <c r="O119" s="7">
        <f t="shared" si="5"/>
        <v>156</v>
      </c>
      <c r="P119" s="7">
        <f t="shared" si="6"/>
        <v>1</v>
      </c>
      <c r="Q119" s="7">
        <f t="shared" si="6"/>
        <v>5.7500000000000009</v>
      </c>
      <c r="R119" s="6">
        <f t="shared" si="7"/>
        <v>884.40200000000004</v>
      </c>
      <c r="S119" s="6">
        <f t="shared" si="9"/>
        <v>1.4699196408000001E-2</v>
      </c>
      <c r="T119" t="str">
        <f t="shared" si="8"/>
        <v>Maximo Accoya S4S E4E Slate Grey 5/4x6 Long</v>
      </c>
    </row>
    <row r="120" spans="1:20" x14ac:dyDescent="0.25">
      <c r="A120" t="s">
        <v>281</v>
      </c>
      <c r="B120" t="s">
        <v>321</v>
      </c>
      <c r="C120" t="s">
        <v>283</v>
      </c>
      <c r="D120" t="s">
        <v>284</v>
      </c>
      <c r="E120" t="s">
        <v>427</v>
      </c>
      <c r="F120" t="s">
        <v>423</v>
      </c>
      <c r="G120" t="s">
        <v>287</v>
      </c>
      <c r="H120" t="s">
        <v>373</v>
      </c>
      <c r="I120" t="s">
        <v>343</v>
      </c>
      <c r="J120" t="s">
        <v>301</v>
      </c>
      <c r="K120">
        <v>14</v>
      </c>
      <c r="L120" s="6">
        <v>4.2671999999999999</v>
      </c>
      <c r="M120" s="7">
        <v>25.4</v>
      </c>
      <c r="N120" s="7">
        <v>146.05000000000001</v>
      </c>
      <c r="O120" s="7">
        <f t="shared" si="5"/>
        <v>168</v>
      </c>
      <c r="P120" s="7">
        <f t="shared" si="6"/>
        <v>1</v>
      </c>
      <c r="Q120" s="7">
        <f t="shared" si="6"/>
        <v>5.7500000000000009</v>
      </c>
      <c r="R120" s="6">
        <f t="shared" si="7"/>
        <v>884.40200000000004</v>
      </c>
      <c r="S120" s="6">
        <f t="shared" si="9"/>
        <v>1.5829903824E-2</v>
      </c>
      <c r="T120" t="str">
        <f t="shared" si="8"/>
        <v>Maximo Accoya S4S E4E Slate Grey 5/4x6 Long</v>
      </c>
    </row>
    <row r="121" spans="1:20" x14ac:dyDescent="0.25">
      <c r="A121" t="s">
        <v>281</v>
      </c>
      <c r="B121" t="s">
        <v>321</v>
      </c>
      <c r="C121" t="s">
        <v>283</v>
      </c>
      <c r="D121" t="s">
        <v>284</v>
      </c>
      <c r="E121" t="s">
        <v>428</v>
      </c>
      <c r="F121" t="s">
        <v>423</v>
      </c>
      <c r="G121" t="s">
        <v>287</v>
      </c>
      <c r="H121" t="s">
        <v>373</v>
      </c>
      <c r="I121" t="s">
        <v>343</v>
      </c>
      <c r="J121" t="s">
        <v>301</v>
      </c>
      <c r="K121">
        <v>15</v>
      </c>
      <c r="L121" s="6">
        <v>4.5720000000000001</v>
      </c>
      <c r="M121" s="7">
        <v>25.4</v>
      </c>
      <c r="N121" s="7">
        <v>146.05000000000001</v>
      </c>
      <c r="O121" s="7">
        <f t="shared" si="5"/>
        <v>180</v>
      </c>
      <c r="P121" s="7">
        <f t="shared" si="6"/>
        <v>1</v>
      </c>
      <c r="Q121" s="7">
        <f t="shared" si="6"/>
        <v>5.7500000000000009</v>
      </c>
      <c r="R121" s="6">
        <f t="shared" si="7"/>
        <v>884.40200000000004</v>
      </c>
      <c r="S121" s="6">
        <f t="shared" si="9"/>
        <v>1.6960611240000003E-2</v>
      </c>
      <c r="T121" t="str">
        <f t="shared" si="8"/>
        <v>Maximo Accoya S4S E4E Slate Grey 5/4x6 Long</v>
      </c>
    </row>
    <row r="122" spans="1:20" x14ac:dyDescent="0.25">
      <c r="A122" t="s">
        <v>281</v>
      </c>
      <c r="B122" t="s">
        <v>321</v>
      </c>
      <c r="C122" t="s">
        <v>283</v>
      </c>
      <c r="D122" t="s">
        <v>284</v>
      </c>
      <c r="E122" t="s">
        <v>429</v>
      </c>
      <c r="F122" t="s">
        <v>423</v>
      </c>
      <c r="G122" t="s">
        <v>287</v>
      </c>
      <c r="H122" t="s">
        <v>373</v>
      </c>
      <c r="I122" t="s">
        <v>343</v>
      </c>
      <c r="J122" t="s">
        <v>301</v>
      </c>
      <c r="K122">
        <v>16</v>
      </c>
      <c r="L122" s="6">
        <v>4.8768000000000002</v>
      </c>
      <c r="M122" s="7">
        <v>25.4</v>
      </c>
      <c r="N122" s="7">
        <v>146.05000000000001</v>
      </c>
      <c r="O122" s="7">
        <f t="shared" si="5"/>
        <v>192.00000000000003</v>
      </c>
      <c r="P122" s="7">
        <f t="shared" si="6"/>
        <v>1</v>
      </c>
      <c r="Q122" s="7">
        <f t="shared" si="6"/>
        <v>5.7500000000000009</v>
      </c>
      <c r="R122" s="6">
        <f t="shared" si="7"/>
        <v>884.40200000000004</v>
      </c>
      <c r="S122" s="6">
        <f t="shared" si="9"/>
        <v>1.8091318656000003E-2</v>
      </c>
      <c r="T122" t="str">
        <f t="shared" si="8"/>
        <v>Maximo Accoya S4S E4E Slate Grey 5/4x6 Long</v>
      </c>
    </row>
    <row r="123" spans="1:20" x14ac:dyDescent="0.25">
      <c r="A123" t="s">
        <v>281</v>
      </c>
      <c r="B123" t="s">
        <v>321</v>
      </c>
      <c r="C123" t="s">
        <v>283</v>
      </c>
      <c r="D123" t="s">
        <v>284</v>
      </c>
      <c r="E123" t="s">
        <v>430</v>
      </c>
      <c r="F123" t="s">
        <v>423</v>
      </c>
      <c r="G123" t="s">
        <v>287</v>
      </c>
      <c r="H123" t="s">
        <v>373</v>
      </c>
      <c r="I123" t="s">
        <v>343</v>
      </c>
      <c r="J123" t="s">
        <v>301</v>
      </c>
      <c r="K123">
        <v>17</v>
      </c>
      <c r="L123" s="6">
        <v>5.1816000000000004</v>
      </c>
      <c r="M123" s="7">
        <v>25.4</v>
      </c>
      <c r="N123" s="7">
        <v>146.05000000000001</v>
      </c>
      <c r="O123" s="7">
        <f t="shared" si="5"/>
        <v>204.00000000000003</v>
      </c>
      <c r="P123" s="7">
        <f t="shared" si="6"/>
        <v>1</v>
      </c>
      <c r="Q123" s="7">
        <f t="shared" si="6"/>
        <v>5.7500000000000009</v>
      </c>
      <c r="R123" s="6">
        <f t="shared" si="7"/>
        <v>884.40200000000004</v>
      </c>
      <c r="S123" s="6">
        <f t="shared" si="9"/>
        <v>1.9222026072000003E-2</v>
      </c>
      <c r="T123" t="str">
        <f t="shared" si="8"/>
        <v>Maximo Accoya S4S E4E Slate Grey 5/4x6 Long</v>
      </c>
    </row>
    <row r="124" spans="1:20" x14ac:dyDescent="0.25">
      <c r="A124" t="s">
        <v>281</v>
      </c>
      <c r="B124" t="s">
        <v>321</v>
      </c>
      <c r="C124" t="s">
        <v>283</v>
      </c>
      <c r="D124" t="s">
        <v>284</v>
      </c>
      <c r="E124" t="s">
        <v>431</v>
      </c>
      <c r="F124" t="s">
        <v>423</v>
      </c>
      <c r="G124" t="s">
        <v>287</v>
      </c>
      <c r="H124" t="s">
        <v>373</v>
      </c>
      <c r="I124" t="s">
        <v>343</v>
      </c>
      <c r="J124" t="s">
        <v>301</v>
      </c>
      <c r="K124">
        <v>18</v>
      </c>
      <c r="L124" s="6">
        <v>5.4863999999999997</v>
      </c>
      <c r="M124" s="7">
        <v>25.4</v>
      </c>
      <c r="N124" s="7">
        <v>146.05000000000001</v>
      </c>
      <c r="O124" s="7">
        <f t="shared" si="5"/>
        <v>216</v>
      </c>
      <c r="P124" s="7">
        <f t="shared" si="6"/>
        <v>1</v>
      </c>
      <c r="Q124" s="7">
        <f t="shared" si="6"/>
        <v>5.7500000000000009</v>
      </c>
      <c r="R124" s="6">
        <f t="shared" si="7"/>
        <v>884.40200000000004</v>
      </c>
      <c r="S124" s="6">
        <f t="shared" si="9"/>
        <v>2.0352733487999999E-2</v>
      </c>
      <c r="T124" t="str">
        <f t="shared" si="8"/>
        <v>Maximo Accoya S4S E4E Slate Grey 5/4x6 Long</v>
      </c>
    </row>
    <row r="125" spans="1:20" x14ac:dyDescent="0.25">
      <c r="A125" t="s">
        <v>281</v>
      </c>
      <c r="B125" t="s">
        <v>321</v>
      </c>
      <c r="C125" t="s">
        <v>283</v>
      </c>
      <c r="D125" t="s">
        <v>284</v>
      </c>
      <c r="E125" t="s">
        <v>432</v>
      </c>
      <c r="F125" t="s">
        <v>423</v>
      </c>
      <c r="G125" t="s">
        <v>287</v>
      </c>
      <c r="H125" t="s">
        <v>373</v>
      </c>
      <c r="I125" t="s">
        <v>343</v>
      </c>
      <c r="J125" t="s">
        <v>301</v>
      </c>
      <c r="K125">
        <v>19</v>
      </c>
      <c r="L125" s="6">
        <v>5.7911999999999999</v>
      </c>
      <c r="M125" s="7">
        <v>25.4</v>
      </c>
      <c r="N125" s="7">
        <v>146.05000000000001</v>
      </c>
      <c r="O125" s="7">
        <f t="shared" si="5"/>
        <v>228</v>
      </c>
      <c r="P125" s="7">
        <f t="shared" si="6"/>
        <v>1</v>
      </c>
      <c r="Q125" s="7">
        <f t="shared" si="6"/>
        <v>5.7500000000000009</v>
      </c>
      <c r="R125" s="6">
        <f t="shared" si="7"/>
        <v>884.40200000000004</v>
      </c>
      <c r="S125" s="6">
        <f t="shared" si="9"/>
        <v>2.1483440903999999E-2</v>
      </c>
      <c r="T125" t="str">
        <f t="shared" si="8"/>
        <v>Maximo Accoya S4S E4E Slate Grey 5/4x6 Long</v>
      </c>
    </row>
    <row r="126" spans="1:20" x14ac:dyDescent="0.25">
      <c r="A126" t="s">
        <v>281</v>
      </c>
      <c r="B126" t="s">
        <v>321</v>
      </c>
      <c r="C126" t="s">
        <v>283</v>
      </c>
      <c r="D126" t="s">
        <v>284</v>
      </c>
      <c r="E126" t="s">
        <v>433</v>
      </c>
      <c r="F126" t="s">
        <v>423</v>
      </c>
      <c r="G126" t="s">
        <v>287</v>
      </c>
      <c r="H126" t="s">
        <v>373</v>
      </c>
      <c r="I126" t="s">
        <v>343</v>
      </c>
      <c r="J126" t="s">
        <v>301</v>
      </c>
      <c r="K126">
        <v>20</v>
      </c>
      <c r="L126" s="6">
        <v>6.0960000000000001</v>
      </c>
      <c r="M126" s="7">
        <v>25.4</v>
      </c>
      <c r="N126" s="7">
        <v>146.05000000000001</v>
      </c>
      <c r="O126" s="7">
        <f t="shared" si="5"/>
        <v>240</v>
      </c>
      <c r="P126" s="7">
        <f t="shared" si="6"/>
        <v>1</v>
      </c>
      <c r="Q126" s="7">
        <f t="shared" si="6"/>
        <v>5.7500000000000009</v>
      </c>
      <c r="R126" s="6">
        <f t="shared" si="7"/>
        <v>884.40200000000004</v>
      </c>
      <c r="S126" s="6">
        <f t="shared" si="9"/>
        <v>2.2614148320000006E-2</v>
      </c>
      <c r="T126" t="str">
        <f t="shared" si="8"/>
        <v>Maximo Accoya S4S E4E Slate Grey 5/4x6 Long</v>
      </c>
    </row>
    <row r="127" spans="1:20" x14ac:dyDescent="0.25">
      <c r="A127" t="s">
        <v>281</v>
      </c>
      <c r="B127" t="s">
        <v>321</v>
      </c>
      <c r="C127" t="s">
        <v>283</v>
      </c>
      <c r="D127" t="s">
        <v>284</v>
      </c>
      <c r="E127" t="s">
        <v>434</v>
      </c>
      <c r="F127" t="s">
        <v>423</v>
      </c>
      <c r="G127" t="s">
        <v>287</v>
      </c>
      <c r="H127" t="s">
        <v>373</v>
      </c>
      <c r="I127" t="s">
        <v>343</v>
      </c>
      <c r="J127" t="s">
        <v>301</v>
      </c>
      <c r="K127">
        <v>8</v>
      </c>
      <c r="L127" s="6">
        <v>2.4384000000000001</v>
      </c>
      <c r="M127" s="7">
        <v>25.4</v>
      </c>
      <c r="N127" s="7">
        <v>146.05000000000001</v>
      </c>
      <c r="O127" s="7">
        <f t="shared" si="5"/>
        <v>96.000000000000014</v>
      </c>
      <c r="P127" s="7">
        <f t="shared" si="6"/>
        <v>1</v>
      </c>
      <c r="Q127" s="7">
        <f t="shared" si="6"/>
        <v>5.7500000000000009</v>
      </c>
      <c r="R127" s="6">
        <f t="shared" si="7"/>
        <v>884.40200000000004</v>
      </c>
      <c r="S127" s="6">
        <f t="shared" si="9"/>
        <v>9.0456593280000015E-3</v>
      </c>
      <c r="T127" t="str">
        <f t="shared" si="8"/>
        <v>Maximo Accoya S4S E4E Slate Grey 5/4x6 Long</v>
      </c>
    </row>
    <row r="128" spans="1:20" x14ac:dyDescent="0.25">
      <c r="A128" t="s">
        <v>281</v>
      </c>
      <c r="B128" t="s">
        <v>321</v>
      </c>
      <c r="C128" t="s">
        <v>283</v>
      </c>
      <c r="D128" t="s">
        <v>284</v>
      </c>
      <c r="E128" t="s">
        <v>435</v>
      </c>
      <c r="F128" t="s">
        <v>423</v>
      </c>
      <c r="G128" t="s">
        <v>287</v>
      </c>
      <c r="H128" t="s">
        <v>373</v>
      </c>
      <c r="I128" t="s">
        <v>343</v>
      </c>
      <c r="J128" t="s">
        <v>301</v>
      </c>
      <c r="K128">
        <v>9</v>
      </c>
      <c r="L128" s="6">
        <v>2.7431999999999999</v>
      </c>
      <c r="M128" s="7">
        <v>25.4</v>
      </c>
      <c r="N128" s="7">
        <v>146.05000000000001</v>
      </c>
      <c r="O128" s="7">
        <f t="shared" si="5"/>
        <v>108</v>
      </c>
      <c r="P128" s="7">
        <f t="shared" si="6"/>
        <v>1</v>
      </c>
      <c r="Q128" s="7">
        <f t="shared" si="6"/>
        <v>5.7500000000000009</v>
      </c>
      <c r="R128" s="6">
        <f t="shared" si="7"/>
        <v>884.40200000000004</v>
      </c>
      <c r="S128" s="6">
        <f t="shared" si="9"/>
        <v>1.0176366744E-2</v>
      </c>
      <c r="T128" t="str">
        <f t="shared" si="8"/>
        <v>Maximo Accoya S4S E4E Slate Grey 5/4x6 Long</v>
      </c>
    </row>
    <row r="129" spans="1:20" x14ac:dyDescent="0.25">
      <c r="A129" t="s">
        <v>436</v>
      </c>
      <c r="B129" t="s">
        <v>437</v>
      </c>
      <c r="C129" t="s">
        <v>283</v>
      </c>
      <c r="D129" t="s">
        <v>438</v>
      </c>
      <c r="E129" t="s">
        <v>439</v>
      </c>
      <c r="F129" t="s">
        <v>440</v>
      </c>
      <c r="G129" t="s">
        <v>441</v>
      </c>
      <c r="H129" t="s">
        <v>288</v>
      </c>
      <c r="I129" t="s">
        <v>289</v>
      </c>
      <c r="J129" t="s">
        <v>442</v>
      </c>
      <c r="K129">
        <v>10</v>
      </c>
      <c r="L129" s="6">
        <v>3.048</v>
      </c>
      <c r="M129" s="7">
        <v>38.1</v>
      </c>
      <c r="N129" s="7">
        <v>152.4</v>
      </c>
      <c r="O129" s="7">
        <f t="shared" si="5"/>
        <v>120</v>
      </c>
      <c r="P129" s="7">
        <f t="shared" si="6"/>
        <v>1.5000000000000002</v>
      </c>
      <c r="Q129" s="7">
        <f t="shared" si="6"/>
        <v>6.0000000000000009</v>
      </c>
      <c r="R129" s="6">
        <f t="shared" si="7"/>
        <v>565.03499999999997</v>
      </c>
      <c r="S129" s="6">
        <f t="shared" si="9"/>
        <v>1.7698029120000004E-2</v>
      </c>
      <c r="T129" t="str">
        <f t="shared" si="8"/>
        <v>Angelim Pedra Rough Sawn 1.5x6 Long</v>
      </c>
    </row>
    <row r="130" spans="1:20" x14ac:dyDescent="0.25">
      <c r="A130" t="s">
        <v>436</v>
      </c>
      <c r="B130" t="s">
        <v>437</v>
      </c>
      <c r="C130" t="s">
        <v>283</v>
      </c>
      <c r="D130" t="s">
        <v>438</v>
      </c>
      <c r="E130" t="s">
        <v>443</v>
      </c>
      <c r="F130" t="s">
        <v>440</v>
      </c>
      <c r="G130" t="s">
        <v>441</v>
      </c>
      <c r="H130" t="s">
        <v>288</v>
      </c>
      <c r="I130" t="s">
        <v>289</v>
      </c>
      <c r="J130" t="s">
        <v>442</v>
      </c>
      <c r="K130">
        <v>11</v>
      </c>
      <c r="L130" s="6">
        <v>3.3527999999999998</v>
      </c>
      <c r="M130" s="7">
        <v>38.1</v>
      </c>
      <c r="N130" s="7">
        <v>152.4</v>
      </c>
      <c r="O130" s="7">
        <f t="shared" ref="O130:O193" si="10">L130/0.0254</f>
        <v>132</v>
      </c>
      <c r="P130" s="7">
        <f t="shared" ref="P130:Q193" si="11">M130/25.4</f>
        <v>1.5000000000000002</v>
      </c>
      <c r="Q130" s="7">
        <f t="shared" si="11"/>
        <v>6.0000000000000009</v>
      </c>
      <c r="R130" s="6">
        <f t="shared" ref="R130:R193" si="12">ROUND(IFERROR(1/((M130*N130*0.3048)/1000000),0),3)</f>
        <v>565.03499999999997</v>
      </c>
      <c r="S130" s="6">
        <f t="shared" si="9"/>
        <v>1.9467832032000001E-2</v>
      </c>
      <c r="T130" t="str">
        <f t="shared" ref="T130:T193" si="13">F130&amp;" "&amp;C130</f>
        <v>Angelim Pedra Rough Sawn 1.5x6 Long</v>
      </c>
    </row>
    <row r="131" spans="1:20" x14ac:dyDescent="0.25">
      <c r="A131" t="s">
        <v>436</v>
      </c>
      <c r="B131" t="s">
        <v>437</v>
      </c>
      <c r="C131" t="s">
        <v>283</v>
      </c>
      <c r="D131" t="s">
        <v>438</v>
      </c>
      <c r="E131" t="s">
        <v>444</v>
      </c>
      <c r="F131" t="s">
        <v>440</v>
      </c>
      <c r="G131" t="s">
        <v>441</v>
      </c>
      <c r="H131" t="s">
        <v>288</v>
      </c>
      <c r="I131" t="s">
        <v>289</v>
      </c>
      <c r="J131" t="s">
        <v>442</v>
      </c>
      <c r="K131">
        <v>12</v>
      </c>
      <c r="L131" s="6">
        <v>3.6576</v>
      </c>
      <c r="M131" s="7">
        <v>38.1</v>
      </c>
      <c r="N131" s="7">
        <v>152.4</v>
      </c>
      <c r="O131" s="7">
        <f t="shared" si="10"/>
        <v>144</v>
      </c>
      <c r="P131" s="7">
        <f t="shared" si="11"/>
        <v>1.5000000000000002</v>
      </c>
      <c r="Q131" s="7">
        <f t="shared" si="11"/>
        <v>6.0000000000000009</v>
      </c>
      <c r="R131" s="6">
        <f t="shared" si="12"/>
        <v>565.03499999999997</v>
      </c>
      <c r="S131" s="6">
        <f t="shared" si="9"/>
        <v>2.1237634944000001E-2</v>
      </c>
      <c r="T131" t="str">
        <f t="shared" si="13"/>
        <v>Angelim Pedra Rough Sawn 1.5x6 Long</v>
      </c>
    </row>
    <row r="132" spans="1:20" x14ac:dyDescent="0.25">
      <c r="A132" t="s">
        <v>436</v>
      </c>
      <c r="B132" t="s">
        <v>437</v>
      </c>
      <c r="C132" t="s">
        <v>283</v>
      </c>
      <c r="D132" t="s">
        <v>438</v>
      </c>
      <c r="E132" t="s">
        <v>445</v>
      </c>
      <c r="F132" t="s">
        <v>440</v>
      </c>
      <c r="G132" t="s">
        <v>441</v>
      </c>
      <c r="H132" t="s">
        <v>288</v>
      </c>
      <c r="I132" t="s">
        <v>289</v>
      </c>
      <c r="J132" t="s">
        <v>442</v>
      </c>
      <c r="K132">
        <v>13</v>
      </c>
      <c r="L132" s="6">
        <v>3.9624000000000001</v>
      </c>
      <c r="M132" s="7">
        <v>38.1</v>
      </c>
      <c r="N132" s="7">
        <v>152.4</v>
      </c>
      <c r="O132" s="7">
        <f t="shared" si="10"/>
        <v>156</v>
      </c>
      <c r="P132" s="7">
        <f t="shared" si="11"/>
        <v>1.5000000000000002</v>
      </c>
      <c r="Q132" s="7">
        <f t="shared" si="11"/>
        <v>6.0000000000000009</v>
      </c>
      <c r="R132" s="6">
        <f t="shared" si="12"/>
        <v>565.03499999999997</v>
      </c>
      <c r="S132" s="6">
        <f t="shared" ref="S132:S195" si="14">L132*M132/1000*N132/1000</f>
        <v>2.3007437856000002E-2</v>
      </c>
      <c r="T132" t="str">
        <f t="shared" si="13"/>
        <v>Angelim Pedra Rough Sawn 1.5x6 Long</v>
      </c>
    </row>
    <row r="133" spans="1:20" x14ac:dyDescent="0.25">
      <c r="A133" t="s">
        <v>436</v>
      </c>
      <c r="B133" t="s">
        <v>437</v>
      </c>
      <c r="C133" t="s">
        <v>283</v>
      </c>
      <c r="D133" t="s">
        <v>438</v>
      </c>
      <c r="E133" t="s">
        <v>446</v>
      </c>
      <c r="F133" t="s">
        <v>440</v>
      </c>
      <c r="G133" t="s">
        <v>441</v>
      </c>
      <c r="H133" t="s">
        <v>288</v>
      </c>
      <c r="I133" t="s">
        <v>289</v>
      </c>
      <c r="J133" t="s">
        <v>442</v>
      </c>
      <c r="K133">
        <v>14</v>
      </c>
      <c r="L133" s="6">
        <v>4.2671999999999999</v>
      </c>
      <c r="M133" s="7">
        <v>38.1</v>
      </c>
      <c r="N133" s="7">
        <v>152.4</v>
      </c>
      <c r="O133" s="7">
        <f t="shared" si="10"/>
        <v>168</v>
      </c>
      <c r="P133" s="7">
        <f t="shared" si="11"/>
        <v>1.5000000000000002</v>
      </c>
      <c r="Q133" s="7">
        <f t="shared" si="11"/>
        <v>6.0000000000000009</v>
      </c>
      <c r="R133" s="6">
        <f t="shared" si="12"/>
        <v>565.03499999999997</v>
      </c>
      <c r="S133" s="6">
        <f t="shared" si="14"/>
        <v>2.4777240768000003E-2</v>
      </c>
      <c r="T133" t="str">
        <f t="shared" si="13"/>
        <v>Angelim Pedra Rough Sawn 1.5x6 Long</v>
      </c>
    </row>
    <row r="134" spans="1:20" x14ac:dyDescent="0.25">
      <c r="A134" t="s">
        <v>436</v>
      </c>
      <c r="B134" t="s">
        <v>437</v>
      </c>
      <c r="C134" t="s">
        <v>283</v>
      </c>
      <c r="D134" t="s">
        <v>438</v>
      </c>
      <c r="E134" t="s">
        <v>447</v>
      </c>
      <c r="F134" t="s">
        <v>440</v>
      </c>
      <c r="G134" t="s">
        <v>441</v>
      </c>
      <c r="H134" t="s">
        <v>288</v>
      </c>
      <c r="I134" t="s">
        <v>289</v>
      </c>
      <c r="J134" t="s">
        <v>442</v>
      </c>
      <c r="K134">
        <v>15</v>
      </c>
      <c r="L134" s="6">
        <v>4.5720000000000001</v>
      </c>
      <c r="M134" s="7">
        <v>38.1</v>
      </c>
      <c r="N134" s="7">
        <v>152.4</v>
      </c>
      <c r="O134" s="7">
        <f t="shared" si="10"/>
        <v>180</v>
      </c>
      <c r="P134" s="7">
        <f t="shared" si="11"/>
        <v>1.5000000000000002</v>
      </c>
      <c r="Q134" s="7">
        <f t="shared" si="11"/>
        <v>6.0000000000000009</v>
      </c>
      <c r="R134" s="6">
        <f t="shared" si="12"/>
        <v>565.03499999999997</v>
      </c>
      <c r="S134" s="6">
        <f t="shared" si="14"/>
        <v>2.6547043680000004E-2</v>
      </c>
      <c r="T134" t="str">
        <f t="shared" si="13"/>
        <v>Angelim Pedra Rough Sawn 1.5x6 Long</v>
      </c>
    </row>
    <row r="135" spans="1:20" x14ac:dyDescent="0.25">
      <c r="A135" t="s">
        <v>436</v>
      </c>
      <c r="B135" t="s">
        <v>437</v>
      </c>
      <c r="C135" t="s">
        <v>283</v>
      </c>
      <c r="D135" t="s">
        <v>438</v>
      </c>
      <c r="E135" t="s">
        <v>448</v>
      </c>
      <c r="F135" t="s">
        <v>440</v>
      </c>
      <c r="G135" t="s">
        <v>441</v>
      </c>
      <c r="H135" t="s">
        <v>288</v>
      </c>
      <c r="I135" t="s">
        <v>289</v>
      </c>
      <c r="J135" t="s">
        <v>442</v>
      </c>
      <c r="K135">
        <v>16</v>
      </c>
      <c r="L135" s="6">
        <v>4.8768000000000002</v>
      </c>
      <c r="M135" s="7">
        <v>38.1</v>
      </c>
      <c r="N135" s="7">
        <v>152.4</v>
      </c>
      <c r="O135" s="7">
        <f t="shared" si="10"/>
        <v>192.00000000000003</v>
      </c>
      <c r="P135" s="7">
        <f t="shared" si="11"/>
        <v>1.5000000000000002</v>
      </c>
      <c r="Q135" s="7">
        <f t="shared" si="11"/>
        <v>6.0000000000000009</v>
      </c>
      <c r="R135" s="6">
        <f t="shared" si="12"/>
        <v>565.03499999999997</v>
      </c>
      <c r="S135" s="6">
        <f t="shared" si="14"/>
        <v>2.8316846592000004E-2</v>
      </c>
      <c r="T135" t="str">
        <f t="shared" si="13"/>
        <v>Angelim Pedra Rough Sawn 1.5x6 Long</v>
      </c>
    </row>
    <row r="136" spans="1:20" x14ac:dyDescent="0.25">
      <c r="A136" t="s">
        <v>436</v>
      </c>
      <c r="B136" t="s">
        <v>437</v>
      </c>
      <c r="C136" t="s">
        <v>283</v>
      </c>
      <c r="D136" t="s">
        <v>438</v>
      </c>
      <c r="E136" t="s">
        <v>449</v>
      </c>
      <c r="F136" t="s">
        <v>440</v>
      </c>
      <c r="G136" t="s">
        <v>441</v>
      </c>
      <c r="H136" t="s">
        <v>288</v>
      </c>
      <c r="I136" t="s">
        <v>289</v>
      </c>
      <c r="J136" t="s">
        <v>442</v>
      </c>
      <c r="K136">
        <v>17</v>
      </c>
      <c r="L136" s="6">
        <v>5.1816000000000004</v>
      </c>
      <c r="M136" s="7">
        <v>38.1</v>
      </c>
      <c r="N136" s="7">
        <v>152.4</v>
      </c>
      <c r="O136" s="7">
        <f t="shared" si="10"/>
        <v>204.00000000000003</v>
      </c>
      <c r="P136" s="7">
        <f t="shared" si="11"/>
        <v>1.5000000000000002</v>
      </c>
      <c r="Q136" s="7">
        <f t="shared" si="11"/>
        <v>6.0000000000000009</v>
      </c>
      <c r="R136" s="6">
        <f t="shared" si="12"/>
        <v>565.03499999999997</v>
      </c>
      <c r="S136" s="6">
        <f t="shared" si="14"/>
        <v>3.0086649504000008E-2</v>
      </c>
      <c r="T136" t="str">
        <f t="shared" si="13"/>
        <v>Angelim Pedra Rough Sawn 1.5x6 Long</v>
      </c>
    </row>
    <row r="137" spans="1:20" x14ac:dyDescent="0.25">
      <c r="A137" t="s">
        <v>436</v>
      </c>
      <c r="B137" t="s">
        <v>437</v>
      </c>
      <c r="C137" t="s">
        <v>283</v>
      </c>
      <c r="D137" t="s">
        <v>438</v>
      </c>
      <c r="E137" t="s">
        <v>450</v>
      </c>
      <c r="F137" t="s">
        <v>440</v>
      </c>
      <c r="G137" t="s">
        <v>441</v>
      </c>
      <c r="H137" t="s">
        <v>288</v>
      </c>
      <c r="I137" t="s">
        <v>289</v>
      </c>
      <c r="J137" t="s">
        <v>442</v>
      </c>
      <c r="K137">
        <v>18</v>
      </c>
      <c r="L137" s="6">
        <v>5.4863999999999997</v>
      </c>
      <c r="M137" s="7">
        <v>38.1</v>
      </c>
      <c r="N137" s="7">
        <v>152.4</v>
      </c>
      <c r="O137" s="7">
        <f t="shared" si="10"/>
        <v>216</v>
      </c>
      <c r="P137" s="7">
        <f t="shared" si="11"/>
        <v>1.5000000000000002</v>
      </c>
      <c r="Q137" s="7">
        <f t="shared" si="11"/>
        <v>6.0000000000000009</v>
      </c>
      <c r="R137" s="6">
        <f t="shared" si="12"/>
        <v>565.03499999999997</v>
      </c>
      <c r="S137" s="6">
        <f t="shared" si="14"/>
        <v>3.1856452415999999E-2</v>
      </c>
      <c r="T137" t="str">
        <f t="shared" si="13"/>
        <v>Angelim Pedra Rough Sawn 1.5x6 Long</v>
      </c>
    </row>
    <row r="138" spans="1:20" x14ac:dyDescent="0.25">
      <c r="A138" t="s">
        <v>436</v>
      </c>
      <c r="B138" t="s">
        <v>437</v>
      </c>
      <c r="C138" t="s">
        <v>283</v>
      </c>
      <c r="D138" t="s">
        <v>438</v>
      </c>
      <c r="E138" t="s">
        <v>451</v>
      </c>
      <c r="F138" t="s">
        <v>440</v>
      </c>
      <c r="G138" t="s">
        <v>441</v>
      </c>
      <c r="H138" t="s">
        <v>288</v>
      </c>
      <c r="I138" t="s">
        <v>289</v>
      </c>
      <c r="J138" t="s">
        <v>442</v>
      </c>
      <c r="K138">
        <v>19</v>
      </c>
      <c r="L138" s="6">
        <v>5.7911999999999999</v>
      </c>
      <c r="M138" s="7">
        <v>38.1</v>
      </c>
      <c r="N138" s="7">
        <v>152.4</v>
      </c>
      <c r="O138" s="7">
        <f t="shared" si="10"/>
        <v>228</v>
      </c>
      <c r="P138" s="7">
        <f t="shared" si="11"/>
        <v>1.5000000000000002</v>
      </c>
      <c r="Q138" s="7">
        <f t="shared" si="11"/>
        <v>6.0000000000000009</v>
      </c>
      <c r="R138" s="6">
        <f t="shared" si="12"/>
        <v>565.03499999999997</v>
      </c>
      <c r="S138" s="6">
        <f t="shared" si="14"/>
        <v>3.3626255328000003E-2</v>
      </c>
      <c r="T138" t="str">
        <f t="shared" si="13"/>
        <v>Angelim Pedra Rough Sawn 1.5x6 Long</v>
      </c>
    </row>
    <row r="139" spans="1:20" x14ac:dyDescent="0.25">
      <c r="A139" t="s">
        <v>436</v>
      </c>
      <c r="B139" t="s">
        <v>437</v>
      </c>
      <c r="C139" t="s">
        <v>283</v>
      </c>
      <c r="D139" t="s">
        <v>438</v>
      </c>
      <c r="E139" t="s">
        <v>452</v>
      </c>
      <c r="F139" t="s">
        <v>440</v>
      </c>
      <c r="G139" t="s">
        <v>441</v>
      </c>
      <c r="H139" t="s">
        <v>288</v>
      </c>
      <c r="I139" t="s">
        <v>289</v>
      </c>
      <c r="J139" t="s">
        <v>442</v>
      </c>
      <c r="K139">
        <v>20</v>
      </c>
      <c r="L139" s="6">
        <v>6.0960000000000001</v>
      </c>
      <c r="M139" s="7">
        <v>38.1</v>
      </c>
      <c r="N139" s="7">
        <v>152.4</v>
      </c>
      <c r="O139" s="7">
        <f t="shared" si="10"/>
        <v>240</v>
      </c>
      <c r="P139" s="7">
        <f t="shared" si="11"/>
        <v>1.5000000000000002</v>
      </c>
      <c r="Q139" s="7">
        <f t="shared" si="11"/>
        <v>6.0000000000000009</v>
      </c>
      <c r="R139" s="6">
        <f t="shared" si="12"/>
        <v>565.03499999999997</v>
      </c>
      <c r="S139" s="6">
        <f t="shared" si="14"/>
        <v>3.5396058240000007E-2</v>
      </c>
      <c r="T139" t="str">
        <f t="shared" si="13"/>
        <v>Angelim Pedra Rough Sawn 1.5x6 Long</v>
      </c>
    </row>
    <row r="140" spans="1:20" x14ac:dyDescent="0.25">
      <c r="A140" t="s">
        <v>436</v>
      </c>
      <c r="B140" t="s">
        <v>437</v>
      </c>
      <c r="C140" t="s">
        <v>283</v>
      </c>
      <c r="D140" t="s">
        <v>438</v>
      </c>
      <c r="E140" t="s">
        <v>453</v>
      </c>
      <c r="F140" t="s">
        <v>440</v>
      </c>
      <c r="G140" t="s">
        <v>441</v>
      </c>
      <c r="H140" t="s">
        <v>288</v>
      </c>
      <c r="I140" t="s">
        <v>289</v>
      </c>
      <c r="J140" t="s">
        <v>442</v>
      </c>
      <c r="K140">
        <v>21</v>
      </c>
      <c r="L140" s="6">
        <v>6.4008000000000003</v>
      </c>
      <c r="M140" s="7">
        <v>38.1</v>
      </c>
      <c r="N140" s="7">
        <v>152.4</v>
      </c>
      <c r="O140" s="7">
        <f t="shared" si="10"/>
        <v>252.00000000000003</v>
      </c>
      <c r="P140" s="7">
        <f t="shared" si="11"/>
        <v>1.5000000000000002</v>
      </c>
      <c r="Q140" s="7">
        <f t="shared" si="11"/>
        <v>6.0000000000000009</v>
      </c>
      <c r="R140" s="6">
        <f t="shared" si="12"/>
        <v>565.03499999999997</v>
      </c>
      <c r="S140" s="6">
        <f t="shared" si="14"/>
        <v>3.7165861152000004E-2</v>
      </c>
      <c r="T140" t="str">
        <f t="shared" si="13"/>
        <v>Angelim Pedra Rough Sawn 1.5x6 Long</v>
      </c>
    </row>
    <row r="141" spans="1:20" x14ac:dyDescent="0.25">
      <c r="A141" t="s">
        <v>436</v>
      </c>
      <c r="B141" t="s">
        <v>437</v>
      </c>
      <c r="C141" t="s">
        <v>283</v>
      </c>
      <c r="D141" t="s">
        <v>438</v>
      </c>
      <c r="E141" t="s">
        <v>454</v>
      </c>
      <c r="F141" t="s">
        <v>440</v>
      </c>
      <c r="G141" t="s">
        <v>441</v>
      </c>
      <c r="H141" t="s">
        <v>288</v>
      </c>
      <c r="I141" t="s">
        <v>289</v>
      </c>
      <c r="J141" t="s">
        <v>442</v>
      </c>
      <c r="K141">
        <v>22</v>
      </c>
      <c r="L141" s="6">
        <v>6.7055999999999996</v>
      </c>
      <c r="M141" s="7">
        <v>38.1</v>
      </c>
      <c r="N141" s="7">
        <v>152.4</v>
      </c>
      <c r="O141" s="7">
        <f t="shared" si="10"/>
        <v>264</v>
      </c>
      <c r="P141" s="7">
        <f t="shared" si="11"/>
        <v>1.5000000000000002</v>
      </c>
      <c r="Q141" s="7">
        <f t="shared" si="11"/>
        <v>6.0000000000000009</v>
      </c>
      <c r="R141" s="6">
        <f t="shared" si="12"/>
        <v>565.03499999999997</v>
      </c>
      <c r="S141" s="6">
        <f t="shared" si="14"/>
        <v>3.8935664064000002E-2</v>
      </c>
      <c r="T141" t="str">
        <f t="shared" si="13"/>
        <v>Angelim Pedra Rough Sawn 1.5x6 Long</v>
      </c>
    </row>
    <row r="142" spans="1:20" x14ac:dyDescent="0.25">
      <c r="A142" t="s">
        <v>436</v>
      </c>
      <c r="B142" t="s">
        <v>455</v>
      </c>
      <c r="C142" t="s">
        <v>283</v>
      </c>
      <c r="D142" t="s">
        <v>438</v>
      </c>
      <c r="E142" t="s">
        <v>456</v>
      </c>
      <c r="F142" t="s">
        <v>457</v>
      </c>
      <c r="G142" t="s">
        <v>441</v>
      </c>
      <c r="H142" t="s">
        <v>288</v>
      </c>
      <c r="I142" t="s">
        <v>289</v>
      </c>
      <c r="J142" t="s">
        <v>458</v>
      </c>
      <c r="K142">
        <v>10</v>
      </c>
      <c r="L142" s="6">
        <v>3.048</v>
      </c>
      <c r="M142" s="7">
        <v>38.1</v>
      </c>
      <c r="N142" s="7">
        <v>203.2</v>
      </c>
      <c r="O142" s="7">
        <f t="shared" si="10"/>
        <v>120</v>
      </c>
      <c r="P142" s="7">
        <f t="shared" si="11"/>
        <v>1.5000000000000002</v>
      </c>
      <c r="Q142" s="7">
        <f t="shared" si="11"/>
        <v>8</v>
      </c>
      <c r="R142" s="6">
        <f t="shared" si="12"/>
        <v>423.77600000000001</v>
      </c>
      <c r="S142" s="6">
        <f t="shared" si="14"/>
        <v>2.3597372160000001E-2</v>
      </c>
      <c r="T142" t="str">
        <f t="shared" si="13"/>
        <v>Angelim Pedra Rough Sawn 1.5x8 Long</v>
      </c>
    </row>
    <row r="143" spans="1:20" x14ac:dyDescent="0.25">
      <c r="A143" t="s">
        <v>436</v>
      </c>
      <c r="B143" t="s">
        <v>455</v>
      </c>
      <c r="C143" t="s">
        <v>283</v>
      </c>
      <c r="D143" t="s">
        <v>438</v>
      </c>
      <c r="E143" t="s">
        <v>459</v>
      </c>
      <c r="F143" t="s">
        <v>457</v>
      </c>
      <c r="G143" t="s">
        <v>441</v>
      </c>
      <c r="H143" t="s">
        <v>288</v>
      </c>
      <c r="I143" t="s">
        <v>289</v>
      </c>
      <c r="J143" t="s">
        <v>458</v>
      </c>
      <c r="K143">
        <v>11</v>
      </c>
      <c r="L143" s="6">
        <v>3.3527999999999998</v>
      </c>
      <c r="M143" s="7">
        <v>38.1</v>
      </c>
      <c r="N143" s="7">
        <v>203.2</v>
      </c>
      <c r="O143" s="7">
        <f t="shared" si="10"/>
        <v>132</v>
      </c>
      <c r="P143" s="7">
        <f t="shared" si="11"/>
        <v>1.5000000000000002</v>
      </c>
      <c r="Q143" s="7">
        <f t="shared" si="11"/>
        <v>8</v>
      </c>
      <c r="R143" s="6">
        <f t="shared" si="12"/>
        <v>423.77600000000001</v>
      </c>
      <c r="S143" s="6">
        <f t="shared" si="14"/>
        <v>2.5957109375999998E-2</v>
      </c>
      <c r="T143" t="str">
        <f t="shared" si="13"/>
        <v>Angelim Pedra Rough Sawn 1.5x8 Long</v>
      </c>
    </row>
    <row r="144" spans="1:20" x14ac:dyDescent="0.25">
      <c r="A144" t="s">
        <v>436</v>
      </c>
      <c r="B144" t="s">
        <v>455</v>
      </c>
      <c r="C144" t="s">
        <v>283</v>
      </c>
      <c r="D144" t="s">
        <v>438</v>
      </c>
      <c r="E144" t="s">
        <v>460</v>
      </c>
      <c r="F144" t="s">
        <v>457</v>
      </c>
      <c r="G144" t="s">
        <v>441</v>
      </c>
      <c r="H144" t="s">
        <v>288</v>
      </c>
      <c r="I144" t="s">
        <v>289</v>
      </c>
      <c r="J144" t="s">
        <v>458</v>
      </c>
      <c r="K144">
        <v>12</v>
      </c>
      <c r="L144" s="6">
        <v>3.6576</v>
      </c>
      <c r="M144" s="7">
        <v>38.1</v>
      </c>
      <c r="N144" s="7">
        <v>203.2</v>
      </c>
      <c r="O144" s="7">
        <f t="shared" si="10"/>
        <v>144</v>
      </c>
      <c r="P144" s="7">
        <f t="shared" si="11"/>
        <v>1.5000000000000002</v>
      </c>
      <c r="Q144" s="7">
        <f t="shared" si="11"/>
        <v>8</v>
      </c>
      <c r="R144" s="6">
        <f t="shared" si="12"/>
        <v>423.77600000000001</v>
      </c>
      <c r="S144" s="6">
        <f t="shared" si="14"/>
        <v>2.8316846591999997E-2</v>
      </c>
      <c r="T144" t="str">
        <f t="shared" si="13"/>
        <v>Angelim Pedra Rough Sawn 1.5x8 Long</v>
      </c>
    </row>
    <row r="145" spans="1:20" x14ac:dyDescent="0.25">
      <c r="A145" t="s">
        <v>436</v>
      </c>
      <c r="B145" t="s">
        <v>455</v>
      </c>
      <c r="C145" t="s">
        <v>283</v>
      </c>
      <c r="D145" t="s">
        <v>438</v>
      </c>
      <c r="E145" t="s">
        <v>461</v>
      </c>
      <c r="F145" t="s">
        <v>457</v>
      </c>
      <c r="G145" t="s">
        <v>441</v>
      </c>
      <c r="H145" t="s">
        <v>288</v>
      </c>
      <c r="I145" t="s">
        <v>289</v>
      </c>
      <c r="J145" t="s">
        <v>458</v>
      </c>
      <c r="K145">
        <v>13</v>
      </c>
      <c r="L145" s="6">
        <v>3.9624000000000001</v>
      </c>
      <c r="M145" s="7">
        <v>38.1</v>
      </c>
      <c r="N145" s="7">
        <v>203.2</v>
      </c>
      <c r="O145" s="7">
        <f t="shared" si="10"/>
        <v>156</v>
      </c>
      <c r="P145" s="7">
        <f t="shared" si="11"/>
        <v>1.5000000000000002</v>
      </c>
      <c r="Q145" s="7">
        <f t="shared" si="11"/>
        <v>8</v>
      </c>
      <c r="R145" s="6">
        <f t="shared" si="12"/>
        <v>423.77600000000001</v>
      </c>
      <c r="S145" s="6">
        <f t="shared" si="14"/>
        <v>3.0676583808000001E-2</v>
      </c>
      <c r="T145" t="str">
        <f t="shared" si="13"/>
        <v>Angelim Pedra Rough Sawn 1.5x8 Long</v>
      </c>
    </row>
    <row r="146" spans="1:20" x14ac:dyDescent="0.25">
      <c r="A146" t="s">
        <v>436</v>
      </c>
      <c r="B146" t="s">
        <v>455</v>
      </c>
      <c r="C146" t="s">
        <v>283</v>
      </c>
      <c r="D146" t="s">
        <v>438</v>
      </c>
      <c r="E146" t="s">
        <v>462</v>
      </c>
      <c r="F146" t="s">
        <v>457</v>
      </c>
      <c r="G146" t="s">
        <v>441</v>
      </c>
      <c r="H146" t="s">
        <v>288</v>
      </c>
      <c r="I146" t="s">
        <v>289</v>
      </c>
      <c r="J146" t="s">
        <v>458</v>
      </c>
      <c r="K146">
        <v>14</v>
      </c>
      <c r="L146" s="6">
        <v>4.2671999999999999</v>
      </c>
      <c r="M146" s="7">
        <v>38.1</v>
      </c>
      <c r="N146" s="7">
        <v>203.2</v>
      </c>
      <c r="O146" s="7">
        <f t="shared" si="10"/>
        <v>168</v>
      </c>
      <c r="P146" s="7">
        <f t="shared" si="11"/>
        <v>1.5000000000000002</v>
      </c>
      <c r="Q146" s="7">
        <f t="shared" si="11"/>
        <v>8</v>
      </c>
      <c r="R146" s="6">
        <f t="shared" si="12"/>
        <v>423.77600000000001</v>
      </c>
      <c r="S146" s="6">
        <f t="shared" si="14"/>
        <v>3.3036321023999997E-2</v>
      </c>
      <c r="T146" t="str">
        <f t="shared" si="13"/>
        <v>Angelim Pedra Rough Sawn 1.5x8 Long</v>
      </c>
    </row>
    <row r="147" spans="1:20" x14ac:dyDescent="0.25">
      <c r="A147" t="s">
        <v>436</v>
      </c>
      <c r="B147" t="s">
        <v>455</v>
      </c>
      <c r="C147" t="s">
        <v>283</v>
      </c>
      <c r="D147" t="s">
        <v>438</v>
      </c>
      <c r="E147" t="s">
        <v>463</v>
      </c>
      <c r="F147" t="s">
        <v>457</v>
      </c>
      <c r="G147" t="s">
        <v>441</v>
      </c>
      <c r="H147" t="s">
        <v>288</v>
      </c>
      <c r="I147" t="s">
        <v>289</v>
      </c>
      <c r="J147" t="s">
        <v>458</v>
      </c>
      <c r="K147">
        <v>15</v>
      </c>
      <c r="L147" s="6">
        <v>4.5720000000000001</v>
      </c>
      <c r="M147" s="7">
        <v>38.1</v>
      </c>
      <c r="N147" s="7">
        <v>203.2</v>
      </c>
      <c r="O147" s="7">
        <f t="shared" si="10"/>
        <v>180</v>
      </c>
      <c r="P147" s="7">
        <f t="shared" si="11"/>
        <v>1.5000000000000002</v>
      </c>
      <c r="Q147" s="7">
        <f t="shared" si="11"/>
        <v>8</v>
      </c>
      <c r="R147" s="6">
        <f t="shared" si="12"/>
        <v>423.77600000000001</v>
      </c>
      <c r="S147" s="6">
        <f t="shared" si="14"/>
        <v>3.539605824E-2</v>
      </c>
      <c r="T147" t="str">
        <f t="shared" si="13"/>
        <v>Angelim Pedra Rough Sawn 1.5x8 Long</v>
      </c>
    </row>
    <row r="148" spans="1:20" x14ac:dyDescent="0.25">
      <c r="A148" t="s">
        <v>436</v>
      </c>
      <c r="B148" t="s">
        <v>455</v>
      </c>
      <c r="C148" t="s">
        <v>283</v>
      </c>
      <c r="D148" t="s">
        <v>438</v>
      </c>
      <c r="E148" t="s">
        <v>464</v>
      </c>
      <c r="F148" t="s">
        <v>457</v>
      </c>
      <c r="G148" t="s">
        <v>441</v>
      </c>
      <c r="H148" t="s">
        <v>288</v>
      </c>
      <c r="I148" t="s">
        <v>289</v>
      </c>
      <c r="J148" t="s">
        <v>458</v>
      </c>
      <c r="K148">
        <v>16</v>
      </c>
      <c r="L148" s="6">
        <v>4.8768000000000002</v>
      </c>
      <c r="M148" s="7">
        <v>38.1</v>
      </c>
      <c r="N148" s="7">
        <v>203.2</v>
      </c>
      <c r="O148" s="7">
        <f t="shared" si="10"/>
        <v>192.00000000000003</v>
      </c>
      <c r="P148" s="7">
        <f t="shared" si="11"/>
        <v>1.5000000000000002</v>
      </c>
      <c r="Q148" s="7">
        <f t="shared" si="11"/>
        <v>8</v>
      </c>
      <c r="R148" s="6">
        <f t="shared" si="12"/>
        <v>423.77600000000001</v>
      </c>
      <c r="S148" s="6">
        <f t="shared" si="14"/>
        <v>3.7755795456000003E-2</v>
      </c>
      <c r="T148" t="str">
        <f t="shared" si="13"/>
        <v>Angelim Pedra Rough Sawn 1.5x8 Long</v>
      </c>
    </row>
    <row r="149" spans="1:20" x14ac:dyDescent="0.25">
      <c r="A149" t="s">
        <v>436</v>
      </c>
      <c r="B149" t="s">
        <v>455</v>
      </c>
      <c r="C149" t="s">
        <v>283</v>
      </c>
      <c r="D149" t="s">
        <v>438</v>
      </c>
      <c r="E149" t="s">
        <v>465</v>
      </c>
      <c r="F149" t="s">
        <v>457</v>
      </c>
      <c r="G149" t="s">
        <v>441</v>
      </c>
      <c r="H149" t="s">
        <v>288</v>
      </c>
      <c r="I149" t="s">
        <v>289</v>
      </c>
      <c r="J149" t="s">
        <v>458</v>
      </c>
      <c r="K149">
        <v>17</v>
      </c>
      <c r="L149" s="6">
        <v>5.1816000000000004</v>
      </c>
      <c r="M149" s="7">
        <v>38.1</v>
      </c>
      <c r="N149" s="7">
        <v>203.2</v>
      </c>
      <c r="O149" s="7">
        <f t="shared" si="10"/>
        <v>204.00000000000003</v>
      </c>
      <c r="P149" s="7">
        <f t="shared" si="11"/>
        <v>1.5000000000000002</v>
      </c>
      <c r="Q149" s="7">
        <f t="shared" si="11"/>
        <v>8</v>
      </c>
      <c r="R149" s="6">
        <f t="shared" si="12"/>
        <v>423.77600000000001</v>
      </c>
      <c r="S149" s="6">
        <f t="shared" si="14"/>
        <v>4.0115532672000007E-2</v>
      </c>
      <c r="T149" t="str">
        <f t="shared" si="13"/>
        <v>Angelim Pedra Rough Sawn 1.5x8 Long</v>
      </c>
    </row>
    <row r="150" spans="1:20" x14ac:dyDescent="0.25">
      <c r="A150" t="s">
        <v>436</v>
      </c>
      <c r="B150" t="s">
        <v>455</v>
      </c>
      <c r="C150" t="s">
        <v>283</v>
      </c>
      <c r="D150" t="s">
        <v>438</v>
      </c>
      <c r="E150" t="s">
        <v>466</v>
      </c>
      <c r="F150" t="s">
        <v>457</v>
      </c>
      <c r="G150" t="s">
        <v>441</v>
      </c>
      <c r="H150" t="s">
        <v>288</v>
      </c>
      <c r="I150" t="s">
        <v>289</v>
      </c>
      <c r="J150" t="s">
        <v>458</v>
      </c>
      <c r="K150">
        <v>18</v>
      </c>
      <c r="L150" s="6">
        <v>5.4863999999999997</v>
      </c>
      <c r="M150" s="7">
        <v>38.1</v>
      </c>
      <c r="N150" s="7">
        <v>203.2</v>
      </c>
      <c r="O150" s="7">
        <f t="shared" si="10"/>
        <v>216</v>
      </c>
      <c r="P150" s="7">
        <f t="shared" si="11"/>
        <v>1.5000000000000002</v>
      </c>
      <c r="Q150" s="7">
        <f t="shared" si="11"/>
        <v>8</v>
      </c>
      <c r="R150" s="6">
        <f t="shared" si="12"/>
        <v>423.77600000000001</v>
      </c>
      <c r="S150" s="6">
        <f t="shared" si="14"/>
        <v>4.2475269888000003E-2</v>
      </c>
      <c r="T150" t="str">
        <f t="shared" si="13"/>
        <v>Angelim Pedra Rough Sawn 1.5x8 Long</v>
      </c>
    </row>
    <row r="151" spans="1:20" x14ac:dyDescent="0.25">
      <c r="A151" t="s">
        <v>436</v>
      </c>
      <c r="B151" t="s">
        <v>455</v>
      </c>
      <c r="C151" t="s">
        <v>283</v>
      </c>
      <c r="D151" t="s">
        <v>438</v>
      </c>
      <c r="E151" t="s">
        <v>467</v>
      </c>
      <c r="F151" t="s">
        <v>457</v>
      </c>
      <c r="G151" t="s">
        <v>441</v>
      </c>
      <c r="H151" t="s">
        <v>288</v>
      </c>
      <c r="I151" t="s">
        <v>289</v>
      </c>
      <c r="J151" t="s">
        <v>458</v>
      </c>
      <c r="K151">
        <v>19</v>
      </c>
      <c r="L151" s="6">
        <v>5.7911999999999999</v>
      </c>
      <c r="M151" s="7">
        <v>38.1</v>
      </c>
      <c r="N151" s="7">
        <v>203.2</v>
      </c>
      <c r="O151" s="7">
        <f t="shared" si="10"/>
        <v>228</v>
      </c>
      <c r="P151" s="7">
        <f t="shared" si="11"/>
        <v>1.5000000000000002</v>
      </c>
      <c r="Q151" s="7">
        <f t="shared" si="11"/>
        <v>8</v>
      </c>
      <c r="R151" s="6">
        <f t="shared" si="12"/>
        <v>423.77600000000001</v>
      </c>
      <c r="S151" s="6">
        <f t="shared" si="14"/>
        <v>4.4835007103999999E-2</v>
      </c>
      <c r="T151" t="str">
        <f t="shared" si="13"/>
        <v>Angelim Pedra Rough Sawn 1.5x8 Long</v>
      </c>
    </row>
    <row r="152" spans="1:20" x14ac:dyDescent="0.25">
      <c r="A152" t="s">
        <v>436</v>
      </c>
      <c r="B152" t="s">
        <v>455</v>
      </c>
      <c r="C152" t="s">
        <v>283</v>
      </c>
      <c r="D152" t="s">
        <v>438</v>
      </c>
      <c r="E152" t="s">
        <v>468</v>
      </c>
      <c r="F152" t="s">
        <v>457</v>
      </c>
      <c r="G152" t="s">
        <v>441</v>
      </c>
      <c r="H152" t="s">
        <v>288</v>
      </c>
      <c r="I152" t="s">
        <v>289</v>
      </c>
      <c r="J152" t="s">
        <v>458</v>
      </c>
      <c r="K152">
        <v>20</v>
      </c>
      <c r="L152" s="6">
        <v>6.0960000000000001</v>
      </c>
      <c r="M152" s="7">
        <v>38.1</v>
      </c>
      <c r="N152" s="7">
        <v>203.2</v>
      </c>
      <c r="O152" s="7">
        <f t="shared" si="10"/>
        <v>240</v>
      </c>
      <c r="P152" s="7">
        <f t="shared" si="11"/>
        <v>1.5000000000000002</v>
      </c>
      <c r="Q152" s="7">
        <f t="shared" si="11"/>
        <v>8</v>
      </c>
      <c r="R152" s="6">
        <f t="shared" si="12"/>
        <v>423.77600000000001</v>
      </c>
      <c r="S152" s="6">
        <f t="shared" si="14"/>
        <v>4.7194744320000002E-2</v>
      </c>
      <c r="T152" t="str">
        <f t="shared" si="13"/>
        <v>Angelim Pedra Rough Sawn 1.5x8 Long</v>
      </c>
    </row>
    <row r="153" spans="1:20" x14ac:dyDescent="0.25">
      <c r="A153" t="s">
        <v>436</v>
      </c>
      <c r="B153" t="s">
        <v>455</v>
      </c>
      <c r="C153" t="s">
        <v>283</v>
      </c>
      <c r="D153" t="s">
        <v>438</v>
      </c>
      <c r="E153" t="s">
        <v>469</v>
      </c>
      <c r="F153" t="s">
        <v>457</v>
      </c>
      <c r="G153" t="s">
        <v>441</v>
      </c>
      <c r="H153" t="s">
        <v>288</v>
      </c>
      <c r="I153" t="s">
        <v>289</v>
      </c>
      <c r="J153" t="s">
        <v>458</v>
      </c>
      <c r="K153">
        <v>21</v>
      </c>
      <c r="L153" s="6">
        <v>6.4008000000000003</v>
      </c>
      <c r="M153" s="7">
        <v>38.1</v>
      </c>
      <c r="N153" s="7">
        <v>203.2</v>
      </c>
      <c r="O153" s="7">
        <f t="shared" si="10"/>
        <v>252.00000000000003</v>
      </c>
      <c r="P153" s="7">
        <f t="shared" si="11"/>
        <v>1.5000000000000002</v>
      </c>
      <c r="Q153" s="7">
        <f t="shared" si="11"/>
        <v>8</v>
      </c>
      <c r="R153" s="6">
        <f t="shared" si="12"/>
        <v>423.77600000000001</v>
      </c>
      <c r="S153" s="6">
        <f t="shared" si="14"/>
        <v>4.9554481536000006E-2</v>
      </c>
      <c r="T153" t="str">
        <f t="shared" si="13"/>
        <v>Angelim Pedra Rough Sawn 1.5x8 Long</v>
      </c>
    </row>
    <row r="154" spans="1:20" x14ac:dyDescent="0.25">
      <c r="A154" t="s">
        <v>436</v>
      </c>
      <c r="B154" t="s">
        <v>455</v>
      </c>
      <c r="C154" t="s">
        <v>283</v>
      </c>
      <c r="D154" t="s">
        <v>438</v>
      </c>
      <c r="E154" t="s">
        <v>470</v>
      </c>
      <c r="F154" t="s">
        <v>457</v>
      </c>
      <c r="G154" t="s">
        <v>441</v>
      </c>
      <c r="H154" t="s">
        <v>288</v>
      </c>
      <c r="I154" t="s">
        <v>289</v>
      </c>
      <c r="J154" t="s">
        <v>458</v>
      </c>
      <c r="K154">
        <v>22</v>
      </c>
      <c r="L154" s="6">
        <v>6.7055999999999996</v>
      </c>
      <c r="M154" s="7">
        <v>38.1</v>
      </c>
      <c r="N154" s="7">
        <v>203.2</v>
      </c>
      <c r="O154" s="7">
        <f t="shared" si="10"/>
        <v>264</v>
      </c>
      <c r="P154" s="7">
        <f t="shared" si="11"/>
        <v>1.5000000000000002</v>
      </c>
      <c r="Q154" s="7">
        <f t="shared" si="11"/>
        <v>8</v>
      </c>
      <c r="R154" s="6">
        <f t="shared" si="12"/>
        <v>423.77600000000001</v>
      </c>
      <c r="S154" s="6">
        <f t="shared" si="14"/>
        <v>5.1914218751999995E-2</v>
      </c>
      <c r="T154" t="str">
        <f t="shared" si="13"/>
        <v>Angelim Pedra Rough Sawn 1.5x8 Long</v>
      </c>
    </row>
    <row r="155" spans="1:20" x14ac:dyDescent="0.25">
      <c r="A155" t="s">
        <v>436</v>
      </c>
      <c r="B155" t="s">
        <v>455</v>
      </c>
      <c r="C155" t="s">
        <v>283</v>
      </c>
      <c r="D155" t="s">
        <v>438</v>
      </c>
      <c r="E155" t="s">
        <v>471</v>
      </c>
      <c r="F155" t="s">
        <v>457</v>
      </c>
      <c r="G155" t="s">
        <v>441</v>
      </c>
      <c r="H155" t="s">
        <v>288</v>
      </c>
      <c r="I155" t="s">
        <v>289</v>
      </c>
      <c r="J155" t="s">
        <v>458</v>
      </c>
      <c r="K155">
        <v>9</v>
      </c>
      <c r="L155" s="6">
        <v>2.7431999999999999</v>
      </c>
      <c r="M155" s="7">
        <v>38.1</v>
      </c>
      <c r="N155" s="7">
        <v>203.2</v>
      </c>
      <c r="O155" s="7">
        <f t="shared" si="10"/>
        <v>108</v>
      </c>
      <c r="P155" s="7">
        <f t="shared" si="11"/>
        <v>1.5000000000000002</v>
      </c>
      <c r="Q155" s="7">
        <f t="shared" si="11"/>
        <v>8</v>
      </c>
      <c r="R155" s="6">
        <f t="shared" si="12"/>
        <v>423.77600000000001</v>
      </c>
      <c r="S155" s="6">
        <f t="shared" si="14"/>
        <v>2.1237634944000001E-2</v>
      </c>
      <c r="T155" t="str">
        <f t="shared" si="13"/>
        <v>Angelim Pedra Rough Sawn 1.5x8 Long</v>
      </c>
    </row>
    <row r="156" spans="1:20" x14ac:dyDescent="0.25">
      <c r="A156" t="s">
        <v>436</v>
      </c>
      <c r="B156" t="s">
        <v>472</v>
      </c>
      <c r="C156" t="s">
        <v>283</v>
      </c>
      <c r="D156" t="s">
        <v>438</v>
      </c>
      <c r="E156" t="s">
        <v>473</v>
      </c>
      <c r="F156" t="s">
        <v>474</v>
      </c>
      <c r="G156" t="s">
        <v>441</v>
      </c>
      <c r="H156" t="s">
        <v>288</v>
      </c>
      <c r="I156" t="s">
        <v>289</v>
      </c>
      <c r="J156" t="s">
        <v>475</v>
      </c>
      <c r="K156">
        <v>10</v>
      </c>
      <c r="L156" s="6">
        <v>3.048</v>
      </c>
      <c r="M156" s="7">
        <v>50.8</v>
      </c>
      <c r="N156" s="7">
        <v>152.4</v>
      </c>
      <c r="O156" s="7">
        <f t="shared" si="10"/>
        <v>120</v>
      </c>
      <c r="P156" s="7">
        <f t="shared" si="11"/>
        <v>2</v>
      </c>
      <c r="Q156" s="7">
        <f t="shared" si="11"/>
        <v>6.0000000000000009</v>
      </c>
      <c r="R156" s="6">
        <f t="shared" si="12"/>
        <v>423.77600000000001</v>
      </c>
      <c r="S156" s="6">
        <f t="shared" si="14"/>
        <v>2.3597372160000001E-2</v>
      </c>
      <c r="T156" t="str">
        <f t="shared" si="13"/>
        <v>Angelim Pedra Rough Sawn 2x6 A Long</v>
      </c>
    </row>
    <row r="157" spans="1:20" x14ac:dyDescent="0.25">
      <c r="A157" t="s">
        <v>436</v>
      </c>
      <c r="B157" t="s">
        <v>472</v>
      </c>
      <c r="C157" t="s">
        <v>283</v>
      </c>
      <c r="D157" t="s">
        <v>438</v>
      </c>
      <c r="E157" t="s">
        <v>476</v>
      </c>
      <c r="F157" t="s">
        <v>474</v>
      </c>
      <c r="G157" t="s">
        <v>441</v>
      </c>
      <c r="H157" t="s">
        <v>288</v>
      </c>
      <c r="I157" t="s">
        <v>289</v>
      </c>
      <c r="J157" t="s">
        <v>475</v>
      </c>
      <c r="K157">
        <v>11</v>
      </c>
      <c r="L157" s="6">
        <v>3.3527999999999998</v>
      </c>
      <c r="M157" s="7">
        <v>50.8</v>
      </c>
      <c r="N157" s="7">
        <v>152.4</v>
      </c>
      <c r="O157" s="7">
        <f t="shared" si="10"/>
        <v>132</v>
      </c>
      <c r="P157" s="7">
        <f t="shared" si="11"/>
        <v>2</v>
      </c>
      <c r="Q157" s="7">
        <f t="shared" si="11"/>
        <v>6.0000000000000009</v>
      </c>
      <c r="R157" s="6">
        <f t="shared" si="12"/>
        <v>423.77600000000001</v>
      </c>
      <c r="S157" s="6">
        <f t="shared" si="14"/>
        <v>2.5957109375999994E-2</v>
      </c>
      <c r="T157" t="str">
        <f t="shared" si="13"/>
        <v>Angelim Pedra Rough Sawn 2x6 A Long</v>
      </c>
    </row>
    <row r="158" spans="1:20" x14ac:dyDescent="0.25">
      <c r="A158" t="s">
        <v>436</v>
      </c>
      <c r="B158" t="s">
        <v>472</v>
      </c>
      <c r="C158" t="s">
        <v>283</v>
      </c>
      <c r="D158" t="s">
        <v>438</v>
      </c>
      <c r="E158" t="s">
        <v>477</v>
      </c>
      <c r="F158" t="s">
        <v>474</v>
      </c>
      <c r="G158" t="s">
        <v>441</v>
      </c>
      <c r="H158" t="s">
        <v>288</v>
      </c>
      <c r="I158" t="s">
        <v>289</v>
      </c>
      <c r="J158" t="s">
        <v>475</v>
      </c>
      <c r="K158">
        <v>12</v>
      </c>
      <c r="L158" s="6">
        <v>3.6576</v>
      </c>
      <c r="M158" s="7">
        <v>50.8</v>
      </c>
      <c r="N158" s="7">
        <v>152.4</v>
      </c>
      <c r="O158" s="7">
        <f t="shared" si="10"/>
        <v>144</v>
      </c>
      <c r="P158" s="7">
        <f t="shared" si="11"/>
        <v>2</v>
      </c>
      <c r="Q158" s="7">
        <f t="shared" si="11"/>
        <v>6.0000000000000009</v>
      </c>
      <c r="R158" s="6">
        <f t="shared" si="12"/>
        <v>423.77600000000001</v>
      </c>
      <c r="S158" s="6">
        <f t="shared" si="14"/>
        <v>2.8316846591999997E-2</v>
      </c>
      <c r="T158" t="str">
        <f t="shared" si="13"/>
        <v>Angelim Pedra Rough Sawn 2x6 A Long</v>
      </c>
    </row>
    <row r="159" spans="1:20" x14ac:dyDescent="0.25">
      <c r="A159" t="s">
        <v>436</v>
      </c>
      <c r="B159" t="s">
        <v>472</v>
      </c>
      <c r="C159" t="s">
        <v>283</v>
      </c>
      <c r="D159" t="s">
        <v>438</v>
      </c>
      <c r="E159" t="s">
        <v>478</v>
      </c>
      <c r="F159" t="s">
        <v>474</v>
      </c>
      <c r="G159" t="s">
        <v>441</v>
      </c>
      <c r="H159" t="s">
        <v>288</v>
      </c>
      <c r="I159" t="s">
        <v>289</v>
      </c>
      <c r="J159" t="s">
        <v>475</v>
      </c>
      <c r="K159">
        <v>13</v>
      </c>
      <c r="L159" s="6">
        <v>3.9624000000000001</v>
      </c>
      <c r="M159" s="7">
        <v>50.8</v>
      </c>
      <c r="N159" s="7">
        <v>152.4</v>
      </c>
      <c r="O159" s="7">
        <f t="shared" si="10"/>
        <v>156</v>
      </c>
      <c r="P159" s="7">
        <f t="shared" si="11"/>
        <v>2</v>
      </c>
      <c r="Q159" s="7">
        <f t="shared" si="11"/>
        <v>6.0000000000000009</v>
      </c>
      <c r="R159" s="6">
        <f t="shared" si="12"/>
        <v>423.77600000000001</v>
      </c>
      <c r="S159" s="6">
        <f t="shared" si="14"/>
        <v>3.0676583808000001E-2</v>
      </c>
      <c r="T159" t="str">
        <f t="shared" si="13"/>
        <v>Angelim Pedra Rough Sawn 2x6 A Long</v>
      </c>
    </row>
    <row r="160" spans="1:20" x14ac:dyDescent="0.25">
      <c r="A160" t="s">
        <v>436</v>
      </c>
      <c r="B160" t="s">
        <v>472</v>
      </c>
      <c r="C160" t="s">
        <v>283</v>
      </c>
      <c r="D160" t="s">
        <v>438</v>
      </c>
      <c r="E160" t="s">
        <v>479</v>
      </c>
      <c r="F160" t="s">
        <v>474</v>
      </c>
      <c r="G160" t="s">
        <v>441</v>
      </c>
      <c r="H160" t="s">
        <v>288</v>
      </c>
      <c r="I160" t="s">
        <v>289</v>
      </c>
      <c r="J160" t="s">
        <v>475</v>
      </c>
      <c r="K160">
        <v>14</v>
      </c>
      <c r="L160" s="6">
        <v>4.2671999999999999</v>
      </c>
      <c r="M160" s="7">
        <v>50.8</v>
      </c>
      <c r="N160" s="7">
        <v>152.4</v>
      </c>
      <c r="O160" s="7">
        <f t="shared" si="10"/>
        <v>168</v>
      </c>
      <c r="P160" s="7">
        <f t="shared" si="11"/>
        <v>2</v>
      </c>
      <c r="Q160" s="7">
        <f t="shared" si="11"/>
        <v>6.0000000000000009</v>
      </c>
      <c r="R160" s="6">
        <f t="shared" si="12"/>
        <v>423.77600000000001</v>
      </c>
      <c r="S160" s="6">
        <f t="shared" si="14"/>
        <v>3.3036321023999997E-2</v>
      </c>
      <c r="T160" t="str">
        <f t="shared" si="13"/>
        <v>Angelim Pedra Rough Sawn 2x6 A Long</v>
      </c>
    </row>
    <row r="161" spans="1:20" x14ac:dyDescent="0.25">
      <c r="A161" t="s">
        <v>436</v>
      </c>
      <c r="B161" t="s">
        <v>472</v>
      </c>
      <c r="C161" t="s">
        <v>283</v>
      </c>
      <c r="D161" t="s">
        <v>438</v>
      </c>
      <c r="E161" t="s">
        <v>480</v>
      </c>
      <c r="F161" t="s">
        <v>474</v>
      </c>
      <c r="G161" t="s">
        <v>441</v>
      </c>
      <c r="H161" t="s">
        <v>288</v>
      </c>
      <c r="I161" t="s">
        <v>289</v>
      </c>
      <c r="J161" t="s">
        <v>475</v>
      </c>
      <c r="K161">
        <v>15</v>
      </c>
      <c r="L161" s="6">
        <v>4.5720000000000001</v>
      </c>
      <c r="M161" s="7">
        <v>50.8</v>
      </c>
      <c r="N161" s="7">
        <v>152.4</v>
      </c>
      <c r="O161" s="7">
        <f t="shared" si="10"/>
        <v>180</v>
      </c>
      <c r="P161" s="7">
        <f t="shared" si="11"/>
        <v>2</v>
      </c>
      <c r="Q161" s="7">
        <f t="shared" si="11"/>
        <v>6.0000000000000009</v>
      </c>
      <c r="R161" s="6">
        <f t="shared" si="12"/>
        <v>423.77600000000001</v>
      </c>
      <c r="S161" s="6">
        <f t="shared" si="14"/>
        <v>3.539605824E-2</v>
      </c>
      <c r="T161" t="str">
        <f t="shared" si="13"/>
        <v>Angelim Pedra Rough Sawn 2x6 A Long</v>
      </c>
    </row>
    <row r="162" spans="1:20" x14ac:dyDescent="0.25">
      <c r="A162" t="s">
        <v>436</v>
      </c>
      <c r="B162" t="s">
        <v>472</v>
      </c>
      <c r="C162" t="s">
        <v>283</v>
      </c>
      <c r="D162" t="s">
        <v>438</v>
      </c>
      <c r="E162" t="s">
        <v>481</v>
      </c>
      <c r="F162" t="s">
        <v>474</v>
      </c>
      <c r="G162" t="s">
        <v>441</v>
      </c>
      <c r="H162" t="s">
        <v>288</v>
      </c>
      <c r="I162" t="s">
        <v>289</v>
      </c>
      <c r="J162" t="s">
        <v>475</v>
      </c>
      <c r="K162">
        <v>16</v>
      </c>
      <c r="L162" s="6">
        <v>4.8768000000000002</v>
      </c>
      <c r="M162" s="7">
        <v>50.8</v>
      </c>
      <c r="N162" s="7">
        <v>152.4</v>
      </c>
      <c r="O162" s="7">
        <f t="shared" si="10"/>
        <v>192.00000000000003</v>
      </c>
      <c r="P162" s="7">
        <f t="shared" si="11"/>
        <v>2</v>
      </c>
      <c r="Q162" s="7">
        <f t="shared" si="11"/>
        <v>6.0000000000000009</v>
      </c>
      <c r="R162" s="6">
        <f t="shared" si="12"/>
        <v>423.77600000000001</v>
      </c>
      <c r="S162" s="6">
        <f t="shared" si="14"/>
        <v>3.7755795456000003E-2</v>
      </c>
      <c r="T162" t="str">
        <f t="shared" si="13"/>
        <v>Angelim Pedra Rough Sawn 2x6 A Long</v>
      </c>
    </row>
    <row r="163" spans="1:20" x14ac:dyDescent="0.25">
      <c r="A163" t="s">
        <v>436</v>
      </c>
      <c r="B163" t="s">
        <v>472</v>
      </c>
      <c r="C163" t="s">
        <v>283</v>
      </c>
      <c r="D163" t="s">
        <v>438</v>
      </c>
      <c r="E163" t="s">
        <v>482</v>
      </c>
      <c r="F163" t="s">
        <v>474</v>
      </c>
      <c r="G163" t="s">
        <v>441</v>
      </c>
      <c r="H163" t="s">
        <v>288</v>
      </c>
      <c r="I163" t="s">
        <v>289</v>
      </c>
      <c r="J163" t="s">
        <v>475</v>
      </c>
      <c r="K163">
        <v>17</v>
      </c>
      <c r="L163" s="6">
        <v>5.1816000000000004</v>
      </c>
      <c r="M163" s="7">
        <v>50.8</v>
      </c>
      <c r="N163" s="7">
        <v>152.4</v>
      </c>
      <c r="O163" s="7">
        <f t="shared" si="10"/>
        <v>204.00000000000003</v>
      </c>
      <c r="P163" s="7">
        <f t="shared" si="11"/>
        <v>2</v>
      </c>
      <c r="Q163" s="7">
        <f t="shared" si="11"/>
        <v>6.0000000000000009</v>
      </c>
      <c r="R163" s="6">
        <f t="shared" si="12"/>
        <v>423.77600000000001</v>
      </c>
      <c r="S163" s="6">
        <f t="shared" si="14"/>
        <v>4.0115532672E-2</v>
      </c>
      <c r="T163" t="str">
        <f t="shared" si="13"/>
        <v>Angelim Pedra Rough Sawn 2x6 A Long</v>
      </c>
    </row>
    <row r="164" spans="1:20" x14ac:dyDescent="0.25">
      <c r="A164" t="s">
        <v>436</v>
      </c>
      <c r="B164" t="s">
        <v>472</v>
      </c>
      <c r="C164" t="s">
        <v>283</v>
      </c>
      <c r="D164" t="s">
        <v>438</v>
      </c>
      <c r="E164" t="s">
        <v>483</v>
      </c>
      <c r="F164" t="s">
        <v>474</v>
      </c>
      <c r="G164" t="s">
        <v>441</v>
      </c>
      <c r="H164" t="s">
        <v>288</v>
      </c>
      <c r="I164" t="s">
        <v>289</v>
      </c>
      <c r="J164" t="s">
        <v>475</v>
      </c>
      <c r="K164">
        <v>18</v>
      </c>
      <c r="L164" s="6">
        <v>5.4863999999999997</v>
      </c>
      <c r="M164" s="7">
        <v>50.8</v>
      </c>
      <c r="N164" s="7">
        <v>152.4</v>
      </c>
      <c r="O164" s="7">
        <f t="shared" si="10"/>
        <v>216</v>
      </c>
      <c r="P164" s="7">
        <f t="shared" si="11"/>
        <v>2</v>
      </c>
      <c r="Q164" s="7">
        <f t="shared" si="11"/>
        <v>6.0000000000000009</v>
      </c>
      <c r="R164" s="6">
        <f t="shared" si="12"/>
        <v>423.77600000000001</v>
      </c>
      <c r="S164" s="6">
        <f t="shared" si="14"/>
        <v>4.2475269888000003E-2</v>
      </c>
      <c r="T164" t="str">
        <f t="shared" si="13"/>
        <v>Angelim Pedra Rough Sawn 2x6 A Long</v>
      </c>
    </row>
    <row r="165" spans="1:20" x14ac:dyDescent="0.25">
      <c r="A165" t="s">
        <v>436</v>
      </c>
      <c r="B165" t="s">
        <v>472</v>
      </c>
      <c r="C165" t="s">
        <v>283</v>
      </c>
      <c r="D165" t="s">
        <v>438</v>
      </c>
      <c r="E165" t="s">
        <v>484</v>
      </c>
      <c r="F165" t="s">
        <v>474</v>
      </c>
      <c r="G165" t="s">
        <v>441</v>
      </c>
      <c r="H165" t="s">
        <v>288</v>
      </c>
      <c r="I165" t="s">
        <v>289</v>
      </c>
      <c r="J165" t="s">
        <v>475</v>
      </c>
      <c r="K165">
        <v>19</v>
      </c>
      <c r="L165" s="6">
        <v>5.7911999999999999</v>
      </c>
      <c r="M165" s="7">
        <v>50.8</v>
      </c>
      <c r="N165" s="7">
        <v>152.4</v>
      </c>
      <c r="O165" s="7">
        <f t="shared" si="10"/>
        <v>228</v>
      </c>
      <c r="P165" s="7">
        <f t="shared" si="11"/>
        <v>2</v>
      </c>
      <c r="Q165" s="7">
        <f t="shared" si="11"/>
        <v>6.0000000000000009</v>
      </c>
      <c r="R165" s="6">
        <f t="shared" si="12"/>
        <v>423.77600000000001</v>
      </c>
      <c r="S165" s="6">
        <f t="shared" si="14"/>
        <v>4.4835007103999992E-2</v>
      </c>
      <c r="T165" t="str">
        <f t="shared" si="13"/>
        <v>Angelim Pedra Rough Sawn 2x6 A Long</v>
      </c>
    </row>
    <row r="166" spans="1:20" x14ac:dyDescent="0.25">
      <c r="A166" t="s">
        <v>436</v>
      </c>
      <c r="B166" t="s">
        <v>472</v>
      </c>
      <c r="C166" t="s">
        <v>283</v>
      </c>
      <c r="D166" t="s">
        <v>438</v>
      </c>
      <c r="E166" t="s">
        <v>485</v>
      </c>
      <c r="F166" t="s">
        <v>474</v>
      </c>
      <c r="G166" t="s">
        <v>441</v>
      </c>
      <c r="H166" t="s">
        <v>288</v>
      </c>
      <c r="I166" t="s">
        <v>289</v>
      </c>
      <c r="J166" t="s">
        <v>475</v>
      </c>
      <c r="K166">
        <v>20</v>
      </c>
      <c r="L166" s="6">
        <v>6.0960000000000001</v>
      </c>
      <c r="M166" s="7">
        <v>50.8</v>
      </c>
      <c r="N166" s="7">
        <v>152.4</v>
      </c>
      <c r="O166" s="7">
        <f t="shared" si="10"/>
        <v>240</v>
      </c>
      <c r="P166" s="7">
        <f t="shared" si="11"/>
        <v>2</v>
      </c>
      <c r="Q166" s="7">
        <f t="shared" si="11"/>
        <v>6.0000000000000009</v>
      </c>
      <c r="R166" s="6">
        <f t="shared" si="12"/>
        <v>423.77600000000001</v>
      </c>
      <c r="S166" s="6">
        <f t="shared" si="14"/>
        <v>4.7194744320000002E-2</v>
      </c>
      <c r="T166" t="str">
        <f t="shared" si="13"/>
        <v>Angelim Pedra Rough Sawn 2x6 A Long</v>
      </c>
    </row>
    <row r="167" spans="1:20" x14ac:dyDescent="0.25">
      <c r="A167" t="s">
        <v>436</v>
      </c>
      <c r="B167" t="s">
        <v>472</v>
      </c>
      <c r="C167" t="s">
        <v>283</v>
      </c>
      <c r="D167" t="s">
        <v>438</v>
      </c>
      <c r="E167" t="s">
        <v>486</v>
      </c>
      <c r="F167" t="s">
        <v>474</v>
      </c>
      <c r="G167" t="s">
        <v>441</v>
      </c>
      <c r="H167" t="s">
        <v>288</v>
      </c>
      <c r="I167" t="s">
        <v>289</v>
      </c>
      <c r="J167" t="s">
        <v>475</v>
      </c>
      <c r="K167">
        <v>21</v>
      </c>
      <c r="L167" s="6">
        <v>6.4008000000000003</v>
      </c>
      <c r="M167" s="7">
        <v>50.8</v>
      </c>
      <c r="N167" s="7">
        <v>152.4</v>
      </c>
      <c r="O167" s="7">
        <f t="shared" si="10"/>
        <v>252.00000000000003</v>
      </c>
      <c r="P167" s="7">
        <f t="shared" si="11"/>
        <v>2</v>
      </c>
      <c r="Q167" s="7">
        <f t="shared" si="11"/>
        <v>6.0000000000000009</v>
      </c>
      <c r="R167" s="6">
        <f t="shared" si="12"/>
        <v>423.77600000000001</v>
      </c>
      <c r="S167" s="6">
        <f t="shared" si="14"/>
        <v>4.9554481536000006E-2</v>
      </c>
      <c r="T167" t="str">
        <f t="shared" si="13"/>
        <v>Angelim Pedra Rough Sawn 2x6 A Long</v>
      </c>
    </row>
    <row r="168" spans="1:20" x14ac:dyDescent="0.25">
      <c r="A168" t="s">
        <v>436</v>
      </c>
      <c r="B168" t="s">
        <v>472</v>
      </c>
      <c r="C168" t="s">
        <v>283</v>
      </c>
      <c r="D168" t="s">
        <v>438</v>
      </c>
      <c r="E168" t="s">
        <v>487</v>
      </c>
      <c r="F168" t="s">
        <v>474</v>
      </c>
      <c r="G168" t="s">
        <v>441</v>
      </c>
      <c r="H168" t="s">
        <v>288</v>
      </c>
      <c r="I168" t="s">
        <v>289</v>
      </c>
      <c r="J168" t="s">
        <v>475</v>
      </c>
      <c r="K168">
        <v>22</v>
      </c>
      <c r="L168" s="6">
        <v>6.7055999999999996</v>
      </c>
      <c r="M168" s="7">
        <v>50.8</v>
      </c>
      <c r="N168" s="7">
        <v>152.4</v>
      </c>
      <c r="O168" s="7">
        <f t="shared" si="10"/>
        <v>264</v>
      </c>
      <c r="P168" s="7">
        <f t="shared" si="11"/>
        <v>2</v>
      </c>
      <c r="Q168" s="7">
        <f t="shared" si="11"/>
        <v>6.0000000000000009</v>
      </c>
      <c r="R168" s="6">
        <f t="shared" si="12"/>
        <v>423.77600000000001</v>
      </c>
      <c r="S168" s="6">
        <f t="shared" si="14"/>
        <v>5.1914218751999988E-2</v>
      </c>
      <c r="T168" t="str">
        <f t="shared" si="13"/>
        <v>Angelim Pedra Rough Sawn 2x6 A Long</v>
      </c>
    </row>
    <row r="169" spans="1:20" x14ac:dyDescent="0.25">
      <c r="A169" t="s">
        <v>436</v>
      </c>
      <c r="B169" t="s">
        <v>472</v>
      </c>
      <c r="C169" t="s">
        <v>283</v>
      </c>
      <c r="D169" t="s">
        <v>438</v>
      </c>
      <c r="E169" t="s">
        <v>488</v>
      </c>
      <c r="F169" t="s">
        <v>474</v>
      </c>
      <c r="G169" t="s">
        <v>441</v>
      </c>
      <c r="H169" t="s">
        <v>288</v>
      </c>
      <c r="I169" t="s">
        <v>289</v>
      </c>
      <c r="J169" t="s">
        <v>475</v>
      </c>
      <c r="K169">
        <v>23</v>
      </c>
      <c r="L169" s="6">
        <v>7.0103999999999997</v>
      </c>
      <c r="M169" s="7">
        <v>50.8</v>
      </c>
      <c r="N169" s="7">
        <v>152.4</v>
      </c>
      <c r="O169" s="7">
        <f t="shared" si="10"/>
        <v>276</v>
      </c>
      <c r="P169" s="7">
        <f t="shared" si="11"/>
        <v>2</v>
      </c>
      <c r="Q169" s="7">
        <f t="shared" si="11"/>
        <v>6.0000000000000009</v>
      </c>
      <c r="R169" s="6">
        <f t="shared" si="12"/>
        <v>423.77600000000001</v>
      </c>
      <c r="S169" s="6">
        <f t="shared" si="14"/>
        <v>5.4273955968000005E-2</v>
      </c>
      <c r="T169" t="str">
        <f t="shared" si="13"/>
        <v>Angelim Pedra Rough Sawn 2x6 A Long</v>
      </c>
    </row>
    <row r="170" spans="1:20" x14ac:dyDescent="0.25">
      <c r="A170" t="s">
        <v>436</v>
      </c>
      <c r="B170" t="s">
        <v>489</v>
      </c>
      <c r="C170" t="s">
        <v>283</v>
      </c>
      <c r="D170" t="s">
        <v>438</v>
      </c>
      <c r="E170" t="s">
        <v>490</v>
      </c>
      <c r="F170" t="s">
        <v>491</v>
      </c>
      <c r="G170" t="s">
        <v>441</v>
      </c>
      <c r="H170" t="s">
        <v>288</v>
      </c>
      <c r="I170" t="s">
        <v>289</v>
      </c>
      <c r="J170" t="s">
        <v>492</v>
      </c>
      <c r="K170">
        <v>10</v>
      </c>
      <c r="L170" s="6">
        <v>3.048</v>
      </c>
      <c r="M170" s="7">
        <v>50.8</v>
      </c>
      <c r="N170" s="7">
        <v>203.2</v>
      </c>
      <c r="O170" s="7">
        <f t="shared" si="10"/>
        <v>120</v>
      </c>
      <c r="P170" s="7">
        <f t="shared" si="11"/>
        <v>2</v>
      </c>
      <c r="Q170" s="7">
        <f t="shared" si="11"/>
        <v>8</v>
      </c>
      <c r="R170" s="6">
        <f t="shared" si="12"/>
        <v>317.83199999999999</v>
      </c>
      <c r="S170" s="6">
        <f t="shared" si="14"/>
        <v>3.1463162879999999E-2</v>
      </c>
      <c r="T170" t="str">
        <f t="shared" si="13"/>
        <v>Angelim Pedra Rough Sawn 2x8 A Long</v>
      </c>
    </row>
    <row r="171" spans="1:20" x14ac:dyDescent="0.25">
      <c r="A171" t="s">
        <v>436</v>
      </c>
      <c r="B171" t="s">
        <v>489</v>
      </c>
      <c r="C171" t="s">
        <v>283</v>
      </c>
      <c r="D171" t="s">
        <v>438</v>
      </c>
      <c r="E171" t="s">
        <v>493</v>
      </c>
      <c r="F171" t="s">
        <v>491</v>
      </c>
      <c r="G171" t="s">
        <v>441</v>
      </c>
      <c r="H171" t="s">
        <v>288</v>
      </c>
      <c r="I171" t="s">
        <v>289</v>
      </c>
      <c r="J171" t="s">
        <v>492</v>
      </c>
      <c r="K171">
        <v>11</v>
      </c>
      <c r="L171" s="6">
        <v>3.3527999999999998</v>
      </c>
      <c r="M171" s="7">
        <v>50.8</v>
      </c>
      <c r="N171" s="7">
        <v>203.2</v>
      </c>
      <c r="O171" s="7">
        <f t="shared" si="10"/>
        <v>132</v>
      </c>
      <c r="P171" s="7">
        <f t="shared" si="11"/>
        <v>2</v>
      </c>
      <c r="Q171" s="7">
        <f t="shared" si="11"/>
        <v>8</v>
      </c>
      <c r="R171" s="6">
        <f t="shared" si="12"/>
        <v>317.83199999999999</v>
      </c>
      <c r="S171" s="6">
        <f t="shared" si="14"/>
        <v>3.4609479167999994E-2</v>
      </c>
      <c r="T171" t="str">
        <f t="shared" si="13"/>
        <v>Angelim Pedra Rough Sawn 2x8 A Long</v>
      </c>
    </row>
    <row r="172" spans="1:20" x14ac:dyDescent="0.25">
      <c r="A172" t="s">
        <v>436</v>
      </c>
      <c r="B172" t="s">
        <v>489</v>
      </c>
      <c r="C172" t="s">
        <v>283</v>
      </c>
      <c r="D172" t="s">
        <v>438</v>
      </c>
      <c r="E172" t="s">
        <v>494</v>
      </c>
      <c r="F172" t="s">
        <v>491</v>
      </c>
      <c r="G172" t="s">
        <v>441</v>
      </c>
      <c r="H172" t="s">
        <v>288</v>
      </c>
      <c r="I172" t="s">
        <v>289</v>
      </c>
      <c r="J172" t="s">
        <v>492</v>
      </c>
      <c r="K172">
        <v>12</v>
      </c>
      <c r="L172" s="6">
        <v>3.6576</v>
      </c>
      <c r="M172" s="7">
        <v>50.8</v>
      </c>
      <c r="N172" s="7">
        <v>203.2</v>
      </c>
      <c r="O172" s="7">
        <f t="shared" si="10"/>
        <v>144</v>
      </c>
      <c r="P172" s="7">
        <f t="shared" si="11"/>
        <v>2</v>
      </c>
      <c r="Q172" s="7">
        <f t="shared" si="11"/>
        <v>8</v>
      </c>
      <c r="R172" s="6">
        <f t="shared" si="12"/>
        <v>317.83199999999999</v>
      </c>
      <c r="S172" s="6">
        <f t="shared" si="14"/>
        <v>3.7755795455999996E-2</v>
      </c>
      <c r="T172" t="str">
        <f t="shared" si="13"/>
        <v>Angelim Pedra Rough Sawn 2x8 A Long</v>
      </c>
    </row>
    <row r="173" spans="1:20" x14ac:dyDescent="0.25">
      <c r="A173" t="s">
        <v>436</v>
      </c>
      <c r="B173" t="s">
        <v>489</v>
      </c>
      <c r="C173" t="s">
        <v>283</v>
      </c>
      <c r="D173" t="s">
        <v>438</v>
      </c>
      <c r="E173" t="s">
        <v>495</v>
      </c>
      <c r="F173" t="s">
        <v>491</v>
      </c>
      <c r="G173" t="s">
        <v>441</v>
      </c>
      <c r="H173" t="s">
        <v>288</v>
      </c>
      <c r="I173" t="s">
        <v>289</v>
      </c>
      <c r="J173" t="s">
        <v>492</v>
      </c>
      <c r="K173">
        <v>13</v>
      </c>
      <c r="L173" s="6">
        <v>3.9624000000000001</v>
      </c>
      <c r="M173" s="7">
        <v>50.8</v>
      </c>
      <c r="N173" s="7">
        <v>203.2</v>
      </c>
      <c r="O173" s="7">
        <f t="shared" si="10"/>
        <v>156</v>
      </c>
      <c r="P173" s="7">
        <f t="shared" si="11"/>
        <v>2</v>
      </c>
      <c r="Q173" s="7">
        <f t="shared" si="11"/>
        <v>8</v>
      </c>
      <c r="R173" s="6">
        <f t="shared" si="12"/>
        <v>317.83199999999999</v>
      </c>
      <c r="S173" s="6">
        <f t="shared" si="14"/>
        <v>4.0902111743999998E-2</v>
      </c>
      <c r="T173" t="str">
        <f t="shared" si="13"/>
        <v>Angelim Pedra Rough Sawn 2x8 A Long</v>
      </c>
    </row>
    <row r="174" spans="1:20" x14ac:dyDescent="0.25">
      <c r="A174" t="s">
        <v>436</v>
      </c>
      <c r="B174" t="s">
        <v>489</v>
      </c>
      <c r="C174" t="s">
        <v>283</v>
      </c>
      <c r="D174" t="s">
        <v>438</v>
      </c>
      <c r="E174" t="s">
        <v>496</v>
      </c>
      <c r="F174" t="s">
        <v>491</v>
      </c>
      <c r="G174" t="s">
        <v>441</v>
      </c>
      <c r="H174" t="s">
        <v>288</v>
      </c>
      <c r="I174" t="s">
        <v>289</v>
      </c>
      <c r="J174" t="s">
        <v>492</v>
      </c>
      <c r="K174">
        <v>14</v>
      </c>
      <c r="L174" s="6">
        <v>4.2671999999999999</v>
      </c>
      <c r="M174" s="7">
        <v>50.8</v>
      </c>
      <c r="N174" s="7">
        <v>203.2</v>
      </c>
      <c r="O174" s="7">
        <f t="shared" si="10"/>
        <v>168</v>
      </c>
      <c r="P174" s="7">
        <f t="shared" si="11"/>
        <v>2</v>
      </c>
      <c r="Q174" s="7">
        <f t="shared" si="11"/>
        <v>8</v>
      </c>
      <c r="R174" s="6">
        <f t="shared" si="12"/>
        <v>317.83199999999999</v>
      </c>
      <c r="S174" s="6">
        <f t="shared" si="14"/>
        <v>4.4048428031999994E-2</v>
      </c>
      <c r="T174" t="str">
        <f t="shared" si="13"/>
        <v>Angelim Pedra Rough Sawn 2x8 A Long</v>
      </c>
    </row>
    <row r="175" spans="1:20" x14ac:dyDescent="0.25">
      <c r="A175" t="s">
        <v>436</v>
      </c>
      <c r="B175" t="s">
        <v>489</v>
      </c>
      <c r="C175" t="s">
        <v>283</v>
      </c>
      <c r="D175" t="s">
        <v>438</v>
      </c>
      <c r="E175" t="s">
        <v>497</v>
      </c>
      <c r="F175" t="s">
        <v>491</v>
      </c>
      <c r="G175" t="s">
        <v>441</v>
      </c>
      <c r="H175" t="s">
        <v>288</v>
      </c>
      <c r="I175" t="s">
        <v>289</v>
      </c>
      <c r="J175" t="s">
        <v>492</v>
      </c>
      <c r="K175">
        <v>15</v>
      </c>
      <c r="L175" s="6">
        <v>4.5720000000000001</v>
      </c>
      <c r="M175" s="7">
        <v>50.8</v>
      </c>
      <c r="N175" s="7">
        <v>203.2</v>
      </c>
      <c r="O175" s="7">
        <f t="shared" si="10"/>
        <v>180</v>
      </c>
      <c r="P175" s="7">
        <f t="shared" si="11"/>
        <v>2</v>
      </c>
      <c r="Q175" s="7">
        <f t="shared" si="11"/>
        <v>8</v>
      </c>
      <c r="R175" s="6">
        <f t="shared" si="12"/>
        <v>317.83199999999999</v>
      </c>
      <c r="S175" s="6">
        <f t="shared" si="14"/>
        <v>4.7194744319999996E-2</v>
      </c>
      <c r="T175" t="str">
        <f t="shared" si="13"/>
        <v>Angelim Pedra Rough Sawn 2x8 A Long</v>
      </c>
    </row>
    <row r="176" spans="1:20" x14ac:dyDescent="0.25">
      <c r="A176" t="s">
        <v>436</v>
      </c>
      <c r="B176" t="s">
        <v>489</v>
      </c>
      <c r="C176" t="s">
        <v>283</v>
      </c>
      <c r="D176" t="s">
        <v>438</v>
      </c>
      <c r="E176" t="s">
        <v>498</v>
      </c>
      <c r="F176" t="s">
        <v>491</v>
      </c>
      <c r="G176" t="s">
        <v>441</v>
      </c>
      <c r="H176" t="s">
        <v>288</v>
      </c>
      <c r="I176" t="s">
        <v>289</v>
      </c>
      <c r="J176" t="s">
        <v>492</v>
      </c>
      <c r="K176">
        <v>16</v>
      </c>
      <c r="L176" s="6">
        <v>4.8768000000000002</v>
      </c>
      <c r="M176" s="7">
        <v>50.8</v>
      </c>
      <c r="N176" s="7">
        <v>203.2</v>
      </c>
      <c r="O176" s="7">
        <f t="shared" si="10"/>
        <v>192.00000000000003</v>
      </c>
      <c r="P176" s="7">
        <f t="shared" si="11"/>
        <v>2</v>
      </c>
      <c r="Q176" s="7">
        <f t="shared" si="11"/>
        <v>8</v>
      </c>
      <c r="R176" s="6">
        <f t="shared" si="12"/>
        <v>317.83199999999999</v>
      </c>
      <c r="S176" s="6">
        <f t="shared" si="14"/>
        <v>5.0341060607999998E-2</v>
      </c>
      <c r="T176" t="str">
        <f t="shared" si="13"/>
        <v>Angelim Pedra Rough Sawn 2x8 A Long</v>
      </c>
    </row>
    <row r="177" spans="1:20" x14ac:dyDescent="0.25">
      <c r="A177" t="s">
        <v>436</v>
      </c>
      <c r="B177" t="s">
        <v>489</v>
      </c>
      <c r="C177" t="s">
        <v>283</v>
      </c>
      <c r="D177" t="s">
        <v>438</v>
      </c>
      <c r="E177" t="s">
        <v>499</v>
      </c>
      <c r="F177" t="s">
        <v>491</v>
      </c>
      <c r="G177" t="s">
        <v>441</v>
      </c>
      <c r="H177" t="s">
        <v>288</v>
      </c>
      <c r="I177" t="s">
        <v>289</v>
      </c>
      <c r="J177" t="s">
        <v>492</v>
      </c>
      <c r="K177">
        <v>17</v>
      </c>
      <c r="L177" s="6">
        <v>5.1816000000000004</v>
      </c>
      <c r="M177" s="7">
        <v>50.8</v>
      </c>
      <c r="N177" s="7">
        <v>203.2</v>
      </c>
      <c r="O177" s="7">
        <f t="shared" si="10"/>
        <v>204.00000000000003</v>
      </c>
      <c r="P177" s="7">
        <f t="shared" si="11"/>
        <v>2</v>
      </c>
      <c r="Q177" s="7">
        <f t="shared" si="11"/>
        <v>8</v>
      </c>
      <c r="R177" s="6">
        <f t="shared" si="12"/>
        <v>317.83199999999999</v>
      </c>
      <c r="S177" s="6">
        <f t="shared" si="14"/>
        <v>5.3487376896E-2</v>
      </c>
      <c r="T177" t="str">
        <f t="shared" si="13"/>
        <v>Angelim Pedra Rough Sawn 2x8 A Long</v>
      </c>
    </row>
    <row r="178" spans="1:20" x14ac:dyDescent="0.25">
      <c r="A178" t="s">
        <v>436</v>
      </c>
      <c r="B178" t="s">
        <v>489</v>
      </c>
      <c r="C178" t="s">
        <v>283</v>
      </c>
      <c r="D178" t="s">
        <v>438</v>
      </c>
      <c r="E178" t="s">
        <v>500</v>
      </c>
      <c r="F178" t="s">
        <v>491</v>
      </c>
      <c r="G178" t="s">
        <v>441</v>
      </c>
      <c r="H178" t="s">
        <v>288</v>
      </c>
      <c r="I178" t="s">
        <v>289</v>
      </c>
      <c r="J178" t="s">
        <v>492</v>
      </c>
      <c r="K178">
        <v>18</v>
      </c>
      <c r="L178" s="6">
        <v>5.4863999999999997</v>
      </c>
      <c r="M178" s="7">
        <v>50.8</v>
      </c>
      <c r="N178" s="7">
        <v>203.2</v>
      </c>
      <c r="O178" s="7">
        <f t="shared" si="10"/>
        <v>216</v>
      </c>
      <c r="P178" s="7">
        <f t="shared" si="11"/>
        <v>2</v>
      </c>
      <c r="Q178" s="7">
        <f t="shared" si="11"/>
        <v>8</v>
      </c>
      <c r="R178" s="6">
        <f t="shared" si="12"/>
        <v>317.83199999999999</v>
      </c>
      <c r="S178" s="6">
        <f t="shared" si="14"/>
        <v>5.6633693183999995E-2</v>
      </c>
      <c r="T178" t="str">
        <f t="shared" si="13"/>
        <v>Angelim Pedra Rough Sawn 2x8 A Long</v>
      </c>
    </row>
    <row r="179" spans="1:20" x14ac:dyDescent="0.25">
      <c r="A179" t="s">
        <v>436</v>
      </c>
      <c r="B179" t="s">
        <v>489</v>
      </c>
      <c r="C179" t="s">
        <v>283</v>
      </c>
      <c r="D179" t="s">
        <v>438</v>
      </c>
      <c r="E179" t="s">
        <v>501</v>
      </c>
      <c r="F179" t="s">
        <v>491</v>
      </c>
      <c r="G179" t="s">
        <v>441</v>
      </c>
      <c r="H179" t="s">
        <v>288</v>
      </c>
      <c r="I179" t="s">
        <v>289</v>
      </c>
      <c r="J179" t="s">
        <v>492</v>
      </c>
      <c r="K179">
        <v>19</v>
      </c>
      <c r="L179" s="6">
        <v>5.7911999999999999</v>
      </c>
      <c r="M179" s="7">
        <v>50.8</v>
      </c>
      <c r="N179" s="7">
        <v>203.2</v>
      </c>
      <c r="O179" s="7">
        <f t="shared" si="10"/>
        <v>228</v>
      </c>
      <c r="P179" s="7">
        <f t="shared" si="11"/>
        <v>2</v>
      </c>
      <c r="Q179" s="7">
        <f t="shared" si="11"/>
        <v>8</v>
      </c>
      <c r="R179" s="6">
        <f t="shared" si="12"/>
        <v>317.83199999999999</v>
      </c>
      <c r="S179" s="6">
        <f t="shared" si="14"/>
        <v>5.978000947199999E-2</v>
      </c>
      <c r="T179" t="str">
        <f t="shared" si="13"/>
        <v>Angelim Pedra Rough Sawn 2x8 A Long</v>
      </c>
    </row>
    <row r="180" spans="1:20" x14ac:dyDescent="0.25">
      <c r="A180" t="s">
        <v>436</v>
      </c>
      <c r="B180" t="s">
        <v>489</v>
      </c>
      <c r="C180" t="s">
        <v>283</v>
      </c>
      <c r="D180" t="s">
        <v>438</v>
      </c>
      <c r="E180" t="s">
        <v>502</v>
      </c>
      <c r="F180" t="s">
        <v>491</v>
      </c>
      <c r="G180" t="s">
        <v>441</v>
      </c>
      <c r="H180" t="s">
        <v>288</v>
      </c>
      <c r="I180" t="s">
        <v>289</v>
      </c>
      <c r="J180" t="s">
        <v>492</v>
      </c>
      <c r="K180">
        <v>20</v>
      </c>
      <c r="L180" s="6">
        <v>6.0960000000000001</v>
      </c>
      <c r="M180" s="7">
        <v>50.8</v>
      </c>
      <c r="N180" s="7">
        <v>203.2</v>
      </c>
      <c r="O180" s="7">
        <f t="shared" si="10"/>
        <v>240</v>
      </c>
      <c r="P180" s="7">
        <f t="shared" si="11"/>
        <v>2</v>
      </c>
      <c r="Q180" s="7">
        <f t="shared" si="11"/>
        <v>8</v>
      </c>
      <c r="R180" s="6">
        <f t="shared" si="12"/>
        <v>317.83199999999999</v>
      </c>
      <c r="S180" s="6">
        <f t="shared" si="14"/>
        <v>6.2926325759999999E-2</v>
      </c>
      <c r="T180" t="str">
        <f t="shared" si="13"/>
        <v>Angelim Pedra Rough Sawn 2x8 A Long</v>
      </c>
    </row>
    <row r="181" spans="1:20" x14ac:dyDescent="0.25">
      <c r="A181" t="s">
        <v>436</v>
      </c>
      <c r="B181" t="s">
        <v>489</v>
      </c>
      <c r="C181" t="s">
        <v>283</v>
      </c>
      <c r="D181" t="s">
        <v>438</v>
      </c>
      <c r="E181" t="s">
        <v>503</v>
      </c>
      <c r="F181" t="s">
        <v>491</v>
      </c>
      <c r="G181" t="s">
        <v>441</v>
      </c>
      <c r="H181" t="s">
        <v>288</v>
      </c>
      <c r="I181" t="s">
        <v>289</v>
      </c>
      <c r="J181" t="s">
        <v>492</v>
      </c>
      <c r="K181">
        <v>21</v>
      </c>
      <c r="L181" s="6">
        <v>6.4008000000000003</v>
      </c>
      <c r="M181" s="7">
        <v>50.8</v>
      </c>
      <c r="N181" s="7">
        <v>203.2</v>
      </c>
      <c r="O181" s="7">
        <f t="shared" si="10"/>
        <v>252.00000000000003</v>
      </c>
      <c r="P181" s="7">
        <f t="shared" si="11"/>
        <v>2</v>
      </c>
      <c r="Q181" s="7">
        <f t="shared" si="11"/>
        <v>8</v>
      </c>
      <c r="R181" s="6">
        <f t="shared" si="12"/>
        <v>317.83199999999999</v>
      </c>
      <c r="S181" s="6">
        <f t="shared" si="14"/>
        <v>6.6072642047999994E-2</v>
      </c>
      <c r="T181" t="str">
        <f t="shared" si="13"/>
        <v>Angelim Pedra Rough Sawn 2x8 A Long</v>
      </c>
    </row>
    <row r="182" spans="1:20" x14ac:dyDescent="0.25">
      <c r="A182" t="s">
        <v>436</v>
      </c>
      <c r="B182" t="s">
        <v>489</v>
      </c>
      <c r="C182" t="s">
        <v>283</v>
      </c>
      <c r="D182" t="s">
        <v>438</v>
      </c>
      <c r="E182" t="s">
        <v>504</v>
      </c>
      <c r="F182" t="s">
        <v>491</v>
      </c>
      <c r="G182" t="s">
        <v>441</v>
      </c>
      <c r="H182" t="s">
        <v>288</v>
      </c>
      <c r="I182" t="s">
        <v>289</v>
      </c>
      <c r="J182" t="s">
        <v>492</v>
      </c>
      <c r="K182">
        <v>22</v>
      </c>
      <c r="L182" s="6">
        <v>6.7055999999999996</v>
      </c>
      <c r="M182" s="7">
        <v>50.8</v>
      </c>
      <c r="N182" s="7">
        <v>203.2</v>
      </c>
      <c r="O182" s="7">
        <f t="shared" si="10"/>
        <v>264</v>
      </c>
      <c r="P182" s="7">
        <f t="shared" si="11"/>
        <v>2</v>
      </c>
      <c r="Q182" s="7">
        <f t="shared" si="11"/>
        <v>8</v>
      </c>
      <c r="R182" s="6">
        <f t="shared" si="12"/>
        <v>317.83199999999999</v>
      </c>
      <c r="S182" s="6">
        <f t="shared" si="14"/>
        <v>6.9218958335999989E-2</v>
      </c>
      <c r="T182" t="str">
        <f t="shared" si="13"/>
        <v>Angelim Pedra Rough Sawn 2x8 A Long</v>
      </c>
    </row>
    <row r="183" spans="1:20" x14ac:dyDescent="0.25">
      <c r="A183" t="s">
        <v>436</v>
      </c>
      <c r="B183" t="s">
        <v>489</v>
      </c>
      <c r="C183" t="s">
        <v>283</v>
      </c>
      <c r="D183" t="s">
        <v>438</v>
      </c>
      <c r="E183" t="s">
        <v>505</v>
      </c>
      <c r="F183" t="s">
        <v>491</v>
      </c>
      <c r="G183" t="s">
        <v>441</v>
      </c>
      <c r="H183" t="s">
        <v>288</v>
      </c>
      <c r="I183" t="s">
        <v>289</v>
      </c>
      <c r="J183" t="s">
        <v>492</v>
      </c>
      <c r="K183">
        <v>23</v>
      </c>
      <c r="L183" s="6">
        <v>7.0103999999999997</v>
      </c>
      <c r="M183" s="7">
        <v>50.8</v>
      </c>
      <c r="N183" s="7">
        <v>203.2</v>
      </c>
      <c r="O183" s="7">
        <f t="shared" si="10"/>
        <v>276</v>
      </c>
      <c r="P183" s="7">
        <f t="shared" si="11"/>
        <v>2</v>
      </c>
      <c r="Q183" s="7">
        <f t="shared" si="11"/>
        <v>8</v>
      </c>
      <c r="R183" s="6">
        <f t="shared" si="12"/>
        <v>317.83199999999999</v>
      </c>
      <c r="S183" s="6">
        <f t="shared" si="14"/>
        <v>7.2365274623999998E-2</v>
      </c>
      <c r="T183" t="str">
        <f t="shared" si="13"/>
        <v>Angelim Pedra Rough Sawn 2x8 A Long</v>
      </c>
    </row>
    <row r="184" spans="1:20" x14ac:dyDescent="0.25">
      <c r="A184" t="s">
        <v>436</v>
      </c>
      <c r="B184" t="s">
        <v>506</v>
      </c>
      <c r="C184" t="s">
        <v>283</v>
      </c>
      <c r="D184" t="s">
        <v>438</v>
      </c>
      <c r="E184" t="s">
        <v>507</v>
      </c>
      <c r="F184" t="s">
        <v>508</v>
      </c>
      <c r="G184" t="s">
        <v>441</v>
      </c>
      <c r="H184" t="s">
        <v>373</v>
      </c>
      <c r="I184" t="s">
        <v>289</v>
      </c>
      <c r="J184" t="s">
        <v>509</v>
      </c>
      <c r="K184">
        <v>10</v>
      </c>
      <c r="L184" s="6">
        <f t="shared" ref="L184:L204" si="15">K184*0.3048</f>
        <v>3.048</v>
      </c>
      <c r="M184" s="7">
        <v>43</v>
      </c>
      <c r="N184" s="7">
        <v>68</v>
      </c>
      <c r="O184" s="7">
        <f t="shared" si="10"/>
        <v>120</v>
      </c>
      <c r="P184" s="7">
        <f t="shared" si="11"/>
        <v>1.6929133858267718</v>
      </c>
      <c r="Q184" s="7">
        <f t="shared" si="11"/>
        <v>2.6771653543307088</v>
      </c>
      <c r="R184" s="6">
        <f t="shared" si="12"/>
        <v>1122.038</v>
      </c>
      <c r="S184" s="6">
        <f t="shared" si="14"/>
        <v>8.9123519999999984E-3</v>
      </c>
      <c r="T184" t="str">
        <f t="shared" si="13"/>
        <v>Angelim Pedra S4S E4E 43x68 Long</v>
      </c>
    </row>
    <row r="185" spans="1:20" x14ac:dyDescent="0.25">
      <c r="A185" t="s">
        <v>436</v>
      </c>
      <c r="B185" t="s">
        <v>506</v>
      </c>
      <c r="C185" t="s">
        <v>283</v>
      </c>
      <c r="D185" t="s">
        <v>438</v>
      </c>
      <c r="E185" t="s">
        <v>510</v>
      </c>
      <c r="F185" t="s">
        <v>508</v>
      </c>
      <c r="G185" t="s">
        <v>441</v>
      </c>
      <c r="H185" t="s">
        <v>373</v>
      </c>
      <c r="I185" t="s">
        <v>289</v>
      </c>
      <c r="J185" t="s">
        <v>509</v>
      </c>
      <c r="K185">
        <v>11</v>
      </c>
      <c r="L185" s="6">
        <f t="shared" si="15"/>
        <v>3.3528000000000002</v>
      </c>
      <c r="M185" s="7">
        <v>43</v>
      </c>
      <c r="N185" s="7">
        <v>68</v>
      </c>
      <c r="O185" s="7">
        <f t="shared" si="10"/>
        <v>132</v>
      </c>
      <c r="P185" s="7">
        <f t="shared" si="11"/>
        <v>1.6929133858267718</v>
      </c>
      <c r="Q185" s="7">
        <f t="shared" si="11"/>
        <v>2.6771653543307088</v>
      </c>
      <c r="R185" s="6">
        <f t="shared" si="12"/>
        <v>1122.038</v>
      </c>
      <c r="S185" s="6">
        <f t="shared" si="14"/>
        <v>9.8035872000000017E-3</v>
      </c>
      <c r="T185" t="str">
        <f t="shared" si="13"/>
        <v>Angelim Pedra S4S E4E 43x68 Long</v>
      </c>
    </row>
    <row r="186" spans="1:20" x14ac:dyDescent="0.25">
      <c r="A186" t="s">
        <v>436</v>
      </c>
      <c r="B186" t="s">
        <v>506</v>
      </c>
      <c r="C186" t="s">
        <v>283</v>
      </c>
      <c r="D186" t="s">
        <v>438</v>
      </c>
      <c r="E186" t="s">
        <v>511</v>
      </c>
      <c r="F186" t="s">
        <v>508</v>
      </c>
      <c r="G186" t="s">
        <v>441</v>
      </c>
      <c r="H186" t="s">
        <v>373</v>
      </c>
      <c r="I186" t="s">
        <v>289</v>
      </c>
      <c r="J186" t="s">
        <v>509</v>
      </c>
      <c r="K186">
        <v>12</v>
      </c>
      <c r="L186" s="6">
        <f t="shared" si="15"/>
        <v>3.6576000000000004</v>
      </c>
      <c r="M186" s="7">
        <v>43</v>
      </c>
      <c r="N186" s="7">
        <v>68</v>
      </c>
      <c r="O186" s="7">
        <f t="shared" si="10"/>
        <v>144.00000000000003</v>
      </c>
      <c r="P186" s="7">
        <f t="shared" si="11"/>
        <v>1.6929133858267718</v>
      </c>
      <c r="Q186" s="7">
        <f t="shared" si="11"/>
        <v>2.6771653543307088</v>
      </c>
      <c r="R186" s="6">
        <f t="shared" si="12"/>
        <v>1122.038</v>
      </c>
      <c r="S186" s="6">
        <f t="shared" si="14"/>
        <v>1.0694822400000002E-2</v>
      </c>
      <c r="T186" t="str">
        <f t="shared" si="13"/>
        <v>Angelim Pedra S4S E4E 43x68 Long</v>
      </c>
    </row>
    <row r="187" spans="1:20" x14ac:dyDescent="0.25">
      <c r="A187" t="s">
        <v>436</v>
      </c>
      <c r="B187" t="s">
        <v>506</v>
      </c>
      <c r="C187" t="s">
        <v>283</v>
      </c>
      <c r="D187" t="s">
        <v>438</v>
      </c>
      <c r="E187" t="s">
        <v>512</v>
      </c>
      <c r="F187" t="s">
        <v>508</v>
      </c>
      <c r="G187" t="s">
        <v>441</v>
      </c>
      <c r="H187" t="s">
        <v>373</v>
      </c>
      <c r="I187" t="s">
        <v>289</v>
      </c>
      <c r="J187" t="s">
        <v>509</v>
      </c>
      <c r="K187">
        <v>13</v>
      </c>
      <c r="L187" s="6">
        <f t="shared" si="15"/>
        <v>3.9624000000000001</v>
      </c>
      <c r="M187" s="7">
        <v>43</v>
      </c>
      <c r="N187" s="7">
        <v>68</v>
      </c>
      <c r="O187" s="7">
        <f t="shared" si="10"/>
        <v>156</v>
      </c>
      <c r="P187" s="7">
        <f t="shared" si="11"/>
        <v>1.6929133858267718</v>
      </c>
      <c r="Q187" s="7">
        <f t="shared" si="11"/>
        <v>2.6771653543307088</v>
      </c>
      <c r="R187" s="6">
        <f t="shared" si="12"/>
        <v>1122.038</v>
      </c>
      <c r="S187" s="6">
        <f t="shared" si="14"/>
        <v>1.15860576E-2</v>
      </c>
      <c r="T187" t="str">
        <f t="shared" si="13"/>
        <v>Angelim Pedra S4S E4E 43x68 Long</v>
      </c>
    </row>
    <row r="188" spans="1:20" x14ac:dyDescent="0.25">
      <c r="A188" t="s">
        <v>436</v>
      </c>
      <c r="B188" t="s">
        <v>506</v>
      </c>
      <c r="C188" t="s">
        <v>283</v>
      </c>
      <c r="D188" t="s">
        <v>438</v>
      </c>
      <c r="E188" t="s">
        <v>513</v>
      </c>
      <c r="F188" t="s">
        <v>508</v>
      </c>
      <c r="G188" t="s">
        <v>441</v>
      </c>
      <c r="H188" t="s">
        <v>373</v>
      </c>
      <c r="I188" t="s">
        <v>289</v>
      </c>
      <c r="J188" t="s">
        <v>509</v>
      </c>
      <c r="K188">
        <v>14</v>
      </c>
      <c r="L188" s="6">
        <f t="shared" si="15"/>
        <v>4.2671999999999999</v>
      </c>
      <c r="M188" s="7">
        <v>43</v>
      </c>
      <c r="N188" s="7">
        <v>68</v>
      </c>
      <c r="O188" s="7">
        <f t="shared" si="10"/>
        <v>168</v>
      </c>
      <c r="P188" s="7">
        <f t="shared" si="11"/>
        <v>1.6929133858267718</v>
      </c>
      <c r="Q188" s="7">
        <f t="shared" si="11"/>
        <v>2.6771653543307088</v>
      </c>
      <c r="R188" s="6">
        <f t="shared" si="12"/>
        <v>1122.038</v>
      </c>
      <c r="S188" s="6">
        <f t="shared" si="14"/>
        <v>1.2477292800000001E-2</v>
      </c>
      <c r="T188" t="str">
        <f t="shared" si="13"/>
        <v>Angelim Pedra S4S E4E 43x68 Long</v>
      </c>
    </row>
    <row r="189" spans="1:20" x14ac:dyDescent="0.25">
      <c r="A189" t="s">
        <v>436</v>
      </c>
      <c r="B189" t="s">
        <v>506</v>
      </c>
      <c r="C189" t="s">
        <v>283</v>
      </c>
      <c r="D189" t="s">
        <v>438</v>
      </c>
      <c r="E189" t="s">
        <v>514</v>
      </c>
      <c r="F189" t="s">
        <v>508</v>
      </c>
      <c r="G189" t="s">
        <v>441</v>
      </c>
      <c r="H189" t="s">
        <v>373</v>
      </c>
      <c r="I189" t="s">
        <v>289</v>
      </c>
      <c r="J189" t="s">
        <v>509</v>
      </c>
      <c r="K189">
        <v>15</v>
      </c>
      <c r="L189" s="6">
        <f t="shared" si="15"/>
        <v>4.5720000000000001</v>
      </c>
      <c r="M189" s="7">
        <v>43</v>
      </c>
      <c r="N189" s="7">
        <v>68</v>
      </c>
      <c r="O189" s="7">
        <f t="shared" si="10"/>
        <v>180</v>
      </c>
      <c r="P189" s="7">
        <f t="shared" si="11"/>
        <v>1.6929133858267718</v>
      </c>
      <c r="Q189" s="7">
        <f t="shared" si="11"/>
        <v>2.6771653543307088</v>
      </c>
      <c r="R189" s="6">
        <f t="shared" si="12"/>
        <v>1122.038</v>
      </c>
      <c r="S189" s="6">
        <f t="shared" si="14"/>
        <v>1.3368527999999999E-2</v>
      </c>
      <c r="T189" t="str">
        <f t="shared" si="13"/>
        <v>Angelim Pedra S4S E4E 43x68 Long</v>
      </c>
    </row>
    <row r="190" spans="1:20" x14ac:dyDescent="0.25">
      <c r="A190" t="s">
        <v>436</v>
      </c>
      <c r="B190" t="s">
        <v>506</v>
      </c>
      <c r="C190" t="s">
        <v>283</v>
      </c>
      <c r="D190" t="s">
        <v>438</v>
      </c>
      <c r="E190" t="s">
        <v>515</v>
      </c>
      <c r="F190" t="s">
        <v>508</v>
      </c>
      <c r="G190" t="s">
        <v>441</v>
      </c>
      <c r="H190" t="s">
        <v>373</v>
      </c>
      <c r="I190" t="s">
        <v>289</v>
      </c>
      <c r="J190" t="s">
        <v>509</v>
      </c>
      <c r="K190">
        <v>16</v>
      </c>
      <c r="L190" s="6">
        <f t="shared" si="15"/>
        <v>4.8768000000000002</v>
      </c>
      <c r="M190" s="7">
        <v>43</v>
      </c>
      <c r="N190" s="7">
        <v>68</v>
      </c>
      <c r="O190" s="7">
        <f t="shared" si="10"/>
        <v>192.00000000000003</v>
      </c>
      <c r="P190" s="7">
        <f t="shared" si="11"/>
        <v>1.6929133858267718</v>
      </c>
      <c r="Q190" s="7">
        <f t="shared" si="11"/>
        <v>2.6771653543307088</v>
      </c>
      <c r="R190" s="6">
        <f t="shared" si="12"/>
        <v>1122.038</v>
      </c>
      <c r="S190" s="6">
        <f t="shared" si="14"/>
        <v>1.4259763200000001E-2</v>
      </c>
      <c r="T190" t="str">
        <f t="shared" si="13"/>
        <v>Angelim Pedra S4S E4E 43x68 Long</v>
      </c>
    </row>
    <row r="191" spans="1:20" x14ac:dyDescent="0.25">
      <c r="A191" t="s">
        <v>436</v>
      </c>
      <c r="B191" t="s">
        <v>506</v>
      </c>
      <c r="C191" t="s">
        <v>283</v>
      </c>
      <c r="D191" t="s">
        <v>438</v>
      </c>
      <c r="E191" t="s">
        <v>516</v>
      </c>
      <c r="F191" t="s">
        <v>508</v>
      </c>
      <c r="G191" t="s">
        <v>441</v>
      </c>
      <c r="H191" t="s">
        <v>373</v>
      </c>
      <c r="I191" t="s">
        <v>289</v>
      </c>
      <c r="J191" t="s">
        <v>509</v>
      </c>
      <c r="K191">
        <v>17</v>
      </c>
      <c r="L191" s="6">
        <f t="shared" si="15"/>
        <v>5.1816000000000004</v>
      </c>
      <c r="M191" s="7">
        <v>43</v>
      </c>
      <c r="N191" s="7">
        <v>68</v>
      </c>
      <c r="O191" s="7">
        <f t="shared" si="10"/>
        <v>204.00000000000003</v>
      </c>
      <c r="P191" s="7">
        <f t="shared" si="11"/>
        <v>1.6929133858267718</v>
      </c>
      <c r="Q191" s="7">
        <f t="shared" si="11"/>
        <v>2.6771653543307088</v>
      </c>
      <c r="R191" s="6">
        <f t="shared" si="12"/>
        <v>1122.038</v>
      </c>
      <c r="S191" s="6">
        <f t="shared" si="14"/>
        <v>1.5150998400000002E-2</v>
      </c>
      <c r="T191" t="str">
        <f t="shared" si="13"/>
        <v>Angelim Pedra S4S E4E 43x68 Long</v>
      </c>
    </row>
    <row r="192" spans="1:20" x14ac:dyDescent="0.25">
      <c r="A192" t="s">
        <v>436</v>
      </c>
      <c r="B192" t="s">
        <v>506</v>
      </c>
      <c r="C192" t="s">
        <v>283</v>
      </c>
      <c r="D192" t="s">
        <v>438</v>
      </c>
      <c r="E192" t="s">
        <v>517</v>
      </c>
      <c r="F192" t="s">
        <v>508</v>
      </c>
      <c r="G192" t="s">
        <v>441</v>
      </c>
      <c r="H192" t="s">
        <v>373</v>
      </c>
      <c r="I192" t="s">
        <v>289</v>
      </c>
      <c r="J192" t="s">
        <v>509</v>
      </c>
      <c r="K192">
        <v>18</v>
      </c>
      <c r="L192" s="6">
        <f t="shared" si="15"/>
        <v>5.4864000000000006</v>
      </c>
      <c r="M192" s="7">
        <v>43</v>
      </c>
      <c r="N192" s="7">
        <v>68</v>
      </c>
      <c r="O192" s="7">
        <f t="shared" si="10"/>
        <v>216.00000000000003</v>
      </c>
      <c r="P192" s="7">
        <f t="shared" si="11"/>
        <v>1.6929133858267718</v>
      </c>
      <c r="Q192" s="7">
        <f t="shared" si="11"/>
        <v>2.6771653543307088</v>
      </c>
      <c r="R192" s="6">
        <f t="shared" si="12"/>
        <v>1122.038</v>
      </c>
      <c r="S192" s="6">
        <f t="shared" si="14"/>
        <v>1.6042233600000004E-2</v>
      </c>
      <c r="T192" t="str">
        <f t="shared" si="13"/>
        <v>Angelim Pedra S4S E4E 43x68 Long</v>
      </c>
    </row>
    <row r="193" spans="1:20" x14ac:dyDescent="0.25">
      <c r="A193" t="s">
        <v>436</v>
      </c>
      <c r="B193" t="s">
        <v>506</v>
      </c>
      <c r="C193" t="s">
        <v>283</v>
      </c>
      <c r="D193" t="s">
        <v>438</v>
      </c>
      <c r="E193" t="s">
        <v>518</v>
      </c>
      <c r="F193" t="s">
        <v>508</v>
      </c>
      <c r="G193" t="s">
        <v>441</v>
      </c>
      <c r="H193" t="s">
        <v>373</v>
      </c>
      <c r="I193" t="s">
        <v>289</v>
      </c>
      <c r="J193" t="s">
        <v>509</v>
      </c>
      <c r="K193">
        <v>19</v>
      </c>
      <c r="L193" s="6">
        <f t="shared" si="15"/>
        <v>5.7911999999999999</v>
      </c>
      <c r="M193" s="7">
        <v>43</v>
      </c>
      <c r="N193" s="7">
        <v>68</v>
      </c>
      <c r="O193" s="7">
        <f t="shared" si="10"/>
        <v>228</v>
      </c>
      <c r="P193" s="7">
        <f t="shared" si="11"/>
        <v>1.6929133858267718</v>
      </c>
      <c r="Q193" s="7">
        <f t="shared" si="11"/>
        <v>2.6771653543307088</v>
      </c>
      <c r="R193" s="6">
        <f t="shared" si="12"/>
        <v>1122.038</v>
      </c>
      <c r="S193" s="6">
        <f t="shared" si="14"/>
        <v>1.69334688E-2</v>
      </c>
      <c r="T193" t="str">
        <f t="shared" si="13"/>
        <v>Angelim Pedra S4S E4E 43x68 Long</v>
      </c>
    </row>
    <row r="194" spans="1:20" x14ac:dyDescent="0.25">
      <c r="A194" t="s">
        <v>436</v>
      </c>
      <c r="B194" t="s">
        <v>506</v>
      </c>
      <c r="C194" t="s">
        <v>283</v>
      </c>
      <c r="D194" t="s">
        <v>438</v>
      </c>
      <c r="E194" t="s">
        <v>519</v>
      </c>
      <c r="F194" t="s">
        <v>508</v>
      </c>
      <c r="G194" t="s">
        <v>441</v>
      </c>
      <c r="H194" t="s">
        <v>373</v>
      </c>
      <c r="I194" t="s">
        <v>289</v>
      </c>
      <c r="J194" t="s">
        <v>509</v>
      </c>
      <c r="K194">
        <v>20</v>
      </c>
      <c r="L194" s="6">
        <f t="shared" si="15"/>
        <v>6.0960000000000001</v>
      </c>
      <c r="M194" s="7">
        <v>43</v>
      </c>
      <c r="N194" s="7">
        <v>68</v>
      </c>
      <c r="O194" s="7">
        <f t="shared" ref="O194:O257" si="16">L194/0.0254</f>
        <v>240</v>
      </c>
      <c r="P194" s="7">
        <f t="shared" ref="P194:Q257" si="17">M194/25.4</f>
        <v>1.6929133858267718</v>
      </c>
      <c r="Q194" s="7">
        <f t="shared" si="17"/>
        <v>2.6771653543307088</v>
      </c>
      <c r="R194" s="6">
        <f t="shared" ref="R194:R257" si="18">ROUND(IFERROR(1/((M194*N194*0.3048)/1000000),0),3)</f>
        <v>1122.038</v>
      </c>
      <c r="S194" s="6">
        <f t="shared" si="14"/>
        <v>1.7824703999999997E-2</v>
      </c>
      <c r="T194" t="str">
        <f t="shared" ref="T194:T257" si="19">F194&amp;" "&amp;C194</f>
        <v>Angelim Pedra S4S E4E 43x68 Long</v>
      </c>
    </row>
    <row r="195" spans="1:20" x14ac:dyDescent="0.25">
      <c r="A195" t="s">
        <v>436</v>
      </c>
      <c r="B195" t="s">
        <v>506</v>
      </c>
      <c r="C195" t="s">
        <v>283</v>
      </c>
      <c r="D195" t="s">
        <v>438</v>
      </c>
      <c r="E195" t="s">
        <v>520</v>
      </c>
      <c r="F195" t="s">
        <v>508</v>
      </c>
      <c r="G195" t="s">
        <v>441</v>
      </c>
      <c r="H195" t="s">
        <v>373</v>
      </c>
      <c r="I195" t="s">
        <v>289</v>
      </c>
      <c r="J195" t="s">
        <v>509</v>
      </c>
      <c r="K195">
        <v>21</v>
      </c>
      <c r="L195" s="6">
        <f t="shared" si="15"/>
        <v>6.4008000000000003</v>
      </c>
      <c r="M195" s="7">
        <v>43</v>
      </c>
      <c r="N195" s="7">
        <v>68</v>
      </c>
      <c r="O195" s="7">
        <f t="shared" si="16"/>
        <v>252.00000000000003</v>
      </c>
      <c r="P195" s="7">
        <f t="shared" si="17"/>
        <v>1.6929133858267718</v>
      </c>
      <c r="Q195" s="7">
        <f t="shared" si="17"/>
        <v>2.6771653543307088</v>
      </c>
      <c r="R195" s="6">
        <f t="shared" si="18"/>
        <v>1122.038</v>
      </c>
      <c r="S195" s="6">
        <f t="shared" si="14"/>
        <v>1.87159392E-2</v>
      </c>
      <c r="T195" t="str">
        <f t="shared" si="19"/>
        <v>Angelim Pedra S4S E4E 43x68 Long</v>
      </c>
    </row>
    <row r="196" spans="1:20" x14ac:dyDescent="0.25">
      <c r="A196" t="s">
        <v>436</v>
      </c>
      <c r="B196" t="s">
        <v>506</v>
      </c>
      <c r="C196" t="s">
        <v>283</v>
      </c>
      <c r="D196" t="s">
        <v>438</v>
      </c>
      <c r="E196" t="s">
        <v>521</v>
      </c>
      <c r="F196" t="s">
        <v>508</v>
      </c>
      <c r="G196" t="s">
        <v>441</v>
      </c>
      <c r="H196" t="s">
        <v>373</v>
      </c>
      <c r="I196" t="s">
        <v>289</v>
      </c>
      <c r="J196" t="s">
        <v>509</v>
      </c>
      <c r="K196">
        <v>22</v>
      </c>
      <c r="L196" s="6">
        <f t="shared" si="15"/>
        <v>6.7056000000000004</v>
      </c>
      <c r="M196" s="7">
        <v>43</v>
      </c>
      <c r="N196" s="7">
        <v>68</v>
      </c>
      <c r="O196" s="7">
        <f t="shared" si="16"/>
        <v>264</v>
      </c>
      <c r="P196" s="7">
        <f t="shared" si="17"/>
        <v>1.6929133858267718</v>
      </c>
      <c r="Q196" s="7">
        <f t="shared" si="17"/>
        <v>2.6771653543307088</v>
      </c>
      <c r="R196" s="6">
        <f t="shared" si="18"/>
        <v>1122.038</v>
      </c>
      <c r="S196" s="6">
        <f t="shared" ref="S196:S259" si="20">L196*M196/1000*N196/1000</f>
        <v>1.9607174400000003E-2</v>
      </c>
      <c r="T196" t="str">
        <f t="shared" si="19"/>
        <v>Angelim Pedra S4S E4E 43x68 Long</v>
      </c>
    </row>
    <row r="197" spans="1:20" x14ac:dyDescent="0.25">
      <c r="A197" t="s">
        <v>436</v>
      </c>
      <c r="B197" t="s">
        <v>506</v>
      </c>
      <c r="C197" t="s">
        <v>283</v>
      </c>
      <c r="D197" t="s">
        <v>438</v>
      </c>
      <c r="E197" t="s">
        <v>522</v>
      </c>
      <c r="F197" t="s">
        <v>508</v>
      </c>
      <c r="G197" t="s">
        <v>441</v>
      </c>
      <c r="H197" t="s">
        <v>373</v>
      </c>
      <c r="I197" t="s">
        <v>289</v>
      </c>
      <c r="J197" t="s">
        <v>509</v>
      </c>
      <c r="K197">
        <v>23</v>
      </c>
      <c r="L197" s="6">
        <f t="shared" si="15"/>
        <v>7.0104000000000006</v>
      </c>
      <c r="M197" s="7">
        <v>43</v>
      </c>
      <c r="N197" s="7">
        <v>68</v>
      </c>
      <c r="O197" s="7">
        <f t="shared" si="16"/>
        <v>276.00000000000006</v>
      </c>
      <c r="P197" s="7">
        <f t="shared" si="17"/>
        <v>1.6929133858267718</v>
      </c>
      <c r="Q197" s="7">
        <f t="shared" si="17"/>
        <v>2.6771653543307088</v>
      </c>
      <c r="R197" s="6">
        <f t="shared" si="18"/>
        <v>1122.038</v>
      </c>
      <c r="S197" s="6">
        <f t="shared" si="20"/>
        <v>2.0498409600000003E-2</v>
      </c>
      <c r="T197" t="str">
        <f t="shared" si="19"/>
        <v>Angelim Pedra S4S E4E 43x68 Long</v>
      </c>
    </row>
    <row r="198" spans="1:20" x14ac:dyDescent="0.25">
      <c r="A198" t="s">
        <v>436</v>
      </c>
      <c r="B198" t="s">
        <v>506</v>
      </c>
      <c r="C198" t="s">
        <v>283</v>
      </c>
      <c r="D198" t="s">
        <v>438</v>
      </c>
      <c r="E198" t="s">
        <v>523</v>
      </c>
      <c r="F198" t="s">
        <v>508</v>
      </c>
      <c r="G198" t="s">
        <v>441</v>
      </c>
      <c r="H198" t="s">
        <v>373</v>
      </c>
      <c r="I198" t="s">
        <v>289</v>
      </c>
      <c r="J198" t="s">
        <v>509</v>
      </c>
      <c r="K198">
        <v>24</v>
      </c>
      <c r="L198" s="6">
        <f t="shared" si="15"/>
        <v>7.3152000000000008</v>
      </c>
      <c r="M198" s="7">
        <v>43</v>
      </c>
      <c r="N198" s="7">
        <v>68</v>
      </c>
      <c r="O198" s="7">
        <f t="shared" si="16"/>
        <v>288.00000000000006</v>
      </c>
      <c r="P198" s="7">
        <f t="shared" si="17"/>
        <v>1.6929133858267718</v>
      </c>
      <c r="Q198" s="7">
        <f t="shared" si="17"/>
        <v>2.6771653543307088</v>
      </c>
      <c r="R198" s="6">
        <f t="shared" si="18"/>
        <v>1122.038</v>
      </c>
      <c r="S198" s="6">
        <f t="shared" si="20"/>
        <v>2.1389644800000003E-2</v>
      </c>
      <c r="T198" t="str">
        <f t="shared" si="19"/>
        <v>Angelim Pedra S4S E4E 43x68 Long</v>
      </c>
    </row>
    <row r="199" spans="1:20" x14ac:dyDescent="0.25">
      <c r="A199" t="s">
        <v>436</v>
      </c>
      <c r="B199" t="s">
        <v>506</v>
      </c>
      <c r="C199" t="s">
        <v>524</v>
      </c>
      <c r="D199" t="s">
        <v>438</v>
      </c>
      <c r="E199" t="s">
        <v>525</v>
      </c>
      <c r="F199" t="s">
        <v>508</v>
      </c>
      <c r="G199" t="s">
        <v>441</v>
      </c>
      <c r="H199" t="s">
        <v>373</v>
      </c>
      <c r="I199" t="s">
        <v>289</v>
      </c>
      <c r="J199" t="s">
        <v>509</v>
      </c>
      <c r="K199">
        <v>4</v>
      </c>
      <c r="L199" s="6">
        <f t="shared" si="15"/>
        <v>1.2192000000000001</v>
      </c>
      <c r="M199" s="7">
        <v>43</v>
      </c>
      <c r="N199" s="7">
        <v>68</v>
      </c>
      <c r="O199" s="7">
        <f t="shared" si="16"/>
        <v>48.000000000000007</v>
      </c>
      <c r="P199" s="7">
        <f t="shared" si="17"/>
        <v>1.6929133858267718</v>
      </c>
      <c r="Q199" s="7">
        <f t="shared" si="17"/>
        <v>2.6771653543307088</v>
      </c>
      <c r="R199" s="6">
        <f t="shared" si="18"/>
        <v>1122.038</v>
      </c>
      <c r="S199" s="6">
        <f t="shared" si="20"/>
        <v>3.5649408000000002E-3</v>
      </c>
      <c r="T199" t="str">
        <f t="shared" si="19"/>
        <v>Angelim Pedra S4S E4E 43x68 Short</v>
      </c>
    </row>
    <row r="200" spans="1:20" x14ac:dyDescent="0.25">
      <c r="A200" t="s">
        <v>436</v>
      </c>
      <c r="B200" t="s">
        <v>506</v>
      </c>
      <c r="C200" t="s">
        <v>524</v>
      </c>
      <c r="D200" t="s">
        <v>438</v>
      </c>
      <c r="E200" t="s">
        <v>526</v>
      </c>
      <c r="F200" t="s">
        <v>508</v>
      </c>
      <c r="G200" t="s">
        <v>441</v>
      </c>
      <c r="H200" t="s">
        <v>373</v>
      </c>
      <c r="I200" t="s">
        <v>289</v>
      </c>
      <c r="J200" t="s">
        <v>509</v>
      </c>
      <c r="K200">
        <v>5</v>
      </c>
      <c r="L200" s="6">
        <f t="shared" si="15"/>
        <v>1.524</v>
      </c>
      <c r="M200" s="7">
        <v>43</v>
      </c>
      <c r="N200" s="7">
        <v>68</v>
      </c>
      <c r="O200" s="7">
        <f t="shared" si="16"/>
        <v>60</v>
      </c>
      <c r="P200" s="7">
        <f t="shared" si="17"/>
        <v>1.6929133858267718</v>
      </c>
      <c r="Q200" s="7">
        <f t="shared" si="17"/>
        <v>2.6771653543307088</v>
      </c>
      <c r="R200" s="6">
        <f t="shared" si="18"/>
        <v>1122.038</v>
      </c>
      <c r="S200" s="6">
        <f t="shared" si="20"/>
        <v>4.4561759999999992E-3</v>
      </c>
      <c r="T200" t="str">
        <f t="shared" si="19"/>
        <v>Angelim Pedra S4S E4E 43x68 Short</v>
      </c>
    </row>
    <row r="201" spans="1:20" x14ac:dyDescent="0.25">
      <c r="A201" t="s">
        <v>436</v>
      </c>
      <c r="B201" t="s">
        <v>506</v>
      </c>
      <c r="C201" t="s">
        <v>524</v>
      </c>
      <c r="D201" t="s">
        <v>438</v>
      </c>
      <c r="E201" t="s">
        <v>527</v>
      </c>
      <c r="F201" t="s">
        <v>508</v>
      </c>
      <c r="G201" t="s">
        <v>441</v>
      </c>
      <c r="H201" t="s">
        <v>373</v>
      </c>
      <c r="I201" t="s">
        <v>289</v>
      </c>
      <c r="J201" t="s">
        <v>509</v>
      </c>
      <c r="K201">
        <v>6</v>
      </c>
      <c r="L201" s="6">
        <f t="shared" si="15"/>
        <v>1.8288000000000002</v>
      </c>
      <c r="M201" s="7">
        <v>43</v>
      </c>
      <c r="N201" s="7">
        <v>68</v>
      </c>
      <c r="O201" s="7">
        <f t="shared" si="16"/>
        <v>72.000000000000014</v>
      </c>
      <c r="P201" s="7">
        <f t="shared" si="17"/>
        <v>1.6929133858267718</v>
      </c>
      <c r="Q201" s="7">
        <f t="shared" si="17"/>
        <v>2.6771653543307088</v>
      </c>
      <c r="R201" s="6">
        <f t="shared" si="18"/>
        <v>1122.038</v>
      </c>
      <c r="S201" s="6">
        <f t="shared" si="20"/>
        <v>5.3474112000000008E-3</v>
      </c>
      <c r="T201" t="str">
        <f t="shared" si="19"/>
        <v>Angelim Pedra S4S E4E 43x68 Short</v>
      </c>
    </row>
    <row r="202" spans="1:20" x14ac:dyDescent="0.25">
      <c r="A202" t="s">
        <v>436</v>
      </c>
      <c r="B202" t="s">
        <v>506</v>
      </c>
      <c r="C202" t="s">
        <v>524</v>
      </c>
      <c r="D202" t="s">
        <v>438</v>
      </c>
      <c r="E202" t="s">
        <v>528</v>
      </c>
      <c r="F202" t="s">
        <v>508</v>
      </c>
      <c r="G202" t="s">
        <v>441</v>
      </c>
      <c r="H202" t="s">
        <v>373</v>
      </c>
      <c r="I202" t="s">
        <v>289</v>
      </c>
      <c r="J202" t="s">
        <v>509</v>
      </c>
      <c r="K202">
        <v>7</v>
      </c>
      <c r="L202" s="6">
        <f t="shared" si="15"/>
        <v>2.1335999999999999</v>
      </c>
      <c r="M202" s="7">
        <v>43</v>
      </c>
      <c r="N202" s="7">
        <v>68</v>
      </c>
      <c r="O202" s="7">
        <f t="shared" si="16"/>
        <v>84</v>
      </c>
      <c r="P202" s="7">
        <f t="shared" si="17"/>
        <v>1.6929133858267718</v>
      </c>
      <c r="Q202" s="7">
        <f t="shared" si="17"/>
        <v>2.6771653543307088</v>
      </c>
      <c r="R202" s="6">
        <f t="shared" si="18"/>
        <v>1122.038</v>
      </c>
      <c r="S202" s="6">
        <f t="shared" si="20"/>
        <v>6.2386464000000006E-3</v>
      </c>
      <c r="T202" t="str">
        <f t="shared" si="19"/>
        <v>Angelim Pedra S4S E4E 43x68 Short</v>
      </c>
    </row>
    <row r="203" spans="1:20" x14ac:dyDescent="0.25">
      <c r="A203" t="s">
        <v>436</v>
      </c>
      <c r="B203" t="s">
        <v>506</v>
      </c>
      <c r="C203" t="s">
        <v>283</v>
      </c>
      <c r="D203" t="s">
        <v>438</v>
      </c>
      <c r="E203" t="s">
        <v>529</v>
      </c>
      <c r="F203" t="s">
        <v>508</v>
      </c>
      <c r="G203" t="s">
        <v>441</v>
      </c>
      <c r="H203" t="s">
        <v>373</v>
      </c>
      <c r="I203" t="s">
        <v>289</v>
      </c>
      <c r="J203" t="s">
        <v>509</v>
      </c>
      <c r="K203">
        <v>8</v>
      </c>
      <c r="L203" s="6">
        <f t="shared" si="15"/>
        <v>2.4384000000000001</v>
      </c>
      <c r="M203" s="7">
        <v>43</v>
      </c>
      <c r="N203" s="7">
        <v>68</v>
      </c>
      <c r="O203" s="7">
        <f t="shared" si="16"/>
        <v>96.000000000000014</v>
      </c>
      <c r="P203" s="7">
        <f t="shared" si="17"/>
        <v>1.6929133858267718</v>
      </c>
      <c r="Q203" s="7">
        <f t="shared" si="17"/>
        <v>2.6771653543307088</v>
      </c>
      <c r="R203" s="6">
        <f t="shared" si="18"/>
        <v>1122.038</v>
      </c>
      <c r="S203" s="6">
        <f t="shared" si="20"/>
        <v>7.1298816000000004E-3</v>
      </c>
      <c r="T203" t="str">
        <f t="shared" si="19"/>
        <v>Angelim Pedra S4S E4E 43x68 Long</v>
      </c>
    </row>
    <row r="204" spans="1:20" x14ac:dyDescent="0.25">
      <c r="A204" t="s">
        <v>436</v>
      </c>
      <c r="B204" t="s">
        <v>506</v>
      </c>
      <c r="C204" t="s">
        <v>283</v>
      </c>
      <c r="D204" t="s">
        <v>438</v>
      </c>
      <c r="E204" t="s">
        <v>530</v>
      </c>
      <c r="F204" t="s">
        <v>508</v>
      </c>
      <c r="G204" t="s">
        <v>441</v>
      </c>
      <c r="H204" t="s">
        <v>373</v>
      </c>
      <c r="I204" t="s">
        <v>289</v>
      </c>
      <c r="J204" t="s">
        <v>509</v>
      </c>
      <c r="K204">
        <v>9</v>
      </c>
      <c r="L204" s="6">
        <f t="shared" si="15"/>
        <v>2.7432000000000003</v>
      </c>
      <c r="M204" s="7">
        <v>43</v>
      </c>
      <c r="N204" s="7">
        <v>68</v>
      </c>
      <c r="O204" s="7">
        <f t="shared" si="16"/>
        <v>108.00000000000001</v>
      </c>
      <c r="P204" s="7">
        <f t="shared" si="17"/>
        <v>1.6929133858267718</v>
      </c>
      <c r="Q204" s="7">
        <f t="shared" si="17"/>
        <v>2.6771653543307088</v>
      </c>
      <c r="R204" s="6">
        <f t="shared" si="18"/>
        <v>1122.038</v>
      </c>
      <c r="S204" s="6">
        <f t="shared" si="20"/>
        <v>8.021116800000002E-3</v>
      </c>
      <c r="T204" t="str">
        <f t="shared" si="19"/>
        <v>Angelim Pedra S4S E4E 43x68 Long</v>
      </c>
    </row>
    <row r="205" spans="1:20" x14ac:dyDescent="0.25">
      <c r="A205" t="s">
        <v>531</v>
      </c>
      <c r="B205" t="s">
        <v>532</v>
      </c>
      <c r="C205" t="s">
        <v>283</v>
      </c>
      <c r="D205" t="s">
        <v>438</v>
      </c>
      <c r="E205" t="s">
        <v>533</v>
      </c>
      <c r="F205" t="s">
        <v>534</v>
      </c>
      <c r="G205" t="s">
        <v>531</v>
      </c>
      <c r="H205" t="s">
        <v>324</v>
      </c>
      <c r="I205" t="s">
        <v>289</v>
      </c>
      <c r="J205" t="s">
        <v>301</v>
      </c>
      <c r="K205">
        <v>10</v>
      </c>
      <c r="L205" s="6">
        <v>3.048</v>
      </c>
      <c r="M205" s="7">
        <v>25.4</v>
      </c>
      <c r="N205" s="7">
        <v>139.69999999999999</v>
      </c>
      <c r="O205" s="7">
        <f t="shared" si="16"/>
        <v>120</v>
      </c>
      <c r="P205" s="7">
        <f t="shared" si="17"/>
        <v>1</v>
      </c>
      <c r="Q205" s="7">
        <f t="shared" si="17"/>
        <v>5.5</v>
      </c>
      <c r="R205" s="6">
        <f t="shared" si="18"/>
        <v>924.60199999999998</v>
      </c>
      <c r="S205" s="6">
        <f t="shared" si="20"/>
        <v>1.081546224E-2</v>
      </c>
      <c r="T205" t="str">
        <f t="shared" si="19"/>
        <v>Cumaru Grooved 5/4x6 Long</v>
      </c>
    </row>
    <row r="206" spans="1:20" x14ac:dyDescent="0.25">
      <c r="A206" t="s">
        <v>531</v>
      </c>
      <c r="B206" t="s">
        <v>532</v>
      </c>
      <c r="C206" t="s">
        <v>283</v>
      </c>
      <c r="D206" t="s">
        <v>438</v>
      </c>
      <c r="E206" t="s">
        <v>535</v>
      </c>
      <c r="F206" t="s">
        <v>534</v>
      </c>
      <c r="G206" t="s">
        <v>531</v>
      </c>
      <c r="H206" t="s">
        <v>324</v>
      </c>
      <c r="I206" t="s">
        <v>289</v>
      </c>
      <c r="J206" t="s">
        <v>301</v>
      </c>
      <c r="K206">
        <v>11</v>
      </c>
      <c r="L206" s="6">
        <v>3.3527999999999998</v>
      </c>
      <c r="M206" s="7">
        <v>25.4</v>
      </c>
      <c r="N206" s="7">
        <v>139.69999999999999</v>
      </c>
      <c r="O206" s="7">
        <f t="shared" si="16"/>
        <v>132</v>
      </c>
      <c r="P206" s="7">
        <f t="shared" si="17"/>
        <v>1</v>
      </c>
      <c r="Q206" s="7">
        <f t="shared" si="17"/>
        <v>5.5</v>
      </c>
      <c r="R206" s="6">
        <f t="shared" si="18"/>
        <v>924.60199999999998</v>
      </c>
      <c r="S206" s="6">
        <f t="shared" si="20"/>
        <v>1.1897008463999995E-2</v>
      </c>
      <c r="T206" t="str">
        <f t="shared" si="19"/>
        <v>Cumaru Grooved 5/4x6 Long</v>
      </c>
    </row>
    <row r="207" spans="1:20" x14ac:dyDescent="0.25">
      <c r="A207" t="s">
        <v>531</v>
      </c>
      <c r="B207" t="s">
        <v>532</v>
      </c>
      <c r="C207" t="s">
        <v>283</v>
      </c>
      <c r="D207" t="s">
        <v>438</v>
      </c>
      <c r="E207" t="s">
        <v>536</v>
      </c>
      <c r="F207" t="s">
        <v>534</v>
      </c>
      <c r="G207" t="s">
        <v>531</v>
      </c>
      <c r="H207" t="s">
        <v>324</v>
      </c>
      <c r="I207" t="s">
        <v>289</v>
      </c>
      <c r="J207" t="s">
        <v>301</v>
      </c>
      <c r="K207">
        <v>12</v>
      </c>
      <c r="L207" s="6">
        <v>3.6576</v>
      </c>
      <c r="M207" s="7">
        <v>25.4</v>
      </c>
      <c r="N207" s="7">
        <v>139.69999999999999</v>
      </c>
      <c r="O207" s="7">
        <f t="shared" si="16"/>
        <v>144</v>
      </c>
      <c r="P207" s="7">
        <f t="shared" si="17"/>
        <v>1</v>
      </c>
      <c r="Q207" s="7">
        <f t="shared" si="17"/>
        <v>5.5</v>
      </c>
      <c r="R207" s="6">
        <f t="shared" si="18"/>
        <v>924.60199999999998</v>
      </c>
      <c r="S207" s="6">
        <f t="shared" si="20"/>
        <v>1.2978554687999997E-2</v>
      </c>
      <c r="T207" t="str">
        <f t="shared" si="19"/>
        <v>Cumaru Grooved 5/4x6 Long</v>
      </c>
    </row>
    <row r="208" spans="1:20" x14ac:dyDescent="0.25">
      <c r="A208" t="s">
        <v>531</v>
      </c>
      <c r="B208" t="s">
        <v>532</v>
      </c>
      <c r="C208" t="s">
        <v>283</v>
      </c>
      <c r="D208" t="s">
        <v>438</v>
      </c>
      <c r="E208" t="s">
        <v>537</v>
      </c>
      <c r="F208" t="s">
        <v>534</v>
      </c>
      <c r="G208" t="s">
        <v>531</v>
      </c>
      <c r="H208" t="s">
        <v>324</v>
      </c>
      <c r="I208" t="s">
        <v>289</v>
      </c>
      <c r="J208" t="s">
        <v>301</v>
      </c>
      <c r="K208">
        <v>13</v>
      </c>
      <c r="L208" s="6">
        <v>3.9624000000000001</v>
      </c>
      <c r="M208" s="7">
        <v>25.4</v>
      </c>
      <c r="N208" s="7">
        <v>139.69999999999999</v>
      </c>
      <c r="O208" s="7">
        <f t="shared" si="16"/>
        <v>156</v>
      </c>
      <c r="P208" s="7">
        <f t="shared" si="17"/>
        <v>1</v>
      </c>
      <c r="Q208" s="7">
        <f t="shared" si="17"/>
        <v>5.5</v>
      </c>
      <c r="R208" s="6">
        <f t="shared" si="18"/>
        <v>924.60199999999998</v>
      </c>
      <c r="S208" s="6">
        <f t="shared" si="20"/>
        <v>1.4060100911999997E-2</v>
      </c>
      <c r="T208" t="str">
        <f t="shared" si="19"/>
        <v>Cumaru Grooved 5/4x6 Long</v>
      </c>
    </row>
    <row r="209" spans="1:20" x14ac:dyDescent="0.25">
      <c r="A209" t="s">
        <v>531</v>
      </c>
      <c r="B209" t="s">
        <v>532</v>
      </c>
      <c r="C209" t="s">
        <v>283</v>
      </c>
      <c r="D209" t="s">
        <v>438</v>
      </c>
      <c r="E209" t="s">
        <v>538</v>
      </c>
      <c r="F209" t="s">
        <v>534</v>
      </c>
      <c r="G209" t="s">
        <v>531</v>
      </c>
      <c r="H209" t="s">
        <v>324</v>
      </c>
      <c r="I209" t="s">
        <v>289</v>
      </c>
      <c r="J209" t="s">
        <v>301</v>
      </c>
      <c r="K209">
        <v>14</v>
      </c>
      <c r="L209" s="6">
        <v>4.2671999999999999</v>
      </c>
      <c r="M209" s="7">
        <v>25.4</v>
      </c>
      <c r="N209" s="7">
        <v>139.69999999999999</v>
      </c>
      <c r="O209" s="7">
        <f t="shared" si="16"/>
        <v>168</v>
      </c>
      <c r="P209" s="7">
        <f t="shared" si="17"/>
        <v>1</v>
      </c>
      <c r="Q209" s="7">
        <f t="shared" si="17"/>
        <v>5.5</v>
      </c>
      <c r="R209" s="6">
        <f t="shared" si="18"/>
        <v>924.60199999999998</v>
      </c>
      <c r="S209" s="6">
        <f t="shared" si="20"/>
        <v>1.5141647135999997E-2</v>
      </c>
      <c r="T209" t="str">
        <f t="shared" si="19"/>
        <v>Cumaru Grooved 5/4x6 Long</v>
      </c>
    </row>
    <row r="210" spans="1:20" x14ac:dyDescent="0.25">
      <c r="A210" t="s">
        <v>531</v>
      </c>
      <c r="B210" t="s">
        <v>532</v>
      </c>
      <c r="C210" t="s">
        <v>283</v>
      </c>
      <c r="D210" t="s">
        <v>438</v>
      </c>
      <c r="E210" t="s">
        <v>539</v>
      </c>
      <c r="F210" t="s">
        <v>534</v>
      </c>
      <c r="G210" t="s">
        <v>531</v>
      </c>
      <c r="H210" t="s">
        <v>324</v>
      </c>
      <c r="I210" t="s">
        <v>289</v>
      </c>
      <c r="J210" t="s">
        <v>301</v>
      </c>
      <c r="K210">
        <v>15</v>
      </c>
      <c r="L210" s="6">
        <v>4.5720000000000001</v>
      </c>
      <c r="M210" s="7">
        <v>25.4</v>
      </c>
      <c r="N210" s="7">
        <v>139.69999999999999</v>
      </c>
      <c r="O210" s="7">
        <f t="shared" si="16"/>
        <v>180</v>
      </c>
      <c r="P210" s="7">
        <f t="shared" si="17"/>
        <v>1</v>
      </c>
      <c r="Q210" s="7">
        <f t="shared" si="17"/>
        <v>5.5</v>
      </c>
      <c r="R210" s="6">
        <f t="shared" si="18"/>
        <v>924.60199999999998</v>
      </c>
      <c r="S210" s="6">
        <f t="shared" si="20"/>
        <v>1.6223193359999999E-2</v>
      </c>
      <c r="T210" t="str">
        <f t="shared" si="19"/>
        <v>Cumaru Grooved 5/4x6 Long</v>
      </c>
    </row>
    <row r="211" spans="1:20" x14ac:dyDescent="0.25">
      <c r="A211" t="s">
        <v>531</v>
      </c>
      <c r="B211" t="s">
        <v>532</v>
      </c>
      <c r="C211" t="s">
        <v>283</v>
      </c>
      <c r="D211" t="s">
        <v>438</v>
      </c>
      <c r="E211" t="s">
        <v>540</v>
      </c>
      <c r="F211" t="s">
        <v>534</v>
      </c>
      <c r="G211" t="s">
        <v>531</v>
      </c>
      <c r="H211" t="s">
        <v>324</v>
      </c>
      <c r="I211" t="s">
        <v>289</v>
      </c>
      <c r="J211" t="s">
        <v>301</v>
      </c>
      <c r="K211">
        <v>16</v>
      </c>
      <c r="L211" s="6">
        <v>4.8768000000000002</v>
      </c>
      <c r="M211" s="7">
        <v>25.4</v>
      </c>
      <c r="N211" s="7">
        <v>139.69999999999999</v>
      </c>
      <c r="O211" s="7">
        <f t="shared" si="16"/>
        <v>192.00000000000003</v>
      </c>
      <c r="P211" s="7">
        <f t="shared" si="17"/>
        <v>1</v>
      </c>
      <c r="Q211" s="7">
        <f t="shared" si="17"/>
        <v>5.5</v>
      </c>
      <c r="R211" s="6">
        <f t="shared" si="18"/>
        <v>924.60199999999998</v>
      </c>
      <c r="S211" s="6">
        <f t="shared" si="20"/>
        <v>1.7304739584000001E-2</v>
      </c>
      <c r="T211" t="str">
        <f t="shared" si="19"/>
        <v>Cumaru Grooved 5/4x6 Long</v>
      </c>
    </row>
    <row r="212" spans="1:20" x14ac:dyDescent="0.25">
      <c r="A212" t="s">
        <v>531</v>
      </c>
      <c r="B212" t="s">
        <v>532</v>
      </c>
      <c r="C212" t="s">
        <v>283</v>
      </c>
      <c r="D212" t="s">
        <v>438</v>
      </c>
      <c r="E212" t="s">
        <v>541</v>
      </c>
      <c r="F212" t="s">
        <v>534</v>
      </c>
      <c r="G212" t="s">
        <v>531</v>
      </c>
      <c r="H212" t="s">
        <v>324</v>
      </c>
      <c r="I212" t="s">
        <v>289</v>
      </c>
      <c r="J212" t="s">
        <v>301</v>
      </c>
      <c r="K212">
        <v>17</v>
      </c>
      <c r="L212" s="6">
        <v>5.1816000000000004</v>
      </c>
      <c r="M212" s="7">
        <v>25.4</v>
      </c>
      <c r="N212" s="7">
        <v>139.69999999999999</v>
      </c>
      <c r="O212" s="7">
        <f t="shared" si="16"/>
        <v>204.00000000000003</v>
      </c>
      <c r="P212" s="7">
        <f t="shared" si="17"/>
        <v>1</v>
      </c>
      <c r="Q212" s="7">
        <f t="shared" si="17"/>
        <v>5.5</v>
      </c>
      <c r="R212" s="6">
        <f t="shared" si="18"/>
        <v>924.60199999999998</v>
      </c>
      <c r="S212" s="6">
        <f t="shared" si="20"/>
        <v>1.8386285807999999E-2</v>
      </c>
      <c r="T212" t="str">
        <f t="shared" si="19"/>
        <v>Cumaru Grooved 5/4x6 Long</v>
      </c>
    </row>
    <row r="213" spans="1:20" x14ac:dyDescent="0.25">
      <c r="A213" t="s">
        <v>531</v>
      </c>
      <c r="B213" t="s">
        <v>532</v>
      </c>
      <c r="C213" t="s">
        <v>283</v>
      </c>
      <c r="D213" t="s">
        <v>438</v>
      </c>
      <c r="E213" t="s">
        <v>542</v>
      </c>
      <c r="F213" t="s">
        <v>534</v>
      </c>
      <c r="G213" t="s">
        <v>531</v>
      </c>
      <c r="H213" t="s">
        <v>324</v>
      </c>
      <c r="I213" t="s">
        <v>289</v>
      </c>
      <c r="J213" t="s">
        <v>301</v>
      </c>
      <c r="K213">
        <v>18</v>
      </c>
      <c r="L213" s="6">
        <v>5.4863999999999997</v>
      </c>
      <c r="M213" s="7">
        <v>25.4</v>
      </c>
      <c r="N213" s="7">
        <v>139.69999999999999</v>
      </c>
      <c r="O213" s="7">
        <f t="shared" si="16"/>
        <v>216</v>
      </c>
      <c r="P213" s="7">
        <f t="shared" si="17"/>
        <v>1</v>
      </c>
      <c r="Q213" s="7">
        <f t="shared" si="17"/>
        <v>5.5</v>
      </c>
      <c r="R213" s="6">
        <f t="shared" si="18"/>
        <v>924.60199999999998</v>
      </c>
      <c r="S213" s="6">
        <f t="shared" si="20"/>
        <v>1.9467832031999997E-2</v>
      </c>
      <c r="T213" t="str">
        <f t="shared" si="19"/>
        <v>Cumaru Grooved 5/4x6 Long</v>
      </c>
    </row>
    <row r="214" spans="1:20" x14ac:dyDescent="0.25">
      <c r="A214" t="s">
        <v>531</v>
      </c>
      <c r="B214" t="s">
        <v>532</v>
      </c>
      <c r="C214" t="s">
        <v>283</v>
      </c>
      <c r="D214" t="s">
        <v>438</v>
      </c>
      <c r="E214" t="s">
        <v>543</v>
      </c>
      <c r="F214" t="s">
        <v>534</v>
      </c>
      <c r="G214" t="s">
        <v>531</v>
      </c>
      <c r="H214" t="s">
        <v>324</v>
      </c>
      <c r="I214" t="s">
        <v>289</v>
      </c>
      <c r="J214" t="s">
        <v>301</v>
      </c>
      <c r="K214">
        <v>19</v>
      </c>
      <c r="L214" s="6">
        <v>5.7911999999999999</v>
      </c>
      <c r="M214" s="7">
        <v>25.4</v>
      </c>
      <c r="N214" s="7">
        <v>139.69999999999999</v>
      </c>
      <c r="O214" s="7">
        <f t="shared" si="16"/>
        <v>228</v>
      </c>
      <c r="P214" s="7">
        <f t="shared" si="17"/>
        <v>1</v>
      </c>
      <c r="Q214" s="7">
        <f t="shared" si="17"/>
        <v>5.5</v>
      </c>
      <c r="R214" s="6">
        <f t="shared" si="18"/>
        <v>924.60199999999998</v>
      </c>
      <c r="S214" s="6">
        <f t="shared" si="20"/>
        <v>2.0549378255999992E-2</v>
      </c>
      <c r="T214" t="str">
        <f t="shared" si="19"/>
        <v>Cumaru Grooved 5/4x6 Long</v>
      </c>
    </row>
    <row r="215" spans="1:20" x14ac:dyDescent="0.25">
      <c r="A215" t="s">
        <v>531</v>
      </c>
      <c r="B215" t="s">
        <v>532</v>
      </c>
      <c r="C215" t="s">
        <v>283</v>
      </c>
      <c r="D215" t="s">
        <v>438</v>
      </c>
      <c r="E215" t="s">
        <v>544</v>
      </c>
      <c r="F215" t="s">
        <v>534</v>
      </c>
      <c r="G215" t="s">
        <v>531</v>
      </c>
      <c r="H215" t="s">
        <v>324</v>
      </c>
      <c r="I215" t="s">
        <v>289</v>
      </c>
      <c r="J215" t="s">
        <v>301</v>
      </c>
      <c r="K215">
        <v>20</v>
      </c>
      <c r="L215" s="6">
        <v>6.0960000000000001</v>
      </c>
      <c r="M215" s="7">
        <v>25.4</v>
      </c>
      <c r="N215" s="7">
        <v>139.69999999999999</v>
      </c>
      <c r="O215" s="7">
        <f t="shared" si="16"/>
        <v>240</v>
      </c>
      <c r="P215" s="7">
        <f t="shared" si="17"/>
        <v>1</v>
      </c>
      <c r="Q215" s="7">
        <f t="shared" si="17"/>
        <v>5.5</v>
      </c>
      <c r="R215" s="6">
        <f t="shared" si="18"/>
        <v>924.60199999999998</v>
      </c>
      <c r="S215" s="6">
        <f t="shared" si="20"/>
        <v>2.1630924480000001E-2</v>
      </c>
      <c r="T215" t="str">
        <f t="shared" si="19"/>
        <v>Cumaru Grooved 5/4x6 Long</v>
      </c>
    </row>
    <row r="216" spans="1:20" x14ac:dyDescent="0.25">
      <c r="A216" t="s">
        <v>531</v>
      </c>
      <c r="B216" t="s">
        <v>532</v>
      </c>
      <c r="C216" t="s">
        <v>283</v>
      </c>
      <c r="D216" t="s">
        <v>438</v>
      </c>
      <c r="E216" t="s">
        <v>545</v>
      </c>
      <c r="F216" t="s">
        <v>534</v>
      </c>
      <c r="G216" t="s">
        <v>531</v>
      </c>
      <c r="H216" t="s">
        <v>324</v>
      </c>
      <c r="I216" t="s">
        <v>289</v>
      </c>
      <c r="J216" t="s">
        <v>301</v>
      </c>
      <c r="K216">
        <v>21</v>
      </c>
      <c r="L216" s="6">
        <v>6.4008000000000003</v>
      </c>
      <c r="M216" s="7">
        <v>25.4</v>
      </c>
      <c r="N216" s="7">
        <v>139.69999999999999</v>
      </c>
      <c r="O216" s="7">
        <f t="shared" si="16"/>
        <v>252.00000000000003</v>
      </c>
      <c r="P216" s="7">
        <f t="shared" si="17"/>
        <v>1</v>
      </c>
      <c r="Q216" s="7">
        <f t="shared" si="17"/>
        <v>5.5</v>
      </c>
      <c r="R216" s="6">
        <f t="shared" si="18"/>
        <v>924.60199999999998</v>
      </c>
      <c r="S216" s="6">
        <f t="shared" si="20"/>
        <v>2.2712470703999999E-2</v>
      </c>
      <c r="T216" t="str">
        <f t="shared" si="19"/>
        <v>Cumaru Grooved 5/4x6 Long</v>
      </c>
    </row>
    <row r="217" spans="1:20" x14ac:dyDescent="0.25">
      <c r="A217" t="s">
        <v>531</v>
      </c>
      <c r="B217" t="s">
        <v>532</v>
      </c>
      <c r="C217" t="s">
        <v>283</v>
      </c>
      <c r="D217" t="s">
        <v>438</v>
      </c>
      <c r="E217" t="s">
        <v>546</v>
      </c>
      <c r="F217" t="s">
        <v>534</v>
      </c>
      <c r="G217" t="s">
        <v>531</v>
      </c>
      <c r="H217" t="s">
        <v>324</v>
      </c>
      <c r="I217" t="s">
        <v>289</v>
      </c>
      <c r="J217" t="s">
        <v>301</v>
      </c>
      <c r="K217">
        <v>22</v>
      </c>
      <c r="L217" s="6">
        <v>6.7055999999999996</v>
      </c>
      <c r="M217" s="7">
        <v>25.4</v>
      </c>
      <c r="N217" s="7">
        <v>139.69999999999999</v>
      </c>
      <c r="O217" s="7">
        <f t="shared" si="16"/>
        <v>264</v>
      </c>
      <c r="P217" s="7">
        <f t="shared" si="17"/>
        <v>1</v>
      </c>
      <c r="Q217" s="7">
        <f t="shared" si="17"/>
        <v>5.5</v>
      </c>
      <c r="R217" s="6">
        <f t="shared" si="18"/>
        <v>924.60199999999998</v>
      </c>
      <c r="S217" s="6">
        <f t="shared" si="20"/>
        <v>2.3794016927999991E-2</v>
      </c>
      <c r="T217" t="str">
        <f t="shared" si="19"/>
        <v>Cumaru Grooved 5/4x6 Long</v>
      </c>
    </row>
    <row r="218" spans="1:20" x14ac:dyDescent="0.25">
      <c r="A218" t="s">
        <v>531</v>
      </c>
      <c r="B218" t="s">
        <v>532</v>
      </c>
      <c r="C218" t="s">
        <v>283</v>
      </c>
      <c r="D218" t="s">
        <v>438</v>
      </c>
      <c r="E218" t="s">
        <v>547</v>
      </c>
      <c r="F218" t="s">
        <v>534</v>
      </c>
      <c r="G218" t="s">
        <v>531</v>
      </c>
      <c r="H218" t="s">
        <v>324</v>
      </c>
      <c r="I218" t="s">
        <v>289</v>
      </c>
      <c r="J218" t="s">
        <v>301</v>
      </c>
      <c r="K218">
        <v>23</v>
      </c>
      <c r="L218" s="6">
        <v>7.0103999999999997</v>
      </c>
      <c r="M218" s="7">
        <v>25.4</v>
      </c>
      <c r="N218" s="7">
        <v>139.69999999999999</v>
      </c>
      <c r="O218" s="7">
        <f t="shared" si="16"/>
        <v>276</v>
      </c>
      <c r="P218" s="7">
        <f t="shared" si="17"/>
        <v>1</v>
      </c>
      <c r="Q218" s="7">
        <f t="shared" si="17"/>
        <v>5.5</v>
      </c>
      <c r="R218" s="6">
        <f t="shared" si="18"/>
        <v>924.60199999999998</v>
      </c>
      <c r="S218" s="6">
        <f t="shared" si="20"/>
        <v>2.4875563151999999E-2</v>
      </c>
      <c r="T218" t="str">
        <f t="shared" si="19"/>
        <v>Cumaru Grooved 5/4x6 Long</v>
      </c>
    </row>
    <row r="219" spans="1:20" x14ac:dyDescent="0.25">
      <c r="A219" t="s">
        <v>531</v>
      </c>
      <c r="B219" t="s">
        <v>532</v>
      </c>
      <c r="C219" t="s">
        <v>283</v>
      </c>
      <c r="D219" t="s">
        <v>438</v>
      </c>
      <c r="E219" t="s">
        <v>548</v>
      </c>
      <c r="F219" t="s">
        <v>534</v>
      </c>
      <c r="G219" t="s">
        <v>531</v>
      </c>
      <c r="H219" t="s">
        <v>324</v>
      </c>
      <c r="I219" t="s">
        <v>289</v>
      </c>
      <c r="J219" t="s">
        <v>301</v>
      </c>
      <c r="K219">
        <v>24</v>
      </c>
      <c r="L219" s="6">
        <v>7.3152000000000008</v>
      </c>
      <c r="M219" s="7">
        <v>25.4</v>
      </c>
      <c r="N219" s="7">
        <v>139.69999999999999</v>
      </c>
      <c r="O219" s="7">
        <f t="shared" si="16"/>
        <v>288.00000000000006</v>
      </c>
      <c r="P219" s="7">
        <f t="shared" si="17"/>
        <v>1</v>
      </c>
      <c r="Q219" s="7">
        <f t="shared" si="17"/>
        <v>5.5</v>
      </c>
      <c r="R219" s="6">
        <f t="shared" si="18"/>
        <v>924.60199999999998</v>
      </c>
      <c r="S219" s="6">
        <f t="shared" si="20"/>
        <v>2.5957109375999998E-2</v>
      </c>
      <c r="T219" t="str">
        <f t="shared" si="19"/>
        <v>Cumaru Grooved 5/4x6 Long</v>
      </c>
    </row>
    <row r="220" spans="1:20" x14ac:dyDescent="0.25">
      <c r="A220" t="s">
        <v>531</v>
      </c>
      <c r="B220" t="s">
        <v>532</v>
      </c>
      <c r="C220" t="s">
        <v>524</v>
      </c>
      <c r="D220" t="s">
        <v>438</v>
      </c>
      <c r="E220" t="s">
        <v>549</v>
      </c>
      <c r="F220" t="s">
        <v>534</v>
      </c>
      <c r="G220" t="s">
        <v>531</v>
      </c>
      <c r="H220" t="s">
        <v>324</v>
      </c>
      <c r="I220" t="s">
        <v>289</v>
      </c>
      <c r="J220" t="s">
        <v>301</v>
      </c>
      <c r="K220">
        <v>3</v>
      </c>
      <c r="L220" s="6">
        <v>0.91439999999999999</v>
      </c>
      <c r="M220" s="7">
        <v>25.4</v>
      </c>
      <c r="N220" s="7">
        <v>139.69999999999999</v>
      </c>
      <c r="O220" s="7">
        <f t="shared" si="16"/>
        <v>36</v>
      </c>
      <c r="P220" s="7">
        <f t="shared" si="17"/>
        <v>1</v>
      </c>
      <c r="Q220" s="7">
        <f t="shared" si="17"/>
        <v>5.5</v>
      </c>
      <c r="R220" s="6">
        <f t="shared" si="18"/>
        <v>924.60199999999998</v>
      </c>
      <c r="S220" s="6">
        <f t="shared" si="20"/>
        <v>3.2446386719999993E-3</v>
      </c>
      <c r="T220" t="str">
        <f t="shared" si="19"/>
        <v>Cumaru Grooved 5/4x6 Short</v>
      </c>
    </row>
    <row r="221" spans="1:20" x14ac:dyDescent="0.25">
      <c r="A221" t="s">
        <v>531</v>
      </c>
      <c r="B221" t="s">
        <v>532</v>
      </c>
      <c r="C221" t="s">
        <v>524</v>
      </c>
      <c r="D221" t="s">
        <v>438</v>
      </c>
      <c r="E221" t="s">
        <v>550</v>
      </c>
      <c r="F221" t="s">
        <v>534</v>
      </c>
      <c r="G221" t="s">
        <v>531</v>
      </c>
      <c r="H221" t="s">
        <v>324</v>
      </c>
      <c r="I221" t="s">
        <v>289</v>
      </c>
      <c r="J221" t="s">
        <v>301</v>
      </c>
      <c r="K221">
        <v>4</v>
      </c>
      <c r="L221" s="6">
        <v>1.2192000000000001</v>
      </c>
      <c r="M221" s="7">
        <v>25.4</v>
      </c>
      <c r="N221" s="7">
        <v>139.69999999999999</v>
      </c>
      <c r="O221" s="7">
        <f t="shared" si="16"/>
        <v>48.000000000000007</v>
      </c>
      <c r="P221" s="7">
        <f t="shared" si="17"/>
        <v>1</v>
      </c>
      <c r="Q221" s="7">
        <f t="shared" si="17"/>
        <v>5.5</v>
      </c>
      <c r="R221" s="6">
        <f t="shared" si="18"/>
        <v>924.60199999999998</v>
      </c>
      <c r="S221" s="6">
        <f t="shared" si="20"/>
        <v>4.3261848960000002E-3</v>
      </c>
      <c r="T221" t="str">
        <f t="shared" si="19"/>
        <v>Cumaru Grooved 5/4x6 Short</v>
      </c>
    </row>
    <row r="222" spans="1:20" x14ac:dyDescent="0.25">
      <c r="A222" t="s">
        <v>531</v>
      </c>
      <c r="B222" t="s">
        <v>532</v>
      </c>
      <c r="C222" t="s">
        <v>524</v>
      </c>
      <c r="D222" t="s">
        <v>438</v>
      </c>
      <c r="E222" t="s">
        <v>551</v>
      </c>
      <c r="F222" t="s">
        <v>534</v>
      </c>
      <c r="G222" t="s">
        <v>531</v>
      </c>
      <c r="H222" t="s">
        <v>324</v>
      </c>
      <c r="I222" t="s">
        <v>289</v>
      </c>
      <c r="J222" t="s">
        <v>301</v>
      </c>
      <c r="K222">
        <v>5</v>
      </c>
      <c r="L222" s="6">
        <v>1.524</v>
      </c>
      <c r="M222" s="7">
        <v>25.4</v>
      </c>
      <c r="N222" s="7">
        <v>139.69999999999999</v>
      </c>
      <c r="O222" s="7">
        <f t="shared" si="16"/>
        <v>60</v>
      </c>
      <c r="P222" s="7">
        <f t="shared" si="17"/>
        <v>1</v>
      </c>
      <c r="Q222" s="7">
        <f t="shared" si="17"/>
        <v>5.5</v>
      </c>
      <c r="R222" s="6">
        <f t="shared" si="18"/>
        <v>924.60199999999998</v>
      </c>
      <c r="S222" s="6">
        <f t="shared" si="20"/>
        <v>5.4077311200000002E-3</v>
      </c>
      <c r="T222" t="str">
        <f t="shared" si="19"/>
        <v>Cumaru Grooved 5/4x6 Short</v>
      </c>
    </row>
    <row r="223" spans="1:20" x14ac:dyDescent="0.25">
      <c r="A223" t="s">
        <v>531</v>
      </c>
      <c r="B223" t="s">
        <v>532</v>
      </c>
      <c r="C223" t="s">
        <v>524</v>
      </c>
      <c r="D223" t="s">
        <v>438</v>
      </c>
      <c r="E223" t="s">
        <v>552</v>
      </c>
      <c r="F223" t="s">
        <v>534</v>
      </c>
      <c r="G223" t="s">
        <v>531</v>
      </c>
      <c r="H223" t="s">
        <v>324</v>
      </c>
      <c r="I223" t="s">
        <v>289</v>
      </c>
      <c r="J223" t="s">
        <v>301</v>
      </c>
      <c r="K223">
        <v>6</v>
      </c>
      <c r="L223" s="6">
        <v>1.8288</v>
      </c>
      <c r="M223" s="7">
        <v>25.4</v>
      </c>
      <c r="N223" s="7">
        <v>139.69999999999999</v>
      </c>
      <c r="O223" s="7">
        <f t="shared" si="16"/>
        <v>72</v>
      </c>
      <c r="P223" s="7">
        <f t="shared" si="17"/>
        <v>1</v>
      </c>
      <c r="Q223" s="7">
        <f t="shared" si="17"/>
        <v>5.5</v>
      </c>
      <c r="R223" s="6">
        <f t="shared" si="18"/>
        <v>924.60199999999998</v>
      </c>
      <c r="S223" s="6">
        <f t="shared" si="20"/>
        <v>6.4892773439999985E-3</v>
      </c>
      <c r="T223" t="str">
        <f t="shared" si="19"/>
        <v>Cumaru Grooved 5/4x6 Short</v>
      </c>
    </row>
    <row r="224" spans="1:20" x14ac:dyDescent="0.25">
      <c r="A224" t="s">
        <v>531</v>
      </c>
      <c r="B224" t="s">
        <v>532</v>
      </c>
      <c r="C224" t="s">
        <v>524</v>
      </c>
      <c r="D224" t="s">
        <v>438</v>
      </c>
      <c r="E224" t="s">
        <v>553</v>
      </c>
      <c r="F224" t="s">
        <v>534</v>
      </c>
      <c r="G224" t="s">
        <v>531</v>
      </c>
      <c r="H224" t="s">
        <v>324</v>
      </c>
      <c r="I224" t="s">
        <v>289</v>
      </c>
      <c r="J224" t="s">
        <v>301</v>
      </c>
      <c r="K224">
        <v>7</v>
      </c>
      <c r="L224" s="6">
        <v>2.1335999999999999</v>
      </c>
      <c r="M224" s="7">
        <v>25.4</v>
      </c>
      <c r="N224" s="7">
        <v>139.69999999999999</v>
      </c>
      <c r="O224" s="7">
        <f t="shared" si="16"/>
        <v>84</v>
      </c>
      <c r="P224" s="7">
        <f t="shared" si="17"/>
        <v>1</v>
      </c>
      <c r="Q224" s="7">
        <f t="shared" si="17"/>
        <v>5.5</v>
      </c>
      <c r="R224" s="6">
        <f t="shared" si="18"/>
        <v>924.60199999999998</v>
      </c>
      <c r="S224" s="6">
        <f t="shared" si="20"/>
        <v>7.5708235679999986E-3</v>
      </c>
      <c r="T224" t="str">
        <f t="shared" si="19"/>
        <v>Cumaru Grooved 5/4x6 Short</v>
      </c>
    </row>
    <row r="225" spans="1:20" x14ac:dyDescent="0.25">
      <c r="A225" t="s">
        <v>531</v>
      </c>
      <c r="B225" t="s">
        <v>532</v>
      </c>
      <c r="C225" t="s">
        <v>283</v>
      </c>
      <c r="D225" t="s">
        <v>438</v>
      </c>
      <c r="E225" t="s">
        <v>554</v>
      </c>
      <c r="F225" t="s">
        <v>534</v>
      </c>
      <c r="G225" t="s">
        <v>531</v>
      </c>
      <c r="H225" t="s">
        <v>324</v>
      </c>
      <c r="I225" t="s">
        <v>289</v>
      </c>
      <c r="J225" t="s">
        <v>301</v>
      </c>
      <c r="K225">
        <v>8</v>
      </c>
      <c r="L225" s="6">
        <v>2.4384000000000001</v>
      </c>
      <c r="M225" s="7">
        <v>25.4</v>
      </c>
      <c r="N225" s="7">
        <v>139.69999999999999</v>
      </c>
      <c r="O225" s="7">
        <f t="shared" si="16"/>
        <v>96.000000000000014</v>
      </c>
      <c r="P225" s="7">
        <f t="shared" si="17"/>
        <v>1</v>
      </c>
      <c r="Q225" s="7">
        <f t="shared" si="17"/>
        <v>5.5</v>
      </c>
      <c r="R225" s="6">
        <f t="shared" si="18"/>
        <v>924.60199999999998</v>
      </c>
      <c r="S225" s="6">
        <f t="shared" si="20"/>
        <v>8.6523697920000003E-3</v>
      </c>
      <c r="T225" t="str">
        <f t="shared" si="19"/>
        <v>Cumaru Grooved 5/4x6 Long</v>
      </c>
    </row>
    <row r="226" spans="1:20" x14ac:dyDescent="0.25">
      <c r="A226" t="s">
        <v>531</v>
      </c>
      <c r="B226" t="s">
        <v>532</v>
      </c>
      <c r="C226" t="s">
        <v>283</v>
      </c>
      <c r="D226" t="s">
        <v>438</v>
      </c>
      <c r="E226" t="s">
        <v>555</v>
      </c>
      <c r="F226" t="s">
        <v>534</v>
      </c>
      <c r="G226" t="s">
        <v>531</v>
      </c>
      <c r="H226" t="s">
        <v>324</v>
      </c>
      <c r="I226" t="s">
        <v>289</v>
      </c>
      <c r="J226" t="s">
        <v>301</v>
      </c>
      <c r="K226">
        <v>9</v>
      </c>
      <c r="L226" s="6">
        <v>2.7431999999999999</v>
      </c>
      <c r="M226" s="7">
        <v>25.4</v>
      </c>
      <c r="N226" s="7">
        <v>139.69999999999999</v>
      </c>
      <c r="O226" s="7">
        <f t="shared" si="16"/>
        <v>108</v>
      </c>
      <c r="P226" s="7">
        <f t="shared" si="17"/>
        <v>1</v>
      </c>
      <c r="Q226" s="7">
        <f t="shared" si="17"/>
        <v>5.5</v>
      </c>
      <c r="R226" s="6">
        <f t="shared" si="18"/>
        <v>924.60199999999998</v>
      </c>
      <c r="S226" s="6">
        <f t="shared" si="20"/>
        <v>9.7339160159999986E-3</v>
      </c>
      <c r="T226" t="str">
        <f t="shared" si="19"/>
        <v>Cumaru Grooved 5/4x6 Long</v>
      </c>
    </row>
    <row r="227" spans="1:20" x14ac:dyDescent="0.25">
      <c r="A227" t="s">
        <v>531</v>
      </c>
      <c r="B227" t="s">
        <v>532</v>
      </c>
      <c r="C227" t="s">
        <v>283</v>
      </c>
      <c r="D227" t="s">
        <v>438</v>
      </c>
      <c r="E227" t="s">
        <v>556</v>
      </c>
      <c r="F227" t="s">
        <v>557</v>
      </c>
      <c r="G227" t="s">
        <v>531</v>
      </c>
      <c r="H227" t="s">
        <v>288</v>
      </c>
      <c r="I227" t="s">
        <v>289</v>
      </c>
      <c r="J227" t="s">
        <v>301</v>
      </c>
      <c r="K227">
        <v>10</v>
      </c>
      <c r="L227" s="6">
        <v>3.048</v>
      </c>
      <c r="M227" s="7">
        <v>26</v>
      </c>
      <c r="N227" s="7">
        <v>160</v>
      </c>
      <c r="O227" s="7">
        <f t="shared" si="16"/>
        <v>120</v>
      </c>
      <c r="P227" s="7">
        <f t="shared" si="17"/>
        <v>1.0236220472440944</v>
      </c>
      <c r="Q227" s="7">
        <f t="shared" si="17"/>
        <v>6.2992125984251972</v>
      </c>
      <c r="R227" s="6">
        <f t="shared" si="18"/>
        <v>788.66300000000001</v>
      </c>
      <c r="S227" s="6">
        <f t="shared" si="20"/>
        <v>1.2679679999999999E-2</v>
      </c>
      <c r="T227" t="str">
        <f t="shared" si="19"/>
        <v>Cumaru Rough Sawn 5/4x6 Long</v>
      </c>
    </row>
    <row r="228" spans="1:20" x14ac:dyDescent="0.25">
      <c r="A228" t="s">
        <v>531</v>
      </c>
      <c r="B228" t="s">
        <v>532</v>
      </c>
      <c r="C228" t="s">
        <v>283</v>
      </c>
      <c r="D228" t="s">
        <v>438</v>
      </c>
      <c r="E228" t="s">
        <v>558</v>
      </c>
      <c r="F228" t="s">
        <v>557</v>
      </c>
      <c r="G228" t="s">
        <v>531</v>
      </c>
      <c r="H228" t="s">
        <v>288</v>
      </c>
      <c r="I228" t="s">
        <v>289</v>
      </c>
      <c r="J228" t="s">
        <v>301</v>
      </c>
      <c r="K228">
        <v>11</v>
      </c>
      <c r="L228" s="6">
        <v>3.3528000000000002</v>
      </c>
      <c r="M228" s="7">
        <v>26</v>
      </c>
      <c r="N228" s="7">
        <v>160</v>
      </c>
      <c r="O228" s="7">
        <f t="shared" si="16"/>
        <v>132</v>
      </c>
      <c r="P228" s="7">
        <f t="shared" si="17"/>
        <v>1.0236220472440944</v>
      </c>
      <c r="Q228" s="7">
        <f t="shared" si="17"/>
        <v>6.2992125984251972</v>
      </c>
      <c r="R228" s="6">
        <f t="shared" si="18"/>
        <v>788.66300000000001</v>
      </c>
      <c r="S228" s="6">
        <f t="shared" si="20"/>
        <v>1.3947648000000002E-2</v>
      </c>
      <c r="T228" t="str">
        <f t="shared" si="19"/>
        <v>Cumaru Rough Sawn 5/4x6 Long</v>
      </c>
    </row>
    <row r="229" spans="1:20" x14ac:dyDescent="0.25">
      <c r="A229" t="s">
        <v>531</v>
      </c>
      <c r="B229" t="s">
        <v>532</v>
      </c>
      <c r="C229" t="s">
        <v>283</v>
      </c>
      <c r="D229" t="s">
        <v>438</v>
      </c>
      <c r="E229" t="s">
        <v>559</v>
      </c>
      <c r="F229" t="s">
        <v>557</v>
      </c>
      <c r="G229" t="s">
        <v>531</v>
      </c>
      <c r="H229" t="s">
        <v>288</v>
      </c>
      <c r="I229" t="s">
        <v>289</v>
      </c>
      <c r="J229" t="s">
        <v>301</v>
      </c>
      <c r="K229">
        <v>12</v>
      </c>
      <c r="L229" s="6">
        <v>3.6576000000000004</v>
      </c>
      <c r="M229" s="7">
        <v>26</v>
      </c>
      <c r="N229" s="7">
        <v>160</v>
      </c>
      <c r="O229" s="7">
        <f t="shared" si="16"/>
        <v>144.00000000000003</v>
      </c>
      <c r="P229" s="7">
        <f t="shared" si="17"/>
        <v>1.0236220472440944</v>
      </c>
      <c r="Q229" s="7">
        <f t="shared" si="17"/>
        <v>6.2992125984251972</v>
      </c>
      <c r="R229" s="6">
        <f t="shared" si="18"/>
        <v>788.66300000000001</v>
      </c>
      <c r="S229" s="6">
        <f t="shared" si="20"/>
        <v>1.5215616000000003E-2</v>
      </c>
      <c r="T229" t="str">
        <f t="shared" si="19"/>
        <v>Cumaru Rough Sawn 5/4x6 Long</v>
      </c>
    </row>
    <row r="230" spans="1:20" x14ac:dyDescent="0.25">
      <c r="A230" t="s">
        <v>531</v>
      </c>
      <c r="B230" t="s">
        <v>532</v>
      </c>
      <c r="C230" t="s">
        <v>283</v>
      </c>
      <c r="D230" t="s">
        <v>438</v>
      </c>
      <c r="E230" t="s">
        <v>560</v>
      </c>
      <c r="F230" t="s">
        <v>557</v>
      </c>
      <c r="G230" t="s">
        <v>531</v>
      </c>
      <c r="H230" t="s">
        <v>288</v>
      </c>
      <c r="I230" t="s">
        <v>289</v>
      </c>
      <c r="J230" t="s">
        <v>301</v>
      </c>
      <c r="K230">
        <v>13</v>
      </c>
      <c r="L230" s="6">
        <v>3.9624000000000001</v>
      </c>
      <c r="M230" s="7">
        <v>26</v>
      </c>
      <c r="N230" s="7">
        <v>160</v>
      </c>
      <c r="O230" s="7">
        <f t="shared" si="16"/>
        <v>156</v>
      </c>
      <c r="P230" s="7">
        <f t="shared" si="17"/>
        <v>1.0236220472440944</v>
      </c>
      <c r="Q230" s="7">
        <f t="shared" si="17"/>
        <v>6.2992125984251972</v>
      </c>
      <c r="R230" s="6">
        <f t="shared" si="18"/>
        <v>788.66300000000001</v>
      </c>
      <c r="S230" s="6">
        <f t="shared" si="20"/>
        <v>1.6483583999999999E-2</v>
      </c>
      <c r="T230" t="str">
        <f t="shared" si="19"/>
        <v>Cumaru Rough Sawn 5/4x6 Long</v>
      </c>
    </row>
    <row r="231" spans="1:20" x14ac:dyDescent="0.25">
      <c r="A231" t="s">
        <v>531</v>
      </c>
      <c r="B231" t="s">
        <v>532</v>
      </c>
      <c r="C231" t="s">
        <v>283</v>
      </c>
      <c r="D231" t="s">
        <v>438</v>
      </c>
      <c r="E231" t="s">
        <v>561</v>
      </c>
      <c r="F231" t="s">
        <v>557</v>
      </c>
      <c r="G231" t="s">
        <v>531</v>
      </c>
      <c r="H231" t="s">
        <v>288</v>
      </c>
      <c r="I231" t="s">
        <v>289</v>
      </c>
      <c r="J231" t="s">
        <v>301</v>
      </c>
      <c r="K231">
        <v>14</v>
      </c>
      <c r="L231" s="6">
        <v>4.2671999999999999</v>
      </c>
      <c r="M231" s="7">
        <v>26</v>
      </c>
      <c r="N231" s="7">
        <v>160</v>
      </c>
      <c r="O231" s="7">
        <f t="shared" si="16"/>
        <v>168</v>
      </c>
      <c r="P231" s="7">
        <f t="shared" si="17"/>
        <v>1.0236220472440944</v>
      </c>
      <c r="Q231" s="7">
        <f t="shared" si="17"/>
        <v>6.2992125984251972</v>
      </c>
      <c r="R231" s="6">
        <f t="shared" si="18"/>
        <v>788.66300000000001</v>
      </c>
      <c r="S231" s="6">
        <f t="shared" si="20"/>
        <v>1.7751552E-2</v>
      </c>
      <c r="T231" t="str">
        <f t="shared" si="19"/>
        <v>Cumaru Rough Sawn 5/4x6 Long</v>
      </c>
    </row>
    <row r="232" spans="1:20" x14ac:dyDescent="0.25">
      <c r="A232" t="s">
        <v>531</v>
      </c>
      <c r="B232" t="s">
        <v>532</v>
      </c>
      <c r="C232" t="s">
        <v>283</v>
      </c>
      <c r="D232" t="s">
        <v>438</v>
      </c>
      <c r="E232" t="s">
        <v>562</v>
      </c>
      <c r="F232" t="s">
        <v>557</v>
      </c>
      <c r="G232" t="s">
        <v>531</v>
      </c>
      <c r="H232" t="s">
        <v>288</v>
      </c>
      <c r="I232" t="s">
        <v>289</v>
      </c>
      <c r="J232" t="s">
        <v>301</v>
      </c>
      <c r="K232">
        <v>15</v>
      </c>
      <c r="L232" s="6">
        <v>4.5720000000000001</v>
      </c>
      <c r="M232" s="7">
        <v>26</v>
      </c>
      <c r="N232" s="7">
        <v>160</v>
      </c>
      <c r="O232" s="7">
        <f t="shared" si="16"/>
        <v>180</v>
      </c>
      <c r="P232" s="7">
        <f t="shared" si="17"/>
        <v>1.0236220472440944</v>
      </c>
      <c r="Q232" s="7">
        <f t="shared" si="17"/>
        <v>6.2992125984251972</v>
      </c>
      <c r="R232" s="6">
        <f t="shared" si="18"/>
        <v>788.66300000000001</v>
      </c>
      <c r="S232" s="6">
        <f t="shared" si="20"/>
        <v>1.9019520000000002E-2</v>
      </c>
      <c r="T232" t="str">
        <f t="shared" si="19"/>
        <v>Cumaru Rough Sawn 5/4x6 Long</v>
      </c>
    </row>
    <row r="233" spans="1:20" x14ac:dyDescent="0.25">
      <c r="A233" t="s">
        <v>531</v>
      </c>
      <c r="B233" t="s">
        <v>532</v>
      </c>
      <c r="C233" t="s">
        <v>283</v>
      </c>
      <c r="D233" t="s">
        <v>438</v>
      </c>
      <c r="E233" t="s">
        <v>563</v>
      </c>
      <c r="F233" t="s">
        <v>557</v>
      </c>
      <c r="G233" t="s">
        <v>531</v>
      </c>
      <c r="H233" t="s">
        <v>288</v>
      </c>
      <c r="I233" t="s">
        <v>289</v>
      </c>
      <c r="J233" t="s">
        <v>301</v>
      </c>
      <c r="K233">
        <v>16</v>
      </c>
      <c r="L233" s="6">
        <v>4.8768000000000002</v>
      </c>
      <c r="M233" s="7">
        <v>26</v>
      </c>
      <c r="N233" s="7">
        <v>160</v>
      </c>
      <c r="O233" s="7">
        <f t="shared" si="16"/>
        <v>192.00000000000003</v>
      </c>
      <c r="P233" s="7">
        <f t="shared" si="17"/>
        <v>1.0236220472440944</v>
      </c>
      <c r="Q233" s="7">
        <f t="shared" si="17"/>
        <v>6.2992125984251972</v>
      </c>
      <c r="R233" s="6">
        <f t="shared" si="18"/>
        <v>788.66300000000001</v>
      </c>
      <c r="S233" s="6">
        <f t="shared" si="20"/>
        <v>2.0287488000000003E-2</v>
      </c>
      <c r="T233" t="str">
        <f t="shared" si="19"/>
        <v>Cumaru Rough Sawn 5/4x6 Long</v>
      </c>
    </row>
    <row r="234" spans="1:20" x14ac:dyDescent="0.25">
      <c r="A234" t="s">
        <v>531</v>
      </c>
      <c r="B234" t="s">
        <v>532</v>
      </c>
      <c r="C234" t="s">
        <v>283</v>
      </c>
      <c r="D234" t="s">
        <v>438</v>
      </c>
      <c r="E234" t="s">
        <v>564</v>
      </c>
      <c r="F234" t="s">
        <v>557</v>
      </c>
      <c r="G234" t="s">
        <v>531</v>
      </c>
      <c r="H234" t="s">
        <v>288</v>
      </c>
      <c r="I234" t="s">
        <v>289</v>
      </c>
      <c r="J234" t="s">
        <v>301</v>
      </c>
      <c r="K234">
        <v>17</v>
      </c>
      <c r="L234" s="6">
        <v>5.1816000000000004</v>
      </c>
      <c r="M234" s="7">
        <v>26</v>
      </c>
      <c r="N234" s="7">
        <v>160</v>
      </c>
      <c r="O234" s="7">
        <f t="shared" si="16"/>
        <v>204.00000000000003</v>
      </c>
      <c r="P234" s="7">
        <f t="shared" si="17"/>
        <v>1.0236220472440944</v>
      </c>
      <c r="Q234" s="7">
        <f t="shared" si="17"/>
        <v>6.2992125984251972</v>
      </c>
      <c r="R234" s="6">
        <f t="shared" si="18"/>
        <v>788.66300000000001</v>
      </c>
      <c r="S234" s="6">
        <f t="shared" si="20"/>
        <v>2.1555456000000004E-2</v>
      </c>
      <c r="T234" t="str">
        <f t="shared" si="19"/>
        <v>Cumaru Rough Sawn 5/4x6 Long</v>
      </c>
    </row>
    <row r="235" spans="1:20" x14ac:dyDescent="0.25">
      <c r="A235" t="s">
        <v>531</v>
      </c>
      <c r="B235" t="s">
        <v>532</v>
      </c>
      <c r="C235" t="s">
        <v>283</v>
      </c>
      <c r="D235" t="s">
        <v>438</v>
      </c>
      <c r="E235" t="s">
        <v>565</v>
      </c>
      <c r="F235" t="s">
        <v>557</v>
      </c>
      <c r="G235" t="s">
        <v>531</v>
      </c>
      <c r="H235" t="s">
        <v>288</v>
      </c>
      <c r="I235" t="s">
        <v>289</v>
      </c>
      <c r="J235" t="s">
        <v>301</v>
      </c>
      <c r="K235">
        <v>18</v>
      </c>
      <c r="L235" s="6">
        <v>5.4864000000000006</v>
      </c>
      <c r="M235" s="7">
        <v>26</v>
      </c>
      <c r="N235" s="7">
        <v>160</v>
      </c>
      <c r="O235" s="7">
        <f t="shared" si="16"/>
        <v>216.00000000000003</v>
      </c>
      <c r="P235" s="7">
        <f t="shared" si="17"/>
        <v>1.0236220472440944</v>
      </c>
      <c r="Q235" s="7">
        <f t="shared" si="17"/>
        <v>6.2992125984251972</v>
      </c>
      <c r="R235" s="6">
        <f t="shared" si="18"/>
        <v>788.66300000000001</v>
      </c>
      <c r="S235" s="6">
        <f t="shared" si="20"/>
        <v>2.2823424000000005E-2</v>
      </c>
      <c r="T235" t="str">
        <f t="shared" si="19"/>
        <v>Cumaru Rough Sawn 5/4x6 Long</v>
      </c>
    </row>
    <row r="236" spans="1:20" x14ac:dyDescent="0.25">
      <c r="A236" t="s">
        <v>531</v>
      </c>
      <c r="B236" t="s">
        <v>532</v>
      </c>
      <c r="C236" t="s">
        <v>283</v>
      </c>
      <c r="D236" t="s">
        <v>438</v>
      </c>
      <c r="E236" t="s">
        <v>566</v>
      </c>
      <c r="F236" t="s">
        <v>557</v>
      </c>
      <c r="G236" t="s">
        <v>531</v>
      </c>
      <c r="H236" t="s">
        <v>288</v>
      </c>
      <c r="I236" t="s">
        <v>289</v>
      </c>
      <c r="J236" t="s">
        <v>301</v>
      </c>
      <c r="K236">
        <v>19</v>
      </c>
      <c r="L236" s="6">
        <v>5.7911999999999999</v>
      </c>
      <c r="M236" s="7">
        <v>26</v>
      </c>
      <c r="N236" s="7">
        <v>160</v>
      </c>
      <c r="O236" s="7">
        <f t="shared" si="16"/>
        <v>228</v>
      </c>
      <c r="P236" s="7">
        <f t="shared" si="17"/>
        <v>1.0236220472440944</v>
      </c>
      <c r="Q236" s="7">
        <f t="shared" si="17"/>
        <v>6.2992125984251972</v>
      </c>
      <c r="R236" s="6">
        <f t="shared" si="18"/>
        <v>788.66300000000001</v>
      </c>
      <c r="S236" s="6">
        <f t="shared" si="20"/>
        <v>2.4091392000000003E-2</v>
      </c>
      <c r="T236" t="str">
        <f t="shared" si="19"/>
        <v>Cumaru Rough Sawn 5/4x6 Long</v>
      </c>
    </row>
    <row r="237" spans="1:20" x14ac:dyDescent="0.25">
      <c r="A237" t="s">
        <v>531</v>
      </c>
      <c r="B237" t="s">
        <v>532</v>
      </c>
      <c r="C237" t="s">
        <v>283</v>
      </c>
      <c r="D237" t="s">
        <v>438</v>
      </c>
      <c r="E237" t="s">
        <v>567</v>
      </c>
      <c r="F237" t="s">
        <v>557</v>
      </c>
      <c r="G237" t="s">
        <v>531</v>
      </c>
      <c r="H237" t="s">
        <v>288</v>
      </c>
      <c r="I237" t="s">
        <v>289</v>
      </c>
      <c r="J237" t="s">
        <v>301</v>
      </c>
      <c r="K237">
        <v>20</v>
      </c>
      <c r="L237" s="6">
        <v>6.0960000000000001</v>
      </c>
      <c r="M237" s="7">
        <v>26</v>
      </c>
      <c r="N237" s="7">
        <v>160</v>
      </c>
      <c r="O237" s="7">
        <f t="shared" si="16"/>
        <v>240</v>
      </c>
      <c r="P237" s="7">
        <f t="shared" si="17"/>
        <v>1.0236220472440944</v>
      </c>
      <c r="Q237" s="7">
        <f t="shared" si="17"/>
        <v>6.2992125984251972</v>
      </c>
      <c r="R237" s="6">
        <f t="shared" si="18"/>
        <v>788.66300000000001</v>
      </c>
      <c r="S237" s="6">
        <f t="shared" si="20"/>
        <v>2.5359359999999997E-2</v>
      </c>
      <c r="T237" t="str">
        <f t="shared" si="19"/>
        <v>Cumaru Rough Sawn 5/4x6 Long</v>
      </c>
    </row>
    <row r="238" spans="1:20" x14ac:dyDescent="0.25">
      <c r="A238" t="s">
        <v>531</v>
      </c>
      <c r="B238" t="s">
        <v>532</v>
      </c>
      <c r="C238" t="s">
        <v>283</v>
      </c>
      <c r="D238" t="s">
        <v>438</v>
      </c>
      <c r="E238" t="s">
        <v>568</v>
      </c>
      <c r="F238" t="s">
        <v>557</v>
      </c>
      <c r="G238" t="s">
        <v>531</v>
      </c>
      <c r="H238" t="s">
        <v>288</v>
      </c>
      <c r="I238" t="s">
        <v>289</v>
      </c>
      <c r="J238" t="s">
        <v>301</v>
      </c>
      <c r="K238">
        <v>21</v>
      </c>
      <c r="L238" s="6">
        <v>6.4008000000000003</v>
      </c>
      <c r="M238" s="7">
        <v>26</v>
      </c>
      <c r="N238" s="7">
        <v>160</v>
      </c>
      <c r="O238" s="7">
        <f t="shared" si="16"/>
        <v>252.00000000000003</v>
      </c>
      <c r="P238" s="7">
        <f t="shared" si="17"/>
        <v>1.0236220472440944</v>
      </c>
      <c r="Q238" s="7">
        <f t="shared" si="17"/>
        <v>6.2992125984251972</v>
      </c>
      <c r="R238" s="6">
        <f t="shared" si="18"/>
        <v>788.66300000000001</v>
      </c>
      <c r="S238" s="6">
        <f t="shared" si="20"/>
        <v>2.6627328000000002E-2</v>
      </c>
      <c r="T238" t="str">
        <f t="shared" si="19"/>
        <v>Cumaru Rough Sawn 5/4x6 Long</v>
      </c>
    </row>
    <row r="239" spans="1:20" x14ac:dyDescent="0.25">
      <c r="A239" t="s">
        <v>531</v>
      </c>
      <c r="B239" t="s">
        <v>532</v>
      </c>
      <c r="C239" t="s">
        <v>283</v>
      </c>
      <c r="D239" t="s">
        <v>438</v>
      </c>
      <c r="E239" t="s">
        <v>569</v>
      </c>
      <c r="F239" t="s">
        <v>557</v>
      </c>
      <c r="G239" t="s">
        <v>531</v>
      </c>
      <c r="H239" t="s">
        <v>288</v>
      </c>
      <c r="I239" t="s">
        <v>289</v>
      </c>
      <c r="J239" t="s">
        <v>301</v>
      </c>
      <c r="K239">
        <v>22</v>
      </c>
      <c r="L239" s="6">
        <v>6.7056000000000004</v>
      </c>
      <c r="M239" s="7">
        <v>26</v>
      </c>
      <c r="N239" s="7">
        <v>160</v>
      </c>
      <c r="O239" s="7">
        <f t="shared" si="16"/>
        <v>264</v>
      </c>
      <c r="P239" s="7">
        <f t="shared" si="17"/>
        <v>1.0236220472440944</v>
      </c>
      <c r="Q239" s="7">
        <f t="shared" si="17"/>
        <v>6.2992125984251972</v>
      </c>
      <c r="R239" s="6">
        <f t="shared" si="18"/>
        <v>788.66300000000001</v>
      </c>
      <c r="S239" s="6">
        <f t="shared" si="20"/>
        <v>2.7895296000000003E-2</v>
      </c>
      <c r="T239" t="str">
        <f t="shared" si="19"/>
        <v>Cumaru Rough Sawn 5/4x6 Long</v>
      </c>
    </row>
    <row r="240" spans="1:20" x14ac:dyDescent="0.25">
      <c r="A240" t="s">
        <v>531</v>
      </c>
      <c r="B240" t="s">
        <v>532</v>
      </c>
      <c r="C240" t="s">
        <v>283</v>
      </c>
      <c r="D240" t="s">
        <v>438</v>
      </c>
      <c r="E240" t="s">
        <v>570</v>
      </c>
      <c r="F240" t="s">
        <v>557</v>
      </c>
      <c r="G240" t="s">
        <v>531</v>
      </c>
      <c r="H240" t="s">
        <v>288</v>
      </c>
      <c r="I240" t="s">
        <v>289</v>
      </c>
      <c r="J240" t="s">
        <v>301</v>
      </c>
      <c r="K240">
        <v>23</v>
      </c>
      <c r="L240" s="6">
        <v>7.0104000000000006</v>
      </c>
      <c r="M240" s="7">
        <v>26</v>
      </c>
      <c r="N240" s="7">
        <v>160</v>
      </c>
      <c r="O240" s="7">
        <f t="shared" si="16"/>
        <v>276.00000000000006</v>
      </c>
      <c r="P240" s="7">
        <f t="shared" si="17"/>
        <v>1.0236220472440944</v>
      </c>
      <c r="Q240" s="7">
        <f t="shared" si="17"/>
        <v>6.2992125984251972</v>
      </c>
      <c r="R240" s="6">
        <f t="shared" si="18"/>
        <v>788.66300000000001</v>
      </c>
      <c r="S240" s="6">
        <f t="shared" si="20"/>
        <v>2.9163264000000005E-2</v>
      </c>
      <c r="T240" t="str">
        <f t="shared" si="19"/>
        <v>Cumaru Rough Sawn 5/4x6 Long</v>
      </c>
    </row>
    <row r="241" spans="1:20" x14ac:dyDescent="0.25">
      <c r="A241" t="s">
        <v>531</v>
      </c>
      <c r="B241" t="s">
        <v>532</v>
      </c>
      <c r="C241" t="s">
        <v>283</v>
      </c>
      <c r="D241" t="s">
        <v>438</v>
      </c>
      <c r="E241" t="s">
        <v>571</v>
      </c>
      <c r="F241" t="s">
        <v>557</v>
      </c>
      <c r="G241" t="s">
        <v>531</v>
      </c>
      <c r="H241" t="s">
        <v>288</v>
      </c>
      <c r="I241" t="s">
        <v>289</v>
      </c>
      <c r="J241" t="s">
        <v>301</v>
      </c>
      <c r="K241">
        <v>24</v>
      </c>
      <c r="L241" s="6">
        <v>7.3152000000000008</v>
      </c>
      <c r="M241" s="7">
        <v>26</v>
      </c>
      <c r="N241" s="7">
        <v>160</v>
      </c>
      <c r="O241" s="7">
        <f t="shared" si="16"/>
        <v>288.00000000000006</v>
      </c>
      <c r="P241" s="7">
        <f t="shared" si="17"/>
        <v>1.0236220472440944</v>
      </c>
      <c r="Q241" s="7">
        <f t="shared" si="17"/>
        <v>6.2992125984251972</v>
      </c>
      <c r="R241" s="6">
        <f t="shared" si="18"/>
        <v>788.66300000000001</v>
      </c>
      <c r="S241" s="6">
        <f t="shared" si="20"/>
        <v>3.0431232000000006E-2</v>
      </c>
      <c r="T241" t="str">
        <f t="shared" si="19"/>
        <v>Cumaru Rough Sawn 5/4x6 Long</v>
      </c>
    </row>
    <row r="242" spans="1:20" x14ac:dyDescent="0.25">
      <c r="A242" t="s">
        <v>531</v>
      </c>
      <c r="B242" t="s">
        <v>532</v>
      </c>
      <c r="C242" t="s">
        <v>524</v>
      </c>
      <c r="D242" t="s">
        <v>438</v>
      </c>
      <c r="E242" t="s">
        <v>572</v>
      </c>
      <c r="F242" t="s">
        <v>557</v>
      </c>
      <c r="G242" t="s">
        <v>531</v>
      </c>
      <c r="H242" t="s">
        <v>288</v>
      </c>
      <c r="I242" t="s">
        <v>289</v>
      </c>
      <c r="J242" t="s">
        <v>301</v>
      </c>
      <c r="K242">
        <v>3</v>
      </c>
      <c r="L242" s="6">
        <v>0.9144000000000001</v>
      </c>
      <c r="M242" s="7">
        <v>26</v>
      </c>
      <c r="N242" s="7">
        <v>160</v>
      </c>
      <c r="O242" s="7">
        <f t="shared" si="16"/>
        <v>36.000000000000007</v>
      </c>
      <c r="P242" s="7">
        <f t="shared" si="17"/>
        <v>1.0236220472440944</v>
      </c>
      <c r="Q242" s="7">
        <f t="shared" si="17"/>
        <v>6.2992125984251972</v>
      </c>
      <c r="R242" s="6">
        <f t="shared" si="18"/>
        <v>788.66300000000001</v>
      </c>
      <c r="S242" s="6">
        <f t="shared" si="20"/>
        <v>3.8039040000000007E-3</v>
      </c>
      <c r="T242" t="str">
        <f t="shared" si="19"/>
        <v>Cumaru Rough Sawn 5/4x6 Short</v>
      </c>
    </row>
    <row r="243" spans="1:20" x14ac:dyDescent="0.25">
      <c r="A243" t="s">
        <v>531</v>
      </c>
      <c r="B243" t="s">
        <v>532</v>
      </c>
      <c r="C243" t="s">
        <v>524</v>
      </c>
      <c r="D243" t="s">
        <v>438</v>
      </c>
      <c r="E243" t="s">
        <v>573</v>
      </c>
      <c r="F243" t="s">
        <v>557</v>
      </c>
      <c r="G243" t="s">
        <v>531</v>
      </c>
      <c r="H243" t="s">
        <v>288</v>
      </c>
      <c r="I243" t="s">
        <v>289</v>
      </c>
      <c r="J243" t="s">
        <v>301</v>
      </c>
      <c r="K243">
        <v>4</v>
      </c>
      <c r="L243" s="6">
        <v>1.2192000000000001</v>
      </c>
      <c r="M243" s="7">
        <v>26</v>
      </c>
      <c r="N243" s="7">
        <v>160</v>
      </c>
      <c r="O243" s="7">
        <f t="shared" si="16"/>
        <v>48.000000000000007</v>
      </c>
      <c r="P243" s="7">
        <f t="shared" si="17"/>
        <v>1.0236220472440944</v>
      </c>
      <c r="Q243" s="7">
        <f t="shared" si="17"/>
        <v>6.2992125984251972</v>
      </c>
      <c r="R243" s="6">
        <f t="shared" si="18"/>
        <v>788.66300000000001</v>
      </c>
      <c r="S243" s="6">
        <f t="shared" si="20"/>
        <v>5.0718720000000007E-3</v>
      </c>
      <c r="T243" t="str">
        <f t="shared" si="19"/>
        <v>Cumaru Rough Sawn 5/4x6 Short</v>
      </c>
    </row>
    <row r="244" spans="1:20" x14ac:dyDescent="0.25">
      <c r="A244" t="s">
        <v>531</v>
      </c>
      <c r="B244" t="s">
        <v>532</v>
      </c>
      <c r="C244" t="s">
        <v>524</v>
      </c>
      <c r="D244" t="s">
        <v>438</v>
      </c>
      <c r="E244" t="s">
        <v>574</v>
      </c>
      <c r="F244" t="s">
        <v>557</v>
      </c>
      <c r="G244" t="s">
        <v>531</v>
      </c>
      <c r="H244" t="s">
        <v>288</v>
      </c>
      <c r="I244" t="s">
        <v>289</v>
      </c>
      <c r="J244" t="s">
        <v>301</v>
      </c>
      <c r="K244">
        <v>5</v>
      </c>
      <c r="L244" s="6">
        <v>1.524</v>
      </c>
      <c r="M244" s="7">
        <v>26</v>
      </c>
      <c r="N244" s="7">
        <v>160</v>
      </c>
      <c r="O244" s="7">
        <f t="shared" si="16"/>
        <v>60</v>
      </c>
      <c r="P244" s="7">
        <f t="shared" si="17"/>
        <v>1.0236220472440944</v>
      </c>
      <c r="Q244" s="7">
        <f t="shared" si="17"/>
        <v>6.2992125984251972</v>
      </c>
      <c r="R244" s="6">
        <f t="shared" si="18"/>
        <v>788.66300000000001</v>
      </c>
      <c r="S244" s="6">
        <f t="shared" si="20"/>
        <v>6.3398399999999994E-3</v>
      </c>
      <c r="T244" t="str">
        <f t="shared" si="19"/>
        <v>Cumaru Rough Sawn 5/4x6 Short</v>
      </c>
    </row>
    <row r="245" spans="1:20" x14ac:dyDescent="0.25">
      <c r="A245" t="s">
        <v>531</v>
      </c>
      <c r="B245" t="s">
        <v>532</v>
      </c>
      <c r="C245" t="s">
        <v>524</v>
      </c>
      <c r="D245" t="s">
        <v>438</v>
      </c>
      <c r="E245" t="s">
        <v>575</v>
      </c>
      <c r="F245" t="s">
        <v>557</v>
      </c>
      <c r="G245" t="s">
        <v>531</v>
      </c>
      <c r="H245" t="s">
        <v>288</v>
      </c>
      <c r="I245" t="s">
        <v>289</v>
      </c>
      <c r="J245" t="s">
        <v>301</v>
      </c>
      <c r="K245">
        <v>6</v>
      </c>
      <c r="L245" s="6">
        <v>1.8288000000000002</v>
      </c>
      <c r="M245" s="7">
        <v>26</v>
      </c>
      <c r="N245" s="7">
        <v>160</v>
      </c>
      <c r="O245" s="7">
        <f t="shared" si="16"/>
        <v>72.000000000000014</v>
      </c>
      <c r="P245" s="7">
        <f t="shared" si="17"/>
        <v>1.0236220472440944</v>
      </c>
      <c r="Q245" s="7">
        <f t="shared" si="17"/>
        <v>6.2992125984251972</v>
      </c>
      <c r="R245" s="6">
        <f t="shared" si="18"/>
        <v>788.66300000000001</v>
      </c>
      <c r="S245" s="6">
        <f t="shared" si="20"/>
        <v>7.6078080000000015E-3</v>
      </c>
      <c r="T245" t="str">
        <f t="shared" si="19"/>
        <v>Cumaru Rough Sawn 5/4x6 Short</v>
      </c>
    </row>
    <row r="246" spans="1:20" x14ac:dyDescent="0.25">
      <c r="A246" t="s">
        <v>531</v>
      </c>
      <c r="B246" t="s">
        <v>532</v>
      </c>
      <c r="C246" t="s">
        <v>524</v>
      </c>
      <c r="D246" t="s">
        <v>438</v>
      </c>
      <c r="E246" t="s">
        <v>576</v>
      </c>
      <c r="F246" t="s">
        <v>557</v>
      </c>
      <c r="G246" t="s">
        <v>531</v>
      </c>
      <c r="H246" t="s">
        <v>288</v>
      </c>
      <c r="I246" t="s">
        <v>289</v>
      </c>
      <c r="J246" t="s">
        <v>301</v>
      </c>
      <c r="K246">
        <v>7</v>
      </c>
      <c r="L246" s="6">
        <v>2.1335999999999999</v>
      </c>
      <c r="M246" s="7">
        <v>26</v>
      </c>
      <c r="N246" s="7">
        <v>160</v>
      </c>
      <c r="O246" s="7">
        <f t="shared" si="16"/>
        <v>84</v>
      </c>
      <c r="P246" s="7">
        <f t="shared" si="17"/>
        <v>1.0236220472440944</v>
      </c>
      <c r="Q246" s="7">
        <f t="shared" si="17"/>
        <v>6.2992125984251972</v>
      </c>
      <c r="R246" s="6">
        <f t="shared" si="18"/>
        <v>788.66300000000001</v>
      </c>
      <c r="S246" s="6">
        <f t="shared" si="20"/>
        <v>8.8757760000000002E-3</v>
      </c>
      <c r="T246" t="str">
        <f t="shared" si="19"/>
        <v>Cumaru Rough Sawn 5/4x6 Short</v>
      </c>
    </row>
    <row r="247" spans="1:20" x14ac:dyDescent="0.25">
      <c r="A247" t="s">
        <v>531</v>
      </c>
      <c r="B247" t="s">
        <v>532</v>
      </c>
      <c r="C247" t="s">
        <v>283</v>
      </c>
      <c r="D247" t="s">
        <v>438</v>
      </c>
      <c r="E247" t="s">
        <v>577</v>
      </c>
      <c r="F247" t="s">
        <v>557</v>
      </c>
      <c r="G247" t="s">
        <v>531</v>
      </c>
      <c r="H247" t="s">
        <v>288</v>
      </c>
      <c r="I247" t="s">
        <v>289</v>
      </c>
      <c r="J247" t="s">
        <v>301</v>
      </c>
      <c r="K247">
        <v>8</v>
      </c>
      <c r="L247" s="6">
        <v>2.4384000000000001</v>
      </c>
      <c r="M247" s="7">
        <v>26</v>
      </c>
      <c r="N247" s="7">
        <v>160</v>
      </c>
      <c r="O247" s="7">
        <f t="shared" si="16"/>
        <v>96.000000000000014</v>
      </c>
      <c r="P247" s="7">
        <f t="shared" si="17"/>
        <v>1.0236220472440944</v>
      </c>
      <c r="Q247" s="7">
        <f t="shared" si="17"/>
        <v>6.2992125984251972</v>
      </c>
      <c r="R247" s="6">
        <f t="shared" si="18"/>
        <v>788.66300000000001</v>
      </c>
      <c r="S247" s="6">
        <f t="shared" si="20"/>
        <v>1.0143744000000001E-2</v>
      </c>
      <c r="T247" t="str">
        <f t="shared" si="19"/>
        <v>Cumaru Rough Sawn 5/4x6 Long</v>
      </c>
    </row>
    <row r="248" spans="1:20" x14ac:dyDescent="0.25">
      <c r="A248" t="s">
        <v>531</v>
      </c>
      <c r="B248" t="s">
        <v>532</v>
      </c>
      <c r="C248" t="s">
        <v>283</v>
      </c>
      <c r="D248" t="s">
        <v>438</v>
      </c>
      <c r="E248" t="s">
        <v>578</v>
      </c>
      <c r="F248" t="s">
        <v>557</v>
      </c>
      <c r="G248" t="s">
        <v>531</v>
      </c>
      <c r="H248" t="s">
        <v>288</v>
      </c>
      <c r="I248" t="s">
        <v>289</v>
      </c>
      <c r="J248" t="s">
        <v>301</v>
      </c>
      <c r="K248">
        <v>9</v>
      </c>
      <c r="L248" s="6">
        <v>2.7432000000000003</v>
      </c>
      <c r="M248" s="7">
        <v>26</v>
      </c>
      <c r="N248" s="7">
        <v>160</v>
      </c>
      <c r="O248" s="7">
        <f t="shared" si="16"/>
        <v>108.00000000000001</v>
      </c>
      <c r="P248" s="7">
        <f t="shared" si="17"/>
        <v>1.0236220472440944</v>
      </c>
      <c r="Q248" s="7">
        <f t="shared" si="17"/>
        <v>6.2992125984251972</v>
      </c>
      <c r="R248" s="6">
        <f t="shared" si="18"/>
        <v>788.66300000000001</v>
      </c>
      <c r="S248" s="6">
        <f t="shared" si="20"/>
        <v>1.1411712000000003E-2</v>
      </c>
      <c r="T248" t="str">
        <f t="shared" si="19"/>
        <v>Cumaru Rough Sawn 5/4x6 Long</v>
      </c>
    </row>
    <row r="249" spans="1:20" x14ac:dyDescent="0.25">
      <c r="A249" t="s">
        <v>531</v>
      </c>
      <c r="B249" t="s">
        <v>579</v>
      </c>
      <c r="C249" t="s">
        <v>283</v>
      </c>
      <c r="D249" t="s">
        <v>438</v>
      </c>
      <c r="E249" t="s">
        <v>580</v>
      </c>
      <c r="F249" t="s">
        <v>581</v>
      </c>
      <c r="G249" t="s">
        <v>531</v>
      </c>
      <c r="H249" t="s">
        <v>373</v>
      </c>
      <c r="I249" t="s">
        <v>289</v>
      </c>
      <c r="J249" t="s">
        <v>582</v>
      </c>
      <c r="K249">
        <v>10</v>
      </c>
      <c r="L249" s="6">
        <v>3.048</v>
      </c>
      <c r="M249" s="7">
        <v>19</v>
      </c>
      <c r="N249" s="7">
        <v>70</v>
      </c>
      <c r="O249" s="7">
        <f t="shared" si="16"/>
        <v>120</v>
      </c>
      <c r="P249" s="7">
        <f t="shared" si="17"/>
        <v>0.74803149606299213</v>
      </c>
      <c r="Q249" s="7">
        <f t="shared" si="17"/>
        <v>2.7559055118110236</v>
      </c>
      <c r="R249" s="6">
        <f t="shared" si="18"/>
        <v>2466.797</v>
      </c>
      <c r="S249" s="6">
        <f t="shared" si="20"/>
        <v>4.0538400000000004E-3</v>
      </c>
      <c r="T249" t="str">
        <f t="shared" si="19"/>
        <v>Cumaru S4S E4E 1x3 Long</v>
      </c>
    </row>
    <row r="250" spans="1:20" x14ac:dyDescent="0.25">
      <c r="A250" t="s">
        <v>531</v>
      </c>
      <c r="B250" t="s">
        <v>579</v>
      </c>
      <c r="C250" t="s">
        <v>283</v>
      </c>
      <c r="D250" t="s">
        <v>438</v>
      </c>
      <c r="E250" t="s">
        <v>583</v>
      </c>
      <c r="F250" t="s">
        <v>581</v>
      </c>
      <c r="G250" t="s">
        <v>531</v>
      </c>
      <c r="H250" t="s">
        <v>373</v>
      </c>
      <c r="I250" t="s">
        <v>289</v>
      </c>
      <c r="J250" t="s">
        <v>582</v>
      </c>
      <c r="K250">
        <v>11</v>
      </c>
      <c r="L250" s="6">
        <v>3.3527999999999998</v>
      </c>
      <c r="M250" s="7">
        <v>19</v>
      </c>
      <c r="N250" s="7">
        <v>70</v>
      </c>
      <c r="O250" s="7">
        <f t="shared" si="16"/>
        <v>132</v>
      </c>
      <c r="P250" s="7">
        <f t="shared" si="17"/>
        <v>0.74803149606299213</v>
      </c>
      <c r="Q250" s="7">
        <f t="shared" si="17"/>
        <v>2.7559055118110236</v>
      </c>
      <c r="R250" s="6">
        <f t="shared" si="18"/>
        <v>2466.797</v>
      </c>
      <c r="S250" s="6">
        <f t="shared" si="20"/>
        <v>4.4592239999999995E-3</v>
      </c>
      <c r="T250" t="str">
        <f t="shared" si="19"/>
        <v>Cumaru S4S E4E 1x3 Long</v>
      </c>
    </row>
    <row r="251" spans="1:20" x14ac:dyDescent="0.25">
      <c r="A251" t="s">
        <v>531</v>
      </c>
      <c r="B251" t="s">
        <v>579</v>
      </c>
      <c r="C251" t="s">
        <v>283</v>
      </c>
      <c r="D251" t="s">
        <v>438</v>
      </c>
      <c r="E251" t="s">
        <v>584</v>
      </c>
      <c r="F251" t="s">
        <v>581</v>
      </c>
      <c r="G251" t="s">
        <v>531</v>
      </c>
      <c r="H251" t="s">
        <v>373</v>
      </c>
      <c r="I251" t="s">
        <v>289</v>
      </c>
      <c r="J251" t="s">
        <v>582</v>
      </c>
      <c r="K251">
        <v>12</v>
      </c>
      <c r="L251" s="6">
        <v>3.6576</v>
      </c>
      <c r="M251" s="7">
        <v>19</v>
      </c>
      <c r="N251" s="7">
        <v>70</v>
      </c>
      <c r="O251" s="7">
        <f t="shared" si="16"/>
        <v>144</v>
      </c>
      <c r="P251" s="7">
        <f t="shared" si="17"/>
        <v>0.74803149606299213</v>
      </c>
      <c r="Q251" s="7">
        <f t="shared" si="17"/>
        <v>2.7559055118110236</v>
      </c>
      <c r="R251" s="6">
        <f t="shared" si="18"/>
        <v>2466.797</v>
      </c>
      <c r="S251" s="6">
        <f t="shared" si="20"/>
        <v>4.8646079999999994E-3</v>
      </c>
      <c r="T251" t="str">
        <f t="shared" si="19"/>
        <v>Cumaru S4S E4E 1x3 Long</v>
      </c>
    </row>
    <row r="252" spans="1:20" x14ac:dyDescent="0.25">
      <c r="A252" t="s">
        <v>531</v>
      </c>
      <c r="B252" t="s">
        <v>579</v>
      </c>
      <c r="C252" t="s">
        <v>283</v>
      </c>
      <c r="D252" t="s">
        <v>438</v>
      </c>
      <c r="E252" t="s">
        <v>585</v>
      </c>
      <c r="F252" t="s">
        <v>581</v>
      </c>
      <c r="G252" t="s">
        <v>531</v>
      </c>
      <c r="H252" t="s">
        <v>373</v>
      </c>
      <c r="I252" t="s">
        <v>289</v>
      </c>
      <c r="J252" t="s">
        <v>582</v>
      </c>
      <c r="K252">
        <v>13</v>
      </c>
      <c r="L252" s="6">
        <v>3.9624000000000001</v>
      </c>
      <c r="M252" s="7">
        <v>19</v>
      </c>
      <c r="N252" s="7">
        <v>70</v>
      </c>
      <c r="O252" s="7">
        <f t="shared" si="16"/>
        <v>156</v>
      </c>
      <c r="P252" s="7">
        <f t="shared" si="17"/>
        <v>0.74803149606299213</v>
      </c>
      <c r="Q252" s="7">
        <f t="shared" si="17"/>
        <v>2.7559055118110236</v>
      </c>
      <c r="R252" s="6">
        <f t="shared" si="18"/>
        <v>2466.797</v>
      </c>
      <c r="S252" s="6">
        <f t="shared" si="20"/>
        <v>5.2699920000000003E-3</v>
      </c>
      <c r="T252" t="str">
        <f t="shared" si="19"/>
        <v>Cumaru S4S E4E 1x3 Long</v>
      </c>
    </row>
    <row r="253" spans="1:20" x14ac:dyDescent="0.25">
      <c r="A253" t="s">
        <v>531</v>
      </c>
      <c r="B253" t="s">
        <v>579</v>
      </c>
      <c r="C253" t="s">
        <v>283</v>
      </c>
      <c r="D253" t="s">
        <v>438</v>
      </c>
      <c r="E253" t="s">
        <v>586</v>
      </c>
      <c r="F253" t="s">
        <v>581</v>
      </c>
      <c r="G253" t="s">
        <v>531</v>
      </c>
      <c r="H253" t="s">
        <v>373</v>
      </c>
      <c r="I253" t="s">
        <v>289</v>
      </c>
      <c r="J253" t="s">
        <v>582</v>
      </c>
      <c r="K253">
        <v>14</v>
      </c>
      <c r="L253" s="6">
        <v>4.2671999999999999</v>
      </c>
      <c r="M253" s="7">
        <v>19</v>
      </c>
      <c r="N253" s="7">
        <v>70</v>
      </c>
      <c r="O253" s="7">
        <f t="shared" si="16"/>
        <v>168</v>
      </c>
      <c r="P253" s="7">
        <f t="shared" si="17"/>
        <v>0.74803149606299213</v>
      </c>
      <c r="Q253" s="7">
        <f t="shared" si="17"/>
        <v>2.7559055118110236</v>
      </c>
      <c r="R253" s="6">
        <f t="shared" si="18"/>
        <v>2466.797</v>
      </c>
      <c r="S253" s="6">
        <f t="shared" si="20"/>
        <v>5.6753759999999993E-3</v>
      </c>
      <c r="T253" t="str">
        <f t="shared" si="19"/>
        <v>Cumaru S4S E4E 1x3 Long</v>
      </c>
    </row>
    <row r="254" spans="1:20" x14ac:dyDescent="0.25">
      <c r="A254" t="s">
        <v>531</v>
      </c>
      <c r="B254" t="s">
        <v>579</v>
      </c>
      <c r="C254" t="s">
        <v>283</v>
      </c>
      <c r="D254" t="s">
        <v>438</v>
      </c>
      <c r="E254" t="s">
        <v>587</v>
      </c>
      <c r="F254" t="s">
        <v>581</v>
      </c>
      <c r="G254" t="s">
        <v>531</v>
      </c>
      <c r="H254" t="s">
        <v>373</v>
      </c>
      <c r="I254" t="s">
        <v>289</v>
      </c>
      <c r="J254" t="s">
        <v>582</v>
      </c>
      <c r="K254">
        <v>15</v>
      </c>
      <c r="L254" s="6">
        <v>4.5720000000000001</v>
      </c>
      <c r="M254" s="7">
        <v>19</v>
      </c>
      <c r="N254" s="7">
        <v>70</v>
      </c>
      <c r="O254" s="7">
        <f t="shared" si="16"/>
        <v>180</v>
      </c>
      <c r="P254" s="7">
        <f t="shared" si="17"/>
        <v>0.74803149606299213</v>
      </c>
      <c r="Q254" s="7">
        <f t="shared" si="17"/>
        <v>2.7559055118110236</v>
      </c>
      <c r="R254" s="6">
        <f t="shared" si="18"/>
        <v>2466.797</v>
      </c>
      <c r="S254" s="6">
        <f t="shared" si="20"/>
        <v>6.0807599999999993E-3</v>
      </c>
      <c r="T254" t="str">
        <f t="shared" si="19"/>
        <v>Cumaru S4S E4E 1x3 Long</v>
      </c>
    </row>
    <row r="255" spans="1:20" x14ac:dyDescent="0.25">
      <c r="A255" t="s">
        <v>531</v>
      </c>
      <c r="B255" t="s">
        <v>579</v>
      </c>
      <c r="C255" t="s">
        <v>283</v>
      </c>
      <c r="D255" t="s">
        <v>438</v>
      </c>
      <c r="E255" t="s">
        <v>588</v>
      </c>
      <c r="F255" t="s">
        <v>581</v>
      </c>
      <c r="G255" t="s">
        <v>531</v>
      </c>
      <c r="H255" t="s">
        <v>373</v>
      </c>
      <c r="I255" t="s">
        <v>289</v>
      </c>
      <c r="J255" t="s">
        <v>582</v>
      </c>
      <c r="K255">
        <v>16</v>
      </c>
      <c r="L255" s="6">
        <v>4.8768000000000002</v>
      </c>
      <c r="M255" s="7">
        <v>19</v>
      </c>
      <c r="N255" s="7">
        <v>70</v>
      </c>
      <c r="O255" s="7">
        <f t="shared" si="16"/>
        <v>192.00000000000003</v>
      </c>
      <c r="P255" s="7">
        <f t="shared" si="17"/>
        <v>0.74803149606299213</v>
      </c>
      <c r="Q255" s="7">
        <f t="shared" si="17"/>
        <v>2.7559055118110236</v>
      </c>
      <c r="R255" s="6">
        <f t="shared" si="18"/>
        <v>2466.797</v>
      </c>
      <c r="S255" s="6">
        <f t="shared" si="20"/>
        <v>6.4861439999999992E-3</v>
      </c>
      <c r="T255" t="str">
        <f t="shared" si="19"/>
        <v>Cumaru S4S E4E 1x3 Long</v>
      </c>
    </row>
    <row r="256" spans="1:20" x14ac:dyDescent="0.25">
      <c r="A256" t="s">
        <v>531</v>
      </c>
      <c r="B256" t="s">
        <v>579</v>
      </c>
      <c r="C256" t="s">
        <v>283</v>
      </c>
      <c r="D256" t="s">
        <v>438</v>
      </c>
      <c r="E256" t="s">
        <v>589</v>
      </c>
      <c r="F256" t="s">
        <v>581</v>
      </c>
      <c r="G256" t="s">
        <v>531</v>
      </c>
      <c r="H256" t="s">
        <v>373</v>
      </c>
      <c r="I256" t="s">
        <v>289</v>
      </c>
      <c r="J256" t="s">
        <v>582</v>
      </c>
      <c r="K256">
        <v>17</v>
      </c>
      <c r="L256" s="6">
        <v>5.1816000000000004</v>
      </c>
      <c r="M256" s="7">
        <v>19</v>
      </c>
      <c r="N256" s="7">
        <v>70</v>
      </c>
      <c r="O256" s="7">
        <f t="shared" si="16"/>
        <v>204.00000000000003</v>
      </c>
      <c r="P256" s="7">
        <f t="shared" si="17"/>
        <v>0.74803149606299213</v>
      </c>
      <c r="Q256" s="7">
        <f t="shared" si="17"/>
        <v>2.7559055118110236</v>
      </c>
      <c r="R256" s="6">
        <f t="shared" si="18"/>
        <v>2466.797</v>
      </c>
      <c r="S256" s="6">
        <f t="shared" si="20"/>
        <v>6.8915280000000001E-3</v>
      </c>
      <c r="T256" t="str">
        <f t="shared" si="19"/>
        <v>Cumaru S4S E4E 1x3 Long</v>
      </c>
    </row>
    <row r="257" spans="1:20" x14ac:dyDescent="0.25">
      <c r="A257" t="s">
        <v>531</v>
      </c>
      <c r="B257" t="s">
        <v>579</v>
      </c>
      <c r="C257" t="s">
        <v>283</v>
      </c>
      <c r="D257" t="s">
        <v>438</v>
      </c>
      <c r="E257" t="s">
        <v>590</v>
      </c>
      <c r="F257" t="s">
        <v>581</v>
      </c>
      <c r="G257" t="s">
        <v>531</v>
      </c>
      <c r="H257" t="s">
        <v>373</v>
      </c>
      <c r="I257" t="s">
        <v>289</v>
      </c>
      <c r="J257" t="s">
        <v>582</v>
      </c>
      <c r="K257">
        <v>18</v>
      </c>
      <c r="L257" s="6">
        <v>5.4863999999999997</v>
      </c>
      <c r="M257" s="7">
        <v>19</v>
      </c>
      <c r="N257" s="7">
        <v>70</v>
      </c>
      <c r="O257" s="7">
        <f t="shared" si="16"/>
        <v>216</v>
      </c>
      <c r="P257" s="7">
        <f t="shared" si="17"/>
        <v>0.74803149606299213</v>
      </c>
      <c r="Q257" s="7">
        <f t="shared" si="17"/>
        <v>2.7559055118110236</v>
      </c>
      <c r="R257" s="6">
        <f t="shared" si="18"/>
        <v>2466.797</v>
      </c>
      <c r="S257" s="6">
        <f t="shared" si="20"/>
        <v>7.2969119999999991E-3</v>
      </c>
      <c r="T257" t="str">
        <f t="shared" si="19"/>
        <v>Cumaru S4S E4E 1x3 Long</v>
      </c>
    </row>
    <row r="258" spans="1:20" x14ac:dyDescent="0.25">
      <c r="A258" t="s">
        <v>531</v>
      </c>
      <c r="B258" t="s">
        <v>579</v>
      </c>
      <c r="C258" t="s">
        <v>283</v>
      </c>
      <c r="D258" t="s">
        <v>438</v>
      </c>
      <c r="E258" t="s">
        <v>591</v>
      </c>
      <c r="F258" t="s">
        <v>581</v>
      </c>
      <c r="G258" t="s">
        <v>531</v>
      </c>
      <c r="H258" t="s">
        <v>373</v>
      </c>
      <c r="I258" t="s">
        <v>289</v>
      </c>
      <c r="J258" t="s">
        <v>582</v>
      </c>
      <c r="K258">
        <v>19</v>
      </c>
      <c r="L258" s="6">
        <v>5.7911999999999999</v>
      </c>
      <c r="M258" s="7">
        <v>19</v>
      </c>
      <c r="N258" s="7">
        <v>70</v>
      </c>
      <c r="O258" s="7">
        <f t="shared" ref="O258:O321" si="21">L258/0.0254</f>
        <v>228</v>
      </c>
      <c r="P258" s="7">
        <f t="shared" ref="P258:Q321" si="22">M258/25.4</f>
        <v>0.74803149606299213</v>
      </c>
      <c r="Q258" s="7">
        <f t="shared" si="22"/>
        <v>2.7559055118110236</v>
      </c>
      <c r="R258" s="6">
        <f t="shared" ref="R258:R321" si="23">ROUND(IFERROR(1/((M258*N258*0.3048)/1000000),0),3)</f>
        <v>2466.797</v>
      </c>
      <c r="S258" s="6">
        <f t="shared" si="20"/>
        <v>7.702296E-3</v>
      </c>
      <c r="T258" t="str">
        <f t="shared" ref="T258:T321" si="24">F258&amp;" "&amp;C258</f>
        <v>Cumaru S4S E4E 1x3 Long</v>
      </c>
    </row>
    <row r="259" spans="1:20" x14ac:dyDescent="0.25">
      <c r="A259" t="s">
        <v>531</v>
      </c>
      <c r="B259" t="s">
        <v>579</v>
      </c>
      <c r="C259" t="s">
        <v>283</v>
      </c>
      <c r="D259" t="s">
        <v>438</v>
      </c>
      <c r="E259" t="s">
        <v>592</v>
      </c>
      <c r="F259" t="s">
        <v>581</v>
      </c>
      <c r="G259" t="s">
        <v>531</v>
      </c>
      <c r="H259" t="s">
        <v>373</v>
      </c>
      <c r="I259" t="s">
        <v>289</v>
      </c>
      <c r="J259" t="s">
        <v>582</v>
      </c>
      <c r="K259">
        <v>20</v>
      </c>
      <c r="L259" s="6">
        <v>6.0960000000000001</v>
      </c>
      <c r="M259" s="7">
        <v>19</v>
      </c>
      <c r="N259" s="7">
        <v>70</v>
      </c>
      <c r="O259" s="7">
        <f t="shared" si="21"/>
        <v>240</v>
      </c>
      <c r="P259" s="7">
        <f t="shared" si="22"/>
        <v>0.74803149606299213</v>
      </c>
      <c r="Q259" s="7">
        <f t="shared" si="22"/>
        <v>2.7559055118110236</v>
      </c>
      <c r="R259" s="6">
        <f t="shared" si="23"/>
        <v>2466.797</v>
      </c>
      <c r="S259" s="6">
        <f t="shared" si="20"/>
        <v>8.1076800000000008E-3</v>
      </c>
      <c r="T259" t="str">
        <f t="shared" si="24"/>
        <v>Cumaru S4S E4E 1x3 Long</v>
      </c>
    </row>
    <row r="260" spans="1:20" x14ac:dyDescent="0.25">
      <c r="A260" t="s">
        <v>531</v>
      </c>
      <c r="B260" t="s">
        <v>579</v>
      </c>
      <c r="C260" t="s">
        <v>283</v>
      </c>
      <c r="D260" t="s">
        <v>438</v>
      </c>
      <c r="E260" t="s">
        <v>593</v>
      </c>
      <c r="F260" t="s">
        <v>581</v>
      </c>
      <c r="G260" t="s">
        <v>531</v>
      </c>
      <c r="H260" t="s">
        <v>373</v>
      </c>
      <c r="I260" t="s">
        <v>289</v>
      </c>
      <c r="J260" t="s">
        <v>582</v>
      </c>
      <c r="K260">
        <v>21</v>
      </c>
      <c r="L260" s="6">
        <v>6.4008000000000003</v>
      </c>
      <c r="M260" s="7">
        <v>19</v>
      </c>
      <c r="N260" s="7">
        <v>70</v>
      </c>
      <c r="O260" s="7">
        <f t="shared" si="21"/>
        <v>252.00000000000003</v>
      </c>
      <c r="P260" s="7">
        <f t="shared" si="22"/>
        <v>0.74803149606299213</v>
      </c>
      <c r="Q260" s="7">
        <f t="shared" si="22"/>
        <v>2.7559055118110236</v>
      </c>
      <c r="R260" s="6">
        <f t="shared" si="23"/>
        <v>2466.797</v>
      </c>
      <c r="S260" s="6">
        <f t="shared" ref="S260:S323" si="25">L260*M260/1000*N260/1000</f>
        <v>8.5130640000000007E-3</v>
      </c>
      <c r="T260" t="str">
        <f t="shared" si="24"/>
        <v>Cumaru S4S E4E 1x3 Long</v>
      </c>
    </row>
    <row r="261" spans="1:20" x14ac:dyDescent="0.25">
      <c r="A261" t="s">
        <v>531</v>
      </c>
      <c r="B261" t="s">
        <v>579</v>
      </c>
      <c r="C261" t="s">
        <v>283</v>
      </c>
      <c r="D261" t="s">
        <v>438</v>
      </c>
      <c r="E261" t="s">
        <v>594</v>
      </c>
      <c r="F261" t="s">
        <v>581</v>
      </c>
      <c r="G261" t="s">
        <v>531</v>
      </c>
      <c r="H261" t="s">
        <v>373</v>
      </c>
      <c r="I261" t="s">
        <v>289</v>
      </c>
      <c r="J261" t="s">
        <v>582</v>
      </c>
      <c r="K261">
        <v>22</v>
      </c>
      <c r="L261" s="6">
        <v>6.7055999999999996</v>
      </c>
      <c r="M261" s="7">
        <v>19</v>
      </c>
      <c r="N261" s="7">
        <v>70</v>
      </c>
      <c r="O261" s="7">
        <f t="shared" si="21"/>
        <v>264</v>
      </c>
      <c r="P261" s="7">
        <f t="shared" si="22"/>
        <v>0.74803149606299213</v>
      </c>
      <c r="Q261" s="7">
        <f t="shared" si="22"/>
        <v>2.7559055118110236</v>
      </c>
      <c r="R261" s="6">
        <f t="shared" si="23"/>
        <v>2466.797</v>
      </c>
      <c r="S261" s="6">
        <f t="shared" si="25"/>
        <v>8.918447999999999E-3</v>
      </c>
      <c r="T261" t="str">
        <f t="shared" si="24"/>
        <v>Cumaru S4S E4E 1x3 Long</v>
      </c>
    </row>
    <row r="262" spans="1:20" x14ac:dyDescent="0.25">
      <c r="A262" t="s">
        <v>531</v>
      </c>
      <c r="B262" t="s">
        <v>579</v>
      </c>
      <c r="C262" t="s">
        <v>283</v>
      </c>
      <c r="D262" t="s">
        <v>438</v>
      </c>
      <c r="E262" t="s">
        <v>595</v>
      </c>
      <c r="F262" t="s">
        <v>581</v>
      </c>
      <c r="G262" t="s">
        <v>531</v>
      </c>
      <c r="H262" t="s">
        <v>373</v>
      </c>
      <c r="I262" t="s">
        <v>289</v>
      </c>
      <c r="J262" t="s">
        <v>582</v>
      </c>
      <c r="K262">
        <v>23</v>
      </c>
      <c r="L262" s="6">
        <v>7.0103999999999997</v>
      </c>
      <c r="M262" s="7">
        <v>19</v>
      </c>
      <c r="N262" s="7">
        <v>70</v>
      </c>
      <c r="O262" s="7">
        <f t="shared" si="21"/>
        <v>276</v>
      </c>
      <c r="P262" s="7">
        <f t="shared" si="22"/>
        <v>0.74803149606299213</v>
      </c>
      <c r="Q262" s="7">
        <f t="shared" si="22"/>
        <v>2.7559055118110236</v>
      </c>
      <c r="R262" s="6">
        <f t="shared" si="23"/>
        <v>2466.797</v>
      </c>
      <c r="S262" s="6">
        <f t="shared" si="25"/>
        <v>9.3238319999999989E-3</v>
      </c>
      <c r="T262" t="str">
        <f t="shared" si="24"/>
        <v>Cumaru S4S E4E 1x3 Long</v>
      </c>
    </row>
    <row r="263" spans="1:20" x14ac:dyDescent="0.25">
      <c r="A263" t="s">
        <v>531</v>
      </c>
      <c r="B263" t="s">
        <v>579</v>
      </c>
      <c r="C263" t="s">
        <v>283</v>
      </c>
      <c r="D263" t="s">
        <v>438</v>
      </c>
      <c r="E263" t="s">
        <v>596</v>
      </c>
      <c r="F263" t="s">
        <v>581</v>
      </c>
      <c r="G263" t="s">
        <v>531</v>
      </c>
      <c r="H263" t="s">
        <v>373</v>
      </c>
      <c r="I263" t="s">
        <v>289</v>
      </c>
      <c r="J263" t="s">
        <v>582</v>
      </c>
      <c r="K263">
        <v>24</v>
      </c>
      <c r="L263" s="6">
        <v>7.3152000000000008</v>
      </c>
      <c r="M263" s="7">
        <v>19</v>
      </c>
      <c r="N263" s="7">
        <v>70</v>
      </c>
      <c r="O263" s="7">
        <f t="shared" si="21"/>
        <v>288.00000000000006</v>
      </c>
      <c r="P263" s="7">
        <f t="shared" si="22"/>
        <v>0.74803149606299213</v>
      </c>
      <c r="Q263" s="7">
        <f t="shared" si="22"/>
        <v>2.7559055118110236</v>
      </c>
      <c r="R263" s="6">
        <f t="shared" si="23"/>
        <v>2466.797</v>
      </c>
      <c r="S263" s="6">
        <f t="shared" si="25"/>
        <v>9.7292160000000006E-3</v>
      </c>
      <c r="T263" t="str">
        <f t="shared" si="24"/>
        <v>Cumaru S4S E4E 1x3 Long</v>
      </c>
    </row>
    <row r="264" spans="1:20" x14ac:dyDescent="0.25">
      <c r="A264" t="s">
        <v>531</v>
      </c>
      <c r="B264" t="s">
        <v>579</v>
      </c>
      <c r="C264" t="s">
        <v>524</v>
      </c>
      <c r="D264" t="s">
        <v>438</v>
      </c>
      <c r="E264" t="s">
        <v>597</v>
      </c>
      <c r="F264" t="s">
        <v>581</v>
      </c>
      <c r="G264" t="s">
        <v>531</v>
      </c>
      <c r="H264" t="s">
        <v>373</v>
      </c>
      <c r="I264" t="s">
        <v>289</v>
      </c>
      <c r="J264" t="s">
        <v>582</v>
      </c>
      <c r="K264">
        <v>3</v>
      </c>
      <c r="L264" s="6">
        <v>0.91439999999999999</v>
      </c>
      <c r="M264" s="7">
        <v>19</v>
      </c>
      <c r="N264" s="7">
        <v>70</v>
      </c>
      <c r="O264" s="7">
        <f t="shared" si="21"/>
        <v>36</v>
      </c>
      <c r="P264" s="7">
        <f t="shared" si="22"/>
        <v>0.74803149606299213</v>
      </c>
      <c r="Q264" s="7">
        <f t="shared" si="22"/>
        <v>2.7559055118110236</v>
      </c>
      <c r="R264" s="6">
        <f t="shared" si="23"/>
        <v>2466.797</v>
      </c>
      <c r="S264" s="6">
        <f t="shared" si="25"/>
        <v>1.2161519999999999E-3</v>
      </c>
      <c r="T264" t="str">
        <f t="shared" si="24"/>
        <v>Cumaru S4S E4E 1x3 Short</v>
      </c>
    </row>
    <row r="265" spans="1:20" x14ac:dyDescent="0.25">
      <c r="A265" t="s">
        <v>531</v>
      </c>
      <c r="B265" t="s">
        <v>579</v>
      </c>
      <c r="C265" t="s">
        <v>524</v>
      </c>
      <c r="D265" t="s">
        <v>438</v>
      </c>
      <c r="E265" t="s">
        <v>598</v>
      </c>
      <c r="F265" t="s">
        <v>581</v>
      </c>
      <c r="G265" t="s">
        <v>531</v>
      </c>
      <c r="H265" t="s">
        <v>373</v>
      </c>
      <c r="I265" t="s">
        <v>289</v>
      </c>
      <c r="J265" t="s">
        <v>582</v>
      </c>
      <c r="K265">
        <v>4</v>
      </c>
      <c r="L265" s="6">
        <v>1.2192000000000001</v>
      </c>
      <c r="M265" s="7">
        <v>19</v>
      </c>
      <c r="N265" s="7">
        <v>70</v>
      </c>
      <c r="O265" s="7">
        <f t="shared" si="21"/>
        <v>48.000000000000007</v>
      </c>
      <c r="P265" s="7">
        <f t="shared" si="22"/>
        <v>0.74803149606299213</v>
      </c>
      <c r="Q265" s="7">
        <f t="shared" si="22"/>
        <v>2.7559055118110236</v>
      </c>
      <c r="R265" s="6">
        <f t="shared" si="23"/>
        <v>2466.797</v>
      </c>
      <c r="S265" s="6">
        <f t="shared" si="25"/>
        <v>1.6215359999999998E-3</v>
      </c>
      <c r="T265" t="str">
        <f t="shared" si="24"/>
        <v>Cumaru S4S E4E 1x3 Short</v>
      </c>
    </row>
    <row r="266" spans="1:20" x14ac:dyDescent="0.25">
      <c r="A266" t="s">
        <v>531</v>
      </c>
      <c r="B266" t="s">
        <v>579</v>
      </c>
      <c r="C266" t="s">
        <v>524</v>
      </c>
      <c r="D266" t="s">
        <v>438</v>
      </c>
      <c r="E266" t="s">
        <v>599</v>
      </c>
      <c r="F266" t="s">
        <v>581</v>
      </c>
      <c r="G266" t="s">
        <v>531</v>
      </c>
      <c r="H266" t="s">
        <v>373</v>
      </c>
      <c r="I266" t="s">
        <v>289</v>
      </c>
      <c r="J266" t="s">
        <v>582</v>
      </c>
      <c r="K266">
        <v>5</v>
      </c>
      <c r="L266" s="6">
        <v>1.524</v>
      </c>
      <c r="M266" s="7">
        <v>19</v>
      </c>
      <c r="N266" s="7">
        <v>70</v>
      </c>
      <c r="O266" s="7">
        <f t="shared" si="21"/>
        <v>60</v>
      </c>
      <c r="P266" s="7">
        <f t="shared" si="22"/>
        <v>0.74803149606299213</v>
      </c>
      <c r="Q266" s="7">
        <f t="shared" si="22"/>
        <v>2.7559055118110236</v>
      </c>
      <c r="R266" s="6">
        <f t="shared" si="23"/>
        <v>2466.797</v>
      </c>
      <c r="S266" s="6">
        <f t="shared" si="25"/>
        <v>2.0269200000000002E-3</v>
      </c>
      <c r="T266" t="str">
        <f t="shared" si="24"/>
        <v>Cumaru S4S E4E 1x3 Short</v>
      </c>
    </row>
    <row r="267" spans="1:20" x14ac:dyDescent="0.25">
      <c r="A267" t="s">
        <v>531</v>
      </c>
      <c r="B267" t="s">
        <v>579</v>
      </c>
      <c r="C267" t="s">
        <v>524</v>
      </c>
      <c r="D267" t="s">
        <v>438</v>
      </c>
      <c r="E267" t="s">
        <v>600</v>
      </c>
      <c r="F267" t="s">
        <v>581</v>
      </c>
      <c r="G267" t="s">
        <v>531</v>
      </c>
      <c r="H267" t="s">
        <v>373</v>
      </c>
      <c r="I267" t="s">
        <v>289</v>
      </c>
      <c r="J267" t="s">
        <v>582</v>
      </c>
      <c r="K267">
        <v>6</v>
      </c>
      <c r="L267" s="6">
        <v>1.8288</v>
      </c>
      <c r="M267" s="7">
        <v>19</v>
      </c>
      <c r="N267" s="7">
        <v>70</v>
      </c>
      <c r="O267" s="7">
        <f t="shared" si="21"/>
        <v>72</v>
      </c>
      <c r="P267" s="7">
        <f t="shared" si="22"/>
        <v>0.74803149606299213</v>
      </c>
      <c r="Q267" s="7">
        <f t="shared" si="22"/>
        <v>2.7559055118110236</v>
      </c>
      <c r="R267" s="6">
        <f t="shared" si="23"/>
        <v>2466.797</v>
      </c>
      <c r="S267" s="6">
        <f t="shared" si="25"/>
        <v>2.4323039999999997E-3</v>
      </c>
      <c r="T267" t="str">
        <f t="shared" si="24"/>
        <v>Cumaru S4S E4E 1x3 Short</v>
      </c>
    </row>
    <row r="268" spans="1:20" x14ac:dyDescent="0.25">
      <c r="A268" t="s">
        <v>531</v>
      </c>
      <c r="B268" t="s">
        <v>579</v>
      </c>
      <c r="C268" t="s">
        <v>524</v>
      </c>
      <c r="D268" t="s">
        <v>438</v>
      </c>
      <c r="E268" t="s">
        <v>601</v>
      </c>
      <c r="F268" t="s">
        <v>581</v>
      </c>
      <c r="G268" t="s">
        <v>531</v>
      </c>
      <c r="H268" t="s">
        <v>373</v>
      </c>
      <c r="I268" t="s">
        <v>289</v>
      </c>
      <c r="J268" t="s">
        <v>582</v>
      </c>
      <c r="K268">
        <v>7</v>
      </c>
      <c r="L268" s="6">
        <v>2.1335999999999999</v>
      </c>
      <c r="M268" s="7">
        <v>19</v>
      </c>
      <c r="N268" s="7">
        <v>70</v>
      </c>
      <c r="O268" s="7">
        <f t="shared" si="21"/>
        <v>84</v>
      </c>
      <c r="P268" s="7">
        <f t="shared" si="22"/>
        <v>0.74803149606299213</v>
      </c>
      <c r="Q268" s="7">
        <f t="shared" si="22"/>
        <v>2.7559055118110236</v>
      </c>
      <c r="R268" s="6">
        <f t="shared" si="23"/>
        <v>2466.797</v>
      </c>
      <c r="S268" s="6">
        <f t="shared" si="25"/>
        <v>2.8376879999999997E-3</v>
      </c>
      <c r="T268" t="str">
        <f t="shared" si="24"/>
        <v>Cumaru S4S E4E 1x3 Short</v>
      </c>
    </row>
    <row r="269" spans="1:20" x14ac:dyDescent="0.25">
      <c r="A269" t="s">
        <v>531</v>
      </c>
      <c r="B269" t="s">
        <v>579</v>
      </c>
      <c r="C269" t="s">
        <v>283</v>
      </c>
      <c r="D269" t="s">
        <v>438</v>
      </c>
      <c r="E269" t="s">
        <v>602</v>
      </c>
      <c r="F269" t="s">
        <v>581</v>
      </c>
      <c r="G269" t="s">
        <v>531</v>
      </c>
      <c r="H269" t="s">
        <v>373</v>
      </c>
      <c r="I269" t="s">
        <v>289</v>
      </c>
      <c r="J269" t="s">
        <v>582</v>
      </c>
      <c r="K269">
        <v>8</v>
      </c>
      <c r="L269" s="6">
        <v>2.4384000000000001</v>
      </c>
      <c r="M269" s="7">
        <v>19</v>
      </c>
      <c r="N269" s="7">
        <v>70</v>
      </c>
      <c r="O269" s="7">
        <f t="shared" si="21"/>
        <v>96.000000000000014</v>
      </c>
      <c r="P269" s="7">
        <f t="shared" si="22"/>
        <v>0.74803149606299213</v>
      </c>
      <c r="Q269" s="7">
        <f t="shared" si="22"/>
        <v>2.7559055118110236</v>
      </c>
      <c r="R269" s="6">
        <f t="shared" si="23"/>
        <v>2466.797</v>
      </c>
      <c r="S269" s="6">
        <f t="shared" si="25"/>
        <v>3.2430719999999996E-3</v>
      </c>
      <c r="T269" t="str">
        <f t="shared" si="24"/>
        <v>Cumaru S4S E4E 1x3 Long</v>
      </c>
    </row>
    <row r="270" spans="1:20" x14ac:dyDescent="0.25">
      <c r="A270" t="s">
        <v>531</v>
      </c>
      <c r="B270" t="s">
        <v>579</v>
      </c>
      <c r="C270" t="s">
        <v>283</v>
      </c>
      <c r="D270" t="s">
        <v>438</v>
      </c>
      <c r="E270" t="s">
        <v>603</v>
      </c>
      <c r="F270" t="s">
        <v>581</v>
      </c>
      <c r="G270" t="s">
        <v>531</v>
      </c>
      <c r="H270" t="s">
        <v>373</v>
      </c>
      <c r="I270" t="s">
        <v>289</v>
      </c>
      <c r="J270" t="s">
        <v>582</v>
      </c>
      <c r="K270">
        <v>9</v>
      </c>
      <c r="L270" s="6">
        <v>2.7431999999999999</v>
      </c>
      <c r="M270" s="7">
        <v>19</v>
      </c>
      <c r="N270" s="7">
        <v>70</v>
      </c>
      <c r="O270" s="7">
        <f t="shared" si="21"/>
        <v>108</v>
      </c>
      <c r="P270" s="7">
        <f t="shared" si="22"/>
        <v>0.74803149606299213</v>
      </c>
      <c r="Q270" s="7">
        <f t="shared" si="22"/>
        <v>2.7559055118110236</v>
      </c>
      <c r="R270" s="6">
        <f t="shared" si="23"/>
        <v>2466.797</v>
      </c>
      <c r="S270" s="6">
        <f t="shared" si="25"/>
        <v>3.6484559999999996E-3</v>
      </c>
      <c r="T270" t="str">
        <f t="shared" si="24"/>
        <v>Cumaru S4S E4E 1x3 Long</v>
      </c>
    </row>
    <row r="271" spans="1:20" x14ac:dyDescent="0.25">
      <c r="A271" t="s">
        <v>531</v>
      </c>
      <c r="B271" t="s">
        <v>604</v>
      </c>
      <c r="C271" t="s">
        <v>283</v>
      </c>
      <c r="D271" t="s">
        <v>438</v>
      </c>
      <c r="E271" t="s">
        <v>17</v>
      </c>
      <c r="F271" t="s">
        <v>605</v>
      </c>
      <c r="G271" t="s">
        <v>531</v>
      </c>
      <c r="H271" t="s">
        <v>373</v>
      </c>
      <c r="I271" t="s">
        <v>289</v>
      </c>
      <c r="J271" t="s">
        <v>606</v>
      </c>
      <c r="K271">
        <v>10</v>
      </c>
      <c r="L271" s="6">
        <v>3.048</v>
      </c>
      <c r="M271" s="7">
        <v>22.224999999999998</v>
      </c>
      <c r="N271" s="7">
        <v>95.25</v>
      </c>
      <c r="O271" s="7">
        <f t="shared" si="21"/>
        <v>120</v>
      </c>
      <c r="P271" s="7">
        <f t="shared" si="22"/>
        <v>0.875</v>
      </c>
      <c r="Q271" s="7">
        <f t="shared" si="22"/>
        <v>3.75</v>
      </c>
      <c r="R271" s="6">
        <f t="shared" si="23"/>
        <v>1549.809</v>
      </c>
      <c r="S271" s="6">
        <f t="shared" si="25"/>
        <v>6.452406449999999E-3</v>
      </c>
      <c r="T271" t="str">
        <f t="shared" si="24"/>
        <v>Cumaru S4S E4E 1x4 Plus Long</v>
      </c>
    </row>
    <row r="272" spans="1:20" x14ac:dyDescent="0.25">
      <c r="A272" t="s">
        <v>531</v>
      </c>
      <c r="B272" t="s">
        <v>604</v>
      </c>
      <c r="C272" t="s">
        <v>283</v>
      </c>
      <c r="D272" t="s">
        <v>438</v>
      </c>
      <c r="E272" t="s">
        <v>18</v>
      </c>
      <c r="F272" t="s">
        <v>605</v>
      </c>
      <c r="G272" t="s">
        <v>531</v>
      </c>
      <c r="H272" t="s">
        <v>373</v>
      </c>
      <c r="I272" t="s">
        <v>289</v>
      </c>
      <c r="J272" t="s">
        <v>606</v>
      </c>
      <c r="K272">
        <v>11</v>
      </c>
      <c r="L272" s="6">
        <v>3.3527999999999998</v>
      </c>
      <c r="M272" s="7">
        <v>22.224999999999998</v>
      </c>
      <c r="N272" s="7">
        <v>95.25</v>
      </c>
      <c r="O272" s="7">
        <f t="shared" si="21"/>
        <v>132</v>
      </c>
      <c r="P272" s="7">
        <f t="shared" si="22"/>
        <v>0.875</v>
      </c>
      <c r="Q272" s="7">
        <f t="shared" si="22"/>
        <v>3.75</v>
      </c>
      <c r="R272" s="6">
        <f t="shared" si="23"/>
        <v>1549.809</v>
      </c>
      <c r="S272" s="6">
        <f t="shared" si="25"/>
        <v>7.0976470949999987E-3</v>
      </c>
      <c r="T272" t="str">
        <f t="shared" si="24"/>
        <v>Cumaru S4S E4E 1x4 Plus Long</v>
      </c>
    </row>
    <row r="273" spans="1:20" x14ac:dyDescent="0.25">
      <c r="A273" t="s">
        <v>531</v>
      </c>
      <c r="B273" t="s">
        <v>604</v>
      </c>
      <c r="C273" t="s">
        <v>283</v>
      </c>
      <c r="D273" t="s">
        <v>438</v>
      </c>
      <c r="E273" t="s">
        <v>63</v>
      </c>
      <c r="F273" t="s">
        <v>605</v>
      </c>
      <c r="G273" t="s">
        <v>531</v>
      </c>
      <c r="H273" t="s">
        <v>373</v>
      </c>
      <c r="I273" t="s">
        <v>289</v>
      </c>
      <c r="J273" t="s">
        <v>606</v>
      </c>
      <c r="K273">
        <v>12</v>
      </c>
      <c r="L273" s="6">
        <v>3.6576</v>
      </c>
      <c r="M273" s="7">
        <v>22.224999999999998</v>
      </c>
      <c r="N273" s="7">
        <v>95.25</v>
      </c>
      <c r="O273" s="7">
        <f t="shared" si="21"/>
        <v>144</v>
      </c>
      <c r="P273" s="7">
        <f t="shared" si="22"/>
        <v>0.875</v>
      </c>
      <c r="Q273" s="7">
        <f t="shared" si="22"/>
        <v>3.75</v>
      </c>
      <c r="R273" s="6">
        <f t="shared" si="23"/>
        <v>1549.809</v>
      </c>
      <c r="S273" s="6">
        <f t="shared" si="25"/>
        <v>7.7428877399999983E-3</v>
      </c>
      <c r="T273" t="str">
        <f t="shared" si="24"/>
        <v>Cumaru S4S E4E 1x4 Plus Long</v>
      </c>
    </row>
    <row r="274" spans="1:20" x14ac:dyDescent="0.25">
      <c r="A274" t="s">
        <v>531</v>
      </c>
      <c r="B274" t="s">
        <v>604</v>
      </c>
      <c r="C274" t="s">
        <v>283</v>
      </c>
      <c r="D274" t="s">
        <v>438</v>
      </c>
      <c r="E274" t="s">
        <v>19</v>
      </c>
      <c r="F274" t="s">
        <v>605</v>
      </c>
      <c r="G274" t="s">
        <v>531</v>
      </c>
      <c r="H274" t="s">
        <v>373</v>
      </c>
      <c r="I274" t="s">
        <v>289</v>
      </c>
      <c r="J274" t="s">
        <v>606</v>
      </c>
      <c r="K274">
        <v>13</v>
      </c>
      <c r="L274" s="6">
        <v>3.9624000000000001</v>
      </c>
      <c r="M274" s="7">
        <v>22.224999999999998</v>
      </c>
      <c r="N274" s="7">
        <v>95.25</v>
      </c>
      <c r="O274" s="7">
        <f t="shared" si="21"/>
        <v>156</v>
      </c>
      <c r="P274" s="7">
        <f t="shared" si="22"/>
        <v>0.875</v>
      </c>
      <c r="Q274" s="7">
        <f t="shared" si="22"/>
        <v>3.75</v>
      </c>
      <c r="R274" s="6">
        <f t="shared" si="23"/>
        <v>1549.809</v>
      </c>
      <c r="S274" s="6">
        <f t="shared" si="25"/>
        <v>8.3881283850000005E-3</v>
      </c>
      <c r="T274" t="str">
        <f t="shared" si="24"/>
        <v>Cumaru S4S E4E 1x4 Plus Long</v>
      </c>
    </row>
    <row r="275" spans="1:20" x14ac:dyDescent="0.25">
      <c r="A275" t="s">
        <v>531</v>
      </c>
      <c r="B275" t="s">
        <v>604</v>
      </c>
      <c r="C275" t="s">
        <v>283</v>
      </c>
      <c r="D275" t="s">
        <v>438</v>
      </c>
      <c r="E275" t="s">
        <v>20</v>
      </c>
      <c r="F275" t="s">
        <v>605</v>
      </c>
      <c r="G275" t="s">
        <v>531</v>
      </c>
      <c r="H275" t="s">
        <v>373</v>
      </c>
      <c r="I275" t="s">
        <v>289</v>
      </c>
      <c r="J275" t="s">
        <v>606</v>
      </c>
      <c r="K275">
        <v>14</v>
      </c>
      <c r="L275" s="6">
        <v>4.2671999999999999</v>
      </c>
      <c r="M275" s="7">
        <v>22.224999999999998</v>
      </c>
      <c r="N275" s="7">
        <v>95.25</v>
      </c>
      <c r="O275" s="7">
        <f t="shared" si="21"/>
        <v>168</v>
      </c>
      <c r="P275" s="7">
        <f t="shared" si="22"/>
        <v>0.875</v>
      </c>
      <c r="Q275" s="7">
        <f t="shared" si="22"/>
        <v>3.75</v>
      </c>
      <c r="R275" s="6">
        <f t="shared" si="23"/>
        <v>1549.809</v>
      </c>
      <c r="S275" s="6">
        <f t="shared" si="25"/>
        <v>9.0333690299999984E-3</v>
      </c>
      <c r="T275" t="str">
        <f t="shared" si="24"/>
        <v>Cumaru S4S E4E 1x4 Plus Long</v>
      </c>
    </row>
    <row r="276" spans="1:20" x14ac:dyDescent="0.25">
      <c r="A276" t="s">
        <v>531</v>
      </c>
      <c r="B276" t="s">
        <v>604</v>
      </c>
      <c r="C276" t="s">
        <v>283</v>
      </c>
      <c r="D276" t="s">
        <v>438</v>
      </c>
      <c r="E276" t="s">
        <v>21</v>
      </c>
      <c r="F276" t="s">
        <v>605</v>
      </c>
      <c r="G276" t="s">
        <v>531</v>
      </c>
      <c r="H276" t="s">
        <v>373</v>
      </c>
      <c r="I276" t="s">
        <v>289</v>
      </c>
      <c r="J276" t="s">
        <v>606</v>
      </c>
      <c r="K276">
        <v>15</v>
      </c>
      <c r="L276" s="6">
        <v>4.5720000000000001</v>
      </c>
      <c r="M276" s="7">
        <v>22.224999999999998</v>
      </c>
      <c r="N276" s="7">
        <v>95.25</v>
      </c>
      <c r="O276" s="7">
        <f t="shared" si="21"/>
        <v>180</v>
      </c>
      <c r="P276" s="7">
        <f t="shared" si="22"/>
        <v>0.875</v>
      </c>
      <c r="Q276" s="7">
        <f t="shared" si="22"/>
        <v>3.75</v>
      </c>
      <c r="R276" s="6">
        <f t="shared" si="23"/>
        <v>1549.809</v>
      </c>
      <c r="S276" s="6">
        <f t="shared" si="25"/>
        <v>9.6786096749999981E-3</v>
      </c>
      <c r="T276" t="str">
        <f t="shared" si="24"/>
        <v>Cumaru S4S E4E 1x4 Plus Long</v>
      </c>
    </row>
    <row r="277" spans="1:20" x14ac:dyDescent="0.25">
      <c r="A277" t="s">
        <v>531</v>
      </c>
      <c r="B277" t="s">
        <v>604</v>
      </c>
      <c r="C277" t="s">
        <v>283</v>
      </c>
      <c r="D277" t="s">
        <v>438</v>
      </c>
      <c r="E277" t="s">
        <v>22</v>
      </c>
      <c r="F277" t="s">
        <v>605</v>
      </c>
      <c r="G277" t="s">
        <v>531</v>
      </c>
      <c r="H277" t="s">
        <v>373</v>
      </c>
      <c r="I277" t="s">
        <v>289</v>
      </c>
      <c r="J277" t="s">
        <v>606</v>
      </c>
      <c r="K277">
        <v>16</v>
      </c>
      <c r="L277" s="6">
        <v>4.8768000000000002</v>
      </c>
      <c r="M277" s="7">
        <v>22.224999999999998</v>
      </c>
      <c r="N277" s="7">
        <v>95.25</v>
      </c>
      <c r="O277" s="7">
        <f t="shared" si="21"/>
        <v>192.00000000000003</v>
      </c>
      <c r="P277" s="7">
        <f t="shared" si="22"/>
        <v>0.875</v>
      </c>
      <c r="Q277" s="7">
        <f t="shared" si="22"/>
        <v>3.75</v>
      </c>
      <c r="R277" s="6">
        <f t="shared" si="23"/>
        <v>1549.809</v>
      </c>
      <c r="S277" s="6">
        <f t="shared" si="25"/>
        <v>1.0323850319999999E-2</v>
      </c>
      <c r="T277" t="str">
        <f t="shared" si="24"/>
        <v>Cumaru S4S E4E 1x4 Plus Long</v>
      </c>
    </row>
    <row r="278" spans="1:20" x14ac:dyDescent="0.25">
      <c r="A278" t="s">
        <v>531</v>
      </c>
      <c r="B278" t="s">
        <v>604</v>
      </c>
      <c r="C278" t="s">
        <v>283</v>
      </c>
      <c r="D278" t="s">
        <v>438</v>
      </c>
      <c r="E278" t="s">
        <v>23</v>
      </c>
      <c r="F278" t="s">
        <v>605</v>
      </c>
      <c r="G278" t="s">
        <v>531</v>
      </c>
      <c r="H278" t="s">
        <v>373</v>
      </c>
      <c r="I278" t="s">
        <v>289</v>
      </c>
      <c r="J278" t="s">
        <v>606</v>
      </c>
      <c r="K278">
        <v>17</v>
      </c>
      <c r="L278" s="6">
        <v>5.1816000000000004</v>
      </c>
      <c r="M278" s="7">
        <v>22.224999999999998</v>
      </c>
      <c r="N278" s="7">
        <v>95.25</v>
      </c>
      <c r="O278" s="7">
        <f t="shared" si="21"/>
        <v>204.00000000000003</v>
      </c>
      <c r="P278" s="7">
        <f t="shared" si="22"/>
        <v>0.875</v>
      </c>
      <c r="Q278" s="7">
        <f t="shared" si="22"/>
        <v>3.75</v>
      </c>
      <c r="R278" s="6">
        <f t="shared" si="23"/>
        <v>1549.809</v>
      </c>
      <c r="S278" s="6">
        <f t="shared" si="25"/>
        <v>1.0969090964999999E-2</v>
      </c>
      <c r="T278" t="str">
        <f t="shared" si="24"/>
        <v>Cumaru S4S E4E 1x4 Plus Long</v>
      </c>
    </row>
    <row r="279" spans="1:20" x14ac:dyDescent="0.25">
      <c r="A279" t="s">
        <v>531</v>
      </c>
      <c r="B279" t="s">
        <v>604</v>
      </c>
      <c r="C279" t="s">
        <v>283</v>
      </c>
      <c r="D279" t="s">
        <v>438</v>
      </c>
      <c r="E279" t="s">
        <v>24</v>
      </c>
      <c r="F279" t="s">
        <v>605</v>
      </c>
      <c r="G279" t="s">
        <v>531</v>
      </c>
      <c r="H279" t="s">
        <v>373</v>
      </c>
      <c r="I279" t="s">
        <v>289</v>
      </c>
      <c r="J279" t="s">
        <v>606</v>
      </c>
      <c r="K279">
        <v>18</v>
      </c>
      <c r="L279" s="6">
        <v>5.4863999999999997</v>
      </c>
      <c r="M279" s="7">
        <v>22.224999999999998</v>
      </c>
      <c r="N279" s="7">
        <v>95.25</v>
      </c>
      <c r="O279" s="7">
        <f t="shared" si="21"/>
        <v>216</v>
      </c>
      <c r="P279" s="7">
        <f t="shared" si="22"/>
        <v>0.875</v>
      </c>
      <c r="Q279" s="7">
        <f t="shared" si="22"/>
        <v>3.75</v>
      </c>
      <c r="R279" s="6">
        <f t="shared" si="23"/>
        <v>1549.809</v>
      </c>
      <c r="S279" s="6">
        <f t="shared" si="25"/>
        <v>1.1614331609999997E-2</v>
      </c>
      <c r="T279" t="str">
        <f t="shared" si="24"/>
        <v>Cumaru S4S E4E 1x4 Plus Long</v>
      </c>
    </row>
    <row r="280" spans="1:20" x14ac:dyDescent="0.25">
      <c r="A280" t="s">
        <v>531</v>
      </c>
      <c r="B280" t="s">
        <v>604</v>
      </c>
      <c r="C280" t="s">
        <v>283</v>
      </c>
      <c r="D280" t="s">
        <v>438</v>
      </c>
      <c r="E280" t="s">
        <v>27</v>
      </c>
      <c r="F280" t="s">
        <v>605</v>
      </c>
      <c r="G280" t="s">
        <v>531</v>
      </c>
      <c r="H280" t="s">
        <v>373</v>
      </c>
      <c r="I280" t="s">
        <v>289</v>
      </c>
      <c r="J280" t="s">
        <v>606</v>
      </c>
      <c r="K280">
        <v>19</v>
      </c>
      <c r="L280" s="6">
        <v>5.7911999999999999</v>
      </c>
      <c r="M280" s="7">
        <v>22.224999999999998</v>
      </c>
      <c r="N280" s="7">
        <v>95.25</v>
      </c>
      <c r="O280" s="7">
        <f t="shared" si="21"/>
        <v>228</v>
      </c>
      <c r="P280" s="7">
        <f t="shared" si="22"/>
        <v>0.875</v>
      </c>
      <c r="Q280" s="7">
        <f t="shared" si="22"/>
        <v>3.75</v>
      </c>
      <c r="R280" s="6">
        <f t="shared" si="23"/>
        <v>1549.809</v>
      </c>
      <c r="S280" s="6">
        <f t="shared" si="25"/>
        <v>1.2259572254999998E-2</v>
      </c>
      <c r="T280" t="str">
        <f t="shared" si="24"/>
        <v>Cumaru S4S E4E 1x4 Plus Long</v>
      </c>
    </row>
    <row r="281" spans="1:20" x14ac:dyDescent="0.25">
      <c r="A281" t="s">
        <v>531</v>
      </c>
      <c r="B281" t="s">
        <v>604</v>
      </c>
      <c r="C281" t="s">
        <v>283</v>
      </c>
      <c r="D281" t="s">
        <v>438</v>
      </c>
      <c r="E281" t="s">
        <v>28</v>
      </c>
      <c r="F281" t="s">
        <v>605</v>
      </c>
      <c r="G281" t="s">
        <v>531</v>
      </c>
      <c r="H281" t="s">
        <v>373</v>
      </c>
      <c r="I281" t="s">
        <v>289</v>
      </c>
      <c r="J281" t="s">
        <v>606</v>
      </c>
      <c r="K281">
        <v>20</v>
      </c>
      <c r="L281" s="6">
        <v>6.0960000000000001</v>
      </c>
      <c r="M281" s="7">
        <v>22.224999999999998</v>
      </c>
      <c r="N281" s="7">
        <v>95.25</v>
      </c>
      <c r="O281" s="7">
        <f t="shared" si="21"/>
        <v>240</v>
      </c>
      <c r="P281" s="7">
        <f t="shared" si="22"/>
        <v>0.875</v>
      </c>
      <c r="Q281" s="7">
        <f t="shared" si="22"/>
        <v>3.75</v>
      </c>
      <c r="R281" s="6">
        <f t="shared" si="23"/>
        <v>1549.809</v>
      </c>
      <c r="S281" s="6">
        <f t="shared" si="25"/>
        <v>1.2904812899999998E-2</v>
      </c>
      <c r="T281" t="str">
        <f t="shared" si="24"/>
        <v>Cumaru S4S E4E 1x4 Plus Long</v>
      </c>
    </row>
    <row r="282" spans="1:20" x14ac:dyDescent="0.25">
      <c r="A282" t="s">
        <v>531</v>
      </c>
      <c r="B282" t="s">
        <v>604</v>
      </c>
      <c r="C282" t="s">
        <v>283</v>
      </c>
      <c r="D282" t="s">
        <v>438</v>
      </c>
      <c r="E282" t="s">
        <v>64</v>
      </c>
      <c r="F282" t="s">
        <v>605</v>
      </c>
      <c r="G282" t="s">
        <v>531</v>
      </c>
      <c r="H282" t="s">
        <v>373</v>
      </c>
      <c r="I282" t="s">
        <v>289</v>
      </c>
      <c r="J282" t="s">
        <v>606</v>
      </c>
      <c r="K282">
        <v>21</v>
      </c>
      <c r="L282" s="6">
        <v>6.4008000000000003</v>
      </c>
      <c r="M282" s="7">
        <v>22.224999999999998</v>
      </c>
      <c r="N282" s="7">
        <v>95.25</v>
      </c>
      <c r="O282" s="7">
        <f t="shared" si="21"/>
        <v>252.00000000000003</v>
      </c>
      <c r="P282" s="7">
        <f t="shared" si="22"/>
        <v>0.875</v>
      </c>
      <c r="Q282" s="7">
        <f t="shared" si="22"/>
        <v>3.75</v>
      </c>
      <c r="R282" s="6">
        <f t="shared" si="23"/>
        <v>1549.809</v>
      </c>
      <c r="S282" s="6">
        <f t="shared" si="25"/>
        <v>1.3550053545000001E-2</v>
      </c>
      <c r="T282" t="str">
        <f t="shared" si="24"/>
        <v>Cumaru S4S E4E 1x4 Plus Long</v>
      </c>
    </row>
    <row r="283" spans="1:20" x14ac:dyDescent="0.25">
      <c r="A283" t="s">
        <v>531</v>
      </c>
      <c r="B283" t="s">
        <v>604</v>
      </c>
      <c r="C283" t="s">
        <v>283</v>
      </c>
      <c r="D283" t="s">
        <v>438</v>
      </c>
      <c r="E283" t="s">
        <v>65</v>
      </c>
      <c r="F283" t="s">
        <v>605</v>
      </c>
      <c r="G283" t="s">
        <v>531</v>
      </c>
      <c r="H283" t="s">
        <v>373</v>
      </c>
      <c r="I283" t="s">
        <v>289</v>
      </c>
      <c r="J283" t="s">
        <v>606</v>
      </c>
      <c r="K283">
        <v>22</v>
      </c>
      <c r="L283" s="6">
        <v>6.7055999999999996</v>
      </c>
      <c r="M283" s="7">
        <v>22.224999999999998</v>
      </c>
      <c r="N283" s="7">
        <v>95.25</v>
      </c>
      <c r="O283" s="7">
        <f t="shared" si="21"/>
        <v>264</v>
      </c>
      <c r="P283" s="7">
        <f t="shared" si="22"/>
        <v>0.875</v>
      </c>
      <c r="Q283" s="7">
        <f t="shared" si="22"/>
        <v>3.75</v>
      </c>
      <c r="R283" s="6">
        <f t="shared" si="23"/>
        <v>1549.809</v>
      </c>
      <c r="S283" s="6">
        <f t="shared" si="25"/>
        <v>1.4195294189999997E-2</v>
      </c>
      <c r="T283" t="str">
        <f t="shared" si="24"/>
        <v>Cumaru S4S E4E 1x4 Plus Long</v>
      </c>
    </row>
    <row r="284" spans="1:20" x14ac:dyDescent="0.25">
      <c r="A284" t="s">
        <v>531</v>
      </c>
      <c r="B284" t="s">
        <v>604</v>
      </c>
      <c r="C284" t="s">
        <v>524</v>
      </c>
      <c r="D284" t="s">
        <v>438</v>
      </c>
      <c r="E284" t="s">
        <v>607</v>
      </c>
      <c r="F284" t="s">
        <v>605</v>
      </c>
      <c r="G284" t="s">
        <v>531</v>
      </c>
      <c r="H284" t="s">
        <v>373</v>
      </c>
      <c r="I284" t="s">
        <v>289</v>
      </c>
      <c r="J284" t="s">
        <v>606</v>
      </c>
      <c r="K284">
        <v>3</v>
      </c>
      <c r="L284" s="6">
        <v>0.91439999999999999</v>
      </c>
      <c r="M284" s="7">
        <v>22.224999999999998</v>
      </c>
      <c r="N284" s="7">
        <v>95.25</v>
      </c>
      <c r="O284" s="7">
        <f t="shared" si="21"/>
        <v>36</v>
      </c>
      <c r="P284" s="7">
        <f t="shared" si="22"/>
        <v>0.875</v>
      </c>
      <c r="Q284" s="7">
        <f t="shared" si="22"/>
        <v>3.75</v>
      </c>
      <c r="R284" s="6">
        <f t="shared" si="23"/>
        <v>1549.809</v>
      </c>
      <c r="S284" s="6">
        <f t="shared" si="25"/>
        <v>1.9357219349999996E-3</v>
      </c>
      <c r="T284" t="str">
        <f t="shared" si="24"/>
        <v>Cumaru S4S E4E 1x4 Plus Short</v>
      </c>
    </row>
    <row r="285" spans="1:20" x14ac:dyDescent="0.25">
      <c r="A285" t="s">
        <v>531</v>
      </c>
      <c r="B285" t="s">
        <v>604</v>
      </c>
      <c r="C285" t="s">
        <v>524</v>
      </c>
      <c r="D285" t="s">
        <v>438</v>
      </c>
      <c r="E285" t="s">
        <v>608</v>
      </c>
      <c r="F285" t="s">
        <v>605</v>
      </c>
      <c r="G285" t="s">
        <v>531</v>
      </c>
      <c r="H285" t="s">
        <v>373</v>
      </c>
      <c r="I285" t="s">
        <v>289</v>
      </c>
      <c r="J285" t="s">
        <v>606</v>
      </c>
      <c r="K285">
        <v>4</v>
      </c>
      <c r="L285" s="6">
        <v>1.2192000000000001</v>
      </c>
      <c r="M285" s="7">
        <v>22.224999999999998</v>
      </c>
      <c r="N285" s="7">
        <v>95.25</v>
      </c>
      <c r="O285" s="7">
        <f t="shared" si="21"/>
        <v>48.000000000000007</v>
      </c>
      <c r="P285" s="7">
        <f t="shared" si="22"/>
        <v>0.875</v>
      </c>
      <c r="Q285" s="7">
        <f t="shared" si="22"/>
        <v>3.75</v>
      </c>
      <c r="R285" s="6">
        <f t="shared" si="23"/>
        <v>1549.809</v>
      </c>
      <c r="S285" s="6">
        <f t="shared" si="25"/>
        <v>2.5809625799999999E-3</v>
      </c>
      <c r="T285" t="str">
        <f t="shared" si="24"/>
        <v>Cumaru S4S E4E 1x4 Plus Short</v>
      </c>
    </row>
    <row r="286" spans="1:20" x14ac:dyDescent="0.25">
      <c r="A286" t="s">
        <v>531</v>
      </c>
      <c r="B286" t="s">
        <v>604</v>
      </c>
      <c r="C286" t="s">
        <v>524</v>
      </c>
      <c r="D286" t="s">
        <v>438</v>
      </c>
      <c r="E286" t="s">
        <v>609</v>
      </c>
      <c r="F286" t="s">
        <v>605</v>
      </c>
      <c r="G286" t="s">
        <v>531</v>
      </c>
      <c r="H286" t="s">
        <v>373</v>
      </c>
      <c r="I286" t="s">
        <v>289</v>
      </c>
      <c r="J286" t="s">
        <v>606</v>
      </c>
      <c r="K286">
        <v>5</v>
      </c>
      <c r="L286" s="6">
        <v>1.524</v>
      </c>
      <c r="M286" s="7">
        <v>22.224999999999998</v>
      </c>
      <c r="N286" s="7">
        <v>95.25</v>
      </c>
      <c r="O286" s="7">
        <f t="shared" si="21"/>
        <v>60</v>
      </c>
      <c r="P286" s="7">
        <f t="shared" si="22"/>
        <v>0.875</v>
      </c>
      <c r="Q286" s="7">
        <f t="shared" si="22"/>
        <v>3.75</v>
      </c>
      <c r="R286" s="6">
        <f t="shared" si="23"/>
        <v>1549.809</v>
      </c>
      <c r="S286" s="6">
        <f t="shared" si="25"/>
        <v>3.2262032249999995E-3</v>
      </c>
      <c r="T286" t="str">
        <f t="shared" si="24"/>
        <v>Cumaru S4S E4E 1x4 Plus Short</v>
      </c>
    </row>
    <row r="287" spans="1:20" x14ac:dyDescent="0.25">
      <c r="A287" t="s">
        <v>531</v>
      </c>
      <c r="B287" t="s">
        <v>604</v>
      </c>
      <c r="C287" t="s">
        <v>524</v>
      </c>
      <c r="D287" t="s">
        <v>438</v>
      </c>
      <c r="E287" t="s">
        <v>25</v>
      </c>
      <c r="F287" t="s">
        <v>605</v>
      </c>
      <c r="G287" t="s">
        <v>531</v>
      </c>
      <c r="H287" t="s">
        <v>373</v>
      </c>
      <c r="I287" t="s">
        <v>289</v>
      </c>
      <c r="J287" t="s">
        <v>606</v>
      </c>
      <c r="K287">
        <v>6</v>
      </c>
      <c r="L287" s="6">
        <v>1.8288</v>
      </c>
      <c r="M287" s="7">
        <v>22.224999999999998</v>
      </c>
      <c r="N287" s="7">
        <v>95.25</v>
      </c>
      <c r="O287" s="7">
        <f t="shared" si="21"/>
        <v>72</v>
      </c>
      <c r="P287" s="7">
        <f t="shared" si="22"/>
        <v>0.875</v>
      </c>
      <c r="Q287" s="7">
        <f t="shared" si="22"/>
        <v>3.75</v>
      </c>
      <c r="R287" s="6">
        <f t="shared" si="23"/>
        <v>1549.809</v>
      </c>
      <c r="S287" s="6">
        <f t="shared" si="25"/>
        <v>3.8714438699999991E-3</v>
      </c>
      <c r="T287" t="str">
        <f t="shared" si="24"/>
        <v>Cumaru S4S E4E 1x4 Plus Short</v>
      </c>
    </row>
    <row r="288" spans="1:20" x14ac:dyDescent="0.25">
      <c r="A288" t="s">
        <v>531</v>
      </c>
      <c r="B288" t="s">
        <v>604</v>
      </c>
      <c r="C288" t="s">
        <v>524</v>
      </c>
      <c r="D288" t="s">
        <v>438</v>
      </c>
      <c r="E288" t="s">
        <v>26</v>
      </c>
      <c r="F288" t="s">
        <v>605</v>
      </c>
      <c r="G288" t="s">
        <v>531</v>
      </c>
      <c r="H288" t="s">
        <v>373</v>
      </c>
      <c r="I288" t="s">
        <v>289</v>
      </c>
      <c r="J288" t="s">
        <v>606</v>
      </c>
      <c r="K288">
        <v>7</v>
      </c>
      <c r="L288" s="6">
        <v>2.1335999999999999</v>
      </c>
      <c r="M288" s="7">
        <v>22.224999999999998</v>
      </c>
      <c r="N288" s="7">
        <v>95.25</v>
      </c>
      <c r="O288" s="7">
        <f t="shared" si="21"/>
        <v>84</v>
      </c>
      <c r="P288" s="7">
        <f t="shared" si="22"/>
        <v>0.875</v>
      </c>
      <c r="Q288" s="7">
        <f t="shared" si="22"/>
        <v>3.75</v>
      </c>
      <c r="R288" s="6">
        <f t="shared" si="23"/>
        <v>1549.809</v>
      </c>
      <c r="S288" s="6">
        <f t="shared" si="25"/>
        <v>4.5166845149999992E-3</v>
      </c>
      <c r="T288" t="str">
        <f t="shared" si="24"/>
        <v>Cumaru S4S E4E 1x4 Plus Short</v>
      </c>
    </row>
    <row r="289" spans="1:20" x14ac:dyDescent="0.25">
      <c r="A289" t="s">
        <v>531</v>
      </c>
      <c r="B289" t="s">
        <v>604</v>
      </c>
      <c r="C289" t="s">
        <v>283</v>
      </c>
      <c r="D289" t="s">
        <v>438</v>
      </c>
      <c r="E289" t="s">
        <v>29</v>
      </c>
      <c r="F289" t="s">
        <v>605</v>
      </c>
      <c r="G289" t="s">
        <v>531</v>
      </c>
      <c r="H289" t="s">
        <v>373</v>
      </c>
      <c r="I289" t="s">
        <v>289</v>
      </c>
      <c r="J289" t="s">
        <v>606</v>
      </c>
      <c r="K289">
        <v>8</v>
      </c>
      <c r="L289" s="6">
        <v>2.4384000000000001</v>
      </c>
      <c r="M289" s="7">
        <v>22.224999999999998</v>
      </c>
      <c r="N289" s="7">
        <v>95.25</v>
      </c>
      <c r="O289" s="7">
        <f t="shared" si="21"/>
        <v>96.000000000000014</v>
      </c>
      <c r="P289" s="7">
        <f t="shared" si="22"/>
        <v>0.875</v>
      </c>
      <c r="Q289" s="7">
        <f t="shared" si="22"/>
        <v>3.75</v>
      </c>
      <c r="R289" s="6">
        <f t="shared" si="23"/>
        <v>1549.809</v>
      </c>
      <c r="S289" s="6">
        <f t="shared" si="25"/>
        <v>5.1619251599999997E-3</v>
      </c>
      <c r="T289" t="str">
        <f t="shared" si="24"/>
        <v>Cumaru S4S E4E 1x4 Plus Long</v>
      </c>
    </row>
    <row r="290" spans="1:20" x14ac:dyDescent="0.25">
      <c r="A290" t="s">
        <v>531</v>
      </c>
      <c r="B290" t="s">
        <v>604</v>
      </c>
      <c r="C290" t="s">
        <v>283</v>
      </c>
      <c r="D290" t="s">
        <v>438</v>
      </c>
      <c r="E290" t="s">
        <v>30</v>
      </c>
      <c r="F290" t="s">
        <v>605</v>
      </c>
      <c r="G290" t="s">
        <v>531</v>
      </c>
      <c r="H290" t="s">
        <v>373</v>
      </c>
      <c r="I290" t="s">
        <v>289</v>
      </c>
      <c r="J290" t="s">
        <v>606</v>
      </c>
      <c r="K290">
        <v>9</v>
      </c>
      <c r="L290" s="6">
        <v>2.7431999999999999</v>
      </c>
      <c r="M290" s="7">
        <v>22.224999999999998</v>
      </c>
      <c r="N290" s="7">
        <v>95.25</v>
      </c>
      <c r="O290" s="7">
        <f t="shared" si="21"/>
        <v>108</v>
      </c>
      <c r="P290" s="7">
        <f t="shared" si="22"/>
        <v>0.875</v>
      </c>
      <c r="Q290" s="7">
        <f t="shared" si="22"/>
        <v>3.75</v>
      </c>
      <c r="R290" s="6">
        <f t="shared" si="23"/>
        <v>1549.809</v>
      </c>
      <c r="S290" s="6">
        <f t="shared" si="25"/>
        <v>5.8071658049999985E-3</v>
      </c>
      <c r="T290" t="str">
        <f t="shared" si="24"/>
        <v>Cumaru S4S E4E 1x4 Plus Long</v>
      </c>
    </row>
    <row r="291" spans="1:20" x14ac:dyDescent="0.25">
      <c r="A291" t="s">
        <v>531</v>
      </c>
      <c r="B291" t="s">
        <v>610</v>
      </c>
      <c r="C291" t="s">
        <v>283</v>
      </c>
      <c r="D291" t="s">
        <v>438</v>
      </c>
      <c r="E291" t="s">
        <v>611</v>
      </c>
      <c r="F291" t="s">
        <v>612</v>
      </c>
      <c r="G291" t="s">
        <v>531</v>
      </c>
      <c r="H291" t="s">
        <v>373</v>
      </c>
      <c r="I291" t="s">
        <v>289</v>
      </c>
      <c r="J291" t="s">
        <v>613</v>
      </c>
      <c r="K291">
        <v>10</v>
      </c>
      <c r="L291" s="6">
        <v>3.048</v>
      </c>
      <c r="M291" s="7">
        <v>19.05</v>
      </c>
      <c r="N291" s="7">
        <v>88.9</v>
      </c>
      <c r="O291" s="7">
        <f t="shared" si="21"/>
        <v>120</v>
      </c>
      <c r="P291" s="7">
        <f t="shared" si="22"/>
        <v>0.75000000000000011</v>
      </c>
      <c r="Q291" s="7">
        <f t="shared" si="22"/>
        <v>3.5000000000000004</v>
      </c>
      <c r="R291" s="6">
        <f t="shared" si="23"/>
        <v>1937.2619999999999</v>
      </c>
      <c r="S291" s="6">
        <f t="shared" si="25"/>
        <v>5.1619251600000006E-3</v>
      </c>
      <c r="T291" t="str">
        <f t="shared" si="24"/>
        <v>Cumaru S4S E4E 1x4 Long</v>
      </c>
    </row>
    <row r="292" spans="1:20" x14ac:dyDescent="0.25">
      <c r="A292" t="s">
        <v>531</v>
      </c>
      <c r="B292" t="s">
        <v>610</v>
      </c>
      <c r="C292" t="s">
        <v>283</v>
      </c>
      <c r="D292" t="s">
        <v>438</v>
      </c>
      <c r="E292" t="s">
        <v>614</v>
      </c>
      <c r="F292" t="s">
        <v>612</v>
      </c>
      <c r="G292" t="s">
        <v>531</v>
      </c>
      <c r="H292" t="s">
        <v>373</v>
      </c>
      <c r="I292" t="s">
        <v>289</v>
      </c>
      <c r="J292" t="s">
        <v>613</v>
      </c>
      <c r="K292">
        <v>11</v>
      </c>
      <c r="L292" s="6">
        <v>3.3527999999999998</v>
      </c>
      <c r="M292" s="7">
        <v>19.05</v>
      </c>
      <c r="N292" s="7">
        <v>88.9</v>
      </c>
      <c r="O292" s="7">
        <f t="shared" si="21"/>
        <v>132</v>
      </c>
      <c r="P292" s="7">
        <f t="shared" si="22"/>
        <v>0.75000000000000011</v>
      </c>
      <c r="Q292" s="7">
        <f t="shared" si="22"/>
        <v>3.5000000000000004</v>
      </c>
      <c r="R292" s="6">
        <f t="shared" si="23"/>
        <v>1937.2619999999999</v>
      </c>
      <c r="S292" s="6">
        <f t="shared" si="25"/>
        <v>5.6781176760000007E-3</v>
      </c>
      <c r="T292" t="str">
        <f t="shared" si="24"/>
        <v>Cumaru S4S E4E 1x4 Long</v>
      </c>
    </row>
    <row r="293" spans="1:20" x14ac:dyDescent="0.25">
      <c r="A293" t="s">
        <v>531</v>
      </c>
      <c r="B293" t="s">
        <v>610</v>
      </c>
      <c r="C293" t="s">
        <v>283</v>
      </c>
      <c r="D293" t="s">
        <v>438</v>
      </c>
      <c r="E293" t="s">
        <v>615</v>
      </c>
      <c r="F293" t="s">
        <v>612</v>
      </c>
      <c r="G293" t="s">
        <v>531</v>
      </c>
      <c r="H293" t="s">
        <v>373</v>
      </c>
      <c r="I293" t="s">
        <v>289</v>
      </c>
      <c r="J293" t="s">
        <v>613</v>
      </c>
      <c r="K293">
        <v>12</v>
      </c>
      <c r="L293" s="6">
        <v>3.6576</v>
      </c>
      <c r="M293" s="7">
        <v>19.05</v>
      </c>
      <c r="N293" s="7">
        <v>88.9</v>
      </c>
      <c r="O293" s="7">
        <f t="shared" si="21"/>
        <v>144</v>
      </c>
      <c r="P293" s="7">
        <f t="shared" si="22"/>
        <v>0.75000000000000011</v>
      </c>
      <c r="Q293" s="7">
        <f t="shared" si="22"/>
        <v>3.5000000000000004</v>
      </c>
      <c r="R293" s="6">
        <f t="shared" si="23"/>
        <v>1937.2619999999999</v>
      </c>
      <c r="S293" s="6">
        <f t="shared" si="25"/>
        <v>6.1943101919999998E-3</v>
      </c>
      <c r="T293" t="str">
        <f t="shared" si="24"/>
        <v>Cumaru S4S E4E 1x4 Long</v>
      </c>
    </row>
    <row r="294" spans="1:20" x14ac:dyDescent="0.25">
      <c r="A294" t="s">
        <v>531</v>
      </c>
      <c r="B294" t="s">
        <v>610</v>
      </c>
      <c r="C294" t="s">
        <v>283</v>
      </c>
      <c r="D294" t="s">
        <v>438</v>
      </c>
      <c r="E294" t="s">
        <v>616</v>
      </c>
      <c r="F294" t="s">
        <v>612</v>
      </c>
      <c r="G294" t="s">
        <v>531</v>
      </c>
      <c r="H294" t="s">
        <v>373</v>
      </c>
      <c r="I294" t="s">
        <v>289</v>
      </c>
      <c r="J294" t="s">
        <v>613</v>
      </c>
      <c r="K294">
        <v>13</v>
      </c>
      <c r="L294" s="6">
        <v>3.9624000000000001</v>
      </c>
      <c r="M294" s="7">
        <v>19.05</v>
      </c>
      <c r="N294" s="7">
        <v>88.9</v>
      </c>
      <c r="O294" s="7">
        <f t="shared" si="21"/>
        <v>156</v>
      </c>
      <c r="P294" s="7">
        <f t="shared" si="22"/>
        <v>0.75000000000000011</v>
      </c>
      <c r="Q294" s="7">
        <f t="shared" si="22"/>
        <v>3.5000000000000004</v>
      </c>
      <c r="R294" s="6">
        <f t="shared" si="23"/>
        <v>1937.2619999999999</v>
      </c>
      <c r="S294" s="6">
        <f t="shared" si="25"/>
        <v>6.7105027080000008E-3</v>
      </c>
      <c r="T294" t="str">
        <f t="shared" si="24"/>
        <v>Cumaru S4S E4E 1x4 Long</v>
      </c>
    </row>
    <row r="295" spans="1:20" x14ac:dyDescent="0.25">
      <c r="A295" t="s">
        <v>531</v>
      </c>
      <c r="B295" t="s">
        <v>610</v>
      </c>
      <c r="C295" t="s">
        <v>283</v>
      </c>
      <c r="D295" t="s">
        <v>438</v>
      </c>
      <c r="E295" t="s">
        <v>617</v>
      </c>
      <c r="F295" t="s">
        <v>612</v>
      </c>
      <c r="G295" t="s">
        <v>531</v>
      </c>
      <c r="H295" t="s">
        <v>373</v>
      </c>
      <c r="I295" t="s">
        <v>289</v>
      </c>
      <c r="J295" t="s">
        <v>613</v>
      </c>
      <c r="K295">
        <v>14</v>
      </c>
      <c r="L295" s="6">
        <v>4.2671999999999999</v>
      </c>
      <c r="M295" s="7">
        <v>19.05</v>
      </c>
      <c r="N295" s="7">
        <v>88.9</v>
      </c>
      <c r="O295" s="7">
        <f t="shared" si="21"/>
        <v>168</v>
      </c>
      <c r="P295" s="7">
        <f t="shared" si="22"/>
        <v>0.75000000000000011</v>
      </c>
      <c r="Q295" s="7">
        <f t="shared" si="22"/>
        <v>3.5000000000000004</v>
      </c>
      <c r="R295" s="6">
        <f t="shared" si="23"/>
        <v>1937.2619999999999</v>
      </c>
      <c r="S295" s="6">
        <f t="shared" si="25"/>
        <v>7.226695224E-3</v>
      </c>
      <c r="T295" t="str">
        <f t="shared" si="24"/>
        <v>Cumaru S4S E4E 1x4 Long</v>
      </c>
    </row>
    <row r="296" spans="1:20" x14ac:dyDescent="0.25">
      <c r="A296" t="s">
        <v>531</v>
      </c>
      <c r="B296" t="s">
        <v>610</v>
      </c>
      <c r="C296" t="s">
        <v>283</v>
      </c>
      <c r="D296" t="s">
        <v>438</v>
      </c>
      <c r="E296" t="s">
        <v>618</v>
      </c>
      <c r="F296" t="s">
        <v>612</v>
      </c>
      <c r="G296" t="s">
        <v>531</v>
      </c>
      <c r="H296" t="s">
        <v>373</v>
      </c>
      <c r="I296" t="s">
        <v>289</v>
      </c>
      <c r="J296" t="s">
        <v>613</v>
      </c>
      <c r="K296">
        <v>15</v>
      </c>
      <c r="L296" s="6">
        <v>4.5720000000000001</v>
      </c>
      <c r="M296" s="7">
        <v>19.05</v>
      </c>
      <c r="N296" s="7">
        <v>88.9</v>
      </c>
      <c r="O296" s="7">
        <f t="shared" si="21"/>
        <v>180</v>
      </c>
      <c r="P296" s="7">
        <f t="shared" si="22"/>
        <v>0.75000000000000011</v>
      </c>
      <c r="Q296" s="7">
        <f t="shared" si="22"/>
        <v>3.5000000000000004</v>
      </c>
      <c r="R296" s="6">
        <f t="shared" si="23"/>
        <v>1937.2619999999999</v>
      </c>
      <c r="S296" s="6">
        <f t="shared" si="25"/>
        <v>7.7428877400000018E-3</v>
      </c>
      <c r="T296" t="str">
        <f t="shared" si="24"/>
        <v>Cumaru S4S E4E 1x4 Long</v>
      </c>
    </row>
    <row r="297" spans="1:20" x14ac:dyDescent="0.25">
      <c r="A297" t="s">
        <v>531</v>
      </c>
      <c r="B297" t="s">
        <v>610</v>
      </c>
      <c r="C297" t="s">
        <v>283</v>
      </c>
      <c r="D297" t="s">
        <v>438</v>
      </c>
      <c r="E297" t="s">
        <v>619</v>
      </c>
      <c r="F297" t="s">
        <v>612</v>
      </c>
      <c r="G297" t="s">
        <v>531</v>
      </c>
      <c r="H297" t="s">
        <v>373</v>
      </c>
      <c r="I297" t="s">
        <v>289</v>
      </c>
      <c r="J297" t="s">
        <v>613</v>
      </c>
      <c r="K297">
        <v>16</v>
      </c>
      <c r="L297" s="6">
        <v>4.8768000000000002</v>
      </c>
      <c r="M297" s="7">
        <v>19.05</v>
      </c>
      <c r="N297" s="7">
        <v>88.9</v>
      </c>
      <c r="O297" s="7">
        <f t="shared" si="21"/>
        <v>192.00000000000003</v>
      </c>
      <c r="P297" s="7">
        <f t="shared" si="22"/>
        <v>0.75000000000000011</v>
      </c>
      <c r="Q297" s="7">
        <f t="shared" si="22"/>
        <v>3.5000000000000004</v>
      </c>
      <c r="R297" s="6">
        <f t="shared" si="23"/>
        <v>1937.2619999999999</v>
      </c>
      <c r="S297" s="6">
        <f t="shared" si="25"/>
        <v>8.259080256000001E-3</v>
      </c>
      <c r="T297" t="str">
        <f t="shared" si="24"/>
        <v>Cumaru S4S E4E 1x4 Long</v>
      </c>
    </row>
    <row r="298" spans="1:20" x14ac:dyDescent="0.25">
      <c r="A298" t="s">
        <v>531</v>
      </c>
      <c r="B298" t="s">
        <v>610</v>
      </c>
      <c r="C298" t="s">
        <v>283</v>
      </c>
      <c r="D298" t="s">
        <v>438</v>
      </c>
      <c r="E298" t="s">
        <v>620</v>
      </c>
      <c r="F298" t="s">
        <v>612</v>
      </c>
      <c r="G298" t="s">
        <v>531</v>
      </c>
      <c r="H298" t="s">
        <v>373</v>
      </c>
      <c r="I298" t="s">
        <v>289</v>
      </c>
      <c r="J298" t="s">
        <v>613</v>
      </c>
      <c r="K298">
        <v>17</v>
      </c>
      <c r="L298" s="6">
        <v>5.1816000000000004</v>
      </c>
      <c r="M298" s="7">
        <v>19.05</v>
      </c>
      <c r="N298" s="7">
        <v>88.9</v>
      </c>
      <c r="O298" s="7">
        <f t="shared" si="21"/>
        <v>204.00000000000003</v>
      </c>
      <c r="P298" s="7">
        <f t="shared" si="22"/>
        <v>0.75000000000000011</v>
      </c>
      <c r="Q298" s="7">
        <f t="shared" si="22"/>
        <v>3.5000000000000004</v>
      </c>
      <c r="R298" s="6">
        <f t="shared" si="23"/>
        <v>1937.2619999999999</v>
      </c>
      <c r="S298" s="6">
        <f t="shared" si="25"/>
        <v>8.7752727720000027E-3</v>
      </c>
      <c r="T298" t="str">
        <f t="shared" si="24"/>
        <v>Cumaru S4S E4E 1x4 Long</v>
      </c>
    </row>
    <row r="299" spans="1:20" x14ac:dyDescent="0.25">
      <c r="A299" t="s">
        <v>531</v>
      </c>
      <c r="B299" t="s">
        <v>610</v>
      </c>
      <c r="C299" t="s">
        <v>283</v>
      </c>
      <c r="D299" t="s">
        <v>438</v>
      </c>
      <c r="E299" t="s">
        <v>621</v>
      </c>
      <c r="F299" t="s">
        <v>612</v>
      </c>
      <c r="G299" t="s">
        <v>531</v>
      </c>
      <c r="H299" t="s">
        <v>373</v>
      </c>
      <c r="I299" t="s">
        <v>289</v>
      </c>
      <c r="J299" t="s">
        <v>613</v>
      </c>
      <c r="K299">
        <v>18</v>
      </c>
      <c r="L299" s="6">
        <v>5.4863999999999997</v>
      </c>
      <c r="M299" s="7">
        <v>19.05</v>
      </c>
      <c r="N299" s="7">
        <v>88.9</v>
      </c>
      <c r="O299" s="7">
        <f t="shared" si="21"/>
        <v>216</v>
      </c>
      <c r="P299" s="7">
        <f t="shared" si="22"/>
        <v>0.75000000000000011</v>
      </c>
      <c r="Q299" s="7">
        <f t="shared" si="22"/>
        <v>3.5000000000000004</v>
      </c>
      <c r="R299" s="6">
        <f t="shared" si="23"/>
        <v>1937.2619999999999</v>
      </c>
      <c r="S299" s="6">
        <f t="shared" si="25"/>
        <v>9.2914652880000011E-3</v>
      </c>
      <c r="T299" t="str">
        <f t="shared" si="24"/>
        <v>Cumaru S4S E4E 1x4 Long</v>
      </c>
    </row>
    <row r="300" spans="1:20" x14ac:dyDescent="0.25">
      <c r="A300" t="s">
        <v>531</v>
      </c>
      <c r="B300" t="s">
        <v>610</v>
      </c>
      <c r="C300" t="s">
        <v>283</v>
      </c>
      <c r="D300" t="s">
        <v>438</v>
      </c>
      <c r="E300" t="s">
        <v>622</v>
      </c>
      <c r="F300" t="s">
        <v>612</v>
      </c>
      <c r="G300" t="s">
        <v>531</v>
      </c>
      <c r="H300" t="s">
        <v>373</v>
      </c>
      <c r="I300" t="s">
        <v>289</v>
      </c>
      <c r="J300" t="s">
        <v>613</v>
      </c>
      <c r="K300">
        <v>19</v>
      </c>
      <c r="L300" s="6">
        <v>5.7911999999999999</v>
      </c>
      <c r="M300" s="7">
        <v>19.05</v>
      </c>
      <c r="N300" s="7">
        <v>88.9</v>
      </c>
      <c r="O300" s="7">
        <f t="shared" si="21"/>
        <v>228</v>
      </c>
      <c r="P300" s="7">
        <f t="shared" si="22"/>
        <v>0.75000000000000011</v>
      </c>
      <c r="Q300" s="7">
        <f t="shared" si="22"/>
        <v>3.5000000000000004</v>
      </c>
      <c r="R300" s="6">
        <f t="shared" si="23"/>
        <v>1937.2619999999999</v>
      </c>
      <c r="S300" s="6">
        <f t="shared" si="25"/>
        <v>9.8076578040000011E-3</v>
      </c>
      <c r="T300" t="str">
        <f t="shared" si="24"/>
        <v>Cumaru S4S E4E 1x4 Long</v>
      </c>
    </row>
    <row r="301" spans="1:20" x14ac:dyDescent="0.25">
      <c r="A301" t="s">
        <v>531</v>
      </c>
      <c r="B301" t="s">
        <v>610</v>
      </c>
      <c r="C301" t="s">
        <v>283</v>
      </c>
      <c r="D301" t="s">
        <v>438</v>
      </c>
      <c r="E301" t="s">
        <v>623</v>
      </c>
      <c r="F301" t="s">
        <v>612</v>
      </c>
      <c r="G301" t="s">
        <v>531</v>
      </c>
      <c r="H301" t="s">
        <v>373</v>
      </c>
      <c r="I301" t="s">
        <v>289</v>
      </c>
      <c r="J301" t="s">
        <v>613</v>
      </c>
      <c r="K301">
        <v>20</v>
      </c>
      <c r="L301" s="6">
        <v>6.0960000000000001</v>
      </c>
      <c r="M301" s="7">
        <v>19.05</v>
      </c>
      <c r="N301" s="7">
        <v>88.9</v>
      </c>
      <c r="O301" s="7">
        <f t="shared" si="21"/>
        <v>240</v>
      </c>
      <c r="P301" s="7">
        <f t="shared" si="22"/>
        <v>0.75000000000000011</v>
      </c>
      <c r="Q301" s="7">
        <f t="shared" si="22"/>
        <v>3.5000000000000004</v>
      </c>
      <c r="R301" s="6">
        <f t="shared" si="23"/>
        <v>1937.2619999999999</v>
      </c>
      <c r="S301" s="6">
        <f t="shared" si="25"/>
        <v>1.0323850320000001E-2</v>
      </c>
      <c r="T301" t="str">
        <f t="shared" si="24"/>
        <v>Cumaru S4S E4E 1x4 Long</v>
      </c>
    </row>
    <row r="302" spans="1:20" x14ac:dyDescent="0.25">
      <c r="A302" t="s">
        <v>531</v>
      </c>
      <c r="B302" t="s">
        <v>610</v>
      </c>
      <c r="C302" t="s">
        <v>283</v>
      </c>
      <c r="D302" t="s">
        <v>438</v>
      </c>
      <c r="E302" t="s">
        <v>624</v>
      </c>
      <c r="F302" t="s">
        <v>612</v>
      </c>
      <c r="G302" t="s">
        <v>531</v>
      </c>
      <c r="H302" t="s">
        <v>373</v>
      </c>
      <c r="I302" t="s">
        <v>289</v>
      </c>
      <c r="J302" t="s">
        <v>613</v>
      </c>
      <c r="K302">
        <v>21</v>
      </c>
      <c r="L302" s="6">
        <v>6.4008000000000003</v>
      </c>
      <c r="M302" s="7">
        <v>19.05</v>
      </c>
      <c r="N302" s="7">
        <v>88.9</v>
      </c>
      <c r="O302" s="7">
        <f t="shared" si="21"/>
        <v>252.00000000000003</v>
      </c>
      <c r="P302" s="7">
        <f t="shared" si="22"/>
        <v>0.75000000000000011</v>
      </c>
      <c r="Q302" s="7">
        <f t="shared" si="22"/>
        <v>3.5000000000000004</v>
      </c>
      <c r="R302" s="6">
        <f t="shared" si="23"/>
        <v>1937.2619999999999</v>
      </c>
      <c r="S302" s="6">
        <f t="shared" si="25"/>
        <v>1.0840042836000001E-2</v>
      </c>
      <c r="T302" t="str">
        <f t="shared" si="24"/>
        <v>Cumaru S4S E4E 1x4 Long</v>
      </c>
    </row>
    <row r="303" spans="1:20" x14ac:dyDescent="0.25">
      <c r="A303" t="s">
        <v>531</v>
      </c>
      <c r="B303" t="s">
        <v>610</v>
      </c>
      <c r="C303" t="s">
        <v>283</v>
      </c>
      <c r="D303" t="s">
        <v>438</v>
      </c>
      <c r="E303" t="s">
        <v>625</v>
      </c>
      <c r="F303" t="s">
        <v>612</v>
      </c>
      <c r="G303" t="s">
        <v>531</v>
      </c>
      <c r="H303" t="s">
        <v>373</v>
      </c>
      <c r="I303" t="s">
        <v>289</v>
      </c>
      <c r="J303" t="s">
        <v>613</v>
      </c>
      <c r="K303">
        <v>22</v>
      </c>
      <c r="L303" s="6">
        <v>6.7055999999999996</v>
      </c>
      <c r="M303" s="7">
        <v>19.05</v>
      </c>
      <c r="N303" s="7">
        <v>88.9</v>
      </c>
      <c r="O303" s="7">
        <f t="shared" si="21"/>
        <v>264</v>
      </c>
      <c r="P303" s="7">
        <f t="shared" si="22"/>
        <v>0.75000000000000011</v>
      </c>
      <c r="Q303" s="7">
        <f t="shared" si="22"/>
        <v>3.5000000000000004</v>
      </c>
      <c r="R303" s="6">
        <f t="shared" si="23"/>
        <v>1937.2619999999999</v>
      </c>
      <c r="S303" s="6">
        <f t="shared" si="25"/>
        <v>1.1356235352000001E-2</v>
      </c>
      <c r="T303" t="str">
        <f t="shared" si="24"/>
        <v>Cumaru S4S E4E 1x4 Long</v>
      </c>
    </row>
    <row r="304" spans="1:20" x14ac:dyDescent="0.25">
      <c r="A304" t="s">
        <v>531</v>
      </c>
      <c r="B304" t="s">
        <v>610</v>
      </c>
      <c r="C304" t="s">
        <v>283</v>
      </c>
      <c r="D304" t="s">
        <v>438</v>
      </c>
      <c r="E304" t="s">
        <v>626</v>
      </c>
      <c r="F304" t="s">
        <v>612</v>
      </c>
      <c r="G304" t="s">
        <v>531</v>
      </c>
      <c r="H304" t="s">
        <v>373</v>
      </c>
      <c r="I304" t="s">
        <v>289</v>
      </c>
      <c r="J304" t="s">
        <v>613</v>
      </c>
      <c r="K304">
        <v>23</v>
      </c>
      <c r="L304" s="6">
        <v>7.0103999999999997</v>
      </c>
      <c r="M304" s="7">
        <v>19.05</v>
      </c>
      <c r="N304" s="7">
        <v>88.9</v>
      </c>
      <c r="O304" s="7">
        <f t="shared" si="21"/>
        <v>276</v>
      </c>
      <c r="P304" s="7">
        <f t="shared" si="22"/>
        <v>0.75000000000000011</v>
      </c>
      <c r="Q304" s="7">
        <f t="shared" si="22"/>
        <v>3.5000000000000004</v>
      </c>
      <c r="R304" s="6">
        <f t="shared" si="23"/>
        <v>1937.2619999999999</v>
      </c>
      <c r="S304" s="6">
        <f t="shared" si="25"/>
        <v>1.1872427868000003E-2</v>
      </c>
      <c r="T304" t="str">
        <f t="shared" si="24"/>
        <v>Cumaru S4S E4E 1x4 Long</v>
      </c>
    </row>
    <row r="305" spans="1:20" x14ac:dyDescent="0.25">
      <c r="A305" t="s">
        <v>531</v>
      </c>
      <c r="B305" t="s">
        <v>610</v>
      </c>
      <c r="C305" t="s">
        <v>283</v>
      </c>
      <c r="D305" t="s">
        <v>438</v>
      </c>
      <c r="E305" t="s">
        <v>627</v>
      </c>
      <c r="F305" t="s">
        <v>612</v>
      </c>
      <c r="G305" t="s">
        <v>531</v>
      </c>
      <c r="H305" t="s">
        <v>373</v>
      </c>
      <c r="I305" t="s">
        <v>289</v>
      </c>
      <c r="J305" t="s">
        <v>613</v>
      </c>
      <c r="K305">
        <v>24</v>
      </c>
      <c r="L305" s="6">
        <v>7.3152000000000008</v>
      </c>
      <c r="M305" s="7">
        <v>19.05</v>
      </c>
      <c r="N305" s="7">
        <v>88.9</v>
      </c>
      <c r="O305" s="7">
        <f t="shared" si="21"/>
        <v>288.00000000000006</v>
      </c>
      <c r="P305" s="7">
        <f t="shared" si="22"/>
        <v>0.75000000000000011</v>
      </c>
      <c r="Q305" s="7">
        <f t="shared" si="22"/>
        <v>3.5000000000000004</v>
      </c>
      <c r="R305" s="6">
        <f t="shared" si="23"/>
        <v>1937.2619999999999</v>
      </c>
      <c r="S305" s="6">
        <f t="shared" si="25"/>
        <v>1.2388620384000003E-2</v>
      </c>
      <c r="T305" t="str">
        <f t="shared" si="24"/>
        <v>Cumaru S4S E4E 1x4 Long</v>
      </c>
    </row>
    <row r="306" spans="1:20" x14ac:dyDescent="0.25">
      <c r="A306" t="s">
        <v>531</v>
      </c>
      <c r="B306" t="s">
        <v>610</v>
      </c>
      <c r="C306" t="s">
        <v>524</v>
      </c>
      <c r="D306" t="s">
        <v>438</v>
      </c>
      <c r="E306" t="s">
        <v>628</v>
      </c>
      <c r="F306" t="s">
        <v>612</v>
      </c>
      <c r="G306" t="s">
        <v>531</v>
      </c>
      <c r="H306" t="s">
        <v>373</v>
      </c>
      <c r="I306" t="s">
        <v>289</v>
      </c>
      <c r="J306" t="s">
        <v>613</v>
      </c>
      <c r="K306">
        <v>3</v>
      </c>
      <c r="L306" s="6">
        <v>0.91439999999999999</v>
      </c>
      <c r="M306" s="7">
        <v>19.05</v>
      </c>
      <c r="N306" s="7">
        <v>88.9</v>
      </c>
      <c r="O306" s="7">
        <f t="shared" si="21"/>
        <v>36</v>
      </c>
      <c r="P306" s="7">
        <f t="shared" si="22"/>
        <v>0.75000000000000011</v>
      </c>
      <c r="Q306" s="7">
        <f t="shared" si="22"/>
        <v>3.5000000000000004</v>
      </c>
      <c r="R306" s="6">
        <f t="shared" si="23"/>
        <v>1937.2619999999999</v>
      </c>
      <c r="S306" s="6">
        <f t="shared" si="25"/>
        <v>1.548577548E-3</v>
      </c>
      <c r="T306" t="str">
        <f t="shared" si="24"/>
        <v>Cumaru S4S E4E 1x4 Short</v>
      </c>
    </row>
    <row r="307" spans="1:20" x14ac:dyDescent="0.25">
      <c r="A307" t="s">
        <v>531</v>
      </c>
      <c r="B307" t="s">
        <v>610</v>
      </c>
      <c r="C307" t="s">
        <v>524</v>
      </c>
      <c r="D307" t="s">
        <v>438</v>
      </c>
      <c r="E307" t="s">
        <v>629</v>
      </c>
      <c r="F307" t="s">
        <v>612</v>
      </c>
      <c r="G307" t="s">
        <v>531</v>
      </c>
      <c r="H307" t="s">
        <v>373</v>
      </c>
      <c r="I307" t="s">
        <v>289</v>
      </c>
      <c r="J307" t="s">
        <v>613</v>
      </c>
      <c r="K307">
        <v>4</v>
      </c>
      <c r="L307" s="6">
        <v>1.2192000000000001</v>
      </c>
      <c r="M307" s="7">
        <v>19.05</v>
      </c>
      <c r="N307" s="7">
        <v>88.9</v>
      </c>
      <c r="O307" s="7">
        <f t="shared" si="21"/>
        <v>48.000000000000007</v>
      </c>
      <c r="P307" s="7">
        <f t="shared" si="22"/>
        <v>0.75000000000000011</v>
      </c>
      <c r="Q307" s="7">
        <f t="shared" si="22"/>
        <v>3.5000000000000004</v>
      </c>
      <c r="R307" s="6">
        <f t="shared" si="23"/>
        <v>1937.2619999999999</v>
      </c>
      <c r="S307" s="6">
        <f t="shared" si="25"/>
        <v>2.0647700640000002E-3</v>
      </c>
      <c r="T307" t="str">
        <f t="shared" si="24"/>
        <v>Cumaru S4S E4E 1x4 Short</v>
      </c>
    </row>
    <row r="308" spans="1:20" x14ac:dyDescent="0.25">
      <c r="A308" t="s">
        <v>531</v>
      </c>
      <c r="B308" t="s">
        <v>610</v>
      </c>
      <c r="C308" t="s">
        <v>524</v>
      </c>
      <c r="D308" t="s">
        <v>438</v>
      </c>
      <c r="E308" t="s">
        <v>630</v>
      </c>
      <c r="F308" t="s">
        <v>612</v>
      </c>
      <c r="G308" t="s">
        <v>531</v>
      </c>
      <c r="H308" t="s">
        <v>373</v>
      </c>
      <c r="I308" t="s">
        <v>289</v>
      </c>
      <c r="J308" t="s">
        <v>613</v>
      </c>
      <c r="K308">
        <v>5</v>
      </c>
      <c r="L308" s="6">
        <v>1.524</v>
      </c>
      <c r="M308" s="7">
        <v>19.05</v>
      </c>
      <c r="N308" s="7">
        <v>88.9</v>
      </c>
      <c r="O308" s="7">
        <f t="shared" si="21"/>
        <v>60</v>
      </c>
      <c r="P308" s="7">
        <f t="shared" si="22"/>
        <v>0.75000000000000011</v>
      </c>
      <c r="Q308" s="7">
        <f t="shared" si="22"/>
        <v>3.5000000000000004</v>
      </c>
      <c r="R308" s="6">
        <f t="shared" si="23"/>
        <v>1937.2619999999999</v>
      </c>
      <c r="S308" s="6">
        <f t="shared" si="25"/>
        <v>2.5809625800000003E-3</v>
      </c>
      <c r="T308" t="str">
        <f t="shared" si="24"/>
        <v>Cumaru S4S E4E 1x4 Short</v>
      </c>
    </row>
    <row r="309" spans="1:20" x14ac:dyDescent="0.25">
      <c r="A309" t="s">
        <v>531</v>
      </c>
      <c r="B309" t="s">
        <v>610</v>
      </c>
      <c r="C309" t="s">
        <v>524</v>
      </c>
      <c r="D309" t="s">
        <v>438</v>
      </c>
      <c r="E309" t="s">
        <v>631</v>
      </c>
      <c r="F309" t="s">
        <v>612</v>
      </c>
      <c r="G309" t="s">
        <v>531</v>
      </c>
      <c r="H309" t="s">
        <v>373</v>
      </c>
      <c r="I309" t="s">
        <v>289</v>
      </c>
      <c r="J309" t="s">
        <v>613</v>
      </c>
      <c r="K309">
        <v>6</v>
      </c>
      <c r="L309" s="6">
        <v>1.8288</v>
      </c>
      <c r="M309" s="7">
        <v>19.05</v>
      </c>
      <c r="N309" s="7">
        <v>88.9</v>
      </c>
      <c r="O309" s="7">
        <f t="shared" si="21"/>
        <v>72</v>
      </c>
      <c r="P309" s="7">
        <f t="shared" si="22"/>
        <v>0.75000000000000011</v>
      </c>
      <c r="Q309" s="7">
        <f t="shared" si="22"/>
        <v>3.5000000000000004</v>
      </c>
      <c r="R309" s="6">
        <f t="shared" si="23"/>
        <v>1937.2619999999999</v>
      </c>
      <c r="S309" s="6">
        <f t="shared" si="25"/>
        <v>3.0971550959999999E-3</v>
      </c>
      <c r="T309" t="str">
        <f t="shared" si="24"/>
        <v>Cumaru S4S E4E 1x4 Short</v>
      </c>
    </row>
    <row r="310" spans="1:20" x14ac:dyDescent="0.25">
      <c r="A310" t="s">
        <v>531</v>
      </c>
      <c r="B310" t="s">
        <v>610</v>
      </c>
      <c r="C310" t="s">
        <v>524</v>
      </c>
      <c r="D310" t="s">
        <v>438</v>
      </c>
      <c r="E310" t="s">
        <v>632</v>
      </c>
      <c r="F310" t="s">
        <v>612</v>
      </c>
      <c r="G310" t="s">
        <v>531</v>
      </c>
      <c r="H310" t="s">
        <v>373</v>
      </c>
      <c r="I310" t="s">
        <v>289</v>
      </c>
      <c r="J310" t="s">
        <v>613</v>
      </c>
      <c r="K310">
        <v>7</v>
      </c>
      <c r="L310" s="6">
        <v>2.1335999999999999</v>
      </c>
      <c r="M310" s="7">
        <v>19.05</v>
      </c>
      <c r="N310" s="7">
        <v>88.9</v>
      </c>
      <c r="O310" s="7">
        <f t="shared" si="21"/>
        <v>84</v>
      </c>
      <c r="P310" s="7">
        <f t="shared" si="22"/>
        <v>0.75000000000000011</v>
      </c>
      <c r="Q310" s="7">
        <f t="shared" si="22"/>
        <v>3.5000000000000004</v>
      </c>
      <c r="R310" s="6">
        <f t="shared" si="23"/>
        <v>1937.2619999999999</v>
      </c>
      <c r="S310" s="6">
        <f t="shared" si="25"/>
        <v>3.613347612E-3</v>
      </c>
      <c r="T310" t="str">
        <f t="shared" si="24"/>
        <v>Cumaru S4S E4E 1x4 Short</v>
      </c>
    </row>
    <row r="311" spans="1:20" x14ac:dyDescent="0.25">
      <c r="A311" t="s">
        <v>531</v>
      </c>
      <c r="B311" t="s">
        <v>610</v>
      </c>
      <c r="C311" t="s">
        <v>283</v>
      </c>
      <c r="D311" t="s">
        <v>438</v>
      </c>
      <c r="E311" t="s">
        <v>633</v>
      </c>
      <c r="F311" t="s">
        <v>612</v>
      </c>
      <c r="G311" t="s">
        <v>531</v>
      </c>
      <c r="H311" t="s">
        <v>373</v>
      </c>
      <c r="I311" t="s">
        <v>289</v>
      </c>
      <c r="J311" t="s">
        <v>613</v>
      </c>
      <c r="K311">
        <v>8</v>
      </c>
      <c r="L311" s="6">
        <v>2.4384000000000001</v>
      </c>
      <c r="M311" s="7">
        <v>19.05</v>
      </c>
      <c r="N311" s="7">
        <v>88.9</v>
      </c>
      <c r="O311" s="7">
        <f t="shared" si="21"/>
        <v>96.000000000000014</v>
      </c>
      <c r="P311" s="7">
        <f t="shared" si="22"/>
        <v>0.75000000000000011</v>
      </c>
      <c r="Q311" s="7">
        <f t="shared" si="22"/>
        <v>3.5000000000000004</v>
      </c>
      <c r="R311" s="6">
        <f t="shared" si="23"/>
        <v>1937.2619999999999</v>
      </c>
      <c r="S311" s="6">
        <f t="shared" si="25"/>
        <v>4.1295401280000005E-3</v>
      </c>
      <c r="T311" t="str">
        <f t="shared" si="24"/>
        <v>Cumaru S4S E4E 1x4 Long</v>
      </c>
    </row>
    <row r="312" spans="1:20" x14ac:dyDescent="0.25">
      <c r="A312" t="s">
        <v>531</v>
      </c>
      <c r="B312" t="s">
        <v>610</v>
      </c>
      <c r="C312" t="s">
        <v>283</v>
      </c>
      <c r="D312" t="s">
        <v>438</v>
      </c>
      <c r="E312" t="s">
        <v>634</v>
      </c>
      <c r="F312" t="s">
        <v>612</v>
      </c>
      <c r="G312" t="s">
        <v>531</v>
      </c>
      <c r="H312" t="s">
        <v>373</v>
      </c>
      <c r="I312" t="s">
        <v>289</v>
      </c>
      <c r="J312" t="s">
        <v>613</v>
      </c>
      <c r="K312">
        <v>9</v>
      </c>
      <c r="L312" s="6">
        <v>2.7431999999999999</v>
      </c>
      <c r="M312" s="7">
        <v>19.05</v>
      </c>
      <c r="N312" s="7">
        <v>88.9</v>
      </c>
      <c r="O312" s="7">
        <f t="shared" si="21"/>
        <v>108</v>
      </c>
      <c r="P312" s="7">
        <f t="shared" si="22"/>
        <v>0.75000000000000011</v>
      </c>
      <c r="Q312" s="7">
        <f t="shared" si="22"/>
        <v>3.5000000000000004</v>
      </c>
      <c r="R312" s="6">
        <f t="shared" si="23"/>
        <v>1937.2619999999999</v>
      </c>
      <c r="S312" s="6">
        <f t="shared" si="25"/>
        <v>4.6457326440000005E-3</v>
      </c>
      <c r="T312" t="str">
        <f t="shared" si="24"/>
        <v>Cumaru S4S E4E 1x4 Long</v>
      </c>
    </row>
    <row r="313" spans="1:20" x14ac:dyDescent="0.25">
      <c r="A313" t="s">
        <v>531</v>
      </c>
      <c r="B313" t="s">
        <v>635</v>
      </c>
      <c r="C313" t="s">
        <v>283</v>
      </c>
      <c r="D313" t="s">
        <v>438</v>
      </c>
      <c r="E313" t="s">
        <v>241</v>
      </c>
      <c r="F313" t="s">
        <v>636</v>
      </c>
      <c r="G313" t="s">
        <v>531</v>
      </c>
      <c r="H313" t="s">
        <v>373</v>
      </c>
      <c r="I313" t="s">
        <v>289</v>
      </c>
      <c r="J313" t="s">
        <v>637</v>
      </c>
      <c r="K313">
        <v>10</v>
      </c>
      <c r="L313" s="6">
        <v>3.048</v>
      </c>
      <c r="M313" s="7">
        <v>22.224999999999998</v>
      </c>
      <c r="N313" s="7">
        <v>146.04999999999998</v>
      </c>
      <c r="O313" s="7">
        <f t="shared" si="21"/>
        <v>120</v>
      </c>
      <c r="P313" s="7">
        <f t="shared" si="22"/>
        <v>0.875</v>
      </c>
      <c r="Q313" s="7">
        <f t="shared" si="22"/>
        <v>5.75</v>
      </c>
      <c r="R313" s="6">
        <f t="shared" si="23"/>
        <v>1010.745</v>
      </c>
      <c r="S313" s="6">
        <f t="shared" si="25"/>
        <v>9.893689889999998E-3</v>
      </c>
      <c r="T313" t="str">
        <f t="shared" si="24"/>
        <v>Cumaru S4S E4E 1x6 Plus Long</v>
      </c>
    </row>
    <row r="314" spans="1:20" x14ac:dyDescent="0.25">
      <c r="A314" t="s">
        <v>531</v>
      </c>
      <c r="B314" t="s">
        <v>635</v>
      </c>
      <c r="C314" t="s">
        <v>283</v>
      </c>
      <c r="D314" t="s">
        <v>438</v>
      </c>
      <c r="E314" t="s">
        <v>638</v>
      </c>
      <c r="F314" t="s">
        <v>636</v>
      </c>
      <c r="G314" t="s">
        <v>531</v>
      </c>
      <c r="H314" t="s">
        <v>373</v>
      </c>
      <c r="I314" t="s">
        <v>289</v>
      </c>
      <c r="J314" t="s">
        <v>637</v>
      </c>
      <c r="K314">
        <v>11</v>
      </c>
      <c r="L314" s="6">
        <v>3.3527999999999998</v>
      </c>
      <c r="M314" s="7">
        <v>22.224999999999998</v>
      </c>
      <c r="N314" s="7">
        <v>146.04999999999998</v>
      </c>
      <c r="O314" s="7">
        <f t="shared" si="21"/>
        <v>132</v>
      </c>
      <c r="P314" s="7">
        <f t="shared" si="22"/>
        <v>0.875</v>
      </c>
      <c r="Q314" s="7">
        <f t="shared" si="22"/>
        <v>5.75</v>
      </c>
      <c r="R314" s="6">
        <f t="shared" si="23"/>
        <v>1010.745</v>
      </c>
      <c r="S314" s="6">
        <f t="shared" si="25"/>
        <v>1.0883058878999997E-2</v>
      </c>
      <c r="T314" t="str">
        <f t="shared" si="24"/>
        <v>Cumaru S4S E4E 1x6 Plus Long</v>
      </c>
    </row>
    <row r="315" spans="1:20" x14ac:dyDescent="0.25">
      <c r="A315" t="s">
        <v>531</v>
      </c>
      <c r="B315" t="s">
        <v>635</v>
      </c>
      <c r="C315" t="s">
        <v>283</v>
      </c>
      <c r="D315" t="s">
        <v>438</v>
      </c>
      <c r="E315" t="s">
        <v>242</v>
      </c>
      <c r="F315" t="s">
        <v>636</v>
      </c>
      <c r="G315" t="s">
        <v>531</v>
      </c>
      <c r="H315" t="s">
        <v>373</v>
      </c>
      <c r="I315" t="s">
        <v>289</v>
      </c>
      <c r="J315" t="s">
        <v>637</v>
      </c>
      <c r="K315">
        <v>12</v>
      </c>
      <c r="L315" s="6">
        <v>3.6576</v>
      </c>
      <c r="M315" s="7">
        <v>22.224999999999998</v>
      </c>
      <c r="N315" s="7">
        <v>146.04999999999998</v>
      </c>
      <c r="O315" s="7">
        <f t="shared" si="21"/>
        <v>144</v>
      </c>
      <c r="P315" s="7">
        <f t="shared" si="22"/>
        <v>0.875</v>
      </c>
      <c r="Q315" s="7">
        <f t="shared" si="22"/>
        <v>5.75</v>
      </c>
      <c r="R315" s="6">
        <f t="shared" si="23"/>
        <v>1010.745</v>
      </c>
      <c r="S315" s="6">
        <f t="shared" si="25"/>
        <v>1.1872427867999998E-2</v>
      </c>
      <c r="T315" t="str">
        <f t="shared" si="24"/>
        <v>Cumaru S4S E4E 1x6 Plus Long</v>
      </c>
    </row>
    <row r="316" spans="1:20" x14ac:dyDescent="0.25">
      <c r="A316" t="s">
        <v>531</v>
      </c>
      <c r="B316" t="s">
        <v>635</v>
      </c>
      <c r="C316" t="s">
        <v>283</v>
      </c>
      <c r="D316" t="s">
        <v>438</v>
      </c>
      <c r="E316" t="s">
        <v>113</v>
      </c>
      <c r="F316" t="s">
        <v>636</v>
      </c>
      <c r="G316" t="s">
        <v>531</v>
      </c>
      <c r="H316" t="s">
        <v>373</v>
      </c>
      <c r="I316" t="s">
        <v>289</v>
      </c>
      <c r="J316" t="s">
        <v>637</v>
      </c>
      <c r="K316">
        <v>13</v>
      </c>
      <c r="L316" s="6">
        <v>3.9624000000000001</v>
      </c>
      <c r="M316" s="7">
        <v>22.224999999999998</v>
      </c>
      <c r="N316" s="7">
        <v>146.04999999999998</v>
      </c>
      <c r="O316" s="7">
        <f t="shared" si="21"/>
        <v>156</v>
      </c>
      <c r="P316" s="7">
        <f t="shared" si="22"/>
        <v>0.875</v>
      </c>
      <c r="Q316" s="7">
        <f t="shared" si="22"/>
        <v>5.75</v>
      </c>
      <c r="R316" s="6">
        <f t="shared" si="23"/>
        <v>1010.745</v>
      </c>
      <c r="S316" s="6">
        <f t="shared" si="25"/>
        <v>1.2861796857E-2</v>
      </c>
      <c r="T316" t="str">
        <f t="shared" si="24"/>
        <v>Cumaru S4S E4E 1x6 Plus Long</v>
      </c>
    </row>
    <row r="317" spans="1:20" x14ac:dyDescent="0.25">
      <c r="A317" t="s">
        <v>531</v>
      </c>
      <c r="B317" t="s">
        <v>635</v>
      </c>
      <c r="C317" t="s">
        <v>283</v>
      </c>
      <c r="D317" t="s">
        <v>438</v>
      </c>
      <c r="E317" t="s">
        <v>243</v>
      </c>
      <c r="F317" t="s">
        <v>636</v>
      </c>
      <c r="G317" t="s">
        <v>531</v>
      </c>
      <c r="H317" t="s">
        <v>373</v>
      </c>
      <c r="I317" t="s">
        <v>289</v>
      </c>
      <c r="J317" t="s">
        <v>637</v>
      </c>
      <c r="K317">
        <v>14</v>
      </c>
      <c r="L317" s="6">
        <v>4.2671999999999999</v>
      </c>
      <c r="M317" s="7">
        <v>22.224999999999998</v>
      </c>
      <c r="N317" s="7">
        <v>146.04999999999998</v>
      </c>
      <c r="O317" s="7">
        <f t="shared" si="21"/>
        <v>168</v>
      </c>
      <c r="P317" s="7">
        <f t="shared" si="22"/>
        <v>0.875</v>
      </c>
      <c r="Q317" s="7">
        <f t="shared" si="22"/>
        <v>5.75</v>
      </c>
      <c r="R317" s="6">
        <f t="shared" si="23"/>
        <v>1010.745</v>
      </c>
      <c r="S317" s="6">
        <f t="shared" si="25"/>
        <v>1.3851165845999996E-2</v>
      </c>
      <c r="T317" t="str">
        <f t="shared" si="24"/>
        <v>Cumaru S4S E4E 1x6 Plus Long</v>
      </c>
    </row>
    <row r="318" spans="1:20" x14ac:dyDescent="0.25">
      <c r="A318" t="s">
        <v>531</v>
      </c>
      <c r="B318" t="s">
        <v>635</v>
      </c>
      <c r="C318" t="s">
        <v>283</v>
      </c>
      <c r="D318" t="s">
        <v>438</v>
      </c>
      <c r="E318" t="s">
        <v>639</v>
      </c>
      <c r="F318" t="s">
        <v>636</v>
      </c>
      <c r="G318" t="s">
        <v>531</v>
      </c>
      <c r="H318" t="s">
        <v>373</v>
      </c>
      <c r="I318" t="s">
        <v>289</v>
      </c>
      <c r="J318" t="s">
        <v>637</v>
      </c>
      <c r="K318">
        <v>15</v>
      </c>
      <c r="L318" s="6">
        <v>4.5720000000000001</v>
      </c>
      <c r="M318" s="7">
        <v>22.224999999999998</v>
      </c>
      <c r="N318" s="7">
        <v>146.04999999999998</v>
      </c>
      <c r="O318" s="7">
        <f t="shared" si="21"/>
        <v>180</v>
      </c>
      <c r="P318" s="7">
        <f t="shared" si="22"/>
        <v>0.875</v>
      </c>
      <c r="Q318" s="7">
        <f t="shared" si="22"/>
        <v>5.75</v>
      </c>
      <c r="R318" s="6">
        <f t="shared" si="23"/>
        <v>1010.745</v>
      </c>
      <c r="S318" s="6">
        <f t="shared" si="25"/>
        <v>1.4840534834999997E-2</v>
      </c>
      <c r="T318" t="str">
        <f t="shared" si="24"/>
        <v>Cumaru S4S E4E 1x6 Plus Long</v>
      </c>
    </row>
    <row r="319" spans="1:20" x14ac:dyDescent="0.25">
      <c r="A319" t="s">
        <v>531</v>
      </c>
      <c r="B319" t="s">
        <v>635</v>
      </c>
      <c r="C319" t="s">
        <v>283</v>
      </c>
      <c r="D319" t="s">
        <v>438</v>
      </c>
      <c r="E319" t="s">
        <v>244</v>
      </c>
      <c r="F319" t="s">
        <v>636</v>
      </c>
      <c r="G319" t="s">
        <v>531</v>
      </c>
      <c r="H319" t="s">
        <v>373</v>
      </c>
      <c r="I319" t="s">
        <v>289</v>
      </c>
      <c r="J319" t="s">
        <v>637</v>
      </c>
      <c r="K319">
        <v>16</v>
      </c>
      <c r="L319" s="6">
        <v>4.8768000000000002</v>
      </c>
      <c r="M319" s="7">
        <v>22.224999999999998</v>
      </c>
      <c r="N319" s="7">
        <v>146.04999999999998</v>
      </c>
      <c r="O319" s="7">
        <f t="shared" si="21"/>
        <v>192.00000000000003</v>
      </c>
      <c r="P319" s="7">
        <f t="shared" si="22"/>
        <v>0.875</v>
      </c>
      <c r="Q319" s="7">
        <f t="shared" si="22"/>
        <v>5.75</v>
      </c>
      <c r="R319" s="6">
        <f t="shared" si="23"/>
        <v>1010.745</v>
      </c>
      <c r="S319" s="6">
        <f t="shared" si="25"/>
        <v>1.5829903823999996E-2</v>
      </c>
      <c r="T319" t="str">
        <f t="shared" si="24"/>
        <v>Cumaru S4S E4E 1x6 Plus Long</v>
      </c>
    </row>
    <row r="320" spans="1:20" x14ac:dyDescent="0.25">
      <c r="A320" t="s">
        <v>531</v>
      </c>
      <c r="B320" t="s">
        <v>635</v>
      </c>
      <c r="C320" t="s">
        <v>283</v>
      </c>
      <c r="D320" t="s">
        <v>438</v>
      </c>
      <c r="E320" t="s">
        <v>640</v>
      </c>
      <c r="F320" t="s">
        <v>636</v>
      </c>
      <c r="G320" t="s">
        <v>531</v>
      </c>
      <c r="H320" t="s">
        <v>373</v>
      </c>
      <c r="I320" t="s">
        <v>289</v>
      </c>
      <c r="J320" t="s">
        <v>637</v>
      </c>
      <c r="K320">
        <v>17</v>
      </c>
      <c r="L320" s="6">
        <v>5.1816000000000004</v>
      </c>
      <c r="M320" s="7">
        <v>22.224999999999998</v>
      </c>
      <c r="N320" s="7">
        <v>146.04999999999998</v>
      </c>
      <c r="O320" s="7">
        <f t="shared" si="21"/>
        <v>204.00000000000003</v>
      </c>
      <c r="P320" s="7">
        <f t="shared" si="22"/>
        <v>0.875</v>
      </c>
      <c r="Q320" s="7">
        <f t="shared" si="22"/>
        <v>5.75</v>
      </c>
      <c r="R320" s="6">
        <f t="shared" si="23"/>
        <v>1010.745</v>
      </c>
      <c r="S320" s="6">
        <f t="shared" si="25"/>
        <v>1.6819272812999997E-2</v>
      </c>
      <c r="T320" t="str">
        <f t="shared" si="24"/>
        <v>Cumaru S4S E4E 1x6 Plus Long</v>
      </c>
    </row>
    <row r="321" spans="1:20" x14ac:dyDescent="0.25">
      <c r="A321" t="s">
        <v>531</v>
      </c>
      <c r="B321" t="s">
        <v>635</v>
      </c>
      <c r="C321" t="s">
        <v>283</v>
      </c>
      <c r="D321" t="s">
        <v>438</v>
      </c>
      <c r="E321" t="s">
        <v>245</v>
      </c>
      <c r="F321" t="s">
        <v>636</v>
      </c>
      <c r="G321" t="s">
        <v>531</v>
      </c>
      <c r="H321" t="s">
        <v>373</v>
      </c>
      <c r="I321" t="s">
        <v>289</v>
      </c>
      <c r="J321" t="s">
        <v>637</v>
      </c>
      <c r="K321">
        <v>18</v>
      </c>
      <c r="L321" s="6">
        <v>5.4863999999999997</v>
      </c>
      <c r="M321" s="7">
        <v>22.224999999999998</v>
      </c>
      <c r="N321" s="7">
        <v>146.04999999999998</v>
      </c>
      <c r="O321" s="7">
        <f t="shared" si="21"/>
        <v>216</v>
      </c>
      <c r="P321" s="7">
        <f t="shared" si="22"/>
        <v>0.875</v>
      </c>
      <c r="Q321" s="7">
        <f t="shared" si="22"/>
        <v>5.75</v>
      </c>
      <c r="R321" s="6">
        <f t="shared" si="23"/>
        <v>1010.745</v>
      </c>
      <c r="S321" s="6">
        <f t="shared" si="25"/>
        <v>1.7808641801999994E-2</v>
      </c>
      <c r="T321" t="str">
        <f t="shared" si="24"/>
        <v>Cumaru S4S E4E 1x6 Plus Long</v>
      </c>
    </row>
    <row r="322" spans="1:20" x14ac:dyDescent="0.25">
      <c r="A322" t="s">
        <v>531</v>
      </c>
      <c r="B322" t="s">
        <v>635</v>
      </c>
      <c r="C322" t="s">
        <v>283</v>
      </c>
      <c r="D322" t="s">
        <v>438</v>
      </c>
      <c r="E322" t="s">
        <v>641</v>
      </c>
      <c r="F322" t="s">
        <v>636</v>
      </c>
      <c r="G322" t="s">
        <v>531</v>
      </c>
      <c r="H322" t="s">
        <v>373</v>
      </c>
      <c r="I322" t="s">
        <v>289</v>
      </c>
      <c r="J322" t="s">
        <v>637</v>
      </c>
      <c r="K322">
        <v>19</v>
      </c>
      <c r="L322" s="6">
        <v>5.7911999999999999</v>
      </c>
      <c r="M322" s="7">
        <v>22.224999999999998</v>
      </c>
      <c r="N322" s="7">
        <v>146.04999999999998</v>
      </c>
      <c r="O322" s="7">
        <f t="shared" ref="O322:O385" si="26">L322/0.0254</f>
        <v>228</v>
      </c>
      <c r="P322" s="7">
        <f t="shared" ref="P322:Q385" si="27">M322/25.4</f>
        <v>0.875</v>
      </c>
      <c r="Q322" s="7">
        <f t="shared" si="27"/>
        <v>5.75</v>
      </c>
      <c r="R322" s="6">
        <f t="shared" ref="R322:R385" si="28">ROUND(IFERROR(1/((M322*N322*0.3048)/1000000),0),3)</f>
        <v>1010.745</v>
      </c>
      <c r="S322" s="6">
        <f t="shared" si="25"/>
        <v>1.8798010790999995E-2</v>
      </c>
      <c r="T322" t="str">
        <f t="shared" ref="T322:T385" si="29">F322&amp;" "&amp;C322</f>
        <v>Cumaru S4S E4E 1x6 Plus Long</v>
      </c>
    </row>
    <row r="323" spans="1:20" x14ac:dyDescent="0.25">
      <c r="A323" t="s">
        <v>531</v>
      </c>
      <c r="B323" t="s">
        <v>635</v>
      </c>
      <c r="C323" t="s">
        <v>283</v>
      </c>
      <c r="D323" t="s">
        <v>438</v>
      </c>
      <c r="E323" t="s">
        <v>246</v>
      </c>
      <c r="F323" t="s">
        <v>636</v>
      </c>
      <c r="G323" t="s">
        <v>531</v>
      </c>
      <c r="H323" t="s">
        <v>373</v>
      </c>
      <c r="I323" t="s">
        <v>289</v>
      </c>
      <c r="J323" t="s">
        <v>637</v>
      </c>
      <c r="K323">
        <v>20</v>
      </c>
      <c r="L323" s="6">
        <v>6.0960000000000001</v>
      </c>
      <c r="M323" s="7">
        <v>22.224999999999998</v>
      </c>
      <c r="N323" s="7">
        <v>146.04999999999998</v>
      </c>
      <c r="O323" s="7">
        <f t="shared" si="26"/>
        <v>240</v>
      </c>
      <c r="P323" s="7">
        <f t="shared" si="27"/>
        <v>0.875</v>
      </c>
      <c r="Q323" s="7">
        <f t="shared" si="27"/>
        <v>5.75</v>
      </c>
      <c r="R323" s="6">
        <f t="shared" si="28"/>
        <v>1010.745</v>
      </c>
      <c r="S323" s="6">
        <f t="shared" si="25"/>
        <v>1.9787379779999996E-2</v>
      </c>
      <c r="T323" t="str">
        <f t="shared" si="29"/>
        <v>Cumaru S4S E4E 1x6 Plus Long</v>
      </c>
    </row>
    <row r="324" spans="1:20" x14ac:dyDescent="0.25">
      <c r="A324" t="s">
        <v>531</v>
      </c>
      <c r="B324" t="s">
        <v>635</v>
      </c>
      <c r="C324" t="s">
        <v>524</v>
      </c>
      <c r="D324" t="s">
        <v>438</v>
      </c>
      <c r="E324" t="s">
        <v>642</v>
      </c>
      <c r="F324" t="s">
        <v>636</v>
      </c>
      <c r="G324" t="s">
        <v>531</v>
      </c>
      <c r="H324" t="s">
        <v>373</v>
      </c>
      <c r="I324" t="s">
        <v>289</v>
      </c>
      <c r="J324" t="s">
        <v>637</v>
      </c>
      <c r="K324">
        <v>3</v>
      </c>
      <c r="L324" s="6">
        <v>0.91439999999999999</v>
      </c>
      <c r="M324" s="7">
        <v>22.224999999999998</v>
      </c>
      <c r="N324" s="7">
        <v>146.04999999999998</v>
      </c>
      <c r="O324" s="7">
        <f t="shared" si="26"/>
        <v>36</v>
      </c>
      <c r="P324" s="7">
        <f t="shared" si="27"/>
        <v>0.875</v>
      </c>
      <c r="Q324" s="7">
        <f t="shared" si="27"/>
        <v>5.75</v>
      </c>
      <c r="R324" s="6">
        <f t="shared" si="28"/>
        <v>1010.745</v>
      </c>
      <c r="S324" s="6">
        <f t="shared" ref="S324:S387" si="30">L324*M324/1000*N324/1000</f>
        <v>2.9681069669999995E-3</v>
      </c>
      <c r="T324" t="str">
        <f t="shared" si="29"/>
        <v>Cumaru S4S E4E 1x6 Plus Short</v>
      </c>
    </row>
    <row r="325" spans="1:20" x14ac:dyDescent="0.25">
      <c r="A325" t="s">
        <v>531</v>
      </c>
      <c r="B325" t="s">
        <v>635</v>
      </c>
      <c r="C325" t="s">
        <v>524</v>
      </c>
      <c r="D325" t="s">
        <v>438</v>
      </c>
      <c r="E325" t="s">
        <v>643</v>
      </c>
      <c r="F325" t="s">
        <v>636</v>
      </c>
      <c r="G325" t="s">
        <v>531</v>
      </c>
      <c r="H325" t="s">
        <v>373</v>
      </c>
      <c r="I325" t="s">
        <v>289</v>
      </c>
      <c r="J325" t="s">
        <v>637</v>
      </c>
      <c r="K325">
        <v>4</v>
      </c>
      <c r="L325" s="6">
        <v>1.2192000000000001</v>
      </c>
      <c r="M325" s="7">
        <v>22.224999999999998</v>
      </c>
      <c r="N325" s="7">
        <v>146.04999999999998</v>
      </c>
      <c r="O325" s="7">
        <f t="shared" si="26"/>
        <v>48.000000000000007</v>
      </c>
      <c r="P325" s="7">
        <f t="shared" si="27"/>
        <v>0.875</v>
      </c>
      <c r="Q325" s="7">
        <f t="shared" si="27"/>
        <v>5.75</v>
      </c>
      <c r="R325" s="6">
        <f t="shared" si="28"/>
        <v>1010.745</v>
      </c>
      <c r="S325" s="6">
        <f t="shared" si="30"/>
        <v>3.957475955999999E-3</v>
      </c>
      <c r="T325" t="str">
        <f t="shared" si="29"/>
        <v>Cumaru S4S E4E 1x6 Plus Short</v>
      </c>
    </row>
    <row r="326" spans="1:20" x14ac:dyDescent="0.25">
      <c r="A326" t="s">
        <v>531</v>
      </c>
      <c r="B326" t="s">
        <v>635</v>
      </c>
      <c r="C326" t="s">
        <v>524</v>
      </c>
      <c r="D326" t="s">
        <v>438</v>
      </c>
      <c r="E326" t="s">
        <v>644</v>
      </c>
      <c r="F326" t="s">
        <v>636</v>
      </c>
      <c r="G326" t="s">
        <v>531</v>
      </c>
      <c r="H326" t="s">
        <v>373</v>
      </c>
      <c r="I326" t="s">
        <v>289</v>
      </c>
      <c r="J326" t="s">
        <v>637</v>
      </c>
      <c r="K326">
        <v>5</v>
      </c>
      <c r="L326" s="6">
        <v>1.524</v>
      </c>
      <c r="M326" s="7">
        <v>22.224999999999998</v>
      </c>
      <c r="N326" s="7">
        <v>146.04999999999998</v>
      </c>
      <c r="O326" s="7">
        <f t="shared" si="26"/>
        <v>60</v>
      </c>
      <c r="P326" s="7">
        <f t="shared" si="27"/>
        <v>0.875</v>
      </c>
      <c r="Q326" s="7">
        <f t="shared" si="27"/>
        <v>5.75</v>
      </c>
      <c r="R326" s="6">
        <f t="shared" si="28"/>
        <v>1010.745</v>
      </c>
      <c r="S326" s="6">
        <f t="shared" si="30"/>
        <v>4.946844944999999E-3</v>
      </c>
      <c r="T326" t="str">
        <f t="shared" si="29"/>
        <v>Cumaru S4S E4E 1x6 Plus Short</v>
      </c>
    </row>
    <row r="327" spans="1:20" x14ac:dyDescent="0.25">
      <c r="A327" t="s">
        <v>531</v>
      </c>
      <c r="B327" t="s">
        <v>635</v>
      </c>
      <c r="C327" t="s">
        <v>524</v>
      </c>
      <c r="D327" t="s">
        <v>438</v>
      </c>
      <c r="E327" t="s">
        <v>645</v>
      </c>
      <c r="F327" t="s">
        <v>636</v>
      </c>
      <c r="G327" t="s">
        <v>531</v>
      </c>
      <c r="H327" t="s">
        <v>373</v>
      </c>
      <c r="I327" t="s">
        <v>289</v>
      </c>
      <c r="J327" t="s">
        <v>637</v>
      </c>
      <c r="K327">
        <v>6</v>
      </c>
      <c r="L327" s="6">
        <v>1.8288</v>
      </c>
      <c r="M327" s="7">
        <v>22.224999999999998</v>
      </c>
      <c r="N327" s="7">
        <v>146.04999999999998</v>
      </c>
      <c r="O327" s="7">
        <f t="shared" si="26"/>
        <v>72</v>
      </c>
      <c r="P327" s="7">
        <f t="shared" si="27"/>
        <v>0.875</v>
      </c>
      <c r="Q327" s="7">
        <f t="shared" si="27"/>
        <v>5.75</v>
      </c>
      <c r="R327" s="6">
        <f t="shared" si="28"/>
        <v>1010.745</v>
      </c>
      <c r="S327" s="6">
        <f t="shared" si="30"/>
        <v>5.9362139339999989E-3</v>
      </c>
      <c r="T327" t="str">
        <f t="shared" si="29"/>
        <v>Cumaru S4S E4E 1x6 Plus Short</v>
      </c>
    </row>
    <row r="328" spans="1:20" x14ac:dyDescent="0.25">
      <c r="A328" t="s">
        <v>531</v>
      </c>
      <c r="B328" t="s">
        <v>635</v>
      </c>
      <c r="C328" t="s">
        <v>524</v>
      </c>
      <c r="D328" t="s">
        <v>438</v>
      </c>
      <c r="E328" t="s">
        <v>646</v>
      </c>
      <c r="F328" t="s">
        <v>636</v>
      </c>
      <c r="G328" t="s">
        <v>531</v>
      </c>
      <c r="H328" t="s">
        <v>373</v>
      </c>
      <c r="I328" t="s">
        <v>289</v>
      </c>
      <c r="J328" t="s">
        <v>637</v>
      </c>
      <c r="K328">
        <v>7</v>
      </c>
      <c r="L328" s="6">
        <v>2.1335999999999999</v>
      </c>
      <c r="M328" s="7">
        <v>22.224999999999998</v>
      </c>
      <c r="N328" s="7">
        <v>146.04999999999998</v>
      </c>
      <c r="O328" s="7">
        <f t="shared" si="26"/>
        <v>84</v>
      </c>
      <c r="P328" s="7">
        <f t="shared" si="27"/>
        <v>0.875</v>
      </c>
      <c r="Q328" s="7">
        <f t="shared" si="27"/>
        <v>5.75</v>
      </c>
      <c r="R328" s="6">
        <f t="shared" si="28"/>
        <v>1010.745</v>
      </c>
      <c r="S328" s="6">
        <f t="shared" si="30"/>
        <v>6.9255829229999981E-3</v>
      </c>
      <c r="T328" t="str">
        <f t="shared" si="29"/>
        <v>Cumaru S4S E4E 1x6 Plus Short</v>
      </c>
    </row>
    <row r="329" spans="1:20" x14ac:dyDescent="0.25">
      <c r="A329" t="s">
        <v>531</v>
      </c>
      <c r="B329" t="s">
        <v>635</v>
      </c>
      <c r="C329" t="s">
        <v>283</v>
      </c>
      <c r="D329" t="s">
        <v>438</v>
      </c>
      <c r="E329" t="s">
        <v>258</v>
      </c>
      <c r="F329" t="s">
        <v>636</v>
      </c>
      <c r="G329" t="s">
        <v>531</v>
      </c>
      <c r="H329" t="s">
        <v>373</v>
      </c>
      <c r="I329" t="s">
        <v>289</v>
      </c>
      <c r="J329" t="s">
        <v>637</v>
      </c>
      <c r="K329">
        <v>8</v>
      </c>
      <c r="L329" s="6">
        <v>2.4384000000000001</v>
      </c>
      <c r="M329" s="7">
        <v>22.224999999999998</v>
      </c>
      <c r="N329" s="7">
        <v>146.04999999999998</v>
      </c>
      <c r="O329" s="7">
        <f t="shared" si="26"/>
        <v>96.000000000000014</v>
      </c>
      <c r="P329" s="7">
        <f t="shared" si="27"/>
        <v>0.875</v>
      </c>
      <c r="Q329" s="7">
        <f t="shared" si="27"/>
        <v>5.75</v>
      </c>
      <c r="R329" s="6">
        <f t="shared" si="28"/>
        <v>1010.745</v>
      </c>
      <c r="S329" s="6">
        <f t="shared" si="30"/>
        <v>7.914951911999998E-3</v>
      </c>
      <c r="T329" t="str">
        <f t="shared" si="29"/>
        <v>Cumaru S4S E4E 1x6 Plus Long</v>
      </c>
    </row>
    <row r="330" spans="1:20" x14ac:dyDescent="0.25">
      <c r="A330" t="s">
        <v>531</v>
      </c>
      <c r="B330" t="s">
        <v>635</v>
      </c>
      <c r="C330" t="s">
        <v>283</v>
      </c>
      <c r="D330" t="s">
        <v>438</v>
      </c>
      <c r="E330" t="s">
        <v>647</v>
      </c>
      <c r="F330" t="s">
        <v>636</v>
      </c>
      <c r="G330" t="s">
        <v>531</v>
      </c>
      <c r="H330" t="s">
        <v>373</v>
      </c>
      <c r="I330" t="s">
        <v>289</v>
      </c>
      <c r="J330" t="s">
        <v>637</v>
      </c>
      <c r="K330">
        <v>9</v>
      </c>
      <c r="L330" s="6">
        <v>2.7431999999999999</v>
      </c>
      <c r="M330" s="7">
        <v>22.224999999999998</v>
      </c>
      <c r="N330" s="7">
        <v>146.04999999999998</v>
      </c>
      <c r="O330" s="7">
        <f t="shared" si="26"/>
        <v>108</v>
      </c>
      <c r="P330" s="7">
        <f t="shared" si="27"/>
        <v>0.875</v>
      </c>
      <c r="Q330" s="7">
        <f t="shared" si="27"/>
        <v>5.75</v>
      </c>
      <c r="R330" s="6">
        <f t="shared" si="28"/>
        <v>1010.745</v>
      </c>
      <c r="S330" s="6">
        <f t="shared" si="30"/>
        <v>8.9043209009999971E-3</v>
      </c>
      <c r="T330" t="str">
        <f t="shared" si="29"/>
        <v>Cumaru S4S E4E 1x6 Plus Long</v>
      </c>
    </row>
    <row r="331" spans="1:20" x14ac:dyDescent="0.25">
      <c r="A331" t="s">
        <v>531</v>
      </c>
      <c r="B331" t="s">
        <v>648</v>
      </c>
      <c r="C331" t="s">
        <v>283</v>
      </c>
      <c r="D331" t="s">
        <v>438</v>
      </c>
      <c r="E331" t="s">
        <v>649</v>
      </c>
      <c r="F331" t="s">
        <v>650</v>
      </c>
      <c r="G331" t="s">
        <v>531</v>
      </c>
      <c r="H331" t="s">
        <v>373</v>
      </c>
      <c r="I331" t="s">
        <v>289</v>
      </c>
      <c r="J331" t="s">
        <v>344</v>
      </c>
      <c r="K331">
        <v>10</v>
      </c>
      <c r="L331" s="6">
        <v>3.048</v>
      </c>
      <c r="M331" s="7">
        <v>19.05</v>
      </c>
      <c r="N331" s="7">
        <v>139.69999999999999</v>
      </c>
      <c r="O331" s="7">
        <f t="shared" si="26"/>
        <v>120</v>
      </c>
      <c r="P331" s="7">
        <f t="shared" si="27"/>
        <v>0.75000000000000011</v>
      </c>
      <c r="Q331" s="7">
        <f t="shared" si="27"/>
        <v>5.5</v>
      </c>
      <c r="R331" s="6">
        <f t="shared" si="28"/>
        <v>1232.8030000000001</v>
      </c>
      <c r="S331" s="6">
        <f t="shared" si="30"/>
        <v>8.1115966799999994E-3</v>
      </c>
      <c r="T331" t="str">
        <f t="shared" si="29"/>
        <v>Cumaru S4S E4E 1x6 Long</v>
      </c>
    </row>
    <row r="332" spans="1:20" x14ac:dyDescent="0.25">
      <c r="A332" t="s">
        <v>531</v>
      </c>
      <c r="B332" t="s">
        <v>648</v>
      </c>
      <c r="C332" t="s">
        <v>283</v>
      </c>
      <c r="D332" t="s">
        <v>438</v>
      </c>
      <c r="E332" t="s">
        <v>651</v>
      </c>
      <c r="F332" t="s">
        <v>650</v>
      </c>
      <c r="G332" t="s">
        <v>531</v>
      </c>
      <c r="H332" t="s">
        <v>373</v>
      </c>
      <c r="I332" t="s">
        <v>289</v>
      </c>
      <c r="J332" t="s">
        <v>344</v>
      </c>
      <c r="K332">
        <v>11</v>
      </c>
      <c r="L332" s="6">
        <v>3.3527999999999998</v>
      </c>
      <c r="M332" s="7">
        <v>19.05</v>
      </c>
      <c r="N332" s="7">
        <v>139.69999999999999</v>
      </c>
      <c r="O332" s="7">
        <f t="shared" si="26"/>
        <v>132</v>
      </c>
      <c r="P332" s="7">
        <f t="shared" si="27"/>
        <v>0.75000000000000011</v>
      </c>
      <c r="Q332" s="7">
        <f t="shared" si="27"/>
        <v>5.5</v>
      </c>
      <c r="R332" s="6">
        <f t="shared" si="28"/>
        <v>1232.8030000000001</v>
      </c>
      <c r="S332" s="6">
        <f t="shared" si="30"/>
        <v>8.922756347999999E-3</v>
      </c>
      <c r="T332" t="str">
        <f t="shared" si="29"/>
        <v>Cumaru S4S E4E 1x6 Long</v>
      </c>
    </row>
    <row r="333" spans="1:20" x14ac:dyDescent="0.25">
      <c r="A333" t="s">
        <v>531</v>
      </c>
      <c r="B333" t="s">
        <v>648</v>
      </c>
      <c r="C333" t="s">
        <v>283</v>
      </c>
      <c r="D333" t="s">
        <v>438</v>
      </c>
      <c r="E333" t="s">
        <v>652</v>
      </c>
      <c r="F333" t="s">
        <v>650</v>
      </c>
      <c r="G333" t="s">
        <v>531</v>
      </c>
      <c r="H333" t="s">
        <v>373</v>
      </c>
      <c r="I333" t="s">
        <v>289</v>
      </c>
      <c r="J333" t="s">
        <v>344</v>
      </c>
      <c r="K333">
        <v>12</v>
      </c>
      <c r="L333" s="6">
        <v>3.6576</v>
      </c>
      <c r="M333" s="7">
        <v>19.05</v>
      </c>
      <c r="N333" s="7">
        <v>139.69999999999999</v>
      </c>
      <c r="O333" s="7">
        <f t="shared" si="26"/>
        <v>144</v>
      </c>
      <c r="P333" s="7">
        <f t="shared" si="27"/>
        <v>0.75000000000000011</v>
      </c>
      <c r="Q333" s="7">
        <f t="shared" si="27"/>
        <v>5.5</v>
      </c>
      <c r="R333" s="6">
        <f t="shared" si="28"/>
        <v>1232.8030000000001</v>
      </c>
      <c r="S333" s="6">
        <f t="shared" si="30"/>
        <v>9.7339160159999986E-3</v>
      </c>
      <c r="T333" t="str">
        <f t="shared" si="29"/>
        <v>Cumaru S4S E4E 1x6 Long</v>
      </c>
    </row>
    <row r="334" spans="1:20" x14ac:dyDescent="0.25">
      <c r="A334" t="s">
        <v>531</v>
      </c>
      <c r="B334" t="s">
        <v>648</v>
      </c>
      <c r="C334" t="s">
        <v>283</v>
      </c>
      <c r="D334" t="s">
        <v>438</v>
      </c>
      <c r="E334" t="s">
        <v>653</v>
      </c>
      <c r="F334" t="s">
        <v>650</v>
      </c>
      <c r="G334" t="s">
        <v>531</v>
      </c>
      <c r="H334" t="s">
        <v>373</v>
      </c>
      <c r="I334" t="s">
        <v>289</v>
      </c>
      <c r="J334" t="s">
        <v>344</v>
      </c>
      <c r="K334">
        <v>13</v>
      </c>
      <c r="L334" s="6">
        <v>3.9624000000000001</v>
      </c>
      <c r="M334" s="7">
        <v>19.05</v>
      </c>
      <c r="N334" s="7">
        <v>139.69999999999999</v>
      </c>
      <c r="O334" s="7">
        <f t="shared" si="26"/>
        <v>156</v>
      </c>
      <c r="P334" s="7">
        <f t="shared" si="27"/>
        <v>0.75000000000000011</v>
      </c>
      <c r="Q334" s="7">
        <f t="shared" si="27"/>
        <v>5.5</v>
      </c>
      <c r="R334" s="6">
        <f t="shared" si="28"/>
        <v>1232.8030000000001</v>
      </c>
      <c r="S334" s="6">
        <f t="shared" si="30"/>
        <v>1.0545075684E-2</v>
      </c>
      <c r="T334" t="str">
        <f t="shared" si="29"/>
        <v>Cumaru S4S E4E 1x6 Long</v>
      </c>
    </row>
    <row r="335" spans="1:20" x14ac:dyDescent="0.25">
      <c r="A335" t="s">
        <v>531</v>
      </c>
      <c r="B335" t="s">
        <v>648</v>
      </c>
      <c r="C335" t="s">
        <v>283</v>
      </c>
      <c r="D335" t="s">
        <v>438</v>
      </c>
      <c r="E335" t="s">
        <v>654</v>
      </c>
      <c r="F335" t="s">
        <v>650</v>
      </c>
      <c r="G335" t="s">
        <v>531</v>
      </c>
      <c r="H335" t="s">
        <v>373</v>
      </c>
      <c r="I335" t="s">
        <v>289</v>
      </c>
      <c r="J335" t="s">
        <v>344</v>
      </c>
      <c r="K335">
        <v>14</v>
      </c>
      <c r="L335" s="6">
        <v>4.2671999999999999</v>
      </c>
      <c r="M335" s="7">
        <v>19.05</v>
      </c>
      <c r="N335" s="7">
        <v>139.69999999999999</v>
      </c>
      <c r="O335" s="7">
        <f t="shared" si="26"/>
        <v>168</v>
      </c>
      <c r="P335" s="7">
        <f t="shared" si="27"/>
        <v>0.75000000000000011</v>
      </c>
      <c r="Q335" s="7">
        <f t="shared" si="27"/>
        <v>5.5</v>
      </c>
      <c r="R335" s="6">
        <f t="shared" si="28"/>
        <v>1232.8030000000001</v>
      </c>
      <c r="S335" s="6">
        <f t="shared" si="30"/>
        <v>1.1356235352E-2</v>
      </c>
      <c r="T335" t="str">
        <f t="shared" si="29"/>
        <v>Cumaru S4S E4E 1x6 Long</v>
      </c>
    </row>
    <row r="336" spans="1:20" x14ac:dyDescent="0.25">
      <c r="A336" t="s">
        <v>531</v>
      </c>
      <c r="B336" t="s">
        <v>648</v>
      </c>
      <c r="C336" t="s">
        <v>283</v>
      </c>
      <c r="D336" t="s">
        <v>438</v>
      </c>
      <c r="E336" t="s">
        <v>655</v>
      </c>
      <c r="F336" t="s">
        <v>650</v>
      </c>
      <c r="G336" t="s">
        <v>531</v>
      </c>
      <c r="H336" t="s">
        <v>373</v>
      </c>
      <c r="I336" t="s">
        <v>289</v>
      </c>
      <c r="J336" t="s">
        <v>344</v>
      </c>
      <c r="K336">
        <v>15</v>
      </c>
      <c r="L336" s="6">
        <v>4.5720000000000001</v>
      </c>
      <c r="M336" s="7">
        <v>19.05</v>
      </c>
      <c r="N336" s="7">
        <v>139.69999999999999</v>
      </c>
      <c r="O336" s="7">
        <f t="shared" si="26"/>
        <v>180</v>
      </c>
      <c r="P336" s="7">
        <f t="shared" si="27"/>
        <v>0.75000000000000011</v>
      </c>
      <c r="Q336" s="7">
        <f t="shared" si="27"/>
        <v>5.5</v>
      </c>
      <c r="R336" s="6">
        <f t="shared" si="28"/>
        <v>1232.8030000000001</v>
      </c>
      <c r="S336" s="6">
        <f t="shared" si="30"/>
        <v>1.2167395020000001E-2</v>
      </c>
      <c r="T336" t="str">
        <f t="shared" si="29"/>
        <v>Cumaru S4S E4E 1x6 Long</v>
      </c>
    </row>
    <row r="337" spans="1:20" x14ac:dyDescent="0.25">
      <c r="A337" t="s">
        <v>531</v>
      </c>
      <c r="B337" t="s">
        <v>648</v>
      </c>
      <c r="C337" t="s">
        <v>283</v>
      </c>
      <c r="D337" t="s">
        <v>438</v>
      </c>
      <c r="E337" t="s">
        <v>656</v>
      </c>
      <c r="F337" t="s">
        <v>650</v>
      </c>
      <c r="G337" t="s">
        <v>531</v>
      </c>
      <c r="H337" t="s">
        <v>373</v>
      </c>
      <c r="I337" t="s">
        <v>289</v>
      </c>
      <c r="J337" t="s">
        <v>344</v>
      </c>
      <c r="K337">
        <v>16</v>
      </c>
      <c r="L337" s="6">
        <v>4.8768000000000002</v>
      </c>
      <c r="M337" s="7">
        <v>19.05</v>
      </c>
      <c r="N337" s="7">
        <v>139.69999999999999</v>
      </c>
      <c r="O337" s="7">
        <f t="shared" si="26"/>
        <v>192.00000000000003</v>
      </c>
      <c r="P337" s="7">
        <f t="shared" si="27"/>
        <v>0.75000000000000011</v>
      </c>
      <c r="Q337" s="7">
        <f t="shared" si="27"/>
        <v>5.5</v>
      </c>
      <c r="R337" s="6">
        <f t="shared" si="28"/>
        <v>1232.8030000000001</v>
      </c>
      <c r="S337" s="6">
        <f t="shared" si="30"/>
        <v>1.2978554687999999E-2</v>
      </c>
      <c r="T337" t="str">
        <f t="shared" si="29"/>
        <v>Cumaru S4S E4E 1x6 Long</v>
      </c>
    </row>
    <row r="338" spans="1:20" x14ac:dyDescent="0.25">
      <c r="A338" t="s">
        <v>531</v>
      </c>
      <c r="B338" t="s">
        <v>648</v>
      </c>
      <c r="C338" t="s">
        <v>283</v>
      </c>
      <c r="D338" t="s">
        <v>438</v>
      </c>
      <c r="E338" t="s">
        <v>114</v>
      </c>
      <c r="F338" t="s">
        <v>650</v>
      </c>
      <c r="G338" t="s">
        <v>531</v>
      </c>
      <c r="H338" t="s">
        <v>373</v>
      </c>
      <c r="I338" t="s">
        <v>289</v>
      </c>
      <c r="J338" t="s">
        <v>344</v>
      </c>
      <c r="K338">
        <v>17</v>
      </c>
      <c r="L338" s="6">
        <v>5.1816000000000004</v>
      </c>
      <c r="M338" s="7">
        <v>19.05</v>
      </c>
      <c r="N338" s="7">
        <v>139.69999999999999</v>
      </c>
      <c r="O338" s="7">
        <f t="shared" si="26"/>
        <v>204.00000000000003</v>
      </c>
      <c r="P338" s="7">
        <f t="shared" si="27"/>
        <v>0.75000000000000011</v>
      </c>
      <c r="Q338" s="7">
        <f t="shared" si="27"/>
        <v>5.5</v>
      </c>
      <c r="R338" s="6">
        <f t="shared" si="28"/>
        <v>1232.8030000000001</v>
      </c>
      <c r="S338" s="6">
        <f t="shared" si="30"/>
        <v>1.3789714356000002E-2</v>
      </c>
      <c r="T338" t="str">
        <f t="shared" si="29"/>
        <v>Cumaru S4S E4E 1x6 Long</v>
      </c>
    </row>
    <row r="339" spans="1:20" x14ac:dyDescent="0.25">
      <c r="A339" t="s">
        <v>531</v>
      </c>
      <c r="B339" t="s">
        <v>648</v>
      </c>
      <c r="C339" t="s">
        <v>283</v>
      </c>
      <c r="D339" t="s">
        <v>438</v>
      </c>
      <c r="E339" t="s">
        <v>657</v>
      </c>
      <c r="F339" t="s">
        <v>650</v>
      </c>
      <c r="G339" t="s">
        <v>531</v>
      </c>
      <c r="H339" t="s">
        <v>373</v>
      </c>
      <c r="I339" t="s">
        <v>289</v>
      </c>
      <c r="J339" t="s">
        <v>344</v>
      </c>
      <c r="K339">
        <v>18</v>
      </c>
      <c r="L339" s="6">
        <v>5.4863999999999997</v>
      </c>
      <c r="M339" s="7">
        <v>19.05</v>
      </c>
      <c r="N339" s="7">
        <v>139.69999999999999</v>
      </c>
      <c r="O339" s="7">
        <f t="shared" si="26"/>
        <v>216</v>
      </c>
      <c r="P339" s="7">
        <f t="shared" si="27"/>
        <v>0.75000000000000011</v>
      </c>
      <c r="Q339" s="7">
        <f t="shared" si="27"/>
        <v>5.5</v>
      </c>
      <c r="R339" s="6">
        <f t="shared" si="28"/>
        <v>1232.8030000000001</v>
      </c>
      <c r="S339" s="6">
        <f t="shared" si="30"/>
        <v>1.4600874024E-2</v>
      </c>
      <c r="T339" t="str">
        <f t="shared" si="29"/>
        <v>Cumaru S4S E4E 1x6 Long</v>
      </c>
    </row>
    <row r="340" spans="1:20" x14ac:dyDescent="0.25">
      <c r="A340" t="s">
        <v>531</v>
      </c>
      <c r="B340" t="s">
        <v>648</v>
      </c>
      <c r="C340" t="s">
        <v>283</v>
      </c>
      <c r="D340" t="s">
        <v>438</v>
      </c>
      <c r="E340" t="s">
        <v>658</v>
      </c>
      <c r="F340" t="s">
        <v>650</v>
      </c>
      <c r="G340" t="s">
        <v>531</v>
      </c>
      <c r="H340" t="s">
        <v>373</v>
      </c>
      <c r="I340" t="s">
        <v>289</v>
      </c>
      <c r="J340" t="s">
        <v>344</v>
      </c>
      <c r="K340">
        <v>19</v>
      </c>
      <c r="L340" s="6">
        <v>5.7911999999999999</v>
      </c>
      <c r="M340" s="7">
        <v>19.05</v>
      </c>
      <c r="N340" s="7">
        <v>139.69999999999999</v>
      </c>
      <c r="O340" s="7">
        <f t="shared" si="26"/>
        <v>228</v>
      </c>
      <c r="P340" s="7">
        <f t="shared" si="27"/>
        <v>0.75000000000000011</v>
      </c>
      <c r="Q340" s="7">
        <f t="shared" si="27"/>
        <v>5.5</v>
      </c>
      <c r="R340" s="6">
        <f t="shared" si="28"/>
        <v>1232.8030000000001</v>
      </c>
      <c r="S340" s="6">
        <f t="shared" si="30"/>
        <v>1.5412033691999999E-2</v>
      </c>
      <c r="T340" t="str">
        <f t="shared" si="29"/>
        <v>Cumaru S4S E4E 1x6 Long</v>
      </c>
    </row>
    <row r="341" spans="1:20" x14ac:dyDescent="0.25">
      <c r="A341" t="s">
        <v>531</v>
      </c>
      <c r="B341" t="s">
        <v>648</v>
      </c>
      <c r="C341" t="s">
        <v>283</v>
      </c>
      <c r="D341" t="s">
        <v>438</v>
      </c>
      <c r="E341" t="s">
        <v>659</v>
      </c>
      <c r="F341" t="s">
        <v>650</v>
      </c>
      <c r="G341" t="s">
        <v>531</v>
      </c>
      <c r="H341" t="s">
        <v>373</v>
      </c>
      <c r="I341" t="s">
        <v>289</v>
      </c>
      <c r="J341" t="s">
        <v>344</v>
      </c>
      <c r="K341">
        <v>20</v>
      </c>
      <c r="L341" s="6">
        <v>6.0960000000000001</v>
      </c>
      <c r="M341" s="7">
        <v>19.05</v>
      </c>
      <c r="N341" s="7">
        <v>139.69999999999999</v>
      </c>
      <c r="O341" s="7">
        <f t="shared" si="26"/>
        <v>240</v>
      </c>
      <c r="P341" s="7">
        <f t="shared" si="27"/>
        <v>0.75000000000000011</v>
      </c>
      <c r="Q341" s="7">
        <f t="shared" si="27"/>
        <v>5.5</v>
      </c>
      <c r="R341" s="6">
        <f t="shared" si="28"/>
        <v>1232.8030000000001</v>
      </c>
      <c r="S341" s="6">
        <f t="shared" si="30"/>
        <v>1.6223193359999999E-2</v>
      </c>
      <c r="T341" t="str">
        <f t="shared" si="29"/>
        <v>Cumaru S4S E4E 1x6 Long</v>
      </c>
    </row>
    <row r="342" spans="1:20" x14ac:dyDescent="0.25">
      <c r="A342" t="s">
        <v>531</v>
      </c>
      <c r="B342" t="s">
        <v>648</v>
      </c>
      <c r="C342" t="s">
        <v>283</v>
      </c>
      <c r="D342" t="s">
        <v>438</v>
      </c>
      <c r="E342" t="s">
        <v>660</v>
      </c>
      <c r="F342" t="s">
        <v>650</v>
      </c>
      <c r="G342" t="s">
        <v>531</v>
      </c>
      <c r="H342" t="s">
        <v>373</v>
      </c>
      <c r="I342" t="s">
        <v>289</v>
      </c>
      <c r="J342" t="s">
        <v>344</v>
      </c>
      <c r="K342">
        <v>21</v>
      </c>
      <c r="L342" s="6">
        <v>6.4008000000000003</v>
      </c>
      <c r="M342" s="7">
        <v>19.05</v>
      </c>
      <c r="N342" s="7">
        <v>139.69999999999999</v>
      </c>
      <c r="O342" s="7">
        <f t="shared" si="26"/>
        <v>252.00000000000003</v>
      </c>
      <c r="P342" s="7">
        <f t="shared" si="27"/>
        <v>0.75000000000000011</v>
      </c>
      <c r="Q342" s="7">
        <f t="shared" si="27"/>
        <v>5.5</v>
      </c>
      <c r="R342" s="6">
        <f t="shared" si="28"/>
        <v>1232.8030000000001</v>
      </c>
      <c r="S342" s="6">
        <f t="shared" si="30"/>
        <v>1.7034353028E-2</v>
      </c>
      <c r="T342" t="str">
        <f t="shared" si="29"/>
        <v>Cumaru S4S E4E 1x6 Long</v>
      </c>
    </row>
    <row r="343" spans="1:20" x14ac:dyDescent="0.25">
      <c r="A343" t="s">
        <v>531</v>
      </c>
      <c r="B343" t="s">
        <v>648</v>
      </c>
      <c r="C343" t="s">
        <v>283</v>
      </c>
      <c r="D343" t="s">
        <v>438</v>
      </c>
      <c r="E343" t="s">
        <v>661</v>
      </c>
      <c r="F343" t="s">
        <v>650</v>
      </c>
      <c r="G343" t="s">
        <v>531</v>
      </c>
      <c r="H343" t="s">
        <v>373</v>
      </c>
      <c r="I343" t="s">
        <v>289</v>
      </c>
      <c r="J343" t="s">
        <v>344</v>
      </c>
      <c r="K343">
        <v>22</v>
      </c>
      <c r="L343" s="6">
        <v>6.7055999999999996</v>
      </c>
      <c r="M343" s="7">
        <v>19.05</v>
      </c>
      <c r="N343" s="7">
        <v>139.69999999999999</v>
      </c>
      <c r="O343" s="7">
        <f t="shared" si="26"/>
        <v>264</v>
      </c>
      <c r="P343" s="7">
        <f t="shared" si="27"/>
        <v>0.75000000000000011</v>
      </c>
      <c r="Q343" s="7">
        <f t="shared" si="27"/>
        <v>5.5</v>
      </c>
      <c r="R343" s="6">
        <f t="shared" si="28"/>
        <v>1232.8030000000001</v>
      </c>
      <c r="S343" s="6">
        <f t="shared" si="30"/>
        <v>1.7845512695999998E-2</v>
      </c>
      <c r="T343" t="str">
        <f t="shared" si="29"/>
        <v>Cumaru S4S E4E 1x6 Long</v>
      </c>
    </row>
    <row r="344" spans="1:20" x14ac:dyDescent="0.25">
      <c r="A344" t="s">
        <v>531</v>
      </c>
      <c r="B344" t="s">
        <v>648</v>
      </c>
      <c r="C344" t="s">
        <v>283</v>
      </c>
      <c r="D344" t="s">
        <v>438</v>
      </c>
      <c r="E344" t="s">
        <v>662</v>
      </c>
      <c r="F344" t="s">
        <v>650</v>
      </c>
      <c r="G344" t="s">
        <v>531</v>
      </c>
      <c r="H344" t="s">
        <v>373</v>
      </c>
      <c r="I344" t="s">
        <v>289</v>
      </c>
      <c r="J344" t="s">
        <v>344</v>
      </c>
      <c r="K344">
        <v>23</v>
      </c>
      <c r="L344" s="6">
        <v>7.0103999999999997</v>
      </c>
      <c r="M344" s="7">
        <v>19.05</v>
      </c>
      <c r="N344" s="7">
        <v>139.69999999999999</v>
      </c>
      <c r="O344" s="7">
        <f t="shared" si="26"/>
        <v>276</v>
      </c>
      <c r="P344" s="7">
        <f t="shared" si="27"/>
        <v>0.75000000000000011</v>
      </c>
      <c r="Q344" s="7">
        <f t="shared" si="27"/>
        <v>5.5</v>
      </c>
      <c r="R344" s="6">
        <f t="shared" si="28"/>
        <v>1232.8030000000001</v>
      </c>
      <c r="S344" s="6">
        <f t="shared" si="30"/>
        <v>1.8656672364000003E-2</v>
      </c>
      <c r="T344" t="str">
        <f t="shared" si="29"/>
        <v>Cumaru S4S E4E 1x6 Long</v>
      </c>
    </row>
    <row r="345" spans="1:20" x14ac:dyDescent="0.25">
      <c r="A345" t="s">
        <v>531</v>
      </c>
      <c r="B345" t="s">
        <v>648</v>
      </c>
      <c r="C345" t="s">
        <v>283</v>
      </c>
      <c r="D345" t="s">
        <v>438</v>
      </c>
      <c r="E345" t="s">
        <v>663</v>
      </c>
      <c r="F345" t="s">
        <v>650</v>
      </c>
      <c r="G345" t="s">
        <v>531</v>
      </c>
      <c r="H345" t="s">
        <v>373</v>
      </c>
      <c r="I345" t="s">
        <v>289</v>
      </c>
      <c r="J345" t="s">
        <v>344</v>
      </c>
      <c r="K345">
        <v>24</v>
      </c>
      <c r="L345" s="6">
        <v>7.3152000000000008</v>
      </c>
      <c r="M345" s="7">
        <v>19.05</v>
      </c>
      <c r="N345" s="7">
        <v>139.69999999999999</v>
      </c>
      <c r="O345" s="7">
        <f t="shared" si="26"/>
        <v>288.00000000000006</v>
      </c>
      <c r="P345" s="7">
        <f t="shared" si="27"/>
        <v>0.75000000000000011</v>
      </c>
      <c r="Q345" s="7">
        <f t="shared" si="27"/>
        <v>5.5</v>
      </c>
      <c r="R345" s="6">
        <f t="shared" si="28"/>
        <v>1232.8030000000001</v>
      </c>
      <c r="S345" s="6">
        <f t="shared" si="30"/>
        <v>1.9467832032000001E-2</v>
      </c>
      <c r="T345" t="str">
        <f t="shared" si="29"/>
        <v>Cumaru S4S E4E 1x6 Long</v>
      </c>
    </row>
    <row r="346" spans="1:20" x14ac:dyDescent="0.25">
      <c r="A346" t="s">
        <v>531</v>
      </c>
      <c r="B346" t="s">
        <v>648</v>
      </c>
      <c r="C346" t="s">
        <v>524</v>
      </c>
      <c r="D346" t="s">
        <v>438</v>
      </c>
      <c r="E346" t="s">
        <v>664</v>
      </c>
      <c r="F346" t="s">
        <v>650</v>
      </c>
      <c r="G346" t="s">
        <v>531</v>
      </c>
      <c r="H346" t="s">
        <v>373</v>
      </c>
      <c r="I346" t="s">
        <v>289</v>
      </c>
      <c r="J346" t="s">
        <v>344</v>
      </c>
      <c r="K346">
        <v>3</v>
      </c>
      <c r="L346" s="6">
        <v>0.91439999999999999</v>
      </c>
      <c r="M346" s="7">
        <v>19.05</v>
      </c>
      <c r="N346" s="7">
        <v>139.69999999999999</v>
      </c>
      <c r="O346" s="7">
        <f t="shared" si="26"/>
        <v>36</v>
      </c>
      <c r="P346" s="7">
        <f t="shared" si="27"/>
        <v>0.75000000000000011</v>
      </c>
      <c r="Q346" s="7">
        <f t="shared" si="27"/>
        <v>5.5</v>
      </c>
      <c r="R346" s="6">
        <f t="shared" si="28"/>
        <v>1232.8030000000001</v>
      </c>
      <c r="S346" s="6">
        <f t="shared" si="30"/>
        <v>2.4334790039999997E-3</v>
      </c>
      <c r="T346" t="str">
        <f t="shared" si="29"/>
        <v>Cumaru S4S E4E 1x6 Short</v>
      </c>
    </row>
    <row r="347" spans="1:20" x14ac:dyDescent="0.25">
      <c r="A347" t="s">
        <v>531</v>
      </c>
      <c r="B347" t="s">
        <v>648</v>
      </c>
      <c r="C347" t="s">
        <v>524</v>
      </c>
      <c r="D347" t="s">
        <v>438</v>
      </c>
      <c r="E347" t="s">
        <v>665</v>
      </c>
      <c r="F347" t="s">
        <v>650</v>
      </c>
      <c r="G347" t="s">
        <v>531</v>
      </c>
      <c r="H347" t="s">
        <v>373</v>
      </c>
      <c r="I347" t="s">
        <v>289</v>
      </c>
      <c r="J347" t="s">
        <v>344</v>
      </c>
      <c r="K347">
        <v>4</v>
      </c>
      <c r="L347" s="6">
        <v>1.2192000000000001</v>
      </c>
      <c r="M347" s="7">
        <v>19.05</v>
      </c>
      <c r="N347" s="7">
        <v>139.69999999999999</v>
      </c>
      <c r="O347" s="7">
        <f t="shared" si="26"/>
        <v>48.000000000000007</v>
      </c>
      <c r="P347" s="7">
        <f t="shared" si="27"/>
        <v>0.75000000000000011</v>
      </c>
      <c r="Q347" s="7">
        <f t="shared" si="27"/>
        <v>5.5</v>
      </c>
      <c r="R347" s="6">
        <f t="shared" si="28"/>
        <v>1232.8030000000001</v>
      </c>
      <c r="S347" s="6">
        <f t="shared" si="30"/>
        <v>3.2446386719999997E-3</v>
      </c>
      <c r="T347" t="str">
        <f t="shared" si="29"/>
        <v>Cumaru S4S E4E 1x6 Short</v>
      </c>
    </row>
    <row r="348" spans="1:20" x14ac:dyDescent="0.25">
      <c r="A348" t="s">
        <v>531</v>
      </c>
      <c r="B348" t="s">
        <v>648</v>
      </c>
      <c r="C348" t="s">
        <v>524</v>
      </c>
      <c r="D348" t="s">
        <v>438</v>
      </c>
      <c r="E348" t="s">
        <v>111</v>
      </c>
      <c r="F348" t="s">
        <v>650</v>
      </c>
      <c r="G348" t="s">
        <v>531</v>
      </c>
      <c r="H348" t="s">
        <v>373</v>
      </c>
      <c r="I348" t="s">
        <v>289</v>
      </c>
      <c r="J348" t="s">
        <v>344</v>
      </c>
      <c r="K348">
        <v>5</v>
      </c>
      <c r="L348" s="6">
        <v>1.524</v>
      </c>
      <c r="M348" s="7">
        <v>19.05</v>
      </c>
      <c r="N348" s="7">
        <v>139.69999999999999</v>
      </c>
      <c r="O348" s="7">
        <f t="shared" si="26"/>
        <v>60</v>
      </c>
      <c r="P348" s="7">
        <f t="shared" si="27"/>
        <v>0.75000000000000011</v>
      </c>
      <c r="Q348" s="7">
        <f t="shared" si="27"/>
        <v>5.5</v>
      </c>
      <c r="R348" s="6">
        <f t="shared" si="28"/>
        <v>1232.8030000000001</v>
      </c>
      <c r="S348" s="6">
        <f t="shared" si="30"/>
        <v>4.0557983399999997E-3</v>
      </c>
      <c r="T348" t="str">
        <f t="shared" si="29"/>
        <v>Cumaru S4S E4E 1x6 Short</v>
      </c>
    </row>
    <row r="349" spans="1:20" x14ac:dyDescent="0.25">
      <c r="A349" t="s">
        <v>531</v>
      </c>
      <c r="B349" t="s">
        <v>648</v>
      </c>
      <c r="C349" t="s">
        <v>524</v>
      </c>
      <c r="D349" t="s">
        <v>438</v>
      </c>
      <c r="E349" t="s">
        <v>666</v>
      </c>
      <c r="F349" t="s">
        <v>650</v>
      </c>
      <c r="G349" t="s">
        <v>531</v>
      </c>
      <c r="H349" t="s">
        <v>373</v>
      </c>
      <c r="I349" t="s">
        <v>289</v>
      </c>
      <c r="J349" t="s">
        <v>344</v>
      </c>
      <c r="K349">
        <v>6</v>
      </c>
      <c r="L349" s="6">
        <v>1.8288</v>
      </c>
      <c r="M349" s="7">
        <v>19.05</v>
      </c>
      <c r="N349" s="7">
        <v>139.69999999999999</v>
      </c>
      <c r="O349" s="7">
        <f t="shared" si="26"/>
        <v>72</v>
      </c>
      <c r="P349" s="7">
        <f t="shared" si="27"/>
        <v>0.75000000000000011</v>
      </c>
      <c r="Q349" s="7">
        <f t="shared" si="27"/>
        <v>5.5</v>
      </c>
      <c r="R349" s="6">
        <f t="shared" si="28"/>
        <v>1232.8030000000001</v>
      </c>
      <c r="S349" s="6">
        <f t="shared" si="30"/>
        <v>4.8669580079999993E-3</v>
      </c>
      <c r="T349" t="str">
        <f t="shared" si="29"/>
        <v>Cumaru S4S E4E 1x6 Short</v>
      </c>
    </row>
    <row r="350" spans="1:20" x14ac:dyDescent="0.25">
      <c r="A350" t="s">
        <v>531</v>
      </c>
      <c r="B350" t="s">
        <v>648</v>
      </c>
      <c r="C350" t="s">
        <v>524</v>
      </c>
      <c r="D350" t="s">
        <v>438</v>
      </c>
      <c r="E350" t="s">
        <v>667</v>
      </c>
      <c r="F350" t="s">
        <v>650</v>
      </c>
      <c r="G350" t="s">
        <v>531</v>
      </c>
      <c r="H350" t="s">
        <v>373</v>
      </c>
      <c r="I350" t="s">
        <v>289</v>
      </c>
      <c r="J350" t="s">
        <v>344</v>
      </c>
      <c r="K350">
        <v>7</v>
      </c>
      <c r="L350" s="6">
        <v>2.1335999999999999</v>
      </c>
      <c r="M350" s="7">
        <v>19.05</v>
      </c>
      <c r="N350" s="7">
        <v>139.69999999999999</v>
      </c>
      <c r="O350" s="7">
        <f t="shared" si="26"/>
        <v>84</v>
      </c>
      <c r="P350" s="7">
        <f t="shared" si="27"/>
        <v>0.75000000000000011</v>
      </c>
      <c r="Q350" s="7">
        <f t="shared" si="27"/>
        <v>5.5</v>
      </c>
      <c r="R350" s="6">
        <f t="shared" si="28"/>
        <v>1232.8030000000001</v>
      </c>
      <c r="S350" s="6">
        <f t="shared" si="30"/>
        <v>5.6781176759999998E-3</v>
      </c>
      <c r="T350" t="str">
        <f t="shared" si="29"/>
        <v>Cumaru S4S E4E 1x6 Short</v>
      </c>
    </row>
    <row r="351" spans="1:20" x14ac:dyDescent="0.25">
      <c r="A351" t="s">
        <v>531</v>
      </c>
      <c r="B351" t="s">
        <v>648</v>
      </c>
      <c r="C351" t="s">
        <v>283</v>
      </c>
      <c r="D351" t="s">
        <v>438</v>
      </c>
      <c r="E351" t="s">
        <v>668</v>
      </c>
      <c r="F351" t="s">
        <v>650</v>
      </c>
      <c r="G351" t="s">
        <v>531</v>
      </c>
      <c r="H351" t="s">
        <v>373</v>
      </c>
      <c r="I351" t="s">
        <v>289</v>
      </c>
      <c r="J351" t="s">
        <v>344</v>
      </c>
      <c r="K351">
        <v>8</v>
      </c>
      <c r="L351" s="6">
        <v>2.4384000000000001</v>
      </c>
      <c r="M351" s="7">
        <v>19.05</v>
      </c>
      <c r="N351" s="7">
        <v>139.69999999999999</v>
      </c>
      <c r="O351" s="7">
        <f t="shared" si="26"/>
        <v>96.000000000000014</v>
      </c>
      <c r="P351" s="7">
        <f t="shared" si="27"/>
        <v>0.75000000000000011</v>
      </c>
      <c r="Q351" s="7">
        <f t="shared" si="27"/>
        <v>5.5</v>
      </c>
      <c r="R351" s="6">
        <f t="shared" si="28"/>
        <v>1232.8030000000001</v>
      </c>
      <c r="S351" s="6">
        <f t="shared" si="30"/>
        <v>6.4892773439999994E-3</v>
      </c>
      <c r="T351" t="str">
        <f t="shared" si="29"/>
        <v>Cumaru S4S E4E 1x6 Long</v>
      </c>
    </row>
    <row r="352" spans="1:20" x14ac:dyDescent="0.25">
      <c r="A352" t="s">
        <v>531</v>
      </c>
      <c r="B352" t="s">
        <v>648</v>
      </c>
      <c r="C352" t="s">
        <v>283</v>
      </c>
      <c r="D352" t="s">
        <v>438</v>
      </c>
      <c r="E352" t="s">
        <v>112</v>
      </c>
      <c r="F352" t="s">
        <v>650</v>
      </c>
      <c r="G352" t="s">
        <v>531</v>
      </c>
      <c r="H352" t="s">
        <v>373</v>
      </c>
      <c r="I352" t="s">
        <v>289</v>
      </c>
      <c r="J352" t="s">
        <v>344</v>
      </c>
      <c r="K352">
        <v>9</v>
      </c>
      <c r="L352" s="6">
        <v>2.7431999999999999</v>
      </c>
      <c r="M352" s="7">
        <v>19.05</v>
      </c>
      <c r="N352" s="7">
        <v>139.69999999999999</v>
      </c>
      <c r="O352" s="7">
        <f t="shared" si="26"/>
        <v>108</v>
      </c>
      <c r="P352" s="7">
        <f t="shared" si="27"/>
        <v>0.75000000000000011</v>
      </c>
      <c r="Q352" s="7">
        <f t="shared" si="27"/>
        <v>5.5</v>
      </c>
      <c r="R352" s="6">
        <f t="shared" si="28"/>
        <v>1232.8030000000001</v>
      </c>
      <c r="S352" s="6">
        <f t="shared" si="30"/>
        <v>7.3004370119999999E-3</v>
      </c>
      <c r="T352" t="str">
        <f t="shared" si="29"/>
        <v>Cumaru S4S E4E 1x6 Long</v>
      </c>
    </row>
    <row r="353" spans="1:20" x14ac:dyDescent="0.25">
      <c r="A353" t="s">
        <v>531</v>
      </c>
      <c r="B353" t="s">
        <v>669</v>
      </c>
      <c r="C353" t="s">
        <v>283</v>
      </c>
      <c r="D353" t="s">
        <v>438</v>
      </c>
      <c r="E353" t="s">
        <v>670</v>
      </c>
      <c r="F353" t="s">
        <v>671</v>
      </c>
      <c r="G353" t="s">
        <v>531</v>
      </c>
      <c r="H353" t="s">
        <v>373</v>
      </c>
      <c r="I353" t="s">
        <v>289</v>
      </c>
      <c r="J353" t="s">
        <v>672</v>
      </c>
      <c r="K353">
        <v>10</v>
      </c>
      <c r="L353" s="6">
        <v>3.048</v>
      </c>
      <c r="M353" s="7">
        <v>19.05</v>
      </c>
      <c r="N353" s="7">
        <v>184.15</v>
      </c>
      <c r="O353" s="7">
        <f t="shared" si="26"/>
        <v>120</v>
      </c>
      <c r="P353" s="7">
        <f t="shared" si="27"/>
        <v>0.75000000000000011</v>
      </c>
      <c r="Q353" s="7">
        <f t="shared" si="27"/>
        <v>7.2500000000000009</v>
      </c>
      <c r="R353" s="6">
        <f t="shared" si="28"/>
        <v>935.23</v>
      </c>
      <c r="S353" s="6">
        <f t="shared" si="30"/>
        <v>1.0692559260000001E-2</v>
      </c>
      <c r="T353" t="str">
        <f t="shared" si="29"/>
        <v>Cumaru S4S E4E 1x8 Long</v>
      </c>
    </row>
    <row r="354" spans="1:20" x14ac:dyDescent="0.25">
      <c r="A354" t="s">
        <v>531</v>
      </c>
      <c r="B354" t="s">
        <v>669</v>
      </c>
      <c r="C354" t="s">
        <v>283</v>
      </c>
      <c r="D354" t="s">
        <v>438</v>
      </c>
      <c r="E354" t="s">
        <v>673</v>
      </c>
      <c r="F354" t="s">
        <v>671</v>
      </c>
      <c r="G354" t="s">
        <v>531</v>
      </c>
      <c r="H354" t="s">
        <v>373</v>
      </c>
      <c r="I354" t="s">
        <v>289</v>
      </c>
      <c r="J354" t="s">
        <v>672</v>
      </c>
      <c r="K354">
        <v>11</v>
      </c>
      <c r="L354" s="6">
        <v>3.3527999999999998</v>
      </c>
      <c r="M354" s="7">
        <v>19.05</v>
      </c>
      <c r="N354" s="7">
        <v>184.15</v>
      </c>
      <c r="O354" s="7">
        <f t="shared" si="26"/>
        <v>132</v>
      </c>
      <c r="P354" s="7">
        <f t="shared" si="27"/>
        <v>0.75000000000000011</v>
      </c>
      <c r="Q354" s="7">
        <f t="shared" si="27"/>
        <v>7.2500000000000009</v>
      </c>
      <c r="R354" s="6">
        <f t="shared" si="28"/>
        <v>935.23</v>
      </c>
      <c r="S354" s="6">
        <f t="shared" si="30"/>
        <v>1.1761815186E-2</v>
      </c>
      <c r="T354" t="str">
        <f t="shared" si="29"/>
        <v>Cumaru S4S E4E 1x8 Long</v>
      </c>
    </row>
    <row r="355" spans="1:20" x14ac:dyDescent="0.25">
      <c r="A355" t="s">
        <v>531</v>
      </c>
      <c r="B355" t="s">
        <v>669</v>
      </c>
      <c r="C355" t="s">
        <v>283</v>
      </c>
      <c r="D355" t="s">
        <v>438</v>
      </c>
      <c r="E355" t="s">
        <v>674</v>
      </c>
      <c r="F355" t="s">
        <v>671</v>
      </c>
      <c r="G355" t="s">
        <v>531</v>
      </c>
      <c r="H355" t="s">
        <v>373</v>
      </c>
      <c r="I355" t="s">
        <v>289</v>
      </c>
      <c r="J355" t="s">
        <v>672</v>
      </c>
      <c r="K355">
        <v>12</v>
      </c>
      <c r="L355" s="6">
        <v>3.6576</v>
      </c>
      <c r="M355" s="7">
        <v>19.05</v>
      </c>
      <c r="N355" s="7">
        <v>184.15</v>
      </c>
      <c r="O355" s="7">
        <f t="shared" si="26"/>
        <v>144</v>
      </c>
      <c r="P355" s="7">
        <f t="shared" si="27"/>
        <v>0.75000000000000011</v>
      </c>
      <c r="Q355" s="7">
        <f t="shared" si="27"/>
        <v>7.2500000000000009</v>
      </c>
      <c r="R355" s="6">
        <f t="shared" si="28"/>
        <v>935.23</v>
      </c>
      <c r="S355" s="6">
        <f t="shared" si="30"/>
        <v>1.2831071112000001E-2</v>
      </c>
      <c r="T355" t="str">
        <f t="shared" si="29"/>
        <v>Cumaru S4S E4E 1x8 Long</v>
      </c>
    </row>
    <row r="356" spans="1:20" x14ac:dyDescent="0.25">
      <c r="A356" t="s">
        <v>531</v>
      </c>
      <c r="B356" t="s">
        <v>669</v>
      </c>
      <c r="C356" t="s">
        <v>283</v>
      </c>
      <c r="D356" t="s">
        <v>438</v>
      </c>
      <c r="E356" t="s">
        <v>675</v>
      </c>
      <c r="F356" t="s">
        <v>671</v>
      </c>
      <c r="G356" t="s">
        <v>531</v>
      </c>
      <c r="H356" t="s">
        <v>373</v>
      </c>
      <c r="I356" t="s">
        <v>289</v>
      </c>
      <c r="J356" t="s">
        <v>672</v>
      </c>
      <c r="K356">
        <v>13</v>
      </c>
      <c r="L356" s="6">
        <v>3.9624000000000001</v>
      </c>
      <c r="M356" s="7">
        <v>19.05</v>
      </c>
      <c r="N356" s="7">
        <v>184.15</v>
      </c>
      <c r="O356" s="7">
        <f t="shared" si="26"/>
        <v>156</v>
      </c>
      <c r="P356" s="7">
        <f t="shared" si="27"/>
        <v>0.75000000000000011</v>
      </c>
      <c r="Q356" s="7">
        <f t="shared" si="27"/>
        <v>7.2500000000000009</v>
      </c>
      <c r="R356" s="6">
        <f t="shared" si="28"/>
        <v>935.23</v>
      </c>
      <c r="S356" s="6">
        <f t="shared" si="30"/>
        <v>1.3900327037999999E-2</v>
      </c>
      <c r="T356" t="str">
        <f t="shared" si="29"/>
        <v>Cumaru S4S E4E 1x8 Long</v>
      </c>
    </row>
    <row r="357" spans="1:20" x14ac:dyDescent="0.25">
      <c r="A357" t="s">
        <v>531</v>
      </c>
      <c r="B357" t="s">
        <v>669</v>
      </c>
      <c r="C357" t="s">
        <v>283</v>
      </c>
      <c r="D357" t="s">
        <v>438</v>
      </c>
      <c r="E357" t="s">
        <v>676</v>
      </c>
      <c r="F357" t="s">
        <v>671</v>
      </c>
      <c r="G357" t="s">
        <v>531</v>
      </c>
      <c r="H357" t="s">
        <v>373</v>
      </c>
      <c r="I357" t="s">
        <v>289</v>
      </c>
      <c r="J357" t="s">
        <v>672</v>
      </c>
      <c r="K357">
        <v>14</v>
      </c>
      <c r="L357" s="6">
        <v>4.2671999999999999</v>
      </c>
      <c r="M357" s="7">
        <v>19.05</v>
      </c>
      <c r="N357" s="7">
        <v>184.15</v>
      </c>
      <c r="O357" s="7">
        <f t="shared" si="26"/>
        <v>168</v>
      </c>
      <c r="P357" s="7">
        <f t="shared" si="27"/>
        <v>0.75000000000000011</v>
      </c>
      <c r="Q357" s="7">
        <f t="shared" si="27"/>
        <v>7.2500000000000009</v>
      </c>
      <c r="R357" s="6">
        <f t="shared" si="28"/>
        <v>935.23</v>
      </c>
      <c r="S357" s="6">
        <f t="shared" si="30"/>
        <v>1.4969582964E-2</v>
      </c>
      <c r="T357" t="str">
        <f t="shared" si="29"/>
        <v>Cumaru S4S E4E 1x8 Long</v>
      </c>
    </row>
    <row r="358" spans="1:20" x14ac:dyDescent="0.25">
      <c r="A358" t="s">
        <v>531</v>
      </c>
      <c r="B358" t="s">
        <v>669</v>
      </c>
      <c r="C358" t="s">
        <v>283</v>
      </c>
      <c r="D358" t="s">
        <v>438</v>
      </c>
      <c r="E358" t="s">
        <v>677</v>
      </c>
      <c r="F358" t="s">
        <v>671</v>
      </c>
      <c r="G358" t="s">
        <v>531</v>
      </c>
      <c r="H358" t="s">
        <v>373</v>
      </c>
      <c r="I358" t="s">
        <v>289</v>
      </c>
      <c r="J358" t="s">
        <v>672</v>
      </c>
      <c r="K358">
        <v>15</v>
      </c>
      <c r="L358" s="6">
        <v>4.5720000000000001</v>
      </c>
      <c r="M358" s="7">
        <v>19.05</v>
      </c>
      <c r="N358" s="7">
        <v>184.15</v>
      </c>
      <c r="O358" s="7">
        <f t="shared" si="26"/>
        <v>180</v>
      </c>
      <c r="P358" s="7">
        <f t="shared" si="27"/>
        <v>0.75000000000000011</v>
      </c>
      <c r="Q358" s="7">
        <f t="shared" si="27"/>
        <v>7.2500000000000009</v>
      </c>
      <c r="R358" s="6">
        <f t="shared" si="28"/>
        <v>935.23</v>
      </c>
      <c r="S358" s="6">
        <f t="shared" si="30"/>
        <v>1.603883889E-2</v>
      </c>
      <c r="T358" t="str">
        <f t="shared" si="29"/>
        <v>Cumaru S4S E4E 1x8 Long</v>
      </c>
    </row>
    <row r="359" spans="1:20" x14ac:dyDescent="0.25">
      <c r="A359" t="s">
        <v>531</v>
      </c>
      <c r="B359" t="s">
        <v>669</v>
      </c>
      <c r="C359" t="s">
        <v>283</v>
      </c>
      <c r="D359" t="s">
        <v>438</v>
      </c>
      <c r="E359" t="s">
        <v>678</v>
      </c>
      <c r="F359" t="s">
        <v>671</v>
      </c>
      <c r="G359" t="s">
        <v>531</v>
      </c>
      <c r="H359" t="s">
        <v>373</v>
      </c>
      <c r="I359" t="s">
        <v>289</v>
      </c>
      <c r="J359" t="s">
        <v>672</v>
      </c>
      <c r="K359">
        <v>16</v>
      </c>
      <c r="L359" s="6">
        <v>4.8768000000000002</v>
      </c>
      <c r="M359" s="7">
        <v>19.05</v>
      </c>
      <c r="N359" s="7">
        <v>184.15</v>
      </c>
      <c r="O359" s="7">
        <f t="shared" si="26"/>
        <v>192.00000000000003</v>
      </c>
      <c r="P359" s="7">
        <f t="shared" si="27"/>
        <v>0.75000000000000011</v>
      </c>
      <c r="Q359" s="7">
        <f t="shared" si="27"/>
        <v>7.2500000000000009</v>
      </c>
      <c r="R359" s="6">
        <f t="shared" si="28"/>
        <v>935.23</v>
      </c>
      <c r="S359" s="6">
        <f t="shared" si="30"/>
        <v>1.7108094816000001E-2</v>
      </c>
      <c r="T359" t="str">
        <f t="shared" si="29"/>
        <v>Cumaru S4S E4E 1x8 Long</v>
      </c>
    </row>
    <row r="360" spans="1:20" x14ac:dyDescent="0.25">
      <c r="A360" t="s">
        <v>531</v>
      </c>
      <c r="B360" t="s">
        <v>669</v>
      </c>
      <c r="C360" t="s">
        <v>283</v>
      </c>
      <c r="D360" t="s">
        <v>438</v>
      </c>
      <c r="E360" t="s">
        <v>679</v>
      </c>
      <c r="F360" t="s">
        <v>671</v>
      </c>
      <c r="G360" t="s">
        <v>531</v>
      </c>
      <c r="H360" t="s">
        <v>373</v>
      </c>
      <c r="I360" t="s">
        <v>289</v>
      </c>
      <c r="J360" t="s">
        <v>672</v>
      </c>
      <c r="K360">
        <v>17</v>
      </c>
      <c r="L360" s="6">
        <v>5.1816000000000004</v>
      </c>
      <c r="M360" s="7">
        <v>19.05</v>
      </c>
      <c r="N360" s="7">
        <v>184.15</v>
      </c>
      <c r="O360" s="7">
        <f t="shared" si="26"/>
        <v>204.00000000000003</v>
      </c>
      <c r="P360" s="7">
        <f t="shared" si="27"/>
        <v>0.75000000000000011</v>
      </c>
      <c r="Q360" s="7">
        <f t="shared" si="27"/>
        <v>7.2500000000000009</v>
      </c>
      <c r="R360" s="6">
        <f t="shared" si="28"/>
        <v>935.23</v>
      </c>
      <c r="S360" s="6">
        <f t="shared" si="30"/>
        <v>1.8177350742000005E-2</v>
      </c>
      <c r="T360" t="str">
        <f t="shared" si="29"/>
        <v>Cumaru S4S E4E 1x8 Long</v>
      </c>
    </row>
    <row r="361" spans="1:20" x14ac:dyDescent="0.25">
      <c r="A361" t="s">
        <v>531</v>
      </c>
      <c r="B361" t="s">
        <v>669</v>
      </c>
      <c r="C361" t="s">
        <v>283</v>
      </c>
      <c r="D361" t="s">
        <v>438</v>
      </c>
      <c r="E361" t="s">
        <v>680</v>
      </c>
      <c r="F361" t="s">
        <v>671</v>
      </c>
      <c r="G361" t="s">
        <v>531</v>
      </c>
      <c r="H361" t="s">
        <v>373</v>
      </c>
      <c r="I361" t="s">
        <v>289</v>
      </c>
      <c r="J361" t="s">
        <v>672</v>
      </c>
      <c r="K361">
        <v>18</v>
      </c>
      <c r="L361" s="6">
        <v>5.4863999999999997</v>
      </c>
      <c r="M361" s="7">
        <v>19.05</v>
      </c>
      <c r="N361" s="7">
        <v>184.15</v>
      </c>
      <c r="O361" s="7">
        <f t="shared" si="26"/>
        <v>216</v>
      </c>
      <c r="P361" s="7">
        <f t="shared" si="27"/>
        <v>0.75000000000000011</v>
      </c>
      <c r="Q361" s="7">
        <f t="shared" si="27"/>
        <v>7.2500000000000009</v>
      </c>
      <c r="R361" s="6">
        <f t="shared" si="28"/>
        <v>935.23</v>
      </c>
      <c r="S361" s="6">
        <f t="shared" si="30"/>
        <v>1.9246606668000002E-2</v>
      </c>
      <c r="T361" t="str">
        <f t="shared" si="29"/>
        <v>Cumaru S4S E4E 1x8 Long</v>
      </c>
    </row>
    <row r="362" spans="1:20" x14ac:dyDescent="0.25">
      <c r="A362" t="s">
        <v>531</v>
      </c>
      <c r="B362" t="s">
        <v>669</v>
      </c>
      <c r="C362" t="s">
        <v>283</v>
      </c>
      <c r="D362" t="s">
        <v>438</v>
      </c>
      <c r="E362" t="s">
        <v>681</v>
      </c>
      <c r="F362" t="s">
        <v>671</v>
      </c>
      <c r="G362" t="s">
        <v>531</v>
      </c>
      <c r="H362" t="s">
        <v>373</v>
      </c>
      <c r="I362" t="s">
        <v>289</v>
      </c>
      <c r="J362" t="s">
        <v>672</v>
      </c>
      <c r="K362">
        <v>19</v>
      </c>
      <c r="L362" s="6">
        <v>5.7911999999999999</v>
      </c>
      <c r="M362" s="7">
        <v>19.05</v>
      </c>
      <c r="N362" s="7">
        <v>184.15</v>
      </c>
      <c r="O362" s="7">
        <f t="shared" si="26"/>
        <v>228</v>
      </c>
      <c r="P362" s="7">
        <f t="shared" si="27"/>
        <v>0.75000000000000011</v>
      </c>
      <c r="Q362" s="7">
        <f t="shared" si="27"/>
        <v>7.2500000000000009</v>
      </c>
      <c r="R362" s="6">
        <f t="shared" si="28"/>
        <v>935.23</v>
      </c>
      <c r="S362" s="6">
        <f t="shared" si="30"/>
        <v>2.0315862594000002E-2</v>
      </c>
      <c r="T362" t="str">
        <f t="shared" si="29"/>
        <v>Cumaru S4S E4E 1x8 Long</v>
      </c>
    </row>
    <row r="363" spans="1:20" x14ac:dyDescent="0.25">
      <c r="A363" t="s">
        <v>531</v>
      </c>
      <c r="B363" t="s">
        <v>669</v>
      </c>
      <c r="C363" t="s">
        <v>283</v>
      </c>
      <c r="D363" t="s">
        <v>438</v>
      </c>
      <c r="E363" t="s">
        <v>682</v>
      </c>
      <c r="F363" t="s">
        <v>671</v>
      </c>
      <c r="G363" t="s">
        <v>531</v>
      </c>
      <c r="H363" t="s">
        <v>373</v>
      </c>
      <c r="I363" t="s">
        <v>289</v>
      </c>
      <c r="J363" t="s">
        <v>672</v>
      </c>
      <c r="K363">
        <v>20</v>
      </c>
      <c r="L363" s="6">
        <v>6.0960000000000001</v>
      </c>
      <c r="M363" s="7">
        <v>19.05</v>
      </c>
      <c r="N363" s="7">
        <v>184.15</v>
      </c>
      <c r="O363" s="7">
        <f t="shared" si="26"/>
        <v>240</v>
      </c>
      <c r="P363" s="7">
        <f t="shared" si="27"/>
        <v>0.75000000000000011</v>
      </c>
      <c r="Q363" s="7">
        <f t="shared" si="27"/>
        <v>7.2500000000000009</v>
      </c>
      <c r="R363" s="6">
        <f t="shared" si="28"/>
        <v>935.23</v>
      </c>
      <c r="S363" s="6">
        <f t="shared" si="30"/>
        <v>2.1385118520000003E-2</v>
      </c>
      <c r="T363" t="str">
        <f t="shared" si="29"/>
        <v>Cumaru S4S E4E 1x8 Long</v>
      </c>
    </row>
    <row r="364" spans="1:20" x14ac:dyDescent="0.25">
      <c r="A364" t="s">
        <v>531</v>
      </c>
      <c r="B364" t="s">
        <v>669</v>
      </c>
      <c r="C364" t="s">
        <v>283</v>
      </c>
      <c r="D364" t="s">
        <v>438</v>
      </c>
      <c r="E364" t="s">
        <v>683</v>
      </c>
      <c r="F364" t="s">
        <v>671</v>
      </c>
      <c r="G364" t="s">
        <v>531</v>
      </c>
      <c r="H364" t="s">
        <v>373</v>
      </c>
      <c r="I364" t="s">
        <v>289</v>
      </c>
      <c r="J364" t="s">
        <v>672</v>
      </c>
      <c r="K364">
        <v>21</v>
      </c>
      <c r="L364" s="6">
        <v>6.4008000000000003</v>
      </c>
      <c r="M364" s="7">
        <v>19.05</v>
      </c>
      <c r="N364" s="7">
        <v>184.15</v>
      </c>
      <c r="O364" s="7">
        <f t="shared" si="26"/>
        <v>252.00000000000003</v>
      </c>
      <c r="P364" s="7">
        <f t="shared" si="27"/>
        <v>0.75000000000000011</v>
      </c>
      <c r="Q364" s="7">
        <f t="shared" si="27"/>
        <v>7.2500000000000009</v>
      </c>
      <c r="R364" s="6">
        <f t="shared" si="28"/>
        <v>935.23</v>
      </c>
      <c r="S364" s="6">
        <f t="shared" si="30"/>
        <v>2.2454374446000003E-2</v>
      </c>
      <c r="T364" t="str">
        <f t="shared" si="29"/>
        <v>Cumaru S4S E4E 1x8 Long</v>
      </c>
    </row>
    <row r="365" spans="1:20" x14ac:dyDescent="0.25">
      <c r="A365" t="s">
        <v>531</v>
      </c>
      <c r="B365" t="s">
        <v>669</v>
      </c>
      <c r="C365" t="s">
        <v>283</v>
      </c>
      <c r="D365" t="s">
        <v>438</v>
      </c>
      <c r="E365" t="s">
        <v>684</v>
      </c>
      <c r="F365" t="s">
        <v>671</v>
      </c>
      <c r="G365" t="s">
        <v>531</v>
      </c>
      <c r="H365" t="s">
        <v>373</v>
      </c>
      <c r="I365" t="s">
        <v>289</v>
      </c>
      <c r="J365" t="s">
        <v>672</v>
      </c>
      <c r="K365">
        <v>22</v>
      </c>
      <c r="L365" s="6">
        <v>6.7055999999999996</v>
      </c>
      <c r="M365" s="7">
        <v>19.05</v>
      </c>
      <c r="N365" s="7">
        <v>184.15</v>
      </c>
      <c r="O365" s="7">
        <f t="shared" si="26"/>
        <v>264</v>
      </c>
      <c r="P365" s="7">
        <f t="shared" si="27"/>
        <v>0.75000000000000011</v>
      </c>
      <c r="Q365" s="7">
        <f t="shared" si="27"/>
        <v>7.2500000000000009</v>
      </c>
      <c r="R365" s="6">
        <f t="shared" si="28"/>
        <v>935.23</v>
      </c>
      <c r="S365" s="6">
        <f t="shared" si="30"/>
        <v>2.3523630372E-2</v>
      </c>
      <c r="T365" t="str">
        <f t="shared" si="29"/>
        <v>Cumaru S4S E4E 1x8 Long</v>
      </c>
    </row>
    <row r="366" spans="1:20" x14ac:dyDescent="0.25">
      <c r="A366" t="s">
        <v>531</v>
      </c>
      <c r="B366" t="s">
        <v>669</v>
      </c>
      <c r="C366" t="s">
        <v>283</v>
      </c>
      <c r="D366" t="s">
        <v>438</v>
      </c>
      <c r="E366" t="s">
        <v>685</v>
      </c>
      <c r="F366" t="s">
        <v>671</v>
      </c>
      <c r="G366" t="s">
        <v>531</v>
      </c>
      <c r="H366" t="s">
        <v>373</v>
      </c>
      <c r="I366" t="s">
        <v>289</v>
      </c>
      <c r="J366" t="s">
        <v>672</v>
      </c>
      <c r="K366">
        <v>23</v>
      </c>
      <c r="L366" s="6">
        <v>7.0103999999999997</v>
      </c>
      <c r="M366" s="7">
        <v>19.05</v>
      </c>
      <c r="N366" s="7">
        <v>184.15</v>
      </c>
      <c r="O366" s="7">
        <f t="shared" si="26"/>
        <v>276</v>
      </c>
      <c r="P366" s="7">
        <f t="shared" si="27"/>
        <v>0.75000000000000011</v>
      </c>
      <c r="Q366" s="7">
        <f t="shared" si="27"/>
        <v>7.2500000000000009</v>
      </c>
      <c r="R366" s="6">
        <f t="shared" si="28"/>
        <v>935.23</v>
      </c>
      <c r="S366" s="6">
        <f t="shared" si="30"/>
        <v>2.4592886298000004E-2</v>
      </c>
      <c r="T366" t="str">
        <f t="shared" si="29"/>
        <v>Cumaru S4S E4E 1x8 Long</v>
      </c>
    </row>
    <row r="367" spans="1:20" x14ac:dyDescent="0.25">
      <c r="A367" t="s">
        <v>531</v>
      </c>
      <c r="B367" t="s">
        <v>669</v>
      </c>
      <c r="C367" t="s">
        <v>283</v>
      </c>
      <c r="D367" t="s">
        <v>438</v>
      </c>
      <c r="E367" t="s">
        <v>686</v>
      </c>
      <c r="F367" t="s">
        <v>671</v>
      </c>
      <c r="G367" t="s">
        <v>531</v>
      </c>
      <c r="H367" t="s">
        <v>373</v>
      </c>
      <c r="I367" t="s">
        <v>289</v>
      </c>
      <c r="J367" t="s">
        <v>672</v>
      </c>
      <c r="K367">
        <v>24</v>
      </c>
      <c r="L367" s="6">
        <v>7.3152000000000008</v>
      </c>
      <c r="M367" s="7">
        <v>19.05</v>
      </c>
      <c r="N367" s="7">
        <v>184.15</v>
      </c>
      <c r="O367" s="7">
        <f t="shared" si="26"/>
        <v>288.00000000000006</v>
      </c>
      <c r="P367" s="7">
        <f t="shared" si="27"/>
        <v>0.75000000000000011</v>
      </c>
      <c r="Q367" s="7">
        <f t="shared" si="27"/>
        <v>7.2500000000000009</v>
      </c>
      <c r="R367" s="6">
        <f t="shared" si="28"/>
        <v>935.23</v>
      </c>
      <c r="S367" s="6">
        <f t="shared" si="30"/>
        <v>2.5662142224000005E-2</v>
      </c>
      <c r="T367" t="str">
        <f t="shared" si="29"/>
        <v>Cumaru S4S E4E 1x8 Long</v>
      </c>
    </row>
    <row r="368" spans="1:20" x14ac:dyDescent="0.25">
      <c r="A368" t="s">
        <v>531</v>
      </c>
      <c r="B368" t="s">
        <v>669</v>
      </c>
      <c r="C368" t="s">
        <v>524</v>
      </c>
      <c r="D368" t="s">
        <v>438</v>
      </c>
      <c r="E368" t="s">
        <v>687</v>
      </c>
      <c r="F368" t="s">
        <v>671</v>
      </c>
      <c r="G368" t="s">
        <v>531</v>
      </c>
      <c r="H368" t="s">
        <v>373</v>
      </c>
      <c r="I368" t="s">
        <v>289</v>
      </c>
      <c r="J368" t="s">
        <v>672</v>
      </c>
      <c r="K368">
        <v>3</v>
      </c>
      <c r="L368" s="6">
        <v>0.91439999999999999</v>
      </c>
      <c r="M368" s="7">
        <v>19.05</v>
      </c>
      <c r="N368" s="7">
        <v>184.15</v>
      </c>
      <c r="O368" s="7">
        <f t="shared" si="26"/>
        <v>36</v>
      </c>
      <c r="P368" s="7">
        <f t="shared" si="27"/>
        <v>0.75000000000000011</v>
      </c>
      <c r="Q368" s="7">
        <f t="shared" si="27"/>
        <v>7.2500000000000009</v>
      </c>
      <c r="R368" s="6">
        <f t="shared" si="28"/>
        <v>935.23</v>
      </c>
      <c r="S368" s="6">
        <f t="shared" si="30"/>
        <v>3.2077677780000002E-3</v>
      </c>
      <c r="T368" t="str">
        <f t="shared" si="29"/>
        <v>Cumaru S4S E4E 1x8 Short</v>
      </c>
    </row>
    <row r="369" spans="1:20" x14ac:dyDescent="0.25">
      <c r="A369" t="s">
        <v>531</v>
      </c>
      <c r="B369" t="s">
        <v>669</v>
      </c>
      <c r="C369" t="s">
        <v>524</v>
      </c>
      <c r="D369" t="s">
        <v>438</v>
      </c>
      <c r="E369" t="s">
        <v>688</v>
      </c>
      <c r="F369" t="s">
        <v>671</v>
      </c>
      <c r="G369" t="s">
        <v>531</v>
      </c>
      <c r="H369" t="s">
        <v>373</v>
      </c>
      <c r="I369" t="s">
        <v>289</v>
      </c>
      <c r="J369" t="s">
        <v>672</v>
      </c>
      <c r="K369">
        <v>4</v>
      </c>
      <c r="L369" s="6">
        <v>1.2192000000000001</v>
      </c>
      <c r="M369" s="7">
        <v>19.05</v>
      </c>
      <c r="N369" s="7">
        <v>184.15</v>
      </c>
      <c r="O369" s="7">
        <f t="shared" si="26"/>
        <v>48.000000000000007</v>
      </c>
      <c r="P369" s="7">
        <f t="shared" si="27"/>
        <v>0.75000000000000011</v>
      </c>
      <c r="Q369" s="7">
        <f t="shared" si="27"/>
        <v>7.2500000000000009</v>
      </c>
      <c r="R369" s="6">
        <f t="shared" si="28"/>
        <v>935.23</v>
      </c>
      <c r="S369" s="6">
        <f t="shared" si="30"/>
        <v>4.2770237040000002E-3</v>
      </c>
      <c r="T369" t="str">
        <f t="shared" si="29"/>
        <v>Cumaru S4S E4E 1x8 Short</v>
      </c>
    </row>
    <row r="370" spans="1:20" x14ac:dyDescent="0.25">
      <c r="A370" t="s">
        <v>531</v>
      </c>
      <c r="B370" t="s">
        <v>669</v>
      </c>
      <c r="C370" t="s">
        <v>524</v>
      </c>
      <c r="D370" t="s">
        <v>438</v>
      </c>
      <c r="E370" t="s">
        <v>689</v>
      </c>
      <c r="F370" t="s">
        <v>671</v>
      </c>
      <c r="G370" t="s">
        <v>531</v>
      </c>
      <c r="H370" t="s">
        <v>373</v>
      </c>
      <c r="I370" t="s">
        <v>289</v>
      </c>
      <c r="J370" t="s">
        <v>672</v>
      </c>
      <c r="K370">
        <v>5</v>
      </c>
      <c r="L370" s="6">
        <v>1.524</v>
      </c>
      <c r="M370" s="7">
        <v>19.05</v>
      </c>
      <c r="N370" s="7">
        <v>184.15</v>
      </c>
      <c r="O370" s="7">
        <f t="shared" si="26"/>
        <v>60</v>
      </c>
      <c r="P370" s="7">
        <f t="shared" si="27"/>
        <v>0.75000000000000011</v>
      </c>
      <c r="Q370" s="7">
        <f t="shared" si="27"/>
        <v>7.2500000000000009</v>
      </c>
      <c r="R370" s="6">
        <f t="shared" si="28"/>
        <v>935.23</v>
      </c>
      <c r="S370" s="6">
        <f t="shared" si="30"/>
        <v>5.3462796300000007E-3</v>
      </c>
      <c r="T370" t="str">
        <f t="shared" si="29"/>
        <v>Cumaru S4S E4E 1x8 Short</v>
      </c>
    </row>
    <row r="371" spans="1:20" x14ac:dyDescent="0.25">
      <c r="A371" t="s">
        <v>531</v>
      </c>
      <c r="B371" t="s">
        <v>669</v>
      </c>
      <c r="C371" t="s">
        <v>524</v>
      </c>
      <c r="D371" t="s">
        <v>438</v>
      </c>
      <c r="E371" t="s">
        <v>690</v>
      </c>
      <c r="F371" t="s">
        <v>671</v>
      </c>
      <c r="G371" t="s">
        <v>531</v>
      </c>
      <c r="H371" t="s">
        <v>373</v>
      </c>
      <c r="I371" t="s">
        <v>289</v>
      </c>
      <c r="J371" t="s">
        <v>672</v>
      </c>
      <c r="K371">
        <v>6</v>
      </c>
      <c r="L371" s="6">
        <v>1.8288</v>
      </c>
      <c r="M371" s="7">
        <v>19.05</v>
      </c>
      <c r="N371" s="7">
        <v>184.15</v>
      </c>
      <c r="O371" s="7">
        <f t="shared" si="26"/>
        <v>72</v>
      </c>
      <c r="P371" s="7">
        <f t="shared" si="27"/>
        <v>0.75000000000000011</v>
      </c>
      <c r="Q371" s="7">
        <f t="shared" si="27"/>
        <v>7.2500000000000009</v>
      </c>
      <c r="R371" s="6">
        <f t="shared" si="28"/>
        <v>935.23</v>
      </c>
      <c r="S371" s="6">
        <f t="shared" si="30"/>
        <v>6.4155355560000004E-3</v>
      </c>
      <c r="T371" t="str">
        <f t="shared" si="29"/>
        <v>Cumaru S4S E4E 1x8 Short</v>
      </c>
    </row>
    <row r="372" spans="1:20" x14ac:dyDescent="0.25">
      <c r="A372" t="s">
        <v>531</v>
      </c>
      <c r="B372" t="s">
        <v>669</v>
      </c>
      <c r="C372" t="s">
        <v>524</v>
      </c>
      <c r="D372" t="s">
        <v>438</v>
      </c>
      <c r="E372" t="s">
        <v>691</v>
      </c>
      <c r="F372" t="s">
        <v>671</v>
      </c>
      <c r="G372" t="s">
        <v>531</v>
      </c>
      <c r="H372" t="s">
        <v>373</v>
      </c>
      <c r="I372" t="s">
        <v>289</v>
      </c>
      <c r="J372" t="s">
        <v>672</v>
      </c>
      <c r="K372">
        <v>7</v>
      </c>
      <c r="L372" s="6">
        <v>2.1335999999999999</v>
      </c>
      <c r="M372" s="7">
        <v>19.05</v>
      </c>
      <c r="N372" s="7">
        <v>184.15</v>
      </c>
      <c r="O372" s="7">
        <f t="shared" si="26"/>
        <v>84</v>
      </c>
      <c r="P372" s="7">
        <f t="shared" si="27"/>
        <v>0.75000000000000011</v>
      </c>
      <c r="Q372" s="7">
        <f t="shared" si="27"/>
        <v>7.2500000000000009</v>
      </c>
      <c r="R372" s="6">
        <f t="shared" si="28"/>
        <v>935.23</v>
      </c>
      <c r="S372" s="6">
        <f t="shared" si="30"/>
        <v>7.484791482E-3</v>
      </c>
      <c r="T372" t="str">
        <f t="shared" si="29"/>
        <v>Cumaru S4S E4E 1x8 Short</v>
      </c>
    </row>
    <row r="373" spans="1:20" x14ac:dyDescent="0.25">
      <c r="A373" t="s">
        <v>531</v>
      </c>
      <c r="B373" t="s">
        <v>669</v>
      </c>
      <c r="C373" t="s">
        <v>283</v>
      </c>
      <c r="D373" t="s">
        <v>438</v>
      </c>
      <c r="E373" t="s">
        <v>692</v>
      </c>
      <c r="F373" t="s">
        <v>671</v>
      </c>
      <c r="G373" t="s">
        <v>531</v>
      </c>
      <c r="H373" t="s">
        <v>373</v>
      </c>
      <c r="I373" t="s">
        <v>289</v>
      </c>
      <c r="J373" t="s">
        <v>672</v>
      </c>
      <c r="K373">
        <v>8</v>
      </c>
      <c r="L373" s="6">
        <v>2.4384000000000001</v>
      </c>
      <c r="M373" s="7">
        <v>19.05</v>
      </c>
      <c r="N373" s="7">
        <v>184.15</v>
      </c>
      <c r="O373" s="7">
        <f t="shared" si="26"/>
        <v>96.000000000000014</v>
      </c>
      <c r="P373" s="7">
        <f t="shared" si="27"/>
        <v>0.75000000000000011</v>
      </c>
      <c r="Q373" s="7">
        <f t="shared" si="27"/>
        <v>7.2500000000000009</v>
      </c>
      <c r="R373" s="6">
        <f t="shared" si="28"/>
        <v>935.23</v>
      </c>
      <c r="S373" s="6">
        <f t="shared" si="30"/>
        <v>8.5540474080000005E-3</v>
      </c>
      <c r="T373" t="str">
        <f t="shared" si="29"/>
        <v>Cumaru S4S E4E 1x8 Long</v>
      </c>
    </row>
    <row r="374" spans="1:20" x14ac:dyDescent="0.25">
      <c r="A374" t="s">
        <v>531</v>
      </c>
      <c r="B374" t="s">
        <v>669</v>
      </c>
      <c r="C374" t="s">
        <v>283</v>
      </c>
      <c r="D374" t="s">
        <v>438</v>
      </c>
      <c r="E374" t="s">
        <v>693</v>
      </c>
      <c r="F374" t="s">
        <v>671</v>
      </c>
      <c r="G374" t="s">
        <v>531</v>
      </c>
      <c r="H374" t="s">
        <v>373</v>
      </c>
      <c r="I374" t="s">
        <v>289</v>
      </c>
      <c r="J374" t="s">
        <v>672</v>
      </c>
      <c r="K374">
        <v>9</v>
      </c>
      <c r="L374" s="6">
        <v>2.7431999999999999</v>
      </c>
      <c r="M374" s="7">
        <v>19.05</v>
      </c>
      <c r="N374" s="7">
        <v>184.15</v>
      </c>
      <c r="O374" s="7">
        <f t="shared" si="26"/>
        <v>108</v>
      </c>
      <c r="P374" s="7">
        <f t="shared" si="27"/>
        <v>0.75000000000000011</v>
      </c>
      <c r="Q374" s="7">
        <f t="shared" si="27"/>
        <v>7.2500000000000009</v>
      </c>
      <c r="R374" s="6">
        <f t="shared" si="28"/>
        <v>935.23</v>
      </c>
      <c r="S374" s="6">
        <f t="shared" si="30"/>
        <v>9.623303334000001E-3</v>
      </c>
      <c r="T374" t="str">
        <f t="shared" si="29"/>
        <v>Cumaru S4S E4E 1x8 Long</v>
      </c>
    </row>
    <row r="375" spans="1:20" x14ac:dyDescent="0.25">
      <c r="A375" t="s">
        <v>531</v>
      </c>
      <c r="B375" t="s">
        <v>694</v>
      </c>
      <c r="C375" t="s">
        <v>283</v>
      </c>
      <c r="D375" t="s">
        <v>438</v>
      </c>
      <c r="E375" t="s">
        <v>695</v>
      </c>
      <c r="F375" t="s">
        <v>696</v>
      </c>
      <c r="G375" t="s">
        <v>531</v>
      </c>
      <c r="H375" t="s">
        <v>373</v>
      </c>
      <c r="I375" t="s">
        <v>289</v>
      </c>
      <c r="J375" t="s">
        <v>697</v>
      </c>
      <c r="K375">
        <v>10</v>
      </c>
      <c r="L375" s="6">
        <v>3.048</v>
      </c>
      <c r="M375" s="7">
        <v>21</v>
      </c>
      <c r="N375" s="7">
        <v>145</v>
      </c>
      <c r="O375" s="7">
        <f t="shared" si="26"/>
        <v>120</v>
      </c>
      <c r="P375" s="7">
        <f t="shared" si="27"/>
        <v>0.82677165354330717</v>
      </c>
      <c r="Q375" s="7">
        <f t="shared" si="27"/>
        <v>5.7086614173228352</v>
      </c>
      <c r="R375" s="6">
        <f t="shared" si="28"/>
        <v>1077.452</v>
      </c>
      <c r="S375" s="6">
        <f t="shared" si="30"/>
        <v>9.2811600000000001E-3</v>
      </c>
      <c r="T375" t="str">
        <f t="shared" si="29"/>
        <v>Cumaru S4S E4E 21x145 Long</v>
      </c>
    </row>
    <row r="376" spans="1:20" x14ac:dyDescent="0.25">
      <c r="A376" t="s">
        <v>531</v>
      </c>
      <c r="B376" t="s">
        <v>694</v>
      </c>
      <c r="C376" t="s">
        <v>283</v>
      </c>
      <c r="D376" t="s">
        <v>438</v>
      </c>
      <c r="E376" t="s">
        <v>698</v>
      </c>
      <c r="F376" t="s">
        <v>696</v>
      </c>
      <c r="G376" t="s">
        <v>531</v>
      </c>
      <c r="H376" t="s">
        <v>373</v>
      </c>
      <c r="I376" t="s">
        <v>289</v>
      </c>
      <c r="J376" t="s">
        <v>697</v>
      </c>
      <c r="K376">
        <v>11</v>
      </c>
      <c r="L376" s="6">
        <v>3.3527999999999998</v>
      </c>
      <c r="M376" s="7">
        <v>21</v>
      </c>
      <c r="N376" s="7">
        <v>145</v>
      </c>
      <c r="O376" s="7">
        <f t="shared" si="26"/>
        <v>132</v>
      </c>
      <c r="P376" s="7">
        <f t="shared" si="27"/>
        <v>0.82677165354330717</v>
      </c>
      <c r="Q376" s="7">
        <f t="shared" si="27"/>
        <v>5.7086614173228352</v>
      </c>
      <c r="R376" s="6">
        <f t="shared" si="28"/>
        <v>1077.452</v>
      </c>
      <c r="S376" s="6">
        <f t="shared" si="30"/>
        <v>1.0209276E-2</v>
      </c>
      <c r="T376" t="str">
        <f t="shared" si="29"/>
        <v>Cumaru S4S E4E 21x145 Long</v>
      </c>
    </row>
    <row r="377" spans="1:20" x14ac:dyDescent="0.25">
      <c r="A377" t="s">
        <v>531</v>
      </c>
      <c r="B377" t="s">
        <v>694</v>
      </c>
      <c r="C377" t="s">
        <v>283</v>
      </c>
      <c r="D377" t="s">
        <v>438</v>
      </c>
      <c r="E377" t="s">
        <v>167</v>
      </c>
      <c r="F377" t="s">
        <v>696</v>
      </c>
      <c r="G377" t="s">
        <v>531</v>
      </c>
      <c r="H377" t="s">
        <v>373</v>
      </c>
      <c r="I377" t="s">
        <v>289</v>
      </c>
      <c r="J377" t="s">
        <v>697</v>
      </c>
      <c r="K377">
        <v>12</v>
      </c>
      <c r="L377" s="6">
        <v>3.6576</v>
      </c>
      <c r="M377" s="7">
        <v>21</v>
      </c>
      <c r="N377" s="7">
        <v>145</v>
      </c>
      <c r="O377" s="7">
        <f t="shared" si="26"/>
        <v>144</v>
      </c>
      <c r="P377" s="7">
        <f t="shared" si="27"/>
        <v>0.82677165354330717</v>
      </c>
      <c r="Q377" s="7">
        <f t="shared" si="27"/>
        <v>5.7086614173228352</v>
      </c>
      <c r="R377" s="6">
        <f t="shared" si="28"/>
        <v>1077.452</v>
      </c>
      <c r="S377" s="6">
        <f t="shared" si="30"/>
        <v>1.1137391999999999E-2</v>
      </c>
      <c r="T377" t="str">
        <f t="shared" si="29"/>
        <v>Cumaru S4S E4E 21x145 Long</v>
      </c>
    </row>
    <row r="378" spans="1:20" x14ac:dyDescent="0.25">
      <c r="A378" t="s">
        <v>531</v>
      </c>
      <c r="B378" t="s">
        <v>694</v>
      </c>
      <c r="C378" t="s">
        <v>283</v>
      </c>
      <c r="D378" t="s">
        <v>438</v>
      </c>
      <c r="E378" t="s">
        <v>699</v>
      </c>
      <c r="F378" t="s">
        <v>696</v>
      </c>
      <c r="G378" t="s">
        <v>531</v>
      </c>
      <c r="H378" t="s">
        <v>373</v>
      </c>
      <c r="I378" t="s">
        <v>289</v>
      </c>
      <c r="J378" t="s">
        <v>697</v>
      </c>
      <c r="K378">
        <v>13</v>
      </c>
      <c r="L378" s="6">
        <v>3.9624000000000001</v>
      </c>
      <c r="M378" s="7">
        <v>21</v>
      </c>
      <c r="N378" s="7">
        <v>145</v>
      </c>
      <c r="O378" s="7">
        <f t="shared" si="26"/>
        <v>156</v>
      </c>
      <c r="P378" s="7">
        <f t="shared" si="27"/>
        <v>0.82677165354330717</v>
      </c>
      <c r="Q378" s="7">
        <f t="shared" si="27"/>
        <v>5.7086614173228352</v>
      </c>
      <c r="R378" s="6">
        <f t="shared" si="28"/>
        <v>1077.452</v>
      </c>
      <c r="S378" s="6">
        <f t="shared" si="30"/>
        <v>1.2065508000000001E-2</v>
      </c>
      <c r="T378" t="str">
        <f t="shared" si="29"/>
        <v>Cumaru S4S E4E 21x145 Long</v>
      </c>
    </row>
    <row r="379" spans="1:20" x14ac:dyDescent="0.25">
      <c r="A379" t="s">
        <v>531</v>
      </c>
      <c r="B379" t="s">
        <v>694</v>
      </c>
      <c r="C379" t="s">
        <v>283</v>
      </c>
      <c r="D379" t="s">
        <v>438</v>
      </c>
      <c r="E379" t="s">
        <v>700</v>
      </c>
      <c r="F379" t="s">
        <v>696</v>
      </c>
      <c r="G379" t="s">
        <v>531</v>
      </c>
      <c r="H379" t="s">
        <v>373</v>
      </c>
      <c r="I379" t="s">
        <v>289</v>
      </c>
      <c r="J379" t="s">
        <v>697</v>
      </c>
      <c r="K379">
        <v>14</v>
      </c>
      <c r="L379" s="6">
        <v>4.2671999999999999</v>
      </c>
      <c r="M379" s="7">
        <v>21</v>
      </c>
      <c r="N379" s="7">
        <v>145</v>
      </c>
      <c r="O379" s="7">
        <f t="shared" si="26"/>
        <v>168</v>
      </c>
      <c r="P379" s="7">
        <f t="shared" si="27"/>
        <v>0.82677165354330717</v>
      </c>
      <c r="Q379" s="7">
        <f t="shared" si="27"/>
        <v>5.7086614173228352</v>
      </c>
      <c r="R379" s="6">
        <f t="shared" si="28"/>
        <v>1077.452</v>
      </c>
      <c r="S379" s="6">
        <f t="shared" si="30"/>
        <v>1.2993624E-2</v>
      </c>
      <c r="T379" t="str">
        <f t="shared" si="29"/>
        <v>Cumaru S4S E4E 21x145 Long</v>
      </c>
    </row>
    <row r="380" spans="1:20" x14ac:dyDescent="0.25">
      <c r="A380" t="s">
        <v>531</v>
      </c>
      <c r="B380" t="s">
        <v>694</v>
      </c>
      <c r="C380" t="s">
        <v>283</v>
      </c>
      <c r="D380" t="s">
        <v>438</v>
      </c>
      <c r="E380" t="s">
        <v>701</v>
      </c>
      <c r="F380" t="s">
        <v>696</v>
      </c>
      <c r="G380" t="s">
        <v>531</v>
      </c>
      <c r="H380" t="s">
        <v>373</v>
      </c>
      <c r="I380" t="s">
        <v>289</v>
      </c>
      <c r="J380" t="s">
        <v>697</v>
      </c>
      <c r="K380">
        <v>15</v>
      </c>
      <c r="L380" s="6">
        <v>4.5720000000000001</v>
      </c>
      <c r="M380" s="7">
        <v>21</v>
      </c>
      <c r="N380" s="7">
        <v>145</v>
      </c>
      <c r="O380" s="7">
        <f t="shared" si="26"/>
        <v>180</v>
      </c>
      <c r="P380" s="7">
        <f t="shared" si="27"/>
        <v>0.82677165354330717</v>
      </c>
      <c r="Q380" s="7">
        <f t="shared" si="27"/>
        <v>5.7086614173228352</v>
      </c>
      <c r="R380" s="6">
        <f t="shared" si="28"/>
        <v>1077.452</v>
      </c>
      <c r="S380" s="6">
        <f t="shared" si="30"/>
        <v>1.392174E-2</v>
      </c>
      <c r="T380" t="str">
        <f t="shared" si="29"/>
        <v>Cumaru S4S E4E 21x145 Long</v>
      </c>
    </row>
    <row r="381" spans="1:20" x14ac:dyDescent="0.25">
      <c r="A381" t="s">
        <v>531</v>
      </c>
      <c r="B381" t="s">
        <v>694</v>
      </c>
      <c r="C381" t="s">
        <v>283</v>
      </c>
      <c r="D381" t="s">
        <v>438</v>
      </c>
      <c r="E381" t="s">
        <v>702</v>
      </c>
      <c r="F381" t="s">
        <v>696</v>
      </c>
      <c r="G381" t="s">
        <v>531</v>
      </c>
      <c r="H381" t="s">
        <v>373</v>
      </c>
      <c r="I381" t="s">
        <v>289</v>
      </c>
      <c r="J381" t="s">
        <v>697</v>
      </c>
      <c r="K381">
        <v>16</v>
      </c>
      <c r="L381" s="6">
        <v>4.8768000000000002</v>
      </c>
      <c r="M381" s="7">
        <v>21</v>
      </c>
      <c r="N381" s="7">
        <v>145</v>
      </c>
      <c r="O381" s="7">
        <f t="shared" si="26"/>
        <v>192.00000000000003</v>
      </c>
      <c r="P381" s="7">
        <f t="shared" si="27"/>
        <v>0.82677165354330717</v>
      </c>
      <c r="Q381" s="7">
        <f t="shared" si="27"/>
        <v>5.7086614173228352</v>
      </c>
      <c r="R381" s="6">
        <f t="shared" si="28"/>
        <v>1077.452</v>
      </c>
      <c r="S381" s="6">
        <f t="shared" si="30"/>
        <v>1.4849856E-2</v>
      </c>
      <c r="T381" t="str">
        <f t="shared" si="29"/>
        <v>Cumaru S4S E4E 21x145 Long</v>
      </c>
    </row>
    <row r="382" spans="1:20" x14ac:dyDescent="0.25">
      <c r="A382" t="s">
        <v>531</v>
      </c>
      <c r="B382" t="s">
        <v>694</v>
      </c>
      <c r="C382" t="s">
        <v>283</v>
      </c>
      <c r="D382" t="s">
        <v>438</v>
      </c>
      <c r="E382" t="s">
        <v>703</v>
      </c>
      <c r="F382" t="s">
        <v>696</v>
      </c>
      <c r="G382" t="s">
        <v>531</v>
      </c>
      <c r="H382" t="s">
        <v>373</v>
      </c>
      <c r="I382" t="s">
        <v>289</v>
      </c>
      <c r="J382" t="s">
        <v>697</v>
      </c>
      <c r="K382">
        <v>17</v>
      </c>
      <c r="L382" s="6">
        <v>5.1816000000000004</v>
      </c>
      <c r="M382" s="7">
        <v>21</v>
      </c>
      <c r="N382" s="7">
        <v>145</v>
      </c>
      <c r="O382" s="7">
        <f t="shared" si="26"/>
        <v>204.00000000000003</v>
      </c>
      <c r="P382" s="7">
        <f t="shared" si="27"/>
        <v>0.82677165354330717</v>
      </c>
      <c r="Q382" s="7">
        <f t="shared" si="27"/>
        <v>5.7086614173228352</v>
      </c>
      <c r="R382" s="6">
        <f t="shared" si="28"/>
        <v>1077.452</v>
      </c>
      <c r="S382" s="6">
        <f t="shared" si="30"/>
        <v>1.5777972000000001E-2</v>
      </c>
      <c r="T382" t="str">
        <f t="shared" si="29"/>
        <v>Cumaru S4S E4E 21x145 Long</v>
      </c>
    </row>
    <row r="383" spans="1:20" x14ac:dyDescent="0.25">
      <c r="A383" t="s">
        <v>531</v>
      </c>
      <c r="B383" t="s">
        <v>694</v>
      </c>
      <c r="C383" t="s">
        <v>283</v>
      </c>
      <c r="D383" t="s">
        <v>438</v>
      </c>
      <c r="E383" t="s">
        <v>704</v>
      </c>
      <c r="F383" t="s">
        <v>696</v>
      </c>
      <c r="G383" t="s">
        <v>531</v>
      </c>
      <c r="H383" t="s">
        <v>373</v>
      </c>
      <c r="I383" t="s">
        <v>289</v>
      </c>
      <c r="J383" t="s">
        <v>697</v>
      </c>
      <c r="K383">
        <v>18</v>
      </c>
      <c r="L383" s="6">
        <v>5.4863999999999997</v>
      </c>
      <c r="M383" s="7">
        <v>21</v>
      </c>
      <c r="N383" s="7">
        <v>145</v>
      </c>
      <c r="O383" s="7">
        <f t="shared" si="26"/>
        <v>216</v>
      </c>
      <c r="P383" s="7">
        <f t="shared" si="27"/>
        <v>0.82677165354330717</v>
      </c>
      <c r="Q383" s="7">
        <f t="shared" si="27"/>
        <v>5.7086614173228352</v>
      </c>
      <c r="R383" s="6">
        <f t="shared" si="28"/>
        <v>1077.452</v>
      </c>
      <c r="S383" s="6">
        <f t="shared" si="30"/>
        <v>1.6706087999999997E-2</v>
      </c>
      <c r="T383" t="str">
        <f t="shared" si="29"/>
        <v>Cumaru S4S E4E 21x145 Long</v>
      </c>
    </row>
    <row r="384" spans="1:20" x14ac:dyDescent="0.25">
      <c r="A384" t="s">
        <v>531</v>
      </c>
      <c r="B384" t="s">
        <v>694</v>
      </c>
      <c r="C384" t="s">
        <v>283</v>
      </c>
      <c r="D384" t="s">
        <v>438</v>
      </c>
      <c r="E384" t="s">
        <v>705</v>
      </c>
      <c r="F384" t="s">
        <v>696</v>
      </c>
      <c r="G384" t="s">
        <v>531</v>
      </c>
      <c r="H384" t="s">
        <v>373</v>
      </c>
      <c r="I384" t="s">
        <v>289</v>
      </c>
      <c r="J384" t="s">
        <v>697</v>
      </c>
      <c r="K384">
        <v>19</v>
      </c>
      <c r="L384" s="6">
        <v>5.7911999999999999</v>
      </c>
      <c r="M384" s="7">
        <v>21</v>
      </c>
      <c r="N384" s="7">
        <v>145</v>
      </c>
      <c r="O384" s="7">
        <f t="shared" si="26"/>
        <v>228</v>
      </c>
      <c r="P384" s="7">
        <f t="shared" si="27"/>
        <v>0.82677165354330717</v>
      </c>
      <c r="Q384" s="7">
        <f t="shared" si="27"/>
        <v>5.7086614173228352</v>
      </c>
      <c r="R384" s="6">
        <f t="shared" si="28"/>
        <v>1077.452</v>
      </c>
      <c r="S384" s="6">
        <f t="shared" si="30"/>
        <v>1.7634204000000001E-2</v>
      </c>
      <c r="T384" t="str">
        <f t="shared" si="29"/>
        <v>Cumaru S4S E4E 21x145 Long</v>
      </c>
    </row>
    <row r="385" spans="1:20" x14ac:dyDescent="0.25">
      <c r="A385" t="s">
        <v>531</v>
      </c>
      <c r="B385" t="s">
        <v>694</v>
      </c>
      <c r="C385" t="s">
        <v>283</v>
      </c>
      <c r="D385" t="s">
        <v>438</v>
      </c>
      <c r="E385" t="s">
        <v>706</v>
      </c>
      <c r="F385" t="s">
        <v>696</v>
      </c>
      <c r="G385" t="s">
        <v>531</v>
      </c>
      <c r="H385" t="s">
        <v>373</v>
      </c>
      <c r="I385" t="s">
        <v>289</v>
      </c>
      <c r="J385" t="s">
        <v>697</v>
      </c>
      <c r="K385">
        <v>20</v>
      </c>
      <c r="L385" s="6">
        <v>6.0960000000000001</v>
      </c>
      <c r="M385" s="7">
        <v>21</v>
      </c>
      <c r="N385" s="7">
        <v>145</v>
      </c>
      <c r="O385" s="7">
        <f t="shared" si="26"/>
        <v>240</v>
      </c>
      <c r="P385" s="7">
        <f t="shared" si="27"/>
        <v>0.82677165354330717</v>
      </c>
      <c r="Q385" s="7">
        <f t="shared" si="27"/>
        <v>5.7086614173228352</v>
      </c>
      <c r="R385" s="6">
        <f t="shared" si="28"/>
        <v>1077.452</v>
      </c>
      <c r="S385" s="6">
        <f t="shared" si="30"/>
        <v>1.856232E-2</v>
      </c>
      <c r="T385" t="str">
        <f t="shared" si="29"/>
        <v>Cumaru S4S E4E 21x145 Long</v>
      </c>
    </row>
    <row r="386" spans="1:20" x14ac:dyDescent="0.25">
      <c r="A386" t="s">
        <v>531</v>
      </c>
      <c r="B386" t="s">
        <v>694</v>
      </c>
      <c r="C386" t="s">
        <v>524</v>
      </c>
      <c r="D386" t="s">
        <v>438</v>
      </c>
      <c r="E386" t="s">
        <v>707</v>
      </c>
      <c r="F386" t="s">
        <v>696</v>
      </c>
      <c r="G386" t="s">
        <v>531</v>
      </c>
      <c r="H386" t="s">
        <v>373</v>
      </c>
      <c r="I386" t="s">
        <v>289</v>
      </c>
      <c r="J386" t="s">
        <v>697</v>
      </c>
      <c r="K386">
        <v>6</v>
      </c>
      <c r="L386" s="6">
        <v>1.8288</v>
      </c>
      <c r="M386" s="7">
        <v>21</v>
      </c>
      <c r="N386" s="7">
        <v>145</v>
      </c>
      <c r="O386" s="7">
        <f t="shared" ref="O386:O449" si="31">L386/0.0254</f>
        <v>72</v>
      </c>
      <c r="P386" s="7">
        <f t="shared" ref="P386:Q449" si="32">M386/25.4</f>
        <v>0.82677165354330717</v>
      </c>
      <c r="Q386" s="7">
        <f t="shared" si="32"/>
        <v>5.7086614173228352</v>
      </c>
      <c r="R386" s="6">
        <f t="shared" ref="R386:R449" si="33">ROUND(IFERROR(1/((M386*N386*0.3048)/1000000),0),3)</f>
        <v>1077.452</v>
      </c>
      <c r="S386" s="6">
        <f t="shared" si="30"/>
        <v>5.5686959999999997E-3</v>
      </c>
      <c r="T386" t="str">
        <f t="shared" ref="T386:T449" si="34">F386&amp;" "&amp;C386</f>
        <v>Cumaru S4S E4E 21x145 Short</v>
      </c>
    </row>
    <row r="387" spans="1:20" x14ac:dyDescent="0.25">
      <c r="A387" t="s">
        <v>531</v>
      </c>
      <c r="B387" t="s">
        <v>694</v>
      </c>
      <c r="C387" t="s">
        <v>524</v>
      </c>
      <c r="D387" t="s">
        <v>438</v>
      </c>
      <c r="E387" t="s">
        <v>708</v>
      </c>
      <c r="F387" t="s">
        <v>696</v>
      </c>
      <c r="G387" t="s">
        <v>531</v>
      </c>
      <c r="H387" t="s">
        <v>373</v>
      </c>
      <c r="I387" t="s">
        <v>289</v>
      </c>
      <c r="J387" t="s">
        <v>697</v>
      </c>
      <c r="K387">
        <v>7</v>
      </c>
      <c r="L387" s="6">
        <v>2.1335999999999999</v>
      </c>
      <c r="M387" s="7">
        <v>21</v>
      </c>
      <c r="N387" s="7">
        <v>145</v>
      </c>
      <c r="O387" s="7">
        <f t="shared" si="31"/>
        <v>84</v>
      </c>
      <c r="P387" s="7">
        <f t="shared" si="32"/>
        <v>0.82677165354330717</v>
      </c>
      <c r="Q387" s="7">
        <f t="shared" si="32"/>
        <v>5.7086614173228352</v>
      </c>
      <c r="R387" s="6">
        <f t="shared" si="33"/>
        <v>1077.452</v>
      </c>
      <c r="S387" s="6">
        <f t="shared" si="30"/>
        <v>6.4968120000000002E-3</v>
      </c>
      <c r="T387" t="str">
        <f t="shared" si="34"/>
        <v>Cumaru S4S E4E 21x145 Short</v>
      </c>
    </row>
    <row r="388" spans="1:20" x14ac:dyDescent="0.25">
      <c r="A388" t="s">
        <v>531</v>
      </c>
      <c r="B388" t="s">
        <v>694</v>
      </c>
      <c r="C388" t="s">
        <v>283</v>
      </c>
      <c r="D388" t="s">
        <v>438</v>
      </c>
      <c r="E388" t="s">
        <v>709</v>
      </c>
      <c r="F388" t="s">
        <v>696</v>
      </c>
      <c r="G388" t="s">
        <v>531</v>
      </c>
      <c r="H388" t="s">
        <v>373</v>
      </c>
      <c r="I388" t="s">
        <v>289</v>
      </c>
      <c r="J388" t="s">
        <v>697</v>
      </c>
      <c r="K388">
        <v>8</v>
      </c>
      <c r="L388" s="6">
        <v>2.4384000000000001</v>
      </c>
      <c r="M388" s="7">
        <v>21</v>
      </c>
      <c r="N388" s="7">
        <v>145</v>
      </c>
      <c r="O388" s="7">
        <f t="shared" si="31"/>
        <v>96.000000000000014</v>
      </c>
      <c r="P388" s="7">
        <f t="shared" si="32"/>
        <v>0.82677165354330717</v>
      </c>
      <c r="Q388" s="7">
        <f t="shared" si="32"/>
        <v>5.7086614173228352</v>
      </c>
      <c r="R388" s="6">
        <f t="shared" si="33"/>
        <v>1077.452</v>
      </c>
      <c r="S388" s="6">
        <f t="shared" ref="S388:S451" si="35">L388*M388/1000*N388/1000</f>
        <v>7.4249279999999999E-3</v>
      </c>
      <c r="T388" t="str">
        <f t="shared" si="34"/>
        <v>Cumaru S4S E4E 21x145 Long</v>
      </c>
    </row>
    <row r="389" spans="1:20" x14ac:dyDescent="0.25">
      <c r="A389" t="s">
        <v>531</v>
      </c>
      <c r="B389" t="s">
        <v>694</v>
      </c>
      <c r="C389" t="s">
        <v>283</v>
      </c>
      <c r="D389" t="s">
        <v>438</v>
      </c>
      <c r="E389" t="s">
        <v>710</v>
      </c>
      <c r="F389" t="s">
        <v>696</v>
      </c>
      <c r="G389" t="s">
        <v>531</v>
      </c>
      <c r="H389" t="s">
        <v>373</v>
      </c>
      <c r="I389" t="s">
        <v>289</v>
      </c>
      <c r="J389" t="s">
        <v>697</v>
      </c>
      <c r="K389">
        <v>9</v>
      </c>
      <c r="L389" s="6">
        <v>2.7431999999999999</v>
      </c>
      <c r="M389" s="7">
        <v>21</v>
      </c>
      <c r="N389" s="7">
        <v>145</v>
      </c>
      <c r="O389" s="7">
        <f t="shared" si="31"/>
        <v>108</v>
      </c>
      <c r="P389" s="7">
        <f t="shared" si="32"/>
        <v>0.82677165354330717</v>
      </c>
      <c r="Q389" s="7">
        <f t="shared" si="32"/>
        <v>5.7086614173228352</v>
      </c>
      <c r="R389" s="6">
        <f t="shared" si="33"/>
        <v>1077.452</v>
      </c>
      <c r="S389" s="6">
        <f t="shared" si="35"/>
        <v>8.3530439999999987E-3</v>
      </c>
      <c r="T389" t="str">
        <f t="shared" si="34"/>
        <v>Cumaru S4S E4E 21x145 Long</v>
      </c>
    </row>
    <row r="390" spans="1:20" x14ac:dyDescent="0.25">
      <c r="A390" t="s">
        <v>531</v>
      </c>
      <c r="B390" t="s">
        <v>711</v>
      </c>
      <c r="C390" t="s">
        <v>283</v>
      </c>
      <c r="D390" t="s">
        <v>438</v>
      </c>
      <c r="E390" t="s">
        <v>712</v>
      </c>
      <c r="F390" t="s">
        <v>713</v>
      </c>
      <c r="G390" t="s">
        <v>531</v>
      </c>
      <c r="H390" t="s">
        <v>373</v>
      </c>
      <c r="I390" t="s">
        <v>289</v>
      </c>
      <c r="J390" t="s">
        <v>714</v>
      </c>
      <c r="K390">
        <v>10</v>
      </c>
      <c r="L390" s="6">
        <v>3.048</v>
      </c>
      <c r="M390" s="7">
        <v>38.1</v>
      </c>
      <c r="N390" s="7">
        <v>234.95</v>
      </c>
      <c r="O390" s="7">
        <f t="shared" si="31"/>
        <v>120</v>
      </c>
      <c r="P390" s="7">
        <f t="shared" si="32"/>
        <v>1.5000000000000002</v>
      </c>
      <c r="Q390" s="7">
        <f t="shared" si="32"/>
        <v>9.25</v>
      </c>
      <c r="R390" s="6">
        <f t="shared" si="33"/>
        <v>366.50900000000001</v>
      </c>
      <c r="S390" s="6">
        <f t="shared" si="35"/>
        <v>2.7284461560000004E-2</v>
      </c>
      <c r="T390" t="str">
        <f t="shared" si="34"/>
        <v>Cumaru S4S E4E 2x10 Long</v>
      </c>
    </row>
    <row r="391" spans="1:20" x14ac:dyDescent="0.25">
      <c r="A391" t="s">
        <v>531</v>
      </c>
      <c r="B391" t="s">
        <v>711</v>
      </c>
      <c r="C391" t="s">
        <v>283</v>
      </c>
      <c r="D391" t="s">
        <v>438</v>
      </c>
      <c r="E391" t="s">
        <v>715</v>
      </c>
      <c r="F391" t="s">
        <v>713</v>
      </c>
      <c r="G391" t="s">
        <v>531</v>
      </c>
      <c r="H391" t="s">
        <v>373</v>
      </c>
      <c r="I391" t="s">
        <v>289</v>
      </c>
      <c r="J391" t="s">
        <v>714</v>
      </c>
      <c r="K391">
        <v>11</v>
      </c>
      <c r="L391" s="6">
        <v>3.3527999999999998</v>
      </c>
      <c r="M391" s="7">
        <v>38.1</v>
      </c>
      <c r="N391" s="7">
        <v>234.95</v>
      </c>
      <c r="O391" s="7">
        <f t="shared" si="31"/>
        <v>132</v>
      </c>
      <c r="P391" s="7">
        <f t="shared" si="32"/>
        <v>1.5000000000000002</v>
      </c>
      <c r="Q391" s="7">
        <f t="shared" si="32"/>
        <v>9.25</v>
      </c>
      <c r="R391" s="6">
        <f t="shared" si="33"/>
        <v>366.50900000000001</v>
      </c>
      <c r="S391" s="6">
        <f t="shared" si="35"/>
        <v>3.0012907715999997E-2</v>
      </c>
      <c r="T391" t="str">
        <f t="shared" si="34"/>
        <v>Cumaru S4S E4E 2x10 Long</v>
      </c>
    </row>
    <row r="392" spans="1:20" x14ac:dyDescent="0.25">
      <c r="A392" t="s">
        <v>531</v>
      </c>
      <c r="B392" t="s">
        <v>711</v>
      </c>
      <c r="C392" t="s">
        <v>283</v>
      </c>
      <c r="D392" t="s">
        <v>438</v>
      </c>
      <c r="E392" t="s">
        <v>716</v>
      </c>
      <c r="F392" t="s">
        <v>713</v>
      </c>
      <c r="G392" t="s">
        <v>531</v>
      </c>
      <c r="H392" t="s">
        <v>373</v>
      </c>
      <c r="I392" t="s">
        <v>289</v>
      </c>
      <c r="J392" t="s">
        <v>714</v>
      </c>
      <c r="K392">
        <v>12</v>
      </c>
      <c r="L392" s="6">
        <v>3.6576</v>
      </c>
      <c r="M392" s="7">
        <v>38.1</v>
      </c>
      <c r="N392" s="7">
        <v>234.95</v>
      </c>
      <c r="O392" s="7">
        <f t="shared" si="31"/>
        <v>144</v>
      </c>
      <c r="P392" s="7">
        <f t="shared" si="32"/>
        <v>1.5000000000000002</v>
      </c>
      <c r="Q392" s="7">
        <f t="shared" si="32"/>
        <v>9.25</v>
      </c>
      <c r="R392" s="6">
        <f t="shared" si="33"/>
        <v>366.50900000000001</v>
      </c>
      <c r="S392" s="6">
        <f t="shared" si="35"/>
        <v>3.2741353872000001E-2</v>
      </c>
      <c r="T392" t="str">
        <f t="shared" si="34"/>
        <v>Cumaru S4S E4E 2x10 Long</v>
      </c>
    </row>
    <row r="393" spans="1:20" x14ac:dyDescent="0.25">
      <c r="A393" t="s">
        <v>531</v>
      </c>
      <c r="B393" t="s">
        <v>711</v>
      </c>
      <c r="C393" t="s">
        <v>283</v>
      </c>
      <c r="D393" t="s">
        <v>438</v>
      </c>
      <c r="E393" t="s">
        <v>717</v>
      </c>
      <c r="F393" t="s">
        <v>713</v>
      </c>
      <c r="G393" t="s">
        <v>531</v>
      </c>
      <c r="H393" t="s">
        <v>373</v>
      </c>
      <c r="I393" t="s">
        <v>289</v>
      </c>
      <c r="J393" t="s">
        <v>714</v>
      </c>
      <c r="K393">
        <v>13</v>
      </c>
      <c r="L393" s="6">
        <v>3.9624000000000001</v>
      </c>
      <c r="M393" s="7">
        <v>38.1</v>
      </c>
      <c r="N393" s="7">
        <v>234.95</v>
      </c>
      <c r="O393" s="7">
        <f t="shared" si="31"/>
        <v>156</v>
      </c>
      <c r="P393" s="7">
        <f t="shared" si="32"/>
        <v>1.5000000000000002</v>
      </c>
      <c r="Q393" s="7">
        <f t="shared" si="32"/>
        <v>9.25</v>
      </c>
      <c r="R393" s="6">
        <f t="shared" si="33"/>
        <v>366.50900000000001</v>
      </c>
      <c r="S393" s="6">
        <f t="shared" si="35"/>
        <v>3.5469800028000001E-2</v>
      </c>
      <c r="T393" t="str">
        <f t="shared" si="34"/>
        <v>Cumaru S4S E4E 2x10 Long</v>
      </c>
    </row>
    <row r="394" spans="1:20" x14ac:dyDescent="0.25">
      <c r="A394" t="s">
        <v>531</v>
      </c>
      <c r="B394" t="s">
        <v>711</v>
      </c>
      <c r="C394" t="s">
        <v>283</v>
      </c>
      <c r="D394" t="s">
        <v>438</v>
      </c>
      <c r="E394" t="s">
        <v>718</v>
      </c>
      <c r="F394" t="s">
        <v>713</v>
      </c>
      <c r="G394" t="s">
        <v>531</v>
      </c>
      <c r="H394" t="s">
        <v>373</v>
      </c>
      <c r="I394" t="s">
        <v>289</v>
      </c>
      <c r="J394" t="s">
        <v>714</v>
      </c>
      <c r="K394">
        <v>14</v>
      </c>
      <c r="L394" s="6">
        <v>4.2671999999999999</v>
      </c>
      <c r="M394" s="7">
        <v>38.1</v>
      </c>
      <c r="N394" s="7">
        <v>234.95</v>
      </c>
      <c r="O394" s="7">
        <f t="shared" si="31"/>
        <v>168</v>
      </c>
      <c r="P394" s="7">
        <f t="shared" si="32"/>
        <v>1.5000000000000002</v>
      </c>
      <c r="Q394" s="7">
        <f t="shared" si="32"/>
        <v>9.25</v>
      </c>
      <c r="R394" s="6">
        <f t="shared" si="33"/>
        <v>366.50900000000001</v>
      </c>
      <c r="S394" s="6">
        <f t="shared" si="35"/>
        <v>3.8198246184000001E-2</v>
      </c>
      <c r="T394" t="str">
        <f t="shared" si="34"/>
        <v>Cumaru S4S E4E 2x10 Long</v>
      </c>
    </row>
    <row r="395" spans="1:20" x14ac:dyDescent="0.25">
      <c r="A395" t="s">
        <v>531</v>
      </c>
      <c r="B395" t="s">
        <v>711</v>
      </c>
      <c r="C395" t="s">
        <v>283</v>
      </c>
      <c r="D395" t="s">
        <v>438</v>
      </c>
      <c r="E395" t="s">
        <v>719</v>
      </c>
      <c r="F395" t="s">
        <v>713</v>
      </c>
      <c r="G395" t="s">
        <v>531</v>
      </c>
      <c r="H395" t="s">
        <v>373</v>
      </c>
      <c r="I395" t="s">
        <v>289</v>
      </c>
      <c r="J395" t="s">
        <v>714</v>
      </c>
      <c r="K395">
        <v>15</v>
      </c>
      <c r="L395" s="6">
        <v>4.5720000000000001</v>
      </c>
      <c r="M395" s="7">
        <v>38.1</v>
      </c>
      <c r="N395" s="7">
        <v>234.95</v>
      </c>
      <c r="O395" s="7">
        <f t="shared" si="31"/>
        <v>180</v>
      </c>
      <c r="P395" s="7">
        <f t="shared" si="32"/>
        <v>1.5000000000000002</v>
      </c>
      <c r="Q395" s="7">
        <f t="shared" si="32"/>
        <v>9.25</v>
      </c>
      <c r="R395" s="6">
        <f t="shared" si="33"/>
        <v>366.50900000000001</v>
      </c>
      <c r="S395" s="6">
        <f t="shared" si="35"/>
        <v>4.0926692340000001E-2</v>
      </c>
      <c r="T395" t="str">
        <f t="shared" si="34"/>
        <v>Cumaru S4S E4E 2x10 Long</v>
      </c>
    </row>
    <row r="396" spans="1:20" x14ac:dyDescent="0.25">
      <c r="A396" t="s">
        <v>531</v>
      </c>
      <c r="B396" t="s">
        <v>711</v>
      </c>
      <c r="C396" t="s">
        <v>283</v>
      </c>
      <c r="D396" t="s">
        <v>438</v>
      </c>
      <c r="E396" t="s">
        <v>720</v>
      </c>
      <c r="F396" t="s">
        <v>713</v>
      </c>
      <c r="G396" t="s">
        <v>531</v>
      </c>
      <c r="H396" t="s">
        <v>373</v>
      </c>
      <c r="I396" t="s">
        <v>289</v>
      </c>
      <c r="J396" t="s">
        <v>714</v>
      </c>
      <c r="K396">
        <v>16</v>
      </c>
      <c r="L396" s="6">
        <v>4.8768000000000002</v>
      </c>
      <c r="M396" s="7">
        <v>38.1</v>
      </c>
      <c r="N396" s="7">
        <v>234.95</v>
      </c>
      <c r="O396" s="7">
        <f t="shared" si="31"/>
        <v>192.00000000000003</v>
      </c>
      <c r="P396" s="7">
        <f t="shared" si="32"/>
        <v>1.5000000000000002</v>
      </c>
      <c r="Q396" s="7">
        <f t="shared" si="32"/>
        <v>9.25</v>
      </c>
      <c r="R396" s="6">
        <f t="shared" si="33"/>
        <v>366.50900000000001</v>
      </c>
      <c r="S396" s="6">
        <f t="shared" si="35"/>
        <v>4.3655138496000001E-2</v>
      </c>
      <c r="T396" t="str">
        <f t="shared" si="34"/>
        <v>Cumaru S4S E4E 2x10 Long</v>
      </c>
    </row>
    <row r="397" spans="1:20" x14ac:dyDescent="0.25">
      <c r="A397" t="s">
        <v>531</v>
      </c>
      <c r="B397" t="s">
        <v>711</v>
      </c>
      <c r="C397" t="s">
        <v>283</v>
      </c>
      <c r="D397" t="s">
        <v>438</v>
      </c>
      <c r="E397" t="s">
        <v>721</v>
      </c>
      <c r="F397" t="s">
        <v>713</v>
      </c>
      <c r="G397" t="s">
        <v>531</v>
      </c>
      <c r="H397" t="s">
        <v>373</v>
      </c>
      <c r="I397" t="s">
        <v>289</v>
      </c>
      <c r="J397" t="s">
        <v>714</v>
      </c>
      <c r="K397">
        <v>17</v>
      </c>
      <c r="L397" s="6">
        <v>5.1816000000000004</v>
      </c>
      <c r="M397" s="7">
        <v>38.1</v>
      </c>
      <c r="N397" s="7">
        <v>234.95</v>
      </c>
      <c r="O397" s="7">
        <f t="shared" si="31"/>
        <v>204.00000000000003</v>
      </c>
      <c r="P397" s="7">
        <f t="shared" si="32"/>
        <v>1.5000000000000002</v>
      </c>
      <c r="Q397" s="7">
        <f t="shared" si="32"/>
        <v>9.25</v>
      </c>
      <c r="R397" s="6">
        <f t="shared" si="33"/>
        <v>366.50900000000001</v>
      </c>
      <c r="S397" s="6">
        <f t="shared" si="35"/>
        <v>4.6383584652000001E-2</v>
      </c>
      <c r="T397" t="str">
        <f t="shared" si="34"/>
        <v>Cumaru S4S E4E 2x10 Long</v>
      </c>
    </row>
    <row r="398" spans="1:20" x14ac:dyDescent="0.25">
      <c r="A398" t="s">
        <v>531</v>
      </c>
      <c r="B398" t="s">
        <v>711</v>
      </c>
      <c r="C398" t="s">
        <v>283</v>
      </c>
      <c r="D398" t="s">
        <v>438</v>
      </c>
      <c r="E398" t="s">
        <v>722</v>
      </c>
      <c r="F398" t="s">
        <v>713</v>
      </c>
      <c r="G398" t="s">
        <v>531</v>
      </c>
      <c r="H398" t="s">
        <v>373</v>
      </c>
      <c r="I398" t="s">
        <v>289</v>
      </c>
      <c r="J398" t="s">
        <v>714</v>
      </c>
      <c r="K398">
        <v>18</v>
      </c>
      <c r="L398" s="6">
        <v>5.4863999999999997</v>
      </c>
      <c r="M398" s="7">
        <v>38.1</v>
      </c>
      <c r="N398" s="7">
        <v>234.95</v>
      </c>
      <c r="O398" s="7">
        <f t="shared" si="31"/>
        <v>216</v>
      </c>
      <c r="P398" s="7">
        <f t="shared" si="32"/>
        <v>1.5000000000000002</v>
      </c>
      <c r="Q398" s="7">
        <f t="shared" si="32"/>
        <v>9.25</v>
      </c>
      <c r="R398" s="6">
        <f t="shared" si="33"/>
        <v>366.50900000000001</v>
      </c>
      <c r="S398" s="6">
        <f t="shared" si="35"/>
        <v>4.9112030808000001E-2</v>
      </c>
      <c r="T398" t="str">
        <f t="shared" si="34"/>
        <v>Cumaru S4S E4E 2x10 Long</v>
      </c>
    </row>
    <row r="399" spans="1:20" x14ac:dyDescent="0.25">
      <c r="A399" t="s">
        <v>531</v>
      </c>
      <c r="B399" t="s">
        <v>711</v>
      </c>
      <c r="C399" t="s">
        <v>283</v>
      </c>
      <c r="D399" t="s">
        <v>438</v>
      </c>
      <c r="E399" t="s">
        <v>723</v>
      </c>
      <c r="F399" t="s">
        <v>713</v>
      </c>
      <c r="G399" t="s">
        <v>531</v>
      </c>
      <c r="H399" t="s">
        <v>373</v>
      </c>
      <c r="I399" t="s">
        <v>289</v>
      </c>
      <c r="J399" t="s">
        <v>714</v>
      </c>
      <c r="K399">
        <v>19</v>
      </c>
      <c r="L399" s="6">
        <v>5.7911999999999999</v>
      </c>
      <c r="M399" s="7">
        <v>38.1</v>
      </c>
      <c r="N399" s="7">
        <v>234.95</v>
      </c>
      <c r="O399" s="7">
        <f t="shared" si="31"/>
        <v>228</v>
      </c>
      <c r="P399" s="7">
        <f t="shared" si="32"/>
        <v>1.5000000000000002</v>
      </c>
      <c r="Q399" s="7">
        <f t="shared" si="32"/>
        <v>9.25</v>
      </c>
      <c r="R399" s="6">
        <f t="shared" si="33"/>
        <v>366.50900000000001</v>
      </c>
      <c r="S399" s="6">
        <f t="shared" si="35"/>
        <v>5.1840476964000001E-2</v>
      </c>
      <c r="T399" t="str">
        <f t="shared" si="34"/>
        <v>Cumaru S4S E4E 2x10 Long</v>
      </c>
    </row>
    <row r="400" spans="1:20" x14ac:dyDescent="0.25">
      <c r="A400" t="s">
        <v>531</v>
      </c>
      <c r="B400" t="s">
        <v>711</v>
      </c>
      <c r="C400" t="s">
        <v>283</v>
      </c>
      <c r="D400" t="s">
        <v>438</v>
      </c>
      <c r="E400" t="s">
        <v>724</v>
      </c>
      <c r="F400" t="s">
        <v>713</v>
      </c>
      <c r="G400" t="s">
        <v>531</v>
      </c>
      <c r="H400" t="s">
        <v>373</v>
      </c>
      <c r="I400" t="s">
        <v>289</v>
      </c>
      <c r="J400" t="s">
        <v>714</v>
      </c>
      <c r="K400">
        <v>20</v>
      </c>
      <c r="L400" s="6">
        <v>6.0960000000000001</v>
      </c>
      <c r="M400" s="7">
        <v>38.1</v>
      </c>
      <c r="N400" s="7">
        <v>234.95</v>
      </c>
      <c r="O400" s="7">
        <f t="shared" si="31"/>
        <v>240</v>
      </c>
      <c r="P400" s="7">
        <f t="shared" si="32"/>
        <v>1.5000000000000002</v>
      </c>
      <c r="Q400" s="7">
        <f t="shared" si="32"/>
        <v>9.25</v>
      </c>
      <c r="R400" s="6">
        <f t="shared" si="33"/>
        <v>366.50900000000001</v>
      </c>
      <c r="S400" s="6">
        <f t="shared" si="35"/>
        <v>5.4568923120000008E-2</v>
      </c>
      <c r="T400" t="str">
        <f t="shared" si="34"/>
        <v>Cumaru S4S E4E 2x10 Long</v>
      </c>
    </row>
    <row r="401" spans="1:20" x14ac:dyDescent="0.25">
      <c r="A401" t="s">
        <v>531</v>
      </c>
      <c r="B401" t="s">
        <v>711</v>
      </c>
      <c r="C401" t="s">
        <v>283</v>
      </c>
      <c r="D401" t="s">
        <v>438</v>
      </c>
      <c r="E401" t="s">
        <v>725</v>
      </c>
      <c r="F401" t="s">
        <v>713</v>
      </c>
      <c r="G401" t="s">
        <v>531</v>
      </c>
      <c r="H401" t="s">
        <v>373</v>
      </c>
      <c r="I401" t="s">
        <v>289</v>
      </c>
      <c r="J401" t="s">
        <v>714</v>
      </c>
      <c r="K401">
        <v>21</v>
      </c>
      <c r="L401" s="6">
        <v>6.4008000000000003</v>
      </c>
      <c r="M401" s="7">
        <v>38.1</v>
      </c>
      <c r="N401" s="7">
        <v>234.95</v>
      </c>
      <c r="O401" s="7">
        <f t="shared" si="31"/>
        <v>252.00000000000003</v>
      </c>
      <c r="P401" s="7">
        <f t="shared" si="32"/>
        <v>1.5000000000000002</v>
      </c>
      <c r="Q401" s="7">
        <f t="shared" si="32"/>
        <v>9.25</v>
      </c>
      <c r="R401" s="6">
        <f t="shared" si="33"/>
        <v>366.50900000000001</v>
      </c>
      <c r="S401" s="6">
        <f t="shared" si="35"/>
        <v>5.7297369276000001E-2</v>
      </c>
      <c r="T401" t="str">
        <f t="shared" si="34"/>
        <v>Cumaru S4S E4E 2x10 Long</v>
      </c>
    </row>
    <row r="402" spans="1:20" x14ac:dyDescent="0.25">
      <c r="A402" t="s">
        <v>531</v>
      </c>
      <c r="B402" t="s">
        <v>711</v>
      </c>
      <c r="C402" t="s">
        <v>283</v>
      </c>
      <c r="D402" t="s">
        <v>438</v>
      </c>
      <c r="E402" t="s">
        <v>726</v>
      </c>
      <c r="F402" t="s">
        <v>713</v>
      </c>
      <c r="G402" t="s">
        <v>531</v>
      </c>
      <c r="H402" t="s">
        <v>373</v>
      </c>
      <c r="I402" t="s">
        <v>289</v>
      </c>
      <c r="J402" t="s">
        <v>714</v>
      </c>
      <c r="K402">
        <v>22</v>
      </c>
      <c r="L402" s="6">
        <v>6.7055999999999996</v>
      </c>
      <c r="M402" s="7">
        <v>38.1</v>
      </c>
      <c r="N402" s="7">
        <v>234.95</v>
      </c>
      <c r="O402" s="7">
        <f t="shared" si="31"/>
        <v>264</v>
      </c>
      <c r="P402" s="7">
        <f t="shared" si="32"/>
        <v>1.5000000000000002</v>
      </c>
      <c r="Q402" s="7">
        <f t="shared" si="32"/>
        <v>9.25</v>
      </c>
      <c r="R402" s="6">
        <f t="shared" si="33"/>
        <v>366.50900000000001</v>
      </c>
      <c r="S402" s="6">
        <f t="shared" si="35"/>
        <v>6.0025815431999995E-2</v>
      </c>
      <c r="T402" t="str">
        <f t="shared" si="34"/>
        <v>Cumaru S4S E4E 2x10 Long</v>
      </c>
    </row>
    <row r="403" spans="1:20" x14ac:dyDescent="0.25">
      <c r="A403" t="s">
        <v>531</v>
      </c>
      <c r="B403" t="s">
        <v>711</v>
      </c>
      <c r="C403" t="s">
        <v>283</v>
      </c>
      <c r="D403" t="s">
        <v>438</v>
      </c>
      <c r="E403" t="s">
        <v>727</v>
      </c>
      <c r="F403" t="s">
        <v>713</v>
      </c>
      <c r="G403" t="s">
        <v>531</v>
      </c>
      <c r="H403" t="s">
        <v>373</v>
      </c>
      <c r="I403" t="s">
        <v>289</v>
      </c>
      <c r="J403" t="s">
        <v>714</v>
      </c>
      <c r="K403">
        <v>23</v>
      </c>
      <c r="L403" s="6">
        <v>7.0103999999999997</v>
      </c>
      <c r="M403" s="7">
        <v>38.1</v>
      </c>
      <c r="N403" s="7">
        <v>234.95</v>
      </c>
      <c r="O403" s="7">
        <f t="shared" si="31"/>
        <v>276</v>
      </c>
      <c r="P403" s="7">
        <f t="shared" si="32"/>
        <v>1.5000000000000002</v>
      </c>
      <c r="Q403" s="7">
        <f t="shared" si="32"/>
        <v>9.25</v>
      </c>
      <c r="R403" s="6">
        <f t="shared" si="33"/>
        <v>366.50900000000001</v>
      </c>
      <c r="S403" s="6">
        <f t="shared" si="35"/>
        <v>6.2754261588000002E-2</v>
      </c>
      <c r="T403" t="str">
        <f t="shared" si="34"/>
        <v>Cumaru S4S E4E 2x10 Long</v>
      </c>
    </row>
    <row r="404" spans="1:20" x14ac:dyDescent="0.25">
      <c r="A404" t="s">
        <v>531</v>
      </c>
      <c r="B404" t="s">
        <v>711</v>
      </c>
      <c r="C404" t="s">
        <v>283</v>
      </c>
      <c r="D404" t="s">
        <v>438</v>
      </c>
      <c r="E404" t="s">
        <v>728</v>
      </c>
      <c r="F404" t="s">
        <v>713</v>
      </c>
      <c r="G404" t="s">
        <v>531</v>
      </c>
      <c r="H404" t="s">
        <v>373</v>
      </c>
      <c r="I404" t="s">
        <v>289</v>
      </c>
      <c r="J404" t="s">
        <v>714</v>
      </c>
      <c r="K404">
        <v>24</v>
      </c>
      <c r="L404" s="6">
        <v>7.3152000000000008</v>
      </c>
      <c r="M404" s="7">
        <v>38.1</v>
      </c>
      <c r="N404" s="7">
        <v>234.95</v>
      </c>
      <c r="O404" s="7">
        <f t="shared" si="31"/>
        <v>288.00000000000006</v>
      </c>
      <c r="P404" s="7">
        <f t="shared" si="32"/>
        <v>1.5000000000000002</v>
      </c>
      <c r="Q404" s="7">
        <f t="shared" si="32"/>
        <v>9.25</v>
      </c>
      <c r="R404" s="6">
        <f t="shared" si="33"/>
        <v>366.50900000000001</v>
      </c>
      <c r="S404" s="6">
        <f t="shared" si="35"/>
        <v>6.5482707744000015E-2</v>
      </c>
      <c r="T404" t="str">
        <f t="shared" si="34"/>
        <v>Cumaru S4S E4E 2x10 Long</v>
      </c>
    </row>
    <row r="405" spans="1:20" x14ac:dyDescent="0.25">
      <c r="A405" t="s">
        <v>531</v>
      </c>
      <c r="B405" t="s">
        <v>711</v>
      </c>
      <c r="C405" t="s">
        <v>524</v>
      </c>
      <c r="D405" t="s">
        <v>438</v>
      </c>
      <c r="E405" t="s">
        <v>729</v>
      </c>
      <c r="F405" t="s">
        <v>713</v>
      </c>
      <c r="G405" t="s">
        <v>531</v>
      </c>
      <c r="H405" t="s">
        <v>373</v>
      </c>
      <c r="I405" t="s">
        <v>289</v>
      </c>
      <c r="J405" t="s">
        <v>714</v>
      </c>
      <c r="K405">
        <v>3</v>
      </c>
      <c r="L405" s="6">
        <v>0.91439999999999999</v>
      </c>
      <c r="M405" s="7">
        <v>38.1</v>
      </c>
      <c r="N405" s="7">
        <v>234.95</v>
      </c>
      <c r="O405" s="7">
        <f t="shared" si="31"/>
        <v>36</v>
      </c>
      <c r="P405" s="7">
        <f t="shared" si="32"/>
        <v>1.5000000000000002</v>
      </c>
      <c r="Q405" s="7">
        <f t="shared" si="32"/>
        <v>9.25</v>
      </c>
      <c r="R405" s="6">
        <f t="shared" si="33"/>
        <v>366.50900000000001</v>
      </c>
      <c r="S405" s="6">
        <f t="shared" si="35"/>
        <v>8.1853384680000002E-3</v>
      </c>
      <c r="T405" t="str">
        <f t="shared" si="34"/>
        <v>Cumaru S4S E4E 2x10 Short</v>
      </c>
    </row>
    <row r="406" spans="1:20" x14ac:dyDescent="0.25">
      <c r="A406" t="s">
        <v>531</v>
      </c>
      <c r="B406" t="s">
        <v>711</v>
      </c>
      <c r="C406" t="s">
        <v>524</v>
      </c>
      <c r="D406" t="s">
        <v>438</v>
      </c>
      <c r="E406" t="s">
        <v>730</v>
      </c>
      <c r="F406" t="s">
        <v>713</v>
      </c>
      <c r="G406" t="s">
        <v>531</v>
      </c>
      <c r="H406" t="s">
        <v>373</v>
      </c>
      <c r="I406" t="s">
        <v>289</v>
      </c>
      <c r="J406" t="s">
        <v>714</v>
      </c>
      <c r="K406">
        <v>4</v>
      </c>
      <c r="L406" s="6">
        <v>1.2192000000000001</v>
      </c>
      <c r="M406" s="7">
        <v>38.1</v>
      </c>
      <c r="N406" s="7">
        <v>234.95</v>
      </c>
      <c r="O406" s="7">
        <f t="shared" si="31"/>
        <v>48.000000000000007</v>
      </c>
      <c r="P406" s="7">
        <f t="shared" si="32"/>
        <v>1.5000000000000002</v>
      </c>
      <c r="Q406" s="7">
        <f t="shared" si="32"/>
        <v>9.25</v>
      </c>
      <c r="R406" s="6">
        <f t="shared" si="33"/>
        <v>366.50900000000001</v>
      </c>
      <c r="S406" s="6">
        <f t="shared" si="35"/>
        <v>1.0913784624E-2</v>
      </c>
      <c r="T406" t="str">
        <f t="shared" si="34"/>
        <v>Cumaru S4S E4E 2x10 Short</v>
      </c>
    </row>
    <row r="407" spans="1:20" x14ac:dyDescent="0.25">
      <c r="A407" t="s">
        <v>531</v>
      </c>
      <c r="B407" t="s">
        <v>711</v>
      </c>
      <c r="C407" t="s">
        <v>524</v>
      </c>
      <c r="D407" t="s">
        <v>438</v>
      </c>
      <c r="E407" t="s">
        <v>731</v>
      </c>
      <c r="F407" t="s">
        <v>713</v>
      </c>
      <c r="G407" t="s">
        <v>531</v>
      </c>
      <c r="H407" t="s">
        <v>373</v>
      </c>
      <c r="I407" t="s">
        <v>289</v>
      </c>
      <c r="J407" t="s">
        <v>714</v>
      </c>
      <c r="K407">
        <v>5</v>
      </c>
      <c r="L407" s="6">
        <v>1.524</v>
      </c>
      <c r="M407" s="7">
        <v>38.1</v>
      </c>
      <c r="N407" s="7">
        <v>234.95</v>
      </c>
      <c r="O407" s="7">
        <f t="shared" si="31"/>
        <v>60</v>
      </c>
      <c r="P407" s="7">
        <f t="shared" si="32"/>
        <v>1.5000000000000002</v>
      </c>
      <c r="Q407" s="7">
        <f t="shared" si="32"/>
        <v>9.25</v>
      </c>
      <c r="R407" s="6">
        <f t="shared" si="33"/>
        <v>366.50900000000001</v>
      </c>
      <c r="S407" s="6">
        <f t="shared" si="35"/>
        <v>1.3642230780000002E-2</v>
      </c>
      <c r="T407" t="str">
        <f t="shared" si="34"/>
        <v>Cumaru S4S E4E 2x10 Short</v>
      </c>
    </row>
    <row r="408" spans="1:20" x14ac:dyDescent="0.25">
      <c r="A408" t="s">
        <v>531</v>
      </c>
      <c r="B408" t="s">
        <v>711</v>
      </c>
      <c r="C408" t="s">
        <v>524</v>
      </c>
      <c r="D408" t="s">
        <v>438</v>
      </c>
      <c r="E408" t="s">
        <v>732</v>
      </c>
      <c r="F408" t="s">
        <v>713</v>
      </c>
      <c r="G408" t="s">
        <v>531</v>
      </c>
      <c r="H408" t="s">
        <v>373</v>
      </c>
      <c r="I408" t="s">
        <v>289</v>
      </c>
      <c r="J408" t="s">
        <v>714</v>
      </c>
      <c r="K408">
        <v>6</v>
      </c>
      <c r="L408" s="6">
        <v>1.8288</v>
      </c>
      <c r="M408" s="7">
        <v>38.1</v>
      </c>
      <c r="N408" s="7">
        <v>234.95</v>
      </c>
      <c r="O408" s="7">
        <f t="shared" si="31"/>
        <v>72</v>
      </c>
      <c r="P408" s="7">
        <f t="shared" si="32"/>
        <v>1.5000000000000002</v>
      </c>
      <c r="Q408" s="7">
        <f t="shared" si="32"/>
        <v>9.25</v>
      </c>
      <c r="R408" s="6">
        <f t="shared" si="33"/>
        <v>366.50900000000001</v>
      </c>
      <c r="S408" s="6">
        <f t="shared" si="35"/>
        <v>1.6370676936E-2</v>
      </c>
      <c r="T408" t="str">
        <f t="shared" si="34"/>
        <v>Cumaru S4S E4E 2x10 Short</v>
      </c>
    </row>
    <row r="409" spans="1:20" x14ac:dyDescent="0.25">
      <c r="A409" t="s">
        <v>531</v>
      </c>
      <c r="B409" t="s">
        <v>711</v>
      </c>
      <c r="C409" t="s">
        <v>524</v>
      </c>
      <c r="D409" t="s">
        <v>438</v>
      </c>
      <c r="E409" t="s">
        <v>733</v>
      </c>
      <c r="F409" t="s">
        <v>713</v>
      </c>
      <c r="G409" t="s">
        <v>531</v>
      </c>
      <c r="H409" t="s">
        <v>373</v>
      </c>
      <c r="I409" t="s">
        <v>289</v>
      </c>
      <c r="J409" t="s">
        <v>714</v>
      </c>
      <c r="K409">
        <v>7</v>
      </c>
      <c r="L409" s="6">
        <v>2.1335999999999999</v>
      </c>
      <c r="M409" s="7">
        <v>38.1</v>
      </c>
      <c r="N409" s="7">
        <v>234.95</v>
      </c>
      <c r="O409" s="7">
        <f t="shared" si="31"/>
        <v>84</v>
      </c>
      <c r="P409" s="7">
        <f t="shared" si="32"/>
        <v>1.5000000000000002</v>
      </c>
      <c r="Q409" s="7">
        <f t="shared" si="32"/>
        <v>9.25</v>
      </c>
      <c r="R409" s="6">
        <f t="shared" si="33"/>
        <v>366.50900000000001</v>
      </c>
      <c r="S409" s="6">
        <f t="shared" si="35"/>
        <v>1.9099123092E-2</v>
      </c>
      <c r="T409" t="str">
        <f t="shared" si="34"/>
        <v>Cumaru S4S E4E 2x10 Short</v>
      </c>
    </row>
    <row r="410" spans="1:20" x14ac:dyDescent="0.25">
      <c r="A410" t="s">
        <v>531</v>
      </c>
      <c r="B410" t="s">
        <v>711</v>
      </c>
      <c r="C410" t="s">
        <v>283</v>
      </c>
      <c r="D410" t="s">
        <v>438</v>
      </c>
      <c r="E410" t="s">
        <v>734</v>
      </c>
      <c r="F410" t="s">
        <v>713</v>
      </c>
      <c r="G410" t="s">
        <v>531</v>
      </c>
      <c r="H410" t="s">
        <v>373</v>
      </c>
      <c r="I410" t="s">
        <v>289</v>
      </c>
      <c r="J410" t="s">
        <v>714</v>
      </c>
      <c r="K410">
        <v>8</v>
      </c>
      <c r="L410" s="6">
        <v>2.4384000000000001</v>
      </c>
      <c r="M410" s="7">
        <v>38.1</v>
      </c>
      <c r="N410" s="7">
        <v>234.95</v>
      </c>
      <c r="O410" s="7">
        <f t="shared" si="31"/>
        <v>96.000000000000014</v>
      </c>
      <c r="P410" s="7">
        <f t="shared" si="32"/>
        <v>1.5000000000000002</v>
      </c>
      <c r="Q410" s="7">
        <f t="shared" si="32"/>
        <v>9.25</v>
      </c>
      <c r="R410" s="6">
        <f t="shared" si="33"/>
        <v>366.50900000000001</v>
      </c>
      <c r="S410" s="6">
        <f t="shared" si="35"/>
        <v>2.1827569248000001E-2</v>
      </c>
      <c r="T410" t="str">
        <f t="shared" si="34"/>
        <v>Cumaru S4S E4E 2x10 Long</v>
      </c>
    </row>
    <row r="411" spans="1:20" x14ac:dyDescent="0.25">
      <c r="A411" t="s">
        <v>531</v>
      </c>
      <c r="B411" t="s">
        <v>711</v>
      </c>
      <c r="C411" t="s">
        <v>283</v>
      </c>
      <c r="D411" t="s">
        <v>438</v>
      </c>
      <c r="E411" t="s">
        <v>735</v>
      </c>
      <c r="F411" t="s">
        <v>713</v>
      </c>
      <c r="G411" t="s">
        <v>531</v>
      </c>
      <c r="H411" t="s">
        <v>373</v>
      </c>
      <c r="I411" t="s">
        <v>289</v>
      </c>
      <c r="J411" t="s">
        <v>714</v>
      </c>
      <c r="K411">
        <v>9</v>
      </c>
      <c r="L411" s="6">
        <v>2.7431999999999999</v>
      </c>
      <c r="M411" s="7">
        <v>38.1</v>
      </c>
      <c r="N411" s="7">
        <v>234.95</v>
      </c>
      <c r="O411" s="7">
        <f t="shared" si="31"/>
        <v>108</v>
      </c>
      <c r="P411" s="7">
        <f t="shared" si="32"/>
        <v>1.5000000000000002</v>
      </c>
      <c r="Q411" s="7">
        <f t="shared" si="32"/>
        <v>9.25</v>
      </c>
      <c r="R411" s="6">
        <f t="shared" si="33"/>
        <v>366.50900000000001</v>
      </c>
      <c r="S411" s="6">
        <f t="shared" si="35"/>
        <v>2.4556015404000001E-2</v>
      </c>
      <c r="T411" t="str">
        <f t="shared" si="34"/>
        <v>Cumaru S4S E4E 2x10 Long</v>
      </c>
    </row>
    <row r="412" spans="1:20" x14ac:dyDescent="0.25">
      <c r="A412" t="s">
        <v>531</v>
      </c>
      <c r="B412" t="s">
        <v>736</v>
      </c>
      <c r="C412" t="s">
        <v>283</v>
      </c>
      <c r="D412" t="s">
        <v>438</v>
      </c>
      <c r="E412" t="s">
        <v>737</v>
      </c>
      <c r="F412" t="s">
        <v>738</v>
      </c>
      <c r="G412" t="s">
        <v>531</v>
      </c>
      <c r="H412" t="s">
        <v>373</v>
      </c>
      <c r="I412" t="s">
        <v>289</v>
      </c>
      <c r="J412" t="s">
        <v>739</v>
      </c>
      <c r="K412">
        <v>10</v>
      </c>
      <c r="L412" s="6">
        <v>3.048</v>
      </c>
      <c r="M412" s="7">
        <v>38.1</v>
      </c>
      <c r="N412" s="7">
        <v>285.75</v>
      </c>
      <c r="O412" s="7">
        <f t="shared" si="31"/>
        <v>120</v>
      </c>
      <c r="P412" s="7">
        <f t="shared" si="32"/>
        <v>1.5000000000000002</v>
      </c>
      <c r="Q412" s="7">
        <f t="shared" si="32"/>
        <v>11.25</v>
      </c>
      <c r="R412" s="6">
        <f t="shared" si="33"/>
        <v>301.35199999999998</v>
      </c>
      <c r="S412" s="6">
        <f t="shared" si="35"/>
        <v>3.3183804600000005E-2</v>
      </c>
      <c r="T412" t="str">
        <f t="shared" si="34"/>
        <v>Cumaru S4S E4E 2x12 Long</v>
      </c>
    </row>
    <row r="413" spans="1:20" x14ac:dyDescent="0.25">
      <c r="A413" t="s">
        <v>531</v>
      </c>
      <c r="B413" t="s">
        <v>736</v>
      </c>
      <c r="C413" t="s">
        <v>283</v>
      </c>
      <c r="D413" t="s">
        <v>438</v>
      </c>
      <c r="E413" t="s">
        <v>740</v>
      </c>
      <c r="F413" t="s">
        <v>738</v>
      </c>
      <c r="G413" t="s">
        <v>531</v>
      </c>
      <c r="H413" t="s">
        <v>373</v>
      </c>
      <c r="I413" t="s">
        <v>289</v>
      </c>
      <c r="J413" t="s">
        <v>739</v>
      </c>
      <c r="K413">
        <v>11</v>
      </c>
      <c r="L413" s="6">
        <v>3.3527999999999998</v>
      </c>
      <c r="M413" s="7">
        <v>38.1</v>
      </c>
      <c r="N413" s="7">
        <v>285.75</v>
      </c>
      <c r="O413" s="7">
        <f t="shared" si="31"/>
        <v>132</v>
      </c>
      <c r="P413" s="7">
        <f t="shared" si="32"/>
        <v>1.5000000000000002</v>
      </c>
      <c r="Q413" s="7">
        <f t="shared" si="32"/>
        <v>11.25</v>
      </c>
      <c r="R413" s="6">
        <f t="shared" si="33"/>
        <v>301.35199999999998</v>
      </c>
      <c r="S413" s="6">
        <f t="shared" si="35"/>
        <v>3.6502185060000004E-2</v>
      </c>
      <c r="T413" t="str">
        <f t="shared" si="34"/>
        <v>Cumaru S4S E4E 2x12 Long</v>
      </c>
    </row>
    <row r="414" spans="1:20" x14ac:dyDescent="0.25">
      <c r="A414" t="s">
        <v>531</v>
      </c>
      <c r="B414" t="s">
        <v>736</v>
      </c>
      <c r="C414" t="s">
        <v>283</v>
      </c>
      <c r="D414" t="s">
        <v>438</v>
      </c>
      <c r="E414" t="s">
        <v>741</v>
      </c>
      <c r="F414" t="s">
        <v>738</v>
      </c>
      <c r="G414" t="s">
        <v>531</v>
      </c>
      <c r="H414" t="s">
        <v>373</v>
      </c>
      <c r="I414" t="s">
        <v>289</v>
      </c>
      <c r="J414" t="s">
        <v>739</v>
      </c>
      <c r="K414">
        <v>12</v>
      </c>
      <c r="L414" s="6">
        <v>3.6576</v>
      </c>
      <c r="M414" s="7">
        <v>38.1</v>
      </c>
      <c r="N414" s="7">
        <v>285.75</v>
      </c>
      <c r="O414" s="7">
        <f t="shared" si="31"/>
        <v>144</v>
      </c>
      <c r="P414" s="7">
        <f t="shared" si="32"/>
        <v>1.5000000000000002</v>
      </c>
      <c r="Q414" s="7">
        <f t="shared" si="32"/>
        <v>11.25</v>
      </c>
      <c r="R414" s="6">
        <f t="shared" si="33"/>
        <v>301.35199999999998</v>
      </c>
      <c r="S414" s="6">
        <f t="shared" si="35"/>
        <v>3.9820565519999997E-2</v>
      </c>
      <c r="T414" t="str">
        <f t="shared" si="34"/>
        <v>Cumaru S4S E4E 2x12 Long</v>
      </c>
    </row>
    <row r="415" spans="1:20" x14ac:dyDescent="0.25">
      <c r="A415" t="s">
        <v>531</v>
      </c>
      <c r="B415" t="s">
        <v>736</v>
      </c>
      <c r="C415" t="s">
        <v>283</v>
      </c>
      <c r="D415" t="s">
        <v>438</v>
      </c>
      <c r="E415" t="s">
        <v>742</v>
      </c>
      <c r="F415" t="s">
        <v>738</v>
      </c>
      <c r="G415" t="s">
        <v>531</v>
      </c>
      <c r="H415" t="s">
        <v>373</v>
      </c>
      <c r="I415" t="s">
        <v>289</v>
      </c>
      <c r="J415" t="s">
        <v>739</v>
      </c>
      <c r="K415">
        <v>13</v>
      </c>
      <c r="L415" s="6">
        <v>3.9624000000000001</v>
      </c>
      <c r="M415" s="7">
        <v>38.1</v>
      </c>
      <c r="N415" s="7">
        <v>285.75</v>
      </c>
      <c r="O415" s="7">
        <f t="shared" si="31"/>
        <v>156</v>
      </c>
      <c r="P415" s="7">
        <f t="shared" si="32"/>
        <v>1.5000000000000002</v>
      </c>
      <c r="Q415" s="7">
        <f t="shared" si="32"/>
        <v>11.25</v>
      </c>
      <c r="R415" s="6">
        <f t="shared" si="33"/>
        <v>301.35199999999998</v>
      </c>
      <c r="S415" s="6">
        <f t="shared" si="35"/>
        <v>4.3138945980000003E-2</v>
      </c>
      <c r="T415" t="str">
        <f t="shared" si="34"/>
        <v>Cumaru S4S E4E 2x12 Long</v>
      </c>
    </row>
    <row r="416" spans="1:20" x14ac:dyDescent="0.25">
      <c r="A416" t="s">
        <v>531</v>
      </c>
      <c r="B416" t="s">
        <v>736</v>
      </c>
      <c r="C416" t="s">
        <v>283</v>
      </c>
      <c r="D416" t="s">
        <v>438</v>
      </c>
      <c r="E416" t="s">
        <v>743</v>
      </c>
      <c r="F416" t="s">
        <v>738</v>
      </c>
      <c r="G416" t="s">
        <v>531</v>
      </c>
      <c r="H416" t="s">
        <v>373</v>
      </c>
      <c r="I416" t="s">
        <v>289</v>
      </c>
      <c r="J416" t="s">
        <v>739</v>
      </c>
      <c r="K416">
        <v>14</v>
      </c>
      <c r="L416" s="6">
        <v>4.2671999999999999</v>
      </c>
      <c r="M416" s="7">
        <v>38.1</v>
      </c>
      <c r="N416" s="7">
        <v>285.75</v>
      </c>
      <c r="O416" s="7">
        <f t="shared" si="31"/>
        <v>168</v>
      </c>
      <c r="P416" s="7">
        <f t="shared" si="32"/>
        <v>1.5000000000000002</v>
      </c>
      <c r="Q416" s="7">
        <f t="shared" si="32"/>
        <v>11.25</v>
      </c>
      <c r="R416" s="6">
        <f t="shared" si="33"/>
        <v>301.35199999999998</v>
      </c>
      <c r="S416" s="6">
        <f t="shared" si="35"/>
        <v>4.6457326440000002E-2</v>
      </c>
      <c r="T416" t="str">
        <f t="shared" si="34"/>
        <v>Cumaru S4S E4E 2x12 Long</v>
      </c>
    </row>
    <row r="417" spans="1:20" x14ac:dyDescent="0.25">
      <c r="A417" t="s">
        <v>531</v>
      </c>
      <c r="B417" t="s">
        <v>736</v>
      </c>
      <c r="C417" t="s">
        <v>283</v>
      </c>
      <c r="D417" t="s">
        <v>438</v>
      </c>
      <c r="E417" t="s">
        <v>744</v>
      </c>
      <c r="F417" t="s">
        <v>738</v>
      </c>
      <c r="G417" t="s">
        <v>531</v>
      </c>
      <c r="H417" t="s">
        <v>373</v>
      </c>
      <c r="I417" t="s">
        <v>289</v>
      </c>
      <c r="J417" t="s">
        <v>739</v>
      </c>
      <c r="K417">
        <v>15</v>
      </c>
      <c r="L417" s="6">
        <v>4.5720000000000001</v>
      </c>
      <c r="M417" s="7">
        <v>38.1</v>
      </c>
      <c r="N417" s="7">
        <v>285.75</v>
      </c>
      <c r="O417" s="7">
        <f t="shared" si="31"/>
        <v>180</v>
      </c>
      <c r="P417" s="7">
        <f t="shared" si="32"/>
        <v>1.5000000000000002</v>
      </c>
      <c r="Q417" s="7">
        <f t="shared" si="32"/>
        <v>11.25</v>
      </c>
      <c r="R417" s="6">
        <f t="shared" si="33"/>
        <v>301.35199999999998</v>
      </c>
      <c r="S417" s="6">
        <f t="shared" si="35"/>
        <v>4.9775706900000001E-2</v>
      </c>
      <c r="T417" t="str">
        <f t="shared" si="34"/>
        <v>Cumaru S4S E4E 2x12 Long</v>
      </c>
    </row>
    <row r="418" spans="1:20" x14ac:dyDescent="0.25">
      <c r="A418" t="s">
        <v>531</v>
      </c>
      <c r="B418" t="s">
        <v>736</v>
      </c>
      <c r="C418" t="s">
        <v>283</v>
      </c>
      <c r="D418" t="s">
        <v>438</v>
      </c>
      <c r="E418" t="s">
        <v>745</v>
      </c>
      <c r="F418" t="s">
        <v>738</v>
      </c>
      <c r="G418" t="s">
        <v>531</v>
      </c>
      <c r="H418" t="s">
        <v>373</v>
      </c>
      <c r="I418" t="s">
        <v>289</v>
      </c>
      <c r="J418" t="s">
        <v>739</v>
      </c>
      <c r="K418">
        <v>16</v>
      </c>
      <c r="L418" s="6">
        <v>4.8768000000000002</v>
      </c>
      <c r="M418" s="7">
        <v>38.1</v>
      </c>
      <c r="N418" s="7">
        <v>285.75</v>
      </c>
      <c r="O418" s="7">
        <f t="shared" si="31"/>
        <v>192.00000000000003</v>
      </c>
      <c r="P418" s="7">
        <f t="shared" si="32"/>
        <v>1.5000000000000002</v>
      </c>
      <c r="Q418" s="7">
        <f t="shared" si="32"/>
        <v>11.25</v>
      </c>
      <c r="R418" s="6">
        <f t="shared" si="33"/>
        <v>301.35199999999998</v>
      </c>
      <c r="S418" s="6">
        <f t="shared" si="35"/>
        <v>5.309408736E-2</v>
      </c>
      <c r="T418" t="str">
        <f t="shared" si="34"/>
        <v>Cumaru S4S E4E 2x12 Long</v>
      </c>
    </row>
    <row r="419" spans="1:20" x14ac:dyDescent="0.25">
      <c r="A419" t="s">
        <v>531</v>
      </c>
      <c r="B419" t="s">
        <v>736</v>
      </c>
      <c r="C419" t="s">
        <v>283</v>
      </c>
      <c r="D419" t="s">
        <v>438</v>
      </c>
      <c r="E419" t="s">
        <v>746</v>
      </c>
      <c r="F419" t="s">
        <v>738</v>
      </c>
      <c r="G419" t="s">
        <v>531</v>
      </c>
      <c r="H419" t="s">
        <v>373</v>
      </c>
      <c r="I419" t="s">
        <v>289</v>
      </c>
      <c r="J419" t="s">
        <v>739</v>
      </c>
      <c r="K419">
        <v>17</v>
      </c>
      <c r="L419" s="6">
        <v>5.1816000000000004</v>
      </c>
      <c r="M419" s="7">
        <v>38.1</v>
      </c>
      <c r="N419" s="7">
        <v>285.75</v>
      </c>
      <c r="O419" s="7">
        <f t="shared" si="31"/>
        <v>204.00000000000003</v>
      </c>
      <c r="P419" s="7">
        <f t="shared" si="32"/>
        <v>1.5000000000000002</v>
      </c>
      <c r="Q419" s="7">
        <f t="shared" si="32"/>
        <v>11.25</v>
      </c>
      <c r="R419" s="6">
        <f t="shared" si="33"/>
        <v>301.35199999999998</v>
      </c>
      <c r="S419" s="6">
        <f t="shared" si="35"/>
        <v>5.6412467820000013E-2</v>
      </c>
      <c r="T419" t="str">
        <f t="shared" si="34"/>
        <v>Cumaru S4S E4E 2x12 Long</v>
      </c>
    </row>
    <row r="420" spans="1:20" x14ac:dyDescent="0.25">
      <c r="A420" t="s">
        <v>531</v>
      </c>
      <c r="B420" t="s">
        <v>736</v>
      </c>
      <c r="C420" t="s">
        <v>283</v>
      </c>
      <c r="D420" t="s">
        <v>438</v>
      </c>
      <c r="E420" t="s">
        <v>747</v>
      </c>
      <c r="F420" t="s">
        <v>738</v>
      </c>
      <c r="G420" t="s">
        <v>531</v>
      </c>
      <c r="H420" t="s">
        <v>373</v>
      </c>
      <c r="I420" t="s">
        <v>289</v>
      </c>
      <c r="J420" t="s">
        <v>739</v>
      </c>
      <c r="K420">
        <v>18</v>
      </c>
      <c r="L420" s="6">
        <v>5.4863999999999997</v>
      </c>
      <c r="M420" s="7">
        <v>38.1</v>
      </c>
      <c r="N420" s="7">
        <v>285.75</v>
      </c>
      <c r="O420" s="7">
        <f t="shared" si="31"/>
        <v>216</v>
      </c>
      <c r="P420" s="7">
        <f t="shared" si="32"/>
        <v>1.5000000000000002</v>
      </c>
      <c r="Q420" s="7">
        <f t="shared" si="32"/>
        <v>11.25</v>
      </c>
      <c r="R420" s="6">
        <f t="shared" si="33"/>
        <v>301.35199999999998</v>
      </c>
      <c r="S420" s="6">
        <f t="shared" si="35"/>
        <v>5.9730848279999998E-2</v>
      </c>
      <c r="T420" t="str">
        <f t="shared" si="34"/>
        <v>Cumaru S4S E4E 2x12 Long</v>
      </c>
    </row>
    <row r="421" spans="1:20" x14ac:dyDescent="0.25">
      <c r="A421" t="s">
        <v>531</v>
      </c>
      <c r="B421" t="s">
        <v>736</v>
      </c>
      <c r="C421" t="s">
        <v>283</v>
      </c>
      <c r="D421" t="s">
        <v>438</v>
      </c>
      <c r="E421" t="s">
        <v>748</v>
      </c>
      <c r="F421" t="s">
        <v>738</v>
      </c>
      <c r="G421" t="s">
        <v>531</v>
      </c>
      <c r="H421" t="s">
        <v>373</v>
      </c>
      <c r="I421" t="s">
        <v>289</v>
      </c>
      <c r="J421" t="s">
        <v>739</v>
      </c>
      <c r="K421">
        <v>19</v>
      </c>
      <c r="L421" s="6">
        <v>5.7911999999999999</v>
      </c>
      <c r="M421" s="7">
        <v>38.1</v>
      </c>
      <c r="N421" s="7">
        <v>285.75</v>
      </c>
      <c r="O421" s="7">
        <f t="shared" si="31"/>
        <v>228</v>
      </c>
      <c r="P421" s="7">
        <f t="shared" si="32"/>
        <v>1.5000000000000002</v>
      </c>
      <c r="Q421" s="7">
        <f t="shared" si="32"/>
        <v>11.25</v>
      </c>
      <c r="R421" s="6">
        <f t="shared" si="33"/>
        <v>301.35199999999998</v>
      </c>
      <c r="S421" s="6">
        <f t="shared" si="35"/>
        <v>6.3049228740000005E-2</v>
      </c>
      <c r="T421" t="str">
        <f t="shared" si="34"/>
        <v>Cumaru S4S E4E 2x12 Long</v>
      </c>
    </row>
    <row r="422" spans="1:20" x14ac:dyDescent="0.25">
      <c r="A422" t="s">
        <v>531</v>
      </c>
      <c r="B422" t="s">
        <v>736</v>
      </c>
      <c r="C422" t="s">
        <v>283</v>
      </c>
      <c r="D422" t="s">
        <v>438</v>
      </c>
      <c r="E422" t="s">
        <v>749</v>
      </c>
      <c r="F422" t="s">
        <v>738</v>
      </c>
      <c r="G422" t="s">
        <v>531</v>
      </c>
      <c r="H422" t="s">
        <v>373</v>
      </c>
      <c r="I422" t="s">
        <v>289</v>
      </c>
      <c r="J422" t="s">
        <v>739</v>
      </c>
      <c r="K422">
        <v>20</v>
      </c>
      <c r="L422" s="6">
        <v>6.0960000000000001</v>
      </c>
      <c r="M422" s="7">
        <v>38.1</v>
      </c>
      <c r="N422" s="7">
        <v>285.75</v>
      </c>
      <c r="O422" s="7">
        <f t="shared" si="31"/>
        <v>240</v>
      </c>
      <c r="P422" s="7">
        <f t="shared" si="32"/>
        <v>1.5000000000000002</v>
      </c>
      <c r="Q422" s="7">
        <f t="shared" si="32"/>
        <v>11.25</v>
      </c>
      <c r="R422" s="6">
        <f t="shared" si="33"/>
        <v>301.35199999999998</v>
      </c>
      <c r="S422" s="6">
        <f t="shared" si="35"/>
        <v>6.6367609200000011E-2</v>
      </c>
      <c r="T422" t="str">
        <f t="shared" si="34"/>
        <v>Cumaru S4S E4E 2x12 Long</v>
      </c>
    </row>
    <row r="423" spans="1:20" x14ac:dyDescent="0.25">
      <c r="A423" t="s">
        <v>531</v>
      </c>
      <c r="B423" t="s">
        <v>736</v>
      </c>
      <c r="C423" t="s">
        <v>283</v>
      </c>
      <c r="D423" t="s">
        <v>438</v>
      </c>
      <c r="E423" t="s">
        <v>750</v>
      </c>
      <c r="F423" t="s">
        <v>738</v>
      </c>
      <c r="G423" t="s">
        <v>531</v>
      </c>
      <c r="H423" t="s">
        <v>373</v>
      </c>
      <c r="I423" t="s">
        <v>289</v>
      </c>
      <c r="J423" t="s">
        <v>739</v>
      </c>
      <c r="K423">
        <v>21</v>
      </c>
      <c r="L423" s="6">
        <v>6.4008000000000003</v>
      </c>
      <c r="M423" s="7">
        <v>38.1</v>
      </c>
      <c r="N423" s="7">
        <v>285.75</v>
      </c>
      <c r="O423" s="7">
        <f t="shared" si="31"/>
        <v>252.00000000000003</v>
      </c>
      <c r="P423" s="7">
        <f t="shared" si="32"/>
        <v>1.5000000000000002</v>
      </c>
      <c r="Q423" s="7">
        <f t="shared" si="32"/>
        <v>11.25</v>
      </c>
      <c r="R423" s="6">
        <f t="shared" si="33"/>
        <v>301.35199999999998</v>
      </c>
      <c r="S423" s="6">
        <f t="shared" si="35"/>
        <v>6.9685989660000003E-2</v>
      </c>
      <c r="T423" t="str">
        <f t="shared" si="34"/>
        <v>Cumaru S4S E4E 2x12 Long</v>
      </c>
    </row>
    <row r="424" spans="1:20" x14ac:dyDescent="0.25">
      <c r="A424" t="s">
        <v>531</v>
      </c>
      <c r="B424" t="s">
        <v>736</v>
      </c>
      <c r="C424" t="s">
        <v>283</v>
      </c>
      <c r="D424" t="s">
        <v>438</v>
      </c>
      <c r="E424" t="s">
        <v>751</v>
      </c>
      <c r="F424" t="s">
        <v>738</v>
      </c>
      <c r="G424" t="s">
        <v>531</v>
      </c>
      <c r="H424" t="s">
        <v>373</v>
      </c>
      <c r="I424" t="s">
        <v>289</v>
      </c>
      <c r="J424" t="s">
        <v>739</v>
      </c>
      <c r="K424">
        <v>22</v>
      </c>
      <c r="L424" s="6">
        <v>6.7055999999999996</v>
      </c>
      <c r="M424" s="7">
        <v>38.1</v>
      </c>
      <c r="N424" s="7">
        <v>285.75</v>
      </c>
      <c r="O424" s="7">
        <f t="shared" si="31"/>
        <v>264</v>
      </c>
      <c r="P424" s="7">
        <f t="shared" si="32"/>
        <v>1.5000000000000002</v>
      </c>
      <c r="Q424" s="7">
        <f t="shared" si="32"/>
        <v>11.25</v>
      </c>
      <c r="R424" s="6">
        <f t="shared" si="33"/>
        <v>301.35199999999998</v>
      </c>
      <c r="S424" s="6">
        <f t="shared" si="35"/>
        <v>7.3004370120000009E-2</v>
      </c>
      <c r="T424" t="str">
        <f t="shared" si="34"/>
        <v>Cumaru S4S E4E 2x12 Long</v>
      </c>
    </row>
    <row r="425" spans="1:20" x14ac:dyDescent="0.25">
      <c r="A425" t="s">
        <v>531</v>
      </c>
      <c r="B425" t="s">
        <v>736</v>
      </c>
      <c r="C425" t="s">
        <v>283</v>
      </c>
      <c r="D425" t="s">
        <v>438</v>
      </c>
      <c r="E425" t="s">
        <v>752</v>
      </c>
      <c r="F425" t="s">
        <v>738</v>
      </c>
      <c r="G425" t="s">
        <v>531</v>
      </c>
      <c r="H425" t="s">
        <v>373</v>
      </c>
      <c r="I425" t="s">
        <v>289</v>
      </c>
      <c r="J425" t="s">
        <v>739</v>
      </c>
      <c r="K425">
        <v>23</v>
      </c>
      <c r="L425" s="6">
        <v>7.0103999999999997</v>
      </c>
      <c r="M425" s="7">
        <v>38.1</v>
      </c>
      <c r="N425" s="7">
        <v>285.75</v>
      </c>
      <c r="O425" s="7">
        <f t="shared" si="31"/>
        <v>276</v>
      </c>
      <c r="P425" s="7">
        <f t="shared" si="32"/>
        <v>1.5000000000000002</v>
      </c>
      <c r="Q425" s="7">
        <f t="shared" si="32"/>
        <v>11.25</v>
      </c>
      <c r="R425" s="6">
        <f t="shared" si="33"/>
        <v>301.35199999999998</v>
      </c>
      <c r="S425" s="6">
        <f t="shared" si="35"/>
        <v>7.6322750580000001E-2</v>
      </c>
      <c r="T425" t="str">
        <f t="shared" si="34"/>
        <v>Cumaru S4S E4E 2x12 Long</v>
      </c>
    </row>
    <row r="426" spans="1:20" x14ac:dyDescent="0.25">
      <c r="A426" t="s">
        <v>531</v>
      </c>
      <c r="B426" t="s">
        <v>736</v>
      </c>
      <c r="C426" t="s">
        <v>283</v>
      </c>
      <c r="D426" t="s">
        <v>438</v>
      </c>
      <c r="E426" t="s">
        <v>753</v>
      </c>
      <c r="F426" t="s">
        <v>738</v>
      </c>
      <c r="G426" t="s">
        <v>531</v>
      </c>
      <c r="H426" t="s">
        <v>373</v>
      </c>
      <c r="I426" t="s">
        <v>289</v>
      </c>
      <c r="J426" t="s">
        <v>739</v>
      </c>
      <c r="K426">
        <v>24</v>
      </c>
      <c r="L426" s="6">
        <v>7.3152000000000008</v>
      </c>
      <c r="M426" s="7">
        <v>38.1</v>
      </c>
      <c r="N426" s="7">
        <v>285.75</v>
      </c>
      <c r="O426" s="7">
        <f t="shared" si="31"/>
        <v>288.00000000000006</v>
      </c>
      <c r="P426" s="7">
        <f t="shared" si="32"/>
        <v>1.5000000000000002</v>
      </c>
      <c r="Q426" s="7">
        <f t="shared" si="32"/>
        <v>11.25</v>
      </c>
      <c r="R426" s="6">
        <f t="shared" si="33"/>
        <v>301.35199999999998</v>
      </c>
      <c r="S426" s="6">
        <f t="shared" si="35"/>
        <v>7.9641131040000007E-2</v>
      </c>
      <c r="T426" t="str">
        <f t="shared" si="34"/>
        <v>Cumaru S4S E4E 2x12 Long</v>
      </c>
    </row>
    <row r="427" spans="1:20" x14ac:dyDescent="0.25">
      <c r="A427" t="s">
        <v>531</v>
      </c>
      <c r="B427" t="s">
        <v>736</v>
      </c>
      <c r="C427" t="s">
        <v>524</v>
      </c>
      <c r="D427" t="s">
        <v>438</v>
      </c>
      <c r="E427" t="s">
        <v>754</v>
      </c>
      <c r="F427" t="s">
        <v>738</v>
      </c>
      <c r="G427" t="s">
        <v>531</v>
      </c>
      <c r="H427" t="s">
        <v>373</v>
      </c>
      <c r="I427" t="s">
        <v>289</v>
      </c>
      <c r="J427" t="s">
        <v>739</v>
      </c>
      <c r="K427">
        <v>3</v>
      </c>
      <c r="L427" s="6">
        <v>0.91439999999999999</v>
      </c>
      <c r="M427" s="7">
        <v>38.1</v>
      </c>
      <c r="N427" s="7">
        <v>285.75</v>
      </c>
      <c r="O427" s="7">
        <f t="shared" si="31"/>
        <v>36</v>
      </c>
      <c r="P427" s="7">
        <f t="shared" si="32"/>
        <v>1.5000000000000002</v>
      </c>
      <c r="Q427" s="7">
        <f t="shared" si="32"/>
        <v>11.25</v>
      </c>
      <c r="R427" s="6">
        <f t="shared" si="33"/>
        <v>301.35199999999998</v>
      </c>
      <c r="S427" s="6">
        <f t="shared" si="35"/>
        <v>9.9551413799999992E-3</v>
      </c>
      <c r="T427" t="str">
        <f t="shared" si="34"/>
        <v>Cumaru S4S E4E 2x12 Short</v>
      </c>
    </row>
    <row r="428" spans="1:20" x14ac:dyDescent="0.25">
      <c r="A428" t="s">
        <v>531</v>
      </c>
      <c r="B428" t="s">
        <v>736</v>
      </c>
      <c r="C428" t="s">
        <v>524</v>
      </c>
      <c r="D428" t="s">
        <v>438</v>
      </c>
      <c r="E428" t="s">
        <v>755</v>
      </c>
      <c r="F428" t="s">
        <v>738</v>
      </c>
      <c r="G428" t="s">
        <v>531</v>
      </c>
      <c r="H428" t="s">
        <v>373</v>
      </c>
      <c r="I428" t="s">
        <v>289</v>
      </c>
      <c r="J428" t="s">
        <v>739</v>
      </c>
      <c r="K428">
        <v>4</v>
      </c>
      <c r="L428" s="6">
        <v>1.2192000000000001</v>
      </c>
      <c r="M428" s="7">
        <v>38.1</v>
      </c>
      <c r="N428" s="7">
        <v>285.75</v>
      </c>
      <c r="O428" s="7">
        <f t="shared" si="31"/>
        <v>48.000000000000007</v>
      </c>
      <c r="P428" s="7">
        <f t="shared" si="32"/>
        <v>1.5000000000000002</v>
      </c>
      <c r="Q428" s="7">
        <f t="shared" si="32"/>
        <v>11.25</v>
      </c>
      <c r="R428" s="6">
        <f t="shared" si="33"/>
        <v>301.35199999999998</v>
      </c>
      <c r="S428" s="6">
        <f t="shared" si="35"/>
        <v>1.327352184E-2</v>
      </c>
      <c r="T428" t="str">
        <f t="shared" si="34"/>
        <v>Cumaru S4S E4E 2x12 Short</v>
      </c>
    </row>
    <row r="429" spans="1:20" x14ac:dyDescent="0.25">
      <c r="A429" t="s">
        <v>531</v>
      </c>
      <c r="B429" t="s">
        <v>736</v>
      </c>
      <c r="C429" t="s">
        <v>524</v>
      </c>
      <c r="D429" t="s">
        <v>438</v>
      </c>
      <c r="E429" t="s">
        <v>756</v>
      </c>
      <c r="F429" t="s">
        <v>738</v>
      </c>
      <c r="G429" t="s">
        <v>531</v>
      </c>
      <c r="H429" t="s">
        <v>373</v>
      </c>
      <c r="I429" t="s">
        <v>289</v>
      </c>
      <c r="J429" t="s">
        <v>739</v>
      </c>
      <c r="K429">
        <v>5</v>
      </c>
      <c r="L429" s="6">
        <v>1.524</v>
      </c>
      <c r="M429" s="7">
        <v>38.1</v>
      </c>
      <c r="N429" s="7">
        <v>285.75</v>
      </c>
      <c r="O429" s="7">
        <f t="shared" si="31"/>
        <v>60</v>
      </c>
      <c r="P429" s="7">
        <f t="shared" si="32"/>
        <v>1.5000000000000002</v>
      </c>
      <c r="Q429" s="7">
        <f t="shared" si="32"/>
        <v>11.25</v>
      </c>
      <c r="R429" s="6">
        <f t="shared" si="33"/>
        <v>301.35199999999998</v>
      </c>
      <c r="S429" s="6">
        <f t="shared" si="35"/>
        <v>1.6591902300000003E-2</v>
      </c>
      <c r="T429" t="str">
        <f t="shared" si="34"/>
        <v>Cumaru S4S E4E 2x12 Short</v>
      </c>
    </row>
    <row r="430" spans="1:20" x14ac:dyDescent="0.25">
      <c r="A430" t="s">
        <v>531</v>
      </c>
      <c r="B430" t="s">
        <v>736</v>
      </c>
      <c r="C430" t="s">
        <v>524</v>
      </c>
      <c r="D430" t="s">
        <v>438</v>
      </c>
      <c r="E430" t="s">
        <v>757</v>
      </c>
      <c r="F430" t="s">
        <v>738</v>
      </c>
      <c r="G430" t="s">
        <v>531</v>
      </c>
      <c r="H430" t="s">
        <v>373</v>
      </c>
      <c r="I430" t="s">
        <v>289</v>
      </c>
      <c r="J430" t="s">
        <v>739</v>
      </c>
      <c r="K430">
        <v>6</v>
      </c>
      <c r="L430" s="6">
        <v>1.8288</v>
      </c>
      <c r="M430" s="7">
        <v>38.1</v>
      </c>
      <c r="N430" s="7">
        <v>285.75</v>
      </c>
      <c r="O430" s="7">
        <f t="shared" si="31"/>
        <v>72</v>
      </c>
      <c r="P430" s="7">
        <f t="shared" si="32"/>
        <v>1.5000000000000002</v>
      </c>
      <c r="Q430" s="7">
        <f t="shared" si="32"/>
        <v>11.25</v>
      </c>
      <c r="R430" s="6">
        <f t="shared" si="33"/>
        <v>301.35199999999998</v>
      </c>
      <c r="S430" s="6">
        <f t="shared" si="35"/>
        <v>1.9910282759999998E-2</v>
      </c>
      <c r="T430" t="str">
        <f t="shared" si="34"/>
        <v>Cumaru S4S E4E 2x12 Short</v>
      </c>
    </row>
    <row r="431" spans="1:20" x14ac:dyDescent="0.25">
      <c r="A431" t="s">
        <v>531</v>
      </c>
      <c r="B431" t="s">
        <v>736</v>
      </c>
      <c r="C431" t="s">
        <v>524</v>
      </c>
      <c r="D431" t="s">
        <v>438</v>
      </c>
      <c r="E431" t="s">
        <v>758</v>
      </c>
      <c r="F431" t="s">
        <v>738</v>
      </c>
      <c r="G431" t="s">
        <v>531</v>
      </c>
      <c r="H431" t="s">
        <v>373</v>
      </c>
      <c r="I431" t="s">
        <v>289</v>
      </c>
      <c r="J431" t="s">
        <v>739</v>
      </c>
      <c r="K431">
        <v>7</v>
      </c>
      <c r="L431" s="6">
        <v>2.1335999999999999</v>
      </c>
      <c r="M431" s="7">
        <v>38.1</v>
      </c>
      <c r="N431" s="7">
        <v>285.75</v>
      </c>
      <c r="O431" s="7">
        <f t="shared" si="31"/>
        <v>84</v>
      </c>
      <c r="P431" s="7">
        <f t="shared" si="32"/>
        <v>1.5000000000000002</v>
      </c>
      <c r="Q431" s="7">
        <f t="shared" si="32"/>
        <v>11.25</v>
      </c>
      <c r="R431" s="6">
        <f t="shared" si="33"/>
        <v>301.35199999999998</v>
      </c>
      <c r="S431" s="6">
        <f t="shared" si="35"/>
        <v>2.3228663220000001E-2</v>
      </c>
      <c r="T431" t="str">
        <f t="shared" si="34"/>
        <v>Cumaru S4S E4E 2x12 Short</v>
      </c>
    </row>
    <row r="432" spans="1:20" x14ac:dyDescent="0.25">
      <c r="A432" t="s">
        <v>531</v>
      </c>
      <c r="B432" t="s">
        <v>736</v>
      </c>
      <c r="C432" t="s">
        <v>283</v>
      </c>
      <c r="D432" t="s">
        <v>438</v>
      </c>
      <c r="E432" t="s">
        <v>759</v>
      </c>
      <c r="F432" t="s">
        <v>738</v>
      </c>
      <c r="G432" t="s">
        <v>531</v>
      </c>
      <c r="H432" t="s">
        <v>373</v>
      </c>
      <c r="I432" t="s">
        <v>289</v>
      </c>
      <c r="J432" t="s">
        <v>739</v>
      </c>
      <c r="K432">
        <v>8</v>
      </c>
      <c r="L432" s="6">
        <v>2.4384000000000001</v>
      </c>
      <c r="M432" s="7">
        <v>38.1</v>
      </c>
      <c r="N432" s="7">
        <v>285.75</v>
      </c>
      <c r="O432" s="7">
        <f t="shared" si="31"/>
        <v>96.000000000000014</v>
      </c>
      <c r="P432" s="7">
        <f t="shared" si="32"/>
        <v>1.5000000000000002</v>
      </c>
      <c r="Q432" s="7">
        <f t="shared" si="32"/>
        <v>11.25</v>
      </c>
      <c r="R432" s="6">
        <f t="shared" si="33"/>
        <v>301.35199999999998</v>
      </c>
      <c r="S432" s="6">
        <f t="shared" si="35"/>
        <v>2.654704368E-2</v>
      </c>
      <c r="T432" t="str">
        <f t="shared" si="34"/>
        <v>Cumaru S4S E4E 2x12 Long</v>
      </c>
    </row>
    <row r="433" spans="1:20" x14ac:dyDescent="0.25">
      <c r="A433" t="s">
        <v>531</v>
      </c>
      <c r="B433" t="s">
        <v>736</v>
      </c>
      <c r="C433" t="s">
        <v>283</v>
      </c>
      <c r="D433" t="s">
        <v>438</v>
      </c>
      <c r="E433" t="s">
        <v>760</v>
      </c>
      <c r="F433" t="s">
        <v>738</v>
      </c>
      <c r="G433" t="s">
        <v>531</v>
      </c>
      <c r="H433" t="s">
        <v>373</v>
      </c>
      <c r="I433" t="s">
        <v>289</v>
      </c>
      <c r="J433" t="s">
        <v>739</v>
      </c>
      <c r="K433">
        <v>9</v>
      </c>
      <c r="L433" s="6">
        <v>2.7431999999999999</v>
      </c>
      <c r="M433" s="7">
        <v>38.1</v>
      </c>
      <c r="N433" s="7">
        <v>285.75</v>
      </c>
      <c r="O433" s="7">
        <f t="shared" si="31"/>
        <v>108</v>
      </c>
      <c r="P433" s="7">
        <f t="shared" si="32"/>
        <v>1.5000000000000002</v>
      </c>
      <c r="Q433" s="7">
        <f t="shared" si="32"/>
        <v>11.25</v>
      </c>
      <c r="R433" s="6">
        <f t="shared" si="33"/>
        <v>301.35199999999998</v>
      </c>
      <c r="S433" s="6">
        <f t="shared" si="35"/>
        <v>2.9865424139999999E-2</v>
      </c>
      <c r="T433" t="str">
        <f t="shared" si="34"/>
        <v>Cumaru S4S E4E 2x12 Long</v>
      </c>
    </row>
    <row r="434" spans="1:20" x14ac:dyDescent="0.25">
      <c r="A434" t="s">
        <v>531</v>
      </c>
      <c r="B434" t="s">
        <v>761</v>
      </c>
      <c r="C434" t="s">
        <v>283</v>
      </c>
      <c r="D434" t="s">
        <v>438</v>
      </c>
      <c r="E434" t="s">
        <v>762</v>
      </c>
      <c r="F434" t="s">
        <v>763</v>
      </c>
      <c r="G434" t="s">
        <v>531</v>
      </c>
      <c r="H434" t="s">
        <v>373</v>
      </c>
      <c r="I434" t="s">
        <v>289</v>
      </c>
      <c r="J434" t="s">
        <v>764</v>
      </c>
      <c r="K434">
        <v>10</v>
      </c>
      <c r="L434" s="6">
        <v>3.048</v>
      </c>
      <c r="M434" s="7">
        <v>38.1</v>
      </c>
      <c r="N434" s="7">
        <v>38.1</v>
      </c>
      <c r="O434" s="7">
        <f t="shared" si="31"/>
        <v>120</v>
      </c>
      <c r="P434" s="7">
        <f t="shared" si="32"/>
        <v>1.5000000000000002</v>
      </c>
      <c r="Q434" s="7">
        <f t="shared" si="32"/>
        <v>1.5000000000000002</v>
      </c>
      <c r="R434" s="6">
        <f t="shared" si="33"/>
        <v>2260.1390000000001</v>
      </c>
      <c r="S434" s="6">
        <f t="shared" si="35"/>
        <v>4.4245072800000009E-3</v>
      </c>
      <c r="T434" t="str">
        <f t="shared" si="34"/>
        <v>Cumaru S4S E4E 2x2 Long</v>
      </c>
    </row>
    <row r="435" spans="1:20" x14ac:dyDescent="0.25">
      <c r="A435" t="s">
        <v>531</v>
      </c>
      <c r="B435" t="s">
        <v>761</v>
      </c>
      <c r="C435" t="s">
        <v>283</v>
      </c>
      <c r="D435" t="s">
        <v>438</v>
      </c>
      <c r="E435" t="s">
        <v>765</v>
      </c>
      <c r="F435" t="s">
        <v>763</v>
      </c>
      <c r="G435" t="s">
        <v>531</v>
      </c>
      <c r="H435" t="s">
        <v>373</v>
      </c>
      <c r="I435" t="s">
        <v>289</v>
      </c>
      <c r="J435" t="s">
        <v>764</v>
      </c>
      <c r="K435">
        <v>11</v>
      </c>
      <c r="L435" s="6">
        <v>3.3527999999999998</v>
      </c>
      <c r="M435" s="7">
        <v>38.1</v>
      </c>
      <c r="N435" s="7">
        <v>38.1</v>
      </c>
      <c r="O435" s="7">
        <f t="shared" si="31"/>
        <v>132</v>
      </c>
      <c r="P435" s="7">
        <f t="shared" si="32"/>
        <v>1.5000000000000002</v>
      </c>
      <c r="Q435" s="7">
        <f t="shared" si="32"/>
        <v>1.5000000000000002</v>
      </c>
      <c r="R435" s="6">
        <f t="shared" si="33"/>
        <v>2260.1390000000001</v>
      </c>
      <c r="S435" s="6">
        <f t="shared" si="35"/>
        <v>4.8669580080000002E-3</v>
      </c>
      <c r="T435" t="str">
        <f t="shared" si="34"/>
        <v>Cumaru S4S E4E 2x2 Long</v>
      </c>
    </row>
    <row r="436" spans="1:20" x14ac:dyDescent="0.25">
      <c r="A436" t="s">
        <v>531</v>
      </c>
      <c r="B436" t="s">
        <v>761</v>
      </c>
      <c r="C436" t="s">
        <v>283</v>
      </c>
      <c r="D436" t="s">
        <v>438</v>
      </c>
      <c r="E436" t="s">
        <v>766</v>
      </c>
      <c r="F436" t="s">
        <v>763</v>
      </c>
      <c r="G436" t="s">
        <v>531</v>
      </c>
      <c r="H436" t="s">
        <v>373</v>
      </c>
      <c r="I436" t="s">
        <v>289</v>
      </c>
      <c r="J436" t="s">
        <v>764</v>
      </c>
      <c r="K436">
        <v>12</v>
      </c>
      <c r="L436" s="6">
        <v>3.6576</v>
      </c>
      <c r="M436" s="7">
        <v>38.1</v>
      </c>
      <c r="N436" s="7">
        <v>38.1</v>
      </c>
      <c r="O436" s="7">
        <f t="shared" si="31"/>
        <v>144</v>
      </c>
      <c r="P436" s="7">
        <f t="shared" si="32"/>
        <v>1.5000000000000002</v>
      </c>
      <c r="Q436" s="7">
        <f t="shared" si="32"/>
        <v>1.5000000000000002</v>
      </c>
      <c r="R436" s="6">
        <f t="shared" si="33"/>
        <v>2260.1390000000001</v>
      </c>
      <c r="S436" s="6">
        <f t="shared" si="35"/>
        <v>5.3094087360000004E-3</v>
      </c>
      <c r="T436" t="str">
        <f t="shared" si="34"/>
        <v>Cumaru S4S E4E 2x2 Long</v>
      </c>
    </row>
    <row r="437" spans="1:20" x14ac:dyDescent="0.25">
      <c r="A437" t="s">
        <v>531</v>
      </c>
      <c r="B437" t="s">
        <v>761</v>
      </c>
      <c r="C437" t="s">
        <v>283</v>
      </c>
      <c r="D437" t="s">
        <v>438</v>
      </c>
      <c r="E437" t="s">
        <v>767</v>
      </c>
      <c r="F437" t="s">
        <v>763</v>
      </c>
      <c r="G437" t="s">
        <v>531</v>
      </c>
      <c r="H437" t="s">
        <v>373</v>
      </c>
      <c r="I437" t="s">
        <v>289</v>
      </c>
      <c r="J437" t="s">
        <v>764</v>
      </c>
      <c r="K437">
        <v>13</v>
      </c>
      <c r="L437" s="6">
        <v>3.9624000000000001</v>
      </c>
      <c r="M437" s="7">
        <v>38.1</v>
      </c>
      <c r="N437" s="7">
        <v>38.1</v>
      </c>
      <c r="O437" s="7">
        <f t="shared" si="31"/>
        <v>156</v>
      </c>
      <c r="P437" s="7">
        <f t="shared" si="32"/>
        <v>1.5000000000000002</v>
      </c>
      <c r="Q437" s="7">
        <f t="shared" si="32"/>
        <v>1.5000000000000002</v>
      </c>
      <c r="R437" s="6">
        <f t="shared" si="33"/>
        <v>2260.1390000000001</v>
      </c>
      <c r="S437" s="6">
        <f t="shared" si="35"/>
        <v>5.7518594640000005E-3</v>
      </c>
      <c r="T437" t="str">
        <f t="shared" si="34"/>
        <v>Cumaru S4S E4E 2x2 Long</v>
      </c>
    </row>
    <row r="438" spans="1:20" x14ac:dyDescent="0.25">
      <c r="A438" t="s">
        <v>531</v>
      </c>
      <c r="B438" t="s">
        <v>761</v>
      </c>
      <c r="C438" t="s">
        <v>283</v>
      </c>
      <c r="D438" t="s">
        <v>438</v>
      </c>
      <c r="E438" t="s">
        <v>768</v>
      </c>
      <c r="F438" t="s">
        <v>763</v>
      </c>
      <c r="G438" t="s">
        <v>531</v>
      </c>
      <c r="H438" t="s">
        <v>373</v>
      </c>
      <c r="I438" t="s">
        <v>289</v>
      </c>
      <c r="J438" t="s">
        <v>764</v>
      </c>
      <c r="K438">
        <v>14</v>
      </c>
      <c r="L438" s="6">
        <v>4.2671999999999999</v>
      </c>
      <c r="M438" s="7">
        <v>38.1</v>
      </c>
      <c r="N438" s="7">
        <v>38.1</v>
      </c>
      <c r="O438" s="7">
        <f t="shared" si="31"/>
        <v>168</v>
      </c>
      <c r="P438" s="7">
        <f t="shared" si="32"/>
        <v>1.5000000000000002</v>
      </c>
      <c r="Q438" s="7">
        <f t="shared" si="32"/>
        <v>1.5000000000000002</v>
      </c>
      <c r="R438" s="6">
        <f t="shared" si="33"/>
        <v>2260.1390000000001</v>
      </c>
      <c r="S438" s="6">
        <f t="shared" si="35"/>
        <v>6.1943101920000007E-3</v>
      </c>
      <c r="T438" t="str">
        <f t="shared" si="34"/>
        <v>Cumaru S4S E4E 2x2 Long</v>
      </c>
    </row>
    <row r="439" spans="1:20" x14ac:dyDescent="0.25">
      <c r="A439" t="s">
        <v>531</v>
      </c>
      <c r="B439" t="s">
        <v>761</v>
      </c>
      <c r="C439" t="s">
        <v>283</v>
      </c>
      <c r="D439" t="s">
        <v>438</v>
      </c>
      <c r="E439" t="s">
        <v>769</v>
      </c>
      <c r="F439" t="s">
        <v>763</v>
      </c>
      <c r="G439" t="s">
        <v>531</v>
      </c>
      <c r="H439" t="s">
        <v>373</v>
      </c>
      <c r="I439" t="s">
        <v>289</v>
      </c>
      <c r="J439" t="s">
        <v>764</v>
      </c>
      <c r="K439">
        <v>15</v>
      </c>
      <c r="L439" s="6">
        <v>4.5720000000000001</v>
      </c>
      <c r="M439" s="7">
        <v>38.1</v>
      </c>
      <c r="N439" s="7">
        <v>38.1</v>
      </c>
      <c r="O439" s="7">
        <f t="shared" si="31"/>
        <v>180</v>
      </c>
      <c r="P439" s="7">
        <f t="shared" si="32"/>
        <v>1.5000000000000002</v>
      </c>
      <c r="Q439" s="7">
        <f t="shared" si="32"/>
        <v>1.5000000000000002</v>
      </c>
      <c r="R439" s="6">
        <f t="shared" si="33"/>
        <v>2260.1390000000001</v>
      </c>
      <c r="S439" s="6">
        <f t="shared" si="35"/>
        <v>6.6367609200000009E-3</v>
      </c>
      <c r="T439" t="str">
        <f t="shared" si="34"/>
        <v>Cumaru S4S E4E 2x2 Long</v>
      </c>
    </row>
    <row r="440" spans="1:20" x14ac:dyDescent="0.25">
      <c r="A440" t="s">
        <v>531</v>
      </c>
      <c r="B440" t="s">
        <v>761</v>
      </c>
      <c r="C440" t="s">
        <v>283</v>
      </c>
      <c r="D440" t="s">
        <v>438</v>
      </c>
      <c r="E440" t="s">
        <v>770</v>
      </c>
      <c r="F440" t="s">
        <v>763</v>
      </c>
      <c r="G440" t="s">
        <v>531</v>
      </c>
      <c r="H440" t="s">
        <v>373</v>
      </c>
      <c r="I440" t="s">
        <v>289</v>
      </c>
      <c r="J440" t="s">
        <v>764</v>
      </c>
      <c r="K440">
        <v>16</v>
      </c>
      <c r="L440" s="6">
        <v>4.8768000000000002</v>
      </c>
      <c r="M440" s="7">
        <v>38.1</v>
      </c>
      <c r="N440" s="7">
        <v>38.1</v>
      </c>
      <c r="O440" s="7">
        <f t="shared" si="31"/>
        <v>192.00000000000003</v>
      </c>
      <c r="P440" s="7">
        <f t="shared" si="32"/>
        <v>1.5000000000000002</v>
      </c>
      <c r="Q440" s="7">
        <f t="shared" si="32"/>
        <v>1.5000000000000002</v>
      </c>
      <c r="R440" s="6">
        <f t="shared" si="33"/>
        <v>2260.1390000000001</v>
      </c>
      <c r="S440" s="6">
        <f t="shared" si="35"/>
        <v>7.0792116480000011E-3</v>
      </c>
      <c r="T440" t="str">
        <f t="shared" si="34"/>
        <v>Cumaru S4S E4E 2x2 Long</v>
      </c>
    </row>
    <row r="441" spans="1:20" x14ac:dyDescent="0.25">
      <c r="A441" t="s">
        <v>531</v>
      </c>
      <c r="B441" t="s">
        <v>761</v>
      </c>
      <c r="C441" t="s">
        <v>283</v>
      </c>
      <c r="D441" t="s">
        <v>438</v>
      </c>
      <c r="E441" t="s">
        <v>771</v>
      </c>
      <c r="F441" t="s">
        <v>763</v>
      </c>
      <c r="G441" t="s">
        <v>531</v>
      </c>
      <c r="H441" t="s">
        <v>373</v>
      </c>
      <c r="I441" t="s">
        <v>289</v>
      </c>
      <c r="J441" t="s">
        <v>764</v>
      </c>
      <c r="K441">
        <v>17</v>
      </c>
      <c r="L441" s="6">
        <v>5.1816000000000004</v>
      </c>
      <c r="M441" s="7">
        <v>38.1</v>
      </c>
      <c r="N441" s="7">
        <v>38.1</v>
      </c>
      <c r="O441" s="7">
        <f t="shared" si="31"/>
        <v>204.00000000000003</v>
      </c>
      <c r="P441" s="7">
        <f t="shared" si="32"/>
        <v>1.5000000000000002</v>
      </c>
      <c r="Q441" s="7">
        <f t="shared" si="32"/>
        <v>1.5000000000000002</v>
      </c>
      <c r="R441" s="6">
        <f t="shared" si="33"/>
        <v>2260.1390000000001</v>
      </c>
      <c r="S441" s="6">
        <f t="shared" si="35"/>
        <v>7.5216623760000021E-3</v>
      </c>
      <c r="T441" t="str">
        <f t="shared" si="34"/>
        <v>Cumaru S4S E4E 2x2 Long</v>
      </c>
    </row>
    <row r="442" spans="1:20" x14ac:dyDescent="0.25">
      <c r="A442" t="s">
        <v>531</v>
      </c>
      <c r="B442" t="s">
        <v>761</v>
      </c>
      <c r="C442" t="s">
        <v>283</v>
      </c>
      <c r="D442" t="s">
        <v>438</v>
      </c>
      <c r="E442" t="s">
        <v>772</v>
      </c>
      <c r="F442" t="s">
        <v>763</v>
      </c>
      <c r="G442" t="s">
        <v>531</v>
      </c>
      <c r="H442" t="s">
        <v>373</v>
      </c>
      <c r="I442" t="s">
        <v>289</v>
      </c>
      <c r="J442" t="s">
        <v>764</v>
      </c>
      <c r="K442">
        <v>18</v>
      </c>
      <c r="L442" s="6">
        <v>5.4863999999999997</v>
      </c>
      <c r="M442" s="7">
        <v>38.1</v>
      </c>
      <c r="N442" s="7">
        <v>38.1</v>
      </c>
      <c r="O442" s="7">
        <f t="shared" si="31"/>
        <v>216</v>
      </c>
      <c r="P442" s="7">
        <f t="shared" si="32"/>
        <v>1.5000000000000002</v>
      </c>
      <c r="Q442" s="7">
        <f t="shared" si="32"/>
        <v>1.5000000000000002</v>
      </c>
      <c r="R442" s="6">
        <f t="shared" si="33"/>
        <v>2260.1390000000001</v>
      </c>
      <c r="S442" s="6">
        <f t="shared" si="35"/>
        <v>7.9641131039999997E-3</v>
      </c>
      <c r="T442" t="str">
        <f t="shared" si="34"/>
        <v>Cumaru S4S E4E 2x2 Long</v>
      </c>
    </row>
    <row r="443" spans="1:20" x14ac:dyDescent="0.25">
      <c r="A443" t="s">
        <v>531</v>
      </c>
      <c r="B443" t="s">
        <v>761</v>
      </c>
      <c r="C443" t="s">
        <v>283</v>
      </c>
      <c r="D443" t="s">
        <v>438</v>
      </c>
      <c r="E443" t="s">
        <v>773</v>
      </c>
      <c r="F443" t="s">
        <v>763</v>
      </c>
      <c r="G443" t="s">
        <v>531</v>
      </c>
      <c r="H443" t="s">
        <v>373</v>
      </c>
      <c r="I443" t="s">
        <v>289</v>
      </c>
      <c r="J443" t="s">
        <v>764</v>
      </c>
      <c r="K443">
        <v>19</v>
      </c>
      <c r="L443" s="6">
        <v>5.7911999999999999</v>
      </c>
      <c r="M443" s="7">
        <v>38.1</v>
      </c>
      <c r="N443" s="7">
        <v>38.1</v>
      </c>
      <c r="O443" s="7">
        <f t="shared" si="31"/>
        <v>228</v>
      </c>
      <c r="P443" s="7">
        <f t="shared" si="32"/>
        <v>1.5000000000000002</v>
      </c>
      <c r="Q443" s="7">
        <f t="shared" si="32"/>
        <v>1.5000000000000002</v>
      </c>
      <c r="R443" s="6">
        <f t="shared" si="33"/>
        <v>2260.1390000000001</v>
      </c>
      <c r="S443" s="6">
        <f t="shared" si="35"/>
        <v>8.4065638320000007E-3</v>
      </c>
      <c r="T443" t="str">
        <f t="shared" si="34"/>
        <v>Cumaru S4S E4E 2x2 Long</v>
      </c>
    </row>
    <row r="444" spans="1:20" x14ac:dyDescent="0.25">
      <c r="A444" t="s">
        <v>531</v>
      </c>
      <c r="B444" t="s">
        <v>761</v>
      </c>
      <c r="C444" t="s">
        <v>283</v>
      </c>
      <c r="D444" t="s">
        <v>438</v>
      </c>
      <c r="E444" t="s">
        <v>774</v>
      </c>
      <c r="F444" t="s">
        <v>763</v>
      </c>
      <c r="G444" t="s">
        <v>531</v>
      </c>
      <c r="H444" t="s">
        <v>373</v>
      </c>
      <c r="I444" t="s">
        <v>289</v>
      </c>
      <c r="J444" t="s">
        <v>764</v>
      </c>
      <c r="K444">
        <v>20</v>
      </c>
      <c r="L444" s="6">
        <v>6.0960000000000001</v>
      </c>
      <c r="M444" s="7">
        <v>38.1</v>
      </c>
      <c r="N444" s="7">
        <v>38.1</v>
      </c>
      <c r="O444" s="7">
        <f t="shared" si="31"/>
        <v>240</v>
      </c>
      <c r="P444" s="7">
        <f t="shared" si="32"/>
        <v>1.5000000000000002</v>
      </c>
      <c r="Q444" s="7">
        <f t="shared" si="32"/>
        <v>1.5000000000000002</v>
      </c>
      <c r="R444" s="6">
        <f t="shared" si="33"/>
        <v>2260.1390000000001</v>
      </c>
      <c r="S444" s="6">
        <f t="shared" si="35"/>
        <v>8.8490145600000018E-3</v>
      </c>
      <c r="T444" t="str">
        <f t="shared" si="34"/>
        <v>Cumaru S4S E4E 2x2 Long</v>
      </c>
    </row>
    <row r="445" spans="1:20" x14ac:dyDescent="0.25">
      <c r="A445" t="s">
        <v>531</v>
      </c>
      <c r="B445" t="s">
        <v>761</v>
      </c>
      <c r="C445" t="s">
        <v>283</v>
      </c>
      <c r="D445" t="s">
        <v>438</v>
      </c>
      <c r="E445" t="s">
        <v>775</v>
      </c>
      <c r="F445" t="s">
        <v>763</v>
      </c>
      <c r="G445" t="s">
        <v>531</v>
      </c>
      <c r="H445" t="s">
        <v>373</v>
      </c>
      <c r="I445" t="s">
        <v>289</v>
      </c>
      <c r="J445" t="s">
        <v>764</v>
      </c>
      <c r="K445">
        <v>21</v>
      </c>
      <c r="L445" s="6">
        <v>6.4008000000000003</v>
      </c>
      <c r="M445" s="7">
        <v>38.1</v>
      </c>
      <c r="N445" s="7">
        <v>38.1</v>
      </c>
      <c r="O445" s="7">
        <f t="shared" si="31"/>
        <v>252.00000000000003</v>
      </c>
      <c r="P445" s="7">
        <f t="shared" si="32"/>
        <v>1.5000000000000002</v>
      </c>
      <c r="Q445" s="7">
        <f t="shared" si="32"/>
        <v>1.5000000000000002</v>
      </c>
      <c r="R445" s="6">
        <f t="shared" si="33"/>
        <v>2260.1390000000001</v>
      </c>
      <c r="S445" s="6">
        <f t="shared" si="35"/>
        <v>9.2914652880000011E-3</v>
      </c>
      <c r="T445" t="str">
        <f t="shared" si="34"/>
        <v>Cumaru S4S E4E 2x2 Long</v>
      </c>
    </row>
    <row r="446" spans="1:20" x14ac:dyDescent="0.25">
      <c r="A446" t="s">
        <v>531</v>
      </c>
      <c r="B446" t="s">
        <v>761</v>
      </c>
      <c r="C446" t="s">
        <v>283</v>
      </c>
      <c r="D446" t="s">
        <v>438</v>
      </c>
      <c r="E446" t="s">
        <v>776</v>
      </c>
      <c r="F446" t="s">
        <v>763</v>
      </c>
      <c r="G446" t="s">
        <v>531</v>
      </c>
      <c r="H446" t="s">
        <v>373</v>
      </c>
      <c r="I446" t="s">
        <v>289</v>
      </c>
      <c r="J446" t="s">
        <v>764</v>
      </c>
      <c r="K446">
        <v>22</v>
      </c>
      <c r="L446" s="6">
        <v>6.7055999999999996</v>
      </c>
      <c r="M446" s="7">
        <v>38.1</v>
      </c>
      <c r="N446" s="7">
        <v>38.1</v>
      </c>
      <c r="O446" s="7">
        <f t="shared" si="31"/>
        <v>264</v>
      </c>
      <c r="P446" s="7">
        <f t="shared" si="32"/>
        <v>1.5000000000000002</v>
      </c>
      <c r="Q446" s="7">
        <f t="shared" si="32"/>
        <v>1.5000000000000002</v>
      </c>
      <c r="R446" s="6">
        <f t="shared" si="33"/>
        <v>2260.1390000000001</v>
      </c>
      <c r="S446" s="6">
        <f t="shared" si="35"/>
        <v>9.7339160160000004E-3</v>
      </c>
      <c r="T446" t="str">
        <f t="shared" si="34"/>
        <v>Cumaru S4S E4E 2x2 Long</v>
      </c>
    </row>
    <row r="447" spans="1:20" x14ac:dyDescent="0.25">
      <c r="A447" t="s">
        <v>531</v>
      </c>
      <c r="B447" t="s">
        <v>761</v>
      </c>
      <c r="C447" t="s">
        <v>283</v>
      </c>
      <c r="D447" t="s">
        <v>438</v>
      </c>
      <c r="E447" t="s">
        <v>777</v>
      </c>
      <c r="F447" t="s">
        <v>763</v>
      </c>
      <c r="G447" t="s">
        <v>531</v>
      </c>
      <c r="H447" t="s">
        <v>373</v>
      </c>
      <c r="I447" t="s">
        <v>289</v>
      </c>
      <c r="J447" t="s">
        <v>764</v>
      </c>
      <c r="K447">
        <v>23</v>
      </c>
      <c r="L447" s="6">
        <v>7.0103999999999997</v>
      </c>
      <c r="M447" s="7">
        <v>38.1</v>
      </c>
      <c r="N447" s="7">
        <v>38.1</v>
      </c>
      <c r="O447" s="7">
        <f t="shared" si="31"/>
        <v>276</v>
      </c>
      <c r="P447" s="7">
        <f t="shared" si="32"/>
        <v>1.5000000000000002</v>
      </c>
      <c r="Q447" s="7">
        <f t="shared" si="32"/>
        <v>1.5000000000000002</v>
      </c>
      <c r="R447" s="6">
        <f t="shared" si="33"/>
        <v>2260.1390000000001</v>
      </c>
      <c r="S447" s="6">
        <f t="shared" si="35"/>
        <v>1.0176366744000003E-2</v>
      </c>
      <c r="T447" t="str">
        <f t="shared" si="34"/>
        <v>Cumaru S4S E4E 2x2 Long</v>
      </c>
    </row>
    <row r="448" spans="1:20" x14ac:dyDescent="0.25">
      <c r="A448" t="s">
        <v>531</v>
      </c>
      <c r="B448" t="s">
        <v>761</v>
      </c>
      <c r="C448" t="s">
        <v>283</v>
      </c>
      <c r="D448" t="s">
        <v>438</v>
      </c>
      <c r="E448" t="s">
        <v>778</v>
      </c>
      <c r="F448" t="s">
        <v>763</v>
      </c>
      <c r="G448" t="s">
        <v>531</v>
      </c>
      <c r="H448" t="s">
        <v>373</v>
      </c>
      <c r="I448" t="s">
        <v>289</v>
      </c>
      <c r="J448" t="s">
        <v>764</v>
      </c>
      <c r="K448">
        <v>24</v>
      </c>
      <c r="L448" s="6">
        <v>7.3152000000000008</v>
      </c>
      <c r="M448" s="7">
        <v>38.1</v>
      </c>
      <c r="N448" s="7">
        <v>38.1</v>
      </c>
      <c r="O448" s="7">
        <f t="shared" si="31"/>
        <v>288.00000000000006</v>
      </c>
      <c r="P448" s="7">
        <f t="shared" si="32"/>
        <v>1.5000000000000002</v>
      </c>
      <c r="Q448" s="7">
        <f t="shared" si="32"/>
        <v>1.5000000000000002</v>
      </c>
      <c r="R448" s="6">
        <f t="shared" si="33"/>
        <v>2260.1390000000001</v>
      </c>
      <c r="S448" s="6">
        <f t="shared" si="35"/>
        <v>1.0618817472000002E-2</v>
      </c>
      <c r="T448" t="str">
        <f t="shared" si="34"/>
        <v>Cumaru S4S E4E 2x2 Long</v>
      </c>
    </row>
    <row r="449" spans="1:20" x14ac:dyDescent="0.25">
      <c r="A449" t="s">
        <v>531</v>
      </c>
      <c r="B449" t="s">
        <v>761</v>
      </c>
      <c r="C449" t="s">
        <v>524</v>
      </c>
      <c r="D449" t="s">
        <v>438</v>
      </c>
      <c r="E449" t="s">
        <v>779</v>
      </c>
      <c r="F449" t="s">
        <v>763</v>
      </c>
      <c r="G449" t="s">
        <v>531</v>
      </c>
      <c r="H449" t="s">
        <v>373</v>
      </c>
      <c r="I449" t="s">
        <v>289</v>
      </c>
      <c r="J449" t="s">
        <v>764</v>
      </c>
      <c r="K449">
        <v>3</v>
      </c>
      <c r="L449" s="6">
        <v>0.91439999999999999</v>
      </c>
      <c r="M449" s="7">
        <v>38.1</v>
      </c>
      <c r="N449" s="7">
        <v>38.1</v>
      </c>
      <c r="O449" s="7">
        <f t="shared" si="31"/>
        <v>36</v>
      </c>
      <c r="P449" s="7">
        <f t="shared" si="32"/>
        <v>1.5000000000000002</v>
      </c>
      <c r="Q449" s="7">
        <f t="shared" si="32"/>
        <v>1.5000000000000002</v>
      </c>
      <c r="R449" s="6">
        <f t="shared" si="33"/>
        <v>2260.1390000000001</v>
      </c>
      <c r="S449" s="6">
        <f t="shared" si="35"/>
        <v>1.3273521840000001E-3</v>
      </c>
      <c r="T449" t="str">
        <f t="shared" si="34"/>
        <v>Cumaru S4S E4E 2x2 Short</v>
      </c>
    </row>
    <row r="450" spans="1:20" x14ac:dyDescent="0.25">
      <c r="A450" t="s">
        <v>531</v>
      </c>
      <c r="B450" t="s">
        <v>761</v>
      </c>
      <c r="C450" t="s">
        <v>524</v>
      </c>
      <c r="D450" t="s">
        <v>438</v>
      </c>
      <c r="E450" t="s">
        <v>780</v>
      </c>
      <c r="F450" t="s">
        <v>763</v>
      </c>
      <c r="G450" t="s">
        <v>531</v>
      </c>
      <c r="H450" t="s">
        <v>373</v>
      </c>
      <c r="I450" t="s">
        <v>289</v>
      </c>
      <c r="J450" t="s">
        <v>764</v>
      </c>
      <c r="K450">
        <v>4</v>
      </c>
      <c r="L450" s="6">
        <v>1.2192000000000001</v>
      </c>
      <c r="M450" s="7">
        <v>38.1</v>
      </c>
      <c r="N450" s="7">
        <v>38.1</v>
      </c>
      <c r="O450" s="7">
        <f t="shared" ref="O450:O513" si="36">L450/0.0254</f>
        <v>48.000000000000007</v>
      </c>
      <c r="P450" s="7">
        <f t="shared" ref="P450:Q513" si="37">M450/25.4</f>
        <v>1.5000000000000002</v>
      </c>
      <c r="Q450" s="7">
        <f t="shared" si="37"/>
        <v>1.5000000000000002</v>
      </c>
      <c r="R450" s="6">
        <f t="shared" ref="R450:R513" si="38">ROUND(IFERROR(1/((M450*N450*0.3048)/1000000),0),3)</f>
        <v>2260.1390000000001</v>
      </c>
      <c r="S450" s="6">
        <f t="shared" si="35"/>
        <v>1.7698029120000003E-3</v>
      </c>
      <c r="T450" t="str">
        <f t="shared" ref="T450:T513" si="39">F450&amp;" "&amp;C450</f>
        <v>Cumaru S4S E4E 2x2 Short</v>
      </c>
    </row>
    <row r="451" spans="1:20" x14ac:dyDescent="0.25">
      <c r="A451" t="s">
        <v>531</v>
      </c>
      <c r="B451" t="s">
        <v>761</v>
      </c>
      <c r="C451" t="s">
        <v>524</v>
      </c>
      <c r="D451" t="s">
        <v>438</v>
      </c>
      <c r="E451" t="s">
        <v>781</v>
      </c>
      <c r="F451" t="s">
        <v>763</v>
      </c>
      <c r="G451" t="s">
        <v>531</v>
      </c>
      <c r="H451" t="s">
        <v>373</v>
      </c>
      <c r="I451" t="s">
        <v>289</v>
      </c>
      <c r="J451" t="s">
        <v>764</v>
      </c>
      <c r="K451">
        <v>5</v>
      </c>
      <c r="L451" s="6">
        <v>1.524</v>
      </c>
      <c r="M451" s="7">
        <v>38.1</v>
      </c>
      <c r="N451" s="7">
        <v>38.1</v>
      </c>
      <c r="O451" s="7">
        <f t="shared" si="36"/>
        <v>60</v>
      </c>
      <c r="P451" s="7">
        <f t="shared" si="37"/>
        <v>1.5000000000000002</v>
      </c>
      <c r="Q451" s="7">
        <f t="shared" si="37"/>
        <v>1.5000000000000002</v>
      </c>
      <c r="R451" s="6">
        <f t="shared" si="38"/>
        <v>2260.1390000000001</v>
      </c>
      <c r="S451" s="6">
        <f t="shared" si="35"/>
        <v>2.2122536400000004E-3</v>
      </c>
      <c r="T451" t="str">
        <f t="shared" si="39"/>
        <v>Cumaru S4S E4E 2x2 Short</v>
      </c>
    </row>
    <row r="452" spans="1:20" x14ac:dyDescent="0.25">
      <c r="A452" t="s">
        <v>531</v>
      </c>
      <c r="B452" t="s">
        <v>761</v>
      </c>
      <c r="C452" t="s">
        <v>524</v>
      </c>
      <c r="D452" t="s">
        <v>438</v>
      </c>
      <c r="E452" t="s">
        <v>782</v>
      </c>
      <c r="F452" t="s">
        <v>763</v>
      </c>
      <c r="G452" t="s">
        <v>531</v>
      </c>
      <c r="H452" t="s">
        <v>373</v>
      </c>
      <c r="I452" t="s">
        <v>289</v>
      </c>
      <c r="J452" t="s">
        <v>764</v>
      </c>
      <c r="K452">
        <v>6</v>
      </c>
      <c r="L452" s="6">
        <v>1.8288</v>
      </c>
      <c r="M452" s="7">
        <v>38.1</v>
      </c>
      <c r="N452" s="7">
        <v>38.1</v>
      </c>
      <c r="O452" s="7">
        <f t="shared" si="36"/>
        <v>72</v>
      </c>
      <c r="P452" s="7">
        <f t="shared" si="37"/>
        <v>1.5000000000000002</v>
      </c>
      <c r="Q452" s="7">
        <f t="shared" si="37"/>
        <v>1.5000000000000002</v>
      </c>
      <c r="R452" s="6">
        <f t="shared" si="38"/>
        <v>2260.1390000000001</v>
      </c>
      <c r="S452" s="6">
        <f t="shared" ref="S452:S515" si="40">L452*M452/1000*N452/1000</f>
        <v>2.6547043680000002E-3</v>
      </c>
      <c r="T452" t="str">
        <f t="shared" si="39"/>
        <v>Cumaru S4S E4E 2x2 Short</v>
      </c>
    </row>
    <row r="453" spans="1:20" x14ac:dyDescent="0.25">
      <c r="A453" t="s">
        <v>531</v>
      </c>
      <c r="B453" t="s">
        <v>761</v>
      </c>
      <c r="C453" t="s">
        <v>524</v>
      </c>
      <c r="D453" t="s">
        <v>438</v>
      </c>
      <c r="E453" t="s">
        <v>783</v>
      </c>
      <c r="F453" t="s">
        <v>763</v>
      </c>
      <c r="G453" t="s">
        <v>531</v>
      </c>
      <c r="H453" t="s">
        <v>373</v>
      </c>
      <c r="I453" t="s">
        <v>289</v>
      </c>
      <c r="J453" t="s">
        <v>764</v>
      </c>
      <c r="K453">
        <v>7</v>
      </c>
      <c r="L453" s="6">
        <v>2.1335999999999999</v>
      </c>
      <c r="M453" s="7">
        <v>38.1</v>
      </c>
      <c r="N453" s="7">
        <v>38.1</v>
      </c>
      <c r="O453" s="7">
        <f t="shared" si="36"/>
        <v>84</v>
      </c>
      <c r="P453" s="7">
        <f t="shared" si="37"/>
        <v>1.5000000000000002</v>
      </c>
      <c r="Q453" s="7">
        <f t="shared" si="37"/>
        <v>1.5000000000000002</v>
      </c>
      <c r="R453" s="6">
        <f t="shared" si="38"/>
        <v>2260.1390000000001</v>
      </c>
      <c r="S453" s="6">
        <f t="shared" si="40"/>
        <v>3.0971550960000004E-3</v>
      </c>
      <c r="T453" t="str">
        <f t="shared" si="39"/>
        <v>Cumaru S4S E4E 2x2 Short</v>
      </c>
    </row>
    <row r="454" spans="1:20" x14ac:dyDescent="0.25">
      <c r="A454" t="s">
        <v>531</v>
      </c>
      <c r="B454" t="s">
        <v>761</v>
      </c>
      <c r="C454" t="s">
        <v>283</v>
      </c>
      <c r="D454" t="s">
        <v>438</v>
      </c>
      <c r="E454" t="s">
        <v>784</v>
      </c>
      <c r="F454" t="s">
        <v>763</v>
      </c>
      <c r="G454" t="s">
        <v>531</v>
      </c>
      <c r="H454" t="s">
        <v>373</v>
      </c>
      <c r="I454" t="s">
        <v>289</v>
      </c>
      <c r="J454" t="s">
        <v>764</v>
      </c>
      <c r="K454">
        <v>8</v>
      </c>
      <c r="L454" s="6">
        <v>2.4384000000000001</v>
      </c>
      <c r="M454" s="7">
        <v>38.1</v>
      </c>
      <c r="N454" s="7">
        <v>38.1</v>
      </c>
      <c r="O454" s="7">
        <f t="shared" si="36"/>
        <v>96.000000000000014</v>
      </c>
      <c r="P454" s="7">
        <f t="shared" si="37"/>
        <v>1.5000000000000002</v>
      </c>
      <c r="Q454" s="7">
        <f t="shared" si="37"/>
        <v>1.5000000000000002</v>
      </c>
      <c r="R454" s="6">
        <f t="shared" si="38"/>
        <v>2260.1390000000001</v>
      </c>
      <c r="S454" s="6">
        <f t="shared" si="40"/>
        <v>3.5396058240000005E-3</v>
      </c>
      <c r="T454" t="str">
        <f t="shared" si="39"/>
        <v>Cumaru S4S E4E 2x2 Long</v>
      </c>
    </row>
    <row r="455" spans="1:20" x14ac:dyDescent="0.25">
      <c r="A455" t="s">
        <v>531</v>
      </c>
      <c r="B455" t="s">
        <v>761</v>
      </c>
      <c r="C455" t="s">
        <v>283</v>
      </c>
      <c r="D455" t="s">
        <v>438</v>
      </c>
      <c r="E455" t="s">
        <v>785</v>
      </c>
      <c r="F455" t="s">
        <v>763</v>
      </c>
      <c r="G455" t="s">
        <v>531</v>
      </c>
      <c r="H455" t="s">
        <v>373</v>
      </c>
      <c r="I455" t="s">
        <v>289</v>
      </c>
      <c r="J455" t="s">
        <v>764</v>
      </c>
      <c r="K455">
        <v>9</v>
      </c>
      <c r="L455" s="6">
        <v>2.7431999999999999</v>
      </c>
      <c r="M455" s="7">
        <v>38.1</v>
      </c>
      <c r="N455" s="7">
        <v>38.1</v>
      </c>
      <c r="O455" s="7">
        <f t="shared" si="36"/>
        <v>108</v>
      </c>
      <c r="P455" s="7">
        <f t="shared" si="37"/>
        <v>1.5000000000000002</v>
      </c>
      <c r="Q455" s="7">
        <f t="shared" si="37"/>
        <v>1.5000000000000002</v>
      </c>
      <c r="R455" s="6">
        <f t="shared" si="38"/>
        <v>2260.1390000000001</v>
      </c>
      <c r="S455" s="6">
        <f t="shared" si="40"/>
        <v>3.9820565519999998E-3</v>
      </c>
      <c r="T455" t="str">
        <f t="shared" si="39"/>
        <v>Cumaru S4S E4E 2x2 Long</v>
      </c>
    </row>
    <row r="456" spans="1:20" x14ac:dyDescent="0.25">
      <c r="A456" t="s">
        <v>531</v>
      </c>
      <c r="B456" t="s">
        <v>786</v>
      </c>
      <c r="C456" t="s">
        <v>283</v>
      </c>
      <c r="D456" t="s">
        <v>438</v>
      </c>
      <c r="E456" t="s">
        <v>787</v>
      </c>
      <c r="F456" t="s">
        <v>788</v>
      </c>
      <c r="G456" t="s">
        <v>531</v>
      </c>
      <c r="H456" t="s">
        <v>373</v>
      </c>
      <c r="I456" t="s">
        <v>289</v>
      </c>
      <c r="J456" t="s">
        <v>789</v>
      </c>
      <c r="K456">
        <v>10</v>
      </c>
      <c r="L456" s="6">
        <v>3.048</v>
      </c>
      <c r="M456" s="7">
        <v>38.1</v>
      </c>
      <c r="N456" s="7">
        <v>76.2</v>
      </c>
      <c r="O456" s="7">
        <f t="shared" si="36"/>
        <v>120</v>
      </c>
      <c r="P456" s="7">
        <f t="shared" si="37"/>
        <v>1.5000000000000002</v>
      </c>
      <c r="Q456" s="7">
        <f t="shared" si="37"/>
        <v>3.0000000000000004</v>
      </c>
      <c r="R456" s="6">
        <f t="shared" si="38"/>
        <v>1130.069</v>
      </c>
      <c r="S456" s="6">
        <f t="shared" si="40"/>
        <v>8.8490145600000018E-3</v>
      </c>
      <c r="T456" t="str">
        <f t="shared" si="39"/>
        <v>Cumaru S4S E4E 2x3 Long</v>
      </c>
    </row>
    <row r="457" spans="1:20" x14ac:dyDescent="0.25">
      <c r="A457" t="s">
        <v>531</v>
      </c>
      <c r="B457" t="s">
        <v>786</v>
      </c>
      <c r="C457" t="s">
        <v>283</v>
      </c>
      <c r="D457" t="s">
        <v>438</v>
      </c>
      <c r="E457" t="s">
        <v>790</v>
      </c>
      <c r="F457" t="s">
        <v>788</v>
      </c>
      <c r="G457" t="s">
        <v>531</v>
      </c>
      <c r="H457" t="s">
        <v>373</v>
      </c>
      <c r="I457" t="s">
        <v>289</v>
      </c>
      <c r="J457" t="s">
        <v>789</v>
      </c>
      <c r="K457">
        <v>12</v>
      </c>
      <c r="L457" s="6">
        <v>3.6576</v>
      </c>
      <c r="M457" s="7">
        <v>38.1</v>
      </c>
      <c r="N457" s="7">
        <v>76.2</v>
      </c>
      <c r="O457" s="7">
        <f t="shared" si="36"/>
        <v>144</v>
      </c>
      <c r="P457" s="7">
        <f t="shared" si="37"/>
        <v>1.5000000000000002</v>
      </c>
      <c r="Q457" s="7">
        <f t="shared" si="37"/>
        <v>3.0000000000000004</v>
      </c>
      <c r="R457" s="6">
        <f t="shared" si="38"/>
        <v>1130.069</v>
      </c>
      <c r="S457" s="6">
        <f t="shared" si="40"/>
        <v>1.0618817472000001E-2</v>
      </c>
      <c r="T457" t="str">
        <f t="shared" si="39"/>
        <v>Cumaru S4S E4E 2x3 Long</v>
      </c>
    </row>
    <row r="458" spans="1:20" x14ac:dyDescent="0.25">
      <c r="A458" t="s">
        <v>531</v>
      </c>
      <c r="B458" t="s">
        <v>786</v>
      </c>
      <c r="C458" t="s">
        <v>524</v>
      </c>
      <c r="D458" t="s">
        <v>438</v>
      </c>
      <c r="E458" t="s">
        <v>791</v>
      </c>
      <c r="F458" t="s">
        <v>788</v>
      </c>
      <c r="G458" t="s">
        <v>531</v>
      </c>
      <c r="H458" t="s">
        <v>373</v>
      </c>
      <c r="I458" t="s">
        <v>289</v>
      </c>
      <c r="J458" t="s">
        <v>789</v>
      </c>
      <c r="K458">
        <v>6</v>
      </c>
      <c r="L458" s="6">
        <v>1.8288</v>
      </c>
      <c r="M458" s="7">
        <v>38.1</v>
      </c>
      <c r="N458" s="7">
        <v>76.2</v>
      </c>
      <c r="O458" s="7">
        <f t="shared" si="36"/>
        <v>72</v>
      </c>
      <c r="P458" s="7">
        <f t="shared" si="37"/>
        <v>1.5000000000000002</v>
      </c>
      <c r="Q458" s="7">
        <f t="shared" si="37"/>
        <v>3.0000000000000004</v>
      </c>
      <c r="R458" s="6">
        <f t="shared" si="38"/>
        <v>1130.069</v>
      </c>
      <c r="S458" s="6">
        <f t="shared" si="40"/>
        <v>5.3094087360000004E-3</v>
      </c>
      <c r="T458" t="str">
        <f t="shared" si="39"/>
        <v>Cumaru S4S E4E 2x3 Short</v>
      </c>
    </row>
    <row r="459" spans="1:20" x14ac:dyDescent="0.25">
      <c r="A459" t="s">
        <v>531</v>
      </c>
      <c r="B459" t="s">
        <v>786</v>
      </c>
      <c r="C459" t="s">
        <v>283</v>
      </c>
      <c r="D459" t="s">
        <v>438</v>
      </c>
      <c r="E459" t="s">
        <v>792</v>
      </c>
      <c r="F459" t="s">
        <v>788</v>
      </c>
      <c r="G459" t="s">
        <v>531</v>
      </c>
      <c r="H459" t="s">
        <v>373</v>
      </c>
      <c r="I459" t="s">
        <v>289</v>
      </c>
      <c r="J459" t="s">
        <v>789</v>
      </c>
      <c r="K459">
        <v>8</v>
      </c>
      <c r="L459" s="6">
        <v>2.4384000000000001</v>
      </c>
      <c r="M459" s="7">
        <v>38.1</v>
      </c>
      <c r="N459" s="7">
        <v>76.2</v>
      </c>
      <c r="O459" s="7">
        <f t="shared" si="36"/>
        <v>96.000000000000014</v>
      </c>
      <c r="P459" s="7">
        <f t="shared" si="37"/>
        <v>1.5000000000000002</v>
      </c>
      <c r="Q459" s="7">
        <f t="shared" si="37"/>
        <v>3.0000000000000004</v>
      </c>
      <c r="R459" s="6">
        <f t="shared" si="38"/>
        <v>1130.069</v>
      </c>
      <c r="S459" s="6">
        <f t="shared" si="40"/>
        <v>7.0792116480000011E-3</v>
      </c>
      <c r="T459" t="str">
        <f t="shared" si="39"/>
        <v>Cumaru S4S E4E 2x3 Long</v>
      </c>
    </row>
    <row r="460" spans="1:20" x14ac:dyDescent="0.25">
      <c r="A460" t="s">
        <v>531</v>
      </c>
      <c r="B460" t="s">
        <v>793</v>
      </c>
      <c r="C460" t="s">
        <v>283</v>
      </c>
      <c r="D460" t="s">
        <v>438</v>
      </c>
      <c r="E460" t="s">
        <v>794</v>
      </c>
      <c r="F460" t="s">
        <v>795</v>
      </c>
      <c r="G460" t="s">
        <v>531</v>
      </c>
      <c r="H460" t="s">
        <v>373</v>
      </c>
      <c r="I460" t="s">
        <v>289</v>
      </c>
      <c r="J460" t="s">
        <v>796</v>
      </c>
      <c r="K460">
        <v>10</v>
      </c>
      <c r="L460" s="6">
        <v>3.048</v>
      </c>
      <c r="M460" s="7">
        <v>38.1</v>
      </c>
      <c r="N460" s="7">
        <v>88.9</v>
      </c>
      <c r="O460" s="7">
        <f t="shared" si="36"/>
        <v>120</v>
      </c>
      <c r="P460" s="7">
        <f t="shared" si="37"/>
        <v>1.5000000000000002</v>
      </c>
      <c r="Q460" s="7">
        <f t="shared" si="37"/>
        <v>3.5000000000000004</v>
      </c>
      <c r="R460" s="6">
        <f t="shared" si="38"/>
        <v>968.63099999999997</v>
      </c>
      <c r="S460" s="6">
        <f t="shared" si="40"/>
        <v>1.0323850320000001E-2</v>
      </c>
      <c r="T460" t="str">
        <f t="shared" si="39"/>
        <v>Cumaru S4S E4E 2x4 Long</v>
      </c>
    </row>
    <row r="461" spans="1:20" x14ac:dyDescent="0.25">
      <c r="A461" t="s">
        <v>531</v>
      </c>
      <c r="B461" t="s">
        <v>793</v>
      </c>
      <c r="C461" t="s">
        <v>283</v>
      </c>
      <c r="D461" t="s">
        <v>438</v>
      </c>
      <c r="E461" t="s">
        <v>797</v>
      </c>
      <c r="F461" t="s">
        <v>795</v>
      </c>
      <c r="G461" t="s">
        <v>531</v>
      </c>
      <c r="H461" t="s">
        <v>373</v>
      </c>
      <c r="I461" t="s">
        <v>289</v>
      </c>
      <c r="J461" t="s">
        <v>796</v>
      </c>
      <c r="K461">
        <v>11</v>
      </c>
      <c r="L461" s="6">
        <v>3.3527999999999998</v>
      </c>
      <c r="M461" s="7">
        <v>38.1</v>
      </c>
      <c r="N461" s="7">
        <v>88.9</v>
      </c>
      <c r="O461" s="7">
        <f t="shared" si="36"/>
        <v>132</v>
      </c>
      <c r="P461" s="7">
        <f t="shared" si="37"/>
        <v>1.5000000000000002</v>
      </c>
      <c r="Q461" s="7">
        <f t="shared" si="37"/>
        <v>3.5000000000000004</v>
      </c>
      <c r="R461" s="6">
        <f t="shared" si="38"/>
        <v>968.63099999999997</v>
      </c>
      <c r="S461" s="6">
        <f t="shared" si="40"/>
        <v>1.1356235352000001E-2</v>
      </c>
      <c r="T461" t="str">
        <f t="shared" si="39"/>
        <v>Cumaru S4S E4E 2x4 Long</v>
      </c>
    </row>
    <row r="462" spans="1:20" x14ac:dyDescent="0.25">
      <c r="A462" t="s">
        <v>531</v>
      </c>
      <c r="B462" t="s">
        <v>793</v>
      </c>
      <c r="C462" t="s">
        <v>283</v>
      </c>
      <c r="D462" t="s">
        <v>438</v>
      </c>
      <c r="E462" t="s">
        <v>798</v>
      </c>
      <c r="F462" t="s">
        <v>795</v>
      </c>
      <c r="G462" t="s">
        <v>531</v>
      </c>
      <c r="H462" t="s">
        <v>373</v>
      </c>
      <c r="I462" t="s">
        <v>289</v>
      </c>
      <c r="J462" t="s">
        <v>796</v>
      </c>
      <c r="K462">
        <v>12</v>
      </c>
      <c r="L462" s="6">
        <v>3.6576</v>
      </c>
      <c r="M462" s="7">
        <v>38.1</v>
      </c>
      <c r="N462" s="7">
        <v>88.9</v>
      </c>
      <c r="O462" s="7">
        <f t="shared" si="36"/>
        <v>144</v>
      </c>
      <c r="P462" s="7">
        <f t="shared" si="37"/>
        <v>1.5000000000000002</v>
      </c>
      <c r="Q462" s="7">
        <f t="shared" si="37"/>
        <v>3.5000000000000004</v>
      </c>
      <c r="R462" s="6">
        <f t="shared" si="38"/>
        <v>968.63099999999997</v>
      </c>
      <c r="S462" s="6">
        <f t="shared" si="40"/>
        <v>1.2388620384E-2</v>
      </c>
      <c r="T462" t="str">
        <f t="shared" si="39"/>
        <v>Cumaru S4S E4E 2x4 Long</v>
      </c>
    </row>
    <row r="463" spans="1:20" x14ac:dyDescent="0.25">
      <c r="A463" t="s">
        <v>531</v>
      </c>
      <c r="B463" t="s">
        <v>793</v>
      </c>
      <c r="C463" t="s">
        <v>283</v>
      </c>
      <c r="D463" t="s">
        <v>438</v>
      </c>
      <c r="E463" t="s">
        <v>799</v>
      </c>
      <c r="F463" t="s">
        <v>795</v>
      </c>
      <c r="G463" t="s">
        <v>531</v>
      </c>
      <c r="H463" t="s">
        <v>373</v>
      </c>
      <c r="I463" t="s">
        <v>289</v>
      </c>
      <c r="J463" t="s">
        <v>796</v>
      </c>
      <c r="K463">
        <v>13</v>
      </c>
      <c r="L463" s="6">
        <v>3.9624000000000001</v>
      </c>
      <c r="M463" s="7">
        <v>38.1</v>
      </c>
      <c r="N463" s="7">
        <v>88.9</v>
      </c>
      <c r="O463" s="7">
        <f t="shared" si="36"/>
        <v>156</v>
      </c>
      <c r="P463" s="7">
        <f t="shared" si="37"/>
        <v>1.5000000000000002</v>
      </c>
      <c r="Q463" s="7">
        <f t="shared" si="37"/>
        <v>3.5000000000000004</v>
      </c>
      <c r="R463" s="6">
        <f t="shared" si="38"/>
        <v>968.63099999999997</v>
      </c>
      <c r="S463" s="6">
        <f t="shared" si="40"/>
        <v>1.3421005416000002E-2</v>
      </c>
      <c r="T463" t="str">
        <f t="shared" si="39"/>
        <v>Cumaru S4S E4E 2x4 Long</v>
      </c>
    </row>
    <row r="464" spans="1:20" x14ac:dyDescent="0.25">
      <c r="A464" t="s">
        <v>531</v>
      </c>
      <c r="B464" t="s">
        <v>793</v>
      </c>
      <c r="C464" t="s">
        <v>283</v>
      </c>
      <c r="D464" t="s">
        <v>438</v>
      </c>
      <c r="E464" t="s">
        <v>800</v>
      </c>
      <c r="F464" t="s">
        <v>795</v>
      </c>
      <c r="G464" t="s">
        <v>531</v>
      </c>
      <c r="H464" t="s">
        <v>373</v>
      </c>
      <c r="I464" t="s">
        <v>289</v>
      </c>
      <c r="J464" t="s">
        <v>796</v>
      </c>
      <c r="K464">
        <v>14</v>
      </c>
      <c r="L464" s="6">
        <v>4.2671999999999999</v>
      </c>
      <c r="M464" s="7">
        <v>38.1</v>
      </c>
      <c r="N464" s="7">
        <v>88.9</v>
      </c>
      <c r="O464" s="7">
        <f t="shared" si="36"/>
        <v>168</v>
      </c>
      <c r="P464" s="7">
        <f t="shared" si="37"/>
        <v>1.5000000000000002</v>
      </c>
      <c r="Q464" s="7">
        <f t="shared" si="37"/>
        <v>3.5000000000000004</v>
      </c>
      <c r="R464" s="6">
        <f t="shared" si="38"/>
        <v>968.63099999999997</v>
      </c>
      <c r="S464" s="6">
        <f t="shared" si="40"/>
        <v>1.4453390448E-2</v>
      </c>
      <c r="T464" t="str">
        <f t="shared" si="39"/>
        <v>Cumaru S4S E4E 2x4 Long</v>
      </c>
    </row>
    <row r="465" spans="1:20" x14ac:dyDescent="0.25">
      <c r="A465" t="s">
        <v>531</v>
      </c>
      <c r="B465" t="s">
        <v>793</v>
      </c>
      <c r="C465" t="s">
        <v>283</v>
      </c>
      <c r="D465" t="s">
        <v>438</v>
      </c>
      <c r="E465" t="s">
        <v>801</v>
      </c>
      <c r="F465" t="s">
        <v>795</v>
      </c>
      <c r="G465" t="s">
        <v>531</v>
      </c>
      <c r="H465" t="s">
        <v>373</v>
      </c>
      <c r="I465" t="s">
        <v>289</v>
      </c>
      <c r="J465" t="s">
        <v>796</v>
      </c>
      <c r="K465">
        <v>15</v>
      </c>
      <c r="L465" s="6">
        <v>4.5720000000000001</v>
      </c>
      <c r="M465" s="7">
        <v>38.1</v>
      </c>
      <c r="N465" s="7">
        <v>88.9</v>
      </c>
      <c r="O465" s="7">
        <f t="shared" si="36"/>
        <v>180</v>
      </c>
      <c r="P465" s="7">
        <f t="shared" si="37"/>
        <v>1.5000000000000002</v>
      </c>
      <c r="Q465" s="7">
        <f t="shared" si="37"/>
        <v>3.5000000000000004</v>
      </c>
      <c r="R465" s="6">
        <f t="shared" si="38"/>
        <v>968.63099999999997</v>
      </c>
      <c r="S465" s="6">
        <f t="shared" si="40"/>
        <v>1.5485775480000004E-2</v>
      </c>
      <c r="T465" t="str">
        <f t="shared" si="39"/>
        <v>Cumaru S4S E4E 2x4 Long</v>
      </c>
    </row>
    <row r="466" spans="1:20" x14ac:dyDescent="0.25">
      <c r="A466" t="s">
        <v>531</v>
      </c>
      <c r="B466" t="s">
        <v>793</v>
      </c>
      <c r="C466" t="s">
        <v>283</v>
      </c>
      <c r="D466" t="s">
        <v>438</v>
      </c>
      <c r="E466" t="s">
        <v>802</v>
      </c>
      <c r="F466" t="s">
        <v>795</v>
      </c>
      <c r="G466" t="s">
        <v>531</v>
      </c>
      <c r="H466" t="s">
        <v>373</v>
      </c>
      <c r="I466" t="s">
        <v>289</v>
      </c>
      <c r="J466" t="s">
        <v>796</v>
      </c>
      <c r="K466">
        <v>16</v>
      </c>
      <c r="L466" s="6">
        <v>4.8768000000000002</v>
      </c>
      <c r="M466" s="7">
        <v>38.1</v>
      </c>
      <c r="N466" s="7">
        <v>88.9</v>
      </c>
      <c r="O466" s="7">
        <f t="shared" si="36"/>
        <v>192.00000000000003</v>
      </c>
      <c r="P466" s="7">
        <f t="shared" si="37"/>
        <v>1.5000000000000002</v>
      </c>
      <c r="Q466" s="7">
        <f t="shared" si="37"/>
        <v>3.5000000000000004</v>
      </c>
      <c r="R466" s="6">
        <f t="shared" si="38"/>
        <v>968.63099999999997</v>
      </c>
      <c r="S466" s="6">
        <f t="shared" si="40"/>
        <v>1.6518160512000002E-2</v>
      </c>
      <c r="T466" t="str">
        <f t="shared" si="39"/>
        <v>Cumaru S4S E4E 2x4 Long</v>
      </c>
    </row>
    <row r="467" spans="1:20" x14ac:dyDescent="0.25">
      <c r="A467" t="s">
        <v>531</v>
      </c>
      <c r="B467" t="s">
        <v>793</v>
      </c>
      <c r="C467" t="s">
        <v>283</v>
      </c>
      <c r="D467" t="s">
        <v>438</v>
      </c>
      <c r="E467" t="s">
        <v>803</v>
      </c>
      <c r="F467" t="s">
        <v>795</v>
      </c>
      <c r="G467" t="s">
        <v>531</v>
      </c>
      <c r="H467" t="s">
        <v>373</v>
      </c>
      <c r="I467" t="s">
        <v>289</v>
      </c>
      <c r="J467" t="s">
        <v>796</v>
      </c>
      <c r="K467">
        <v>17</v>
      </c>
      <c r="L467" s="6">
        <v>5.1816000000000004</v>
      </c>
      <c r="M467" s="7">
        <v>38.1</v>
      </c>
      <c r="N467" s="7">
        <v>88.9</v>
      </c>
      <c r="O467" s="7">
        <f t="shared" si="36"/>
        <v>204.00000000000003</v>
      </c>
      <c r="P467" s="7">
        <f t="shared" si="37"/>
        <v>1.5000000000000002</v>
      </c>
      <c r="Q467" s="7">
        <f t="shared" si="37"/>
        <v>3.5000000000000004</v>
      </c>
      <c r="R467" s="6">
        <f t="shared" si="38"/>
        <v>968.63099999999997</v>
      </c>
      <c r="S467" s="6">
        <f t="shared" si="40"/>
        <v>1.7550545544000005E-2</v>
      </c>
      <c r="T467" t="str">
        <f t="shared" si="39"/>
        <v>Cumaru S4S E4E 2x4 Long</v>
      </c>
    </row>
    <row r="468" spans="1:20" x14ac:dyDescent="0.25">
      <c r="A468" t="s">
        <v>531</v>
      </c>
      <c r="B468" t="s">
        <v>793</v>
      </c>
      <c r="C468" t="s">
        <v>283</v>
      </c>
      <c r="D468" t="s">
        <v>438</v>
      </c>
      <c r="E468" t="s">
        <v>804</v>
      </c>
      <c r="F468" t="s">
        <v>795</v>
      </c>
      <c r="G468" t="s">
        <v>531</v>
      </c>
      <c r="H468" t="s">
        <v>373</v>
      </c>
      <c r="I468" t="s">
        <v>289</v>
      </c>
      <c r="J468" t="s">
        <v>796</v>
      </c>
      <c r="K468">
        <v>18</v>
      </c>
      <c r="L468" s="6">
        <v>5.4863999999999997</v>
      </c>
      <c r="M468" s="7">
        <v>38.1</v>
      </c>
      <c r="N468" s="7">
        <v>88.9</v>
      </c>
      <c r="O468" s="7">
        <f t="shared" si="36"/>
        <v>216</v>
      </c>
      <c r="P468" s="7">
        <f t="shared" si="37"/>
        <v>1.5000000000000002</v>
      </c>
      <c r="Q468" s="7">
        <f t="shared" si="37"/>
        <v>3.5000000000000004</v>
      </c>
      <c r="R468" s="6">
        <f t="shared" si="38"/>
        <v>968.63099999999997</v>
      </c>
      <c r="S468" s="6">
        <f t="shared" si="40"/>
        <v>1.8582930576000002E-2</v>
      </c>
      <c r="T468" t="str">
        <f t="shared" si="39"/>
        <v>Cumaru S4S E4E 2x4 Long</v>
      </c>
    </row>
    <row r="469" spans="1:20" x14ac:dyDescent="0.25">
      <c r="A469" t="s">
        <v>531</v>
      </c>
      <c r="B469" t="s">
        <v>793</v>
      </c>
      <c r="C469" t="s">
        <v>283</v>
      </c>
      <c r="D469" t="s">
        <v>438</v>
      </c>
      <c r="E469" t="s">
        <v>805</v>
      </c>
      <c r="F469" t="s">
        <v>795</v>
      </c>
      <c r="G469" t="s">
        <v>531</v>
      </c>
      <c r="H469" t="s">
        <v>373</v>
      </c>
      <c r="I469" t="s">
        <v>289</v>
      </c>
      <c r="J469" t="s">
        <v>796</v>
      </c>
      <c r="K469">
        <v>19</v>
      </c>
      <c r="L469" s="6">
        <v>5.7911999999999999</v>
      </c>
      <c r="M469" s="7">
        <v>38.1</v>
      </c>
      <c r="N469" s="7">
        <v>88.9</v>
      </c>
      <c r="O469" s="7">
        <f t="shared" si="36"/>
        <v>228</v>
      </c>
      <c r="P469" s="7">
        <f t="shared" si="37"/>
        <v>1.5000000000000002</v>
      </c>
      <c r="Q469" s="7">
        <f t="shared" si="37"/>
        <v>3.5000000000000004</v>
      </c>
      <c r="R469" s="6">
        <f t="shared" si="38"/>
        <v>968.63099999999997</v>
      </c>
      <c r="S469" s="6">
        <f t="shared" si="40"/>
        <v>1.9615315608000002E-2</v>
      </c>
      <c r="T469" t="str">
        <f t="shared" si="39"/>
        <v>Cumaru S4S E4E 2x4 Long</v>
      </c>
    </row>
    <row r="470" spans="1:20" x14ac:dyDescent="0.25">
      <c r="A470" t="s">
        <v>531</v>
      </c>
      <c r="B470" t="s">
        <v>793</v>
      </c>
      <c r="C470" t="s">
        <v>283</v>
      </c>
      <c r="D470" t="s">
        <v>438</v>
      </c>
      <c r="E470" t="s">
        <v>806</v>
      </c>
      <c r="F470" t="s">
        <v>795</v>
      </c>
      <c r="G470" t="s">
        <v>531</v>
      </c>
      <c r="H470" t="s">
        <v>373</v>
      </c>
      <c r="I470" t="s">
        <v>289</v>
      </c>
      <c r="J470" t="s">
        <v>796</v>
      </c>
      <c r="K470">
        <v>20</v>
      </c>
      <c r="L470" s="6">
        <v>6.0960000000000001</v>
      </c>
      <c r="M470" s="7">
        <v>38.1</v>
      </c>
      <c r="N470" s="7">
        <v>88.9</v>
      </c>
      <c r="O470" s="7">
        <f t="shared" si="36"/>
        <v>240</v>
      </c>
      <c r="P470" s="7">
        <f t="shared" si="37"/>
        <v>1.5000000000000002</v>
      </c>
      <c r="Q470" s="7">
        <f t="shared" si="37"/>
        <v>3.5000000000000004</v>
      </c>
      <c r="R470" s="6">
        <f t="shared" si="38"/>
        <v>968.63099999999997</v>
      </c>
      <c r="S470" s="6">
        <f t="shared" si="40"/>
        <v>2.0647700640000002E-2</v>
      </c>
      <c r="T470" t="str">
        <f t="shared" si="39"/>
        <v>Cumaru S4S E4E 2x4 Long</v>
      </c>
    </row>
    <row r="471" spans="1:20" x14ac:dyDescent="0.25">
      <c r="A471" t="s">
        <v>531</v>
      </c>
      <c r="B471" t="s">
        <v>793</v>
      </c>
      <c r="C471" t="s">
        <v>283</v>
      </c>
      <c r="D471" t="s">
        <v>438</v>
      </c>
      <c r="E471" t="s">
        <v>807</v>
      </c>
      <c r="F471" t="s">
        <v>795</v>
      </c>
      <c r="G471" t="s">
        <v>531</v>
      </c>
      <c r="H471" t="s">
        <v>373</v>
      </c>
      <c r="I471" t="s">
        <v>289</v>
      </c>
      <c r="J471" t="s">
        <v>796</v>
      </c>
      <c r="K471">
        <v>21</v>
      </c>
      <c r="L471" s="6">
        <v>6.4008000000000003</v>
      </c>
      <c r="M471" s="7">
        <v>38.1</v>
      </c>
      <c r="N471" s="7">
        <v>88.9</v>
      </c>
      <c r="O471" s="7">
        <f t="shared" si="36"/>
        <v>252.00000000000003</v>
      </c>
      <c r="P471" s="7">
        <f t="shared" si="37"/>
        <v>1.5000000000000002</v>
      </c>
      <c r="Q471" s="7">
        <f t="shared" si="37"/>
        <v>3.5000000000000004</v>
      </c>
      <c r="R471" s="6">
        <f t="shared" si="38"/>
        <v>968.63099999999997</v>
      </c>
      <c r="S471" s="6">
        <f t="shared" si="40"/>
        <v>2.1680085672000003E-2</v>
      </c>
      <c r="T471" t="str">
        <f t="shared" si="39"/>
        <v>Cumaru S4S E4E 2x4 Long</v>
      </c>
    </row>
    <row r="472" spans="1:20" x14ac:dyDescent="0.25">
      <c r="A472" t="s">
        <v>531</v>
      </c>
      <c r="B472" t="s">
        <v>793</v>
      </c>
      <c r="C472" t="s">
        <v>283</v>
      </c>
      <c r="D472" t="s">
        <v>438</v>
      </c>
      <c r="E472" t="s">
        <v>808</v>
      </c>
      <c r="F472" t="s">
        <v>795</v>
      </c>
      <c r="G472" t="s">
        <v>531</v>
      </c>
      <c r="H472" t="s">
        <v>373</v>
      </c>
      <c r="I472" t="s">
        <v>289</v>
      </c>
      <c r="J472" t="s">
        <v>796</v>
      </c>
      <c r="K472">
        <v>22</v>
      </c>
      <c r="L472" s="6">
        <v>6.7055999999999996</v>
      </c>
      <c r="M472" s="7">
        <v>38.1</v>
      </c>
      <c r="N472" s="7">
        <v>88.9</v>
      </c>
      <c r="O472" s="7">
        <f t="shared" si="36"/>
        <v>264</v>
      </c>
      <c r="P472" s="7">
        <f t="shared" si="37"/>
        <v>1.5000000000000002</v>
      </c>
      <c r="Q472" s="7">
        <f t="shared" si="37"/>
        <v>3.5000000000000004</v>
      </c>
      <c r="R472" s="6">
        <f t="shared" si="38"/>
        <v>968.63099999999997</v>
      </c>
      <c r="S472" s="6">
        <f t="shared" si="40"/>
        <v>2.2712470704000003E-2</v>
      </c>
      <c r="T472" t="str">
        <f t="shared" si="39"/>
        <v>Cumaru S4S E4E 2x4 Long</v>
      </c>
    </row>
    <row r="473" spans="1:20" x14ac:dyDescent="0.25">
      <c r="A473" t="s">
        <v>531</v>
      </c>
      <c r="B473" t="s">
        <v>793</v>
      </c>
      <c r="C473" t="s">
        <v>283</v>
      </c>
      <c r="D473" t="s">
        <v>438</v>
      </c>
      <c r="E473" t="s">
        <v>809</v>
      </c>
      <c r="F473" t="s">
        <v>795</v>
      </c>
      <c r="G473" t="s">
        <v>531</v>
      </c>
      <c r="H473" t="s">
        <v>373</v>
      </c>
      <c r="I473" t="s">
        <v>289</v>
      </c>
      <c r="J473" t="s">
        <v>796</v>
      </c>
      <c r="K473">
        <v>23</v>
      </c>
      <c r="L473" s="6">
        <v>7.0103999999999997</v>
      </c>
      <c r="M473" s="7">
        <v>38.1</v>
      </c>
      <c r="N473" s="7">
        <v>88.9</v>
      </c>
      <c r="O473" s="7">
        <f t="shared" si="36"/>
        <v>276</v>
      </c>
      <c r="P473" s="7">
        <f t="shared" si="37"/>
        <v>1.5000000000000002</v>
      </c>
      <c r="Q473" s="7">
        <f t="shared" si="37"/>
        <v>3.5000000000000004</v>
      </c>
      <c r="R473" s="6">
        <f t="shared" si="38"/>
        <v>968.63099999999997</v>
      </c>
      <c r="S473" s="6">
        <f t="shared" si="40"/>
        <v>2.3744855736000006E-2</v>
      </c>
      <c r="T473" t="str">
        <f t="shared" si="39"/>
        <v>Cumaru S4S E4E 2x4 Long</v>
      </c>
    </row>
    <row r="474" spans="1:20" x14ac:dyDescent="0.25">
      <c r="A474" t="s">
        <v>531</v>
      </c>
      <c r="B474" t="s">
        <v>793</v>
      </c>
      <c r="C474" t="s">
        <v>283</v>
      </c>
      <c r="D474" t="s">
        <v>438</v>
      </c>
      <c r="E474" t="s">
        <v>810</v>
      </c>
      <c r="F474" t="s">
        <v>795</v>
      </c>
      <c r="G474" t="s">
        <v>531</v>
      </c>
      <c r="H474" t="s">
        <v>373</v>
      </c>
      <c r="I474" t="s">
        <v>289</v>
      </c>
      <c r="J474" t="s">
        <v>796</v>
      </c>
      <c r="K474">
        <v>24</v>
      </c>
      <c r="L474" s="6">
        <v>7.3152000000000008</v>
      </c>
      <c r="M474" s="7">
        <v>38.1</v>
      </c>
      <c r="N474" s="7">
        <v>88.9</v>
      </c>
      <c r="O474" s="7">
        <f t="shared" si="36"/>
        <v>288.00000000000006</v>
      </c>
      <c r="P474" s="7">
        <f t="shared" si="37"/>
        <v>1.5000000000000002</v>
      </c>
      <c r="Q474" s="7">
        <f t="shared" si="37"/>
        <v>3.5000000000000004</v>
      </c>
      <c r="R474" s="6">
        <f t="shared" si="38"/>
        <v>968.63099999999997</v>
      </c>
      <c r="S474" s="6">
        <f t="shared" si="40"/>
        <v>2.4777240768000006E-2</v>
      </c>
      <c r="T474" t="str">
        <f t="shared" si="39"/>
        <v>Cumaru S4S E4E 2x4 Long</v>
      </c>
    </row>
    <row r="475" spans="1:20" x14ac:dyDescent="0.25">
      <c r="A475" t="s">
        <v>531</v>
      </c>
      <c r="B475" t="s">
        <v>793</v>
      </c>
      <c r="C475" t="s">
        <v>524</v>
      </c>
      <c r="D475" t="s">
        <v>438</v>
      </c>
      <c r="E475" t="s">
        <v>811</v>
      </c>
      <c r="F475" t="s">
        <v>795</v>
      </c>
      <c r="G475" t="s">
        <v>531</v>
      </c>
      <c r="H475" t="s">
        <v>373</v>
      </c>
      <c r="I475" t="s">
        <v>289</v>
      </c>
      <c r="J475" t="s">
        <v>796</v>
      </c>
      <c r="K475">
        <v>3</v>
      </c>
      <c r="L475" s="6">
        <v>0.91439999999999999</v>
      </c>
      <c r="M475" s="7">
        <v>38.1</v>
      </c>
      <c r="N475" s="7">
        <v>88.9</v>
      </c>
      <c r="O475" s="7">
        <f t="shared" si="36"/>
        <v>36</v>
      </c>
      <c r="P475" s="7">
        <f t="shared" si="37"/>
        <v>1.5000000000000002</v>
      </c>
      <c r="Q475" s="7">
        <f t="shared" si="37"/>
        <v>3.5000000000000004</v>
      </c>
      <c r="R475" s="6">
        <f t="shared" si="38"/>
        <v>968.63099999999997</v>
      </c>
      <c r="S475" s="6">
        <f t="shared" si="40"/>
        <v>3.0971550959999999E-3</v>
      </c>
      <c r="T475" t="str">
        <f t="shared" si="39"/>
        <v>Cumaru S4S E4E 2x4 Short</v>
      </c>
    </row>
    <row r="476" spans="1:20" x14ac:dyDescent="0.25">
      <c r="A476" t="s">
        <v>531</v>
      </c>
      <c r="B476" t="s">
        <v>793</v>
      </c>
      <c r="C476" t="s">
        <v>524</v>
      </c>
      <c r="D476" t="s">
        <v>438</v>
      </c>
      <c r="E476" t="s">
        <v>812</v>
      </c>
      <c r="F476" t="s">
        <v>795</v>
      </c>
      <c r="G476" t="s">
        <v>531</v>
      </c>
      <c r="H476" t="s">
        <v>373</v>
      </c>
      <c r="I476" t="s">
        <v>289</v>
      </c>
      <c r="J476" t="s">
        <v>796</v>
      </c>
      <c r="K476">
        <v>4</v>
      </c>
      <c r="L476" s="6">
        <v>1.2192000000000001</v>
      </c>
      <c r="M476" s="7">
        <v>38.1</v>
      </c>
      <c r="N476" s="7">
        <v>88.9</v>
      </c>
      <c r="O476" s="7">
        <f t="shared" si="36"/>
        <v>48.000000000000007</v>
      </c>
      <c r="P476" s="7">
        <f t="shared" si="37"/>
        <v>1.5000000000000002</v>
      </c>
      <c r="Q476" s="7">
        <f t="shared" si="37"/>
        <v>3.5000000000000004</v>
      </c>
      <c r="R476" s="6">
        <f t="shared" si="38"/>
        <v>968.63099999999997</v>
      </c>
      <c r="S476" s="6">
        <f t="shared" si="40"/>
        <v>4.1295401280000005E-3</v>
      </c>
      <c r="T476" t="str">
        <f t="shared" si="39"/>
        <v>Cumaru S4S E4E 2x4 Short</v>
      </c>
    </row>
    <row r="477" spans="1:20" x14ac:dyDescent="0.25">
      <c r="A477" t="s">
        <v>531</v>
      </c>
      <c r="B477" t="s">
        <v>793</v>
      </c>
      <c r="C477" t="s">
        <v>524</v>
      </c>
      <c r="D477" t="s">
        <v>438</v>
      </c>
      <c r="E477" t="s">
        <v>813</v>
      </c>
      <c r="F477" t="s">
        <v>795</v>
      </c>
      <c r="G477" t="s">
        <v>531</v>
      </c>
      <c r="H477" t="s">
        <v>373</v>
      </c>
      <c r="I477" t="s">
        <v>289</v>
      </c>
      <c r="J477" t="s">
        <v>796</v>
      </c>
      <c r="K477">
        <v>5</v>
      </c>
      <c r="L477" s="6">
        <v>1.524</v>
      </c>
      <c r="M477" s="7">
        <v>38.1</v>
      </c>
      <c r="N477" s="7">
        <v>88.9</v>
      </c>
      <c r="O477" s="7">
        <f t="shared" si="36"/>
        <v>60</v>
      </c>
      <c r="P477" s="7">
        <f t="shared" si="37"/>
        <v>1.5000000000000002</v>
      </c>
      <c r="Q477" s="7">
        <f t="shared" si="37"/>
        <v>3.5000000000000004</v>
      </c>
      <c r="R477" s="6">
        <f t="shared" si="38"/>
        <v>968.63099999999997</v>
      </c>
      <c r="S477" s="6">
        <f t="shared" si="40"/>
        <v>5.1619251600000006E-3</v>
      </c>
      <c r="T477" t="str">
        <f t="shared" si="39"/>
        <v>Cumaru S4S E4E 2x4 Short</v>
      </c>
    </row>
    <row r="478" spans="1:20" x14ac:dyDescent="0.25">
      <c r="A478" t="s">
        <v>531</v>
      </c>
      <c r="B478" t="s">
        <v>793</v>
      </c>
      <c r="C478" t="s">
        <v>524</v>
      </c>
      <c r="D478" t="s">
        <v>438</v>
      </c>
      <c r="E478" t="s">
        <v>814</v>
      </c>
      <c r="F478" t="s">
        <v>795</v>
      </c>
      <c r="G478" t="s">
        <v>531</v>
      </c>
      <c r="H478" t="s">
        <v>373</v>
      </c>
      <c r="I478" t="s">
        <v>289</v>
      </c>
      <c r="J478" t="s">
        <v>796</v>
      </c>
      <c r="K478">
        <v>6</v>
      </c>
      <c r="L478" s="6">
        <v>1.8288</v>
      </c>
      <c r="M478" s="7">
        <v>38.1</v>
      </c>
      <c r="N478" s="7">
        <v>88.9</v>
      </c>
      <c r="O478" s="7">
        <f t="shared" si="36"/>
        <v>72</v>
      </c>
      <c r="P478" s="7">
        <f t="shared" si="37"/>
        <v>1.5000000000000002</v>
      </c>
      <c r="Q478" s="7">
        <f t="shared" si="37"/>
        <v>3.5000000000000004</v>
      </c>
      <c r="R478" s="6">
        <f t="shared" si="38"/>
        <v>968.63099999999997</v>
      </c>
      <c r="S478" s="6">
        <f t="shared" si="40"/>
        <v>6.1943101919999998E-3</v>
      </c>
      <c r="T478" t="str">
        <f t="shared" si="39"/>
        <v>Cumaru S4S E4E 2x4 Short</v>
      </c>
    </row>
    <row r="479" spans="1:20" x14ac:dyDescent="0.25">
      <c r="A479" t="s">
        <v>531</v>
      </c>
      <c r="B479" t="s">
        <v>793</v>
      </c>
      <c r="C479" t="s">
        <v>524</v>
      </c>
      <c r="D479" t="s">
        <v>438</v>
      </c>
      <c r="E479" t="s">
        <v>815</v>
      </c>
      <c r="F479" t="s">
        <v>795</v>
      </c>
      <c r="G479" t="s">
        <v>531</v>
      </c>
      <c r="H479" t="s">
        <v>373</v>
      </c>
      <c r="I479" t="s">
        <v>289</v>
      </c>
      <c r="J479" t="s">
        <v>796</v>
      </c>
      <c r="K479">
        <v>7</v>
      </c>
      <c r="L479" s="6">
        <v>2.1335999999999999</v>
      </c>
      <c r="M479" s="7">
        <v>38.1</v>
      </c>
      <c r="N479" s="7">
        <v>88.9</v>
      </c>
      <c r="O479" s="7">
        <f t="shared" si="36"/>
        <v>84</v>
      </c>
      <c r="P479" s="7">
        <f t="shared" si="37"/>
        <v>1.5000000000000002</v>
      </c>
      <c r="Q479" s="7">
        <f t="shared" si="37"/>
        <v>3.5000000000000004</v>
      </c>
      <c r="R479" s="6">
        <f t="shared" si="38"/>
        <v>968.63099999999997</v>
      </c>
      <c r="S479" s="6">
        <f t="shared" si="40"/>
        <v>7.226695224E-3</v>
      </c>
      <c r="T479" t="str">
        <f t="shared" si="39"/>
        <v>Cumaru S4S E4E 2x4 Short</v>
      </c>
    </row>
    <row r="480" spans="1:20" x14ac:dyDescent="0.25">
      <c r="A480" t="s">
        <v>531</v>
      </c>
      <c r="B480" t="s">
        <v>793</v>
      </c>
      <c r="C480" t="s">
        <v>283</v>
      </c>
      <c r="D480" t="s">
        <v>438</v>
      </c>
      <c r="E480" t="s">
        <v>816</v>
      </c>
      <c r="F480" t="s">
        <v>795</v>
      </c>
      <c r="G480" t="s">
        <v>531</v>
      </c>
      <c r="H480" t="s">
        <v>373</v>
      </c>
      <c r="I480" t="s">
        <v>289</v>
      </c>
      <c r="J480" t="s">
        <v>796</v>
      </c>
      <c r="K480">
        <v>8</v>
      </c>
      <c r="L480" s="6">
        <v>2.4384000000000001</v>
      </c>
      <c r="M480" s="7">
        <v>38.1</v>
      </c>
      <c r="N480" s="7">
        <v>88.9</v>
      </c>
      <c r="O480" s="7">
        <f t="shared" si="36"/>
        <v>96.000000000000014</v>
      </c>
      <c r="P480" s="7">
        <f t="shared" si="37"/>
        <v>1.5000000000000002</v>
      </c>
      <c r="Q480" s="7">
        <f t="shared" si="37"/>
        <v>3.5000000000000004</v>
      </c>
      <c r="R480" s="6">
        <f t="shared" si="38"/>
        <v>968.63099999999997</v>
      </c>
      <c r="S480" s="6">
        <f t="shared" si="40"/>
        <v>8.259080256000001E-3</v>
      </c>
      <c r="T480" t="str">
        <f t="shared" si="39"/>
        <v>Cumaru S4S E4E 2x4 Long</v>
      </c>
    </row>
    <row r="481" spans="1:20" x14ac:dyDescent="0.25">
      <c r="A481" t="s">
        <v>531</v>
      </c>
      <c r="B481" t="s">
        <v>793</v>
      </c>
      <c r="C481" t="s">
        <v>283</v>
      </c>
      <c r="D481" t="s">
        <v>438</v>
      </c>
      <c r="E481" t="s">
        <v>817</v>
      </c>
      <c r="F481" t="s">
        <v>795</v>
      </c>
      <c r="G481" t="s">
        <v>531</v>
      </c>
      <c r="H481" t="s">
        <v>373</v>
      </c>
      <c r="I481" t="s">
        <v>289</v>
      </c>
      <c r="J481" t="s">
        <v>796</v>
      </c>
      <c r="K481">
        <v>9</v>
      </c>
      <c r="L481" s="6">
        <v>2.7431999999999999</v>
      </c>
      <c r="M481" s="7">
        <v>38.1</v>
      </c>
      <c r="N481" s="7">
        <v>88.9</v>
      </c>
      <c r="O481" s="7">
        <f t="shared" si="36"/>
        <v>108</v>
      </c>
      <c r="P481" s="7">
        <f t="shared" si="37"/>
        <v>1.5000000000000002</v>
      </c>
      <c r="Q481" s="7">
        <f t="shared" si="37"/>
        <v>3.5000000000000004</v>
      </c>
      <c r="R481" s="6">
        <f t="shared" si="38"/>
        <v>968.63099999999997</v>
      </c>
      <c r="S481" s="6">
        <f t="shared" si="40"/>
        <v>9.2914652880000011E-3</v>
      </c>
      <c r="T481" t="str">
        <f t="shared" si="39"/>
        <v>Cumaru S4S E4E 2x4 Long</v>
      </c>
    </row>
    <row r="482" spans="1:20" x14ac:dyDescent="0.25">
      <c r="A482" t="s">
        <v>531</v>
      </c>
      <c r="B482" t="s">
        <v>818</v>
      </c>
      <c r="C482" t="s">
        <v>283</v>
      </c>
      <c r="D482" t="s">
        <v>438</v>
      </c>
      <c r="E482" t="s">
        <v>819</v>
      </c>
      <c r="F482" t="s">
        <v>820</v>
      </c>
      <c r="G482" t="s">
        <v>531</v>
      </c>
      <c r="H482" t="s">
        <v>373</v>
      </c>
      <c r="I482" t="s">
        <v>289</v>
      </c>
      <c r="J482" t="s">
        <v>821</v>
      </c>
      <c r="K482">
        <v>10</v>
      </c>
      <c r="L482" s="6">
        <v>3.048</v>
      </c>
      <c r="M482" s="7">
        <v>38.1</v>
      </c>
      <c r="N482" s="7">
        <v>139.69999999999999</v>
      </c>
      <c r="O482" s="7">
        <f t="shared" si="36"/>
        <v>120</v>
      </c>
      <c r="P482" s="7">
        <f t="shared" si="37"/>
        <v>1.5000000000000002</v>
      </c>
      <c r="Q482" s="7">
        <f t="shared" si="37"/>
        <v>5.5</v>
      </c>
      <c r="R482" s="6">
        <f t="shared" si="38"/>
        <v>616.40099999999995</v>
      </c>
      <c r="S482" s="6">
        <f t="shared" si="40"/>
        <v>1.6223193359999999E-2</v>
      </c>
      <c r="T482" t="str">
        <f t="shared" si="39"/>
        <v>Cumaru S4S E4E 2x6 Long</v>
      </c>
    </row>
    <row r="483" spans="1:20" x14ac:dyDescent="0.25">
      <c r="A483" t="s">
        <v>531</v>
      </c>
      <c r="B483" t="s">
        <v>818</v>
      </c>
      <c r="C483" t="s">
        <v>283</v>
      </c>
      <c r="D483" t="s">
        <v>438</v>
      </c>
      <c r="E483" t="s">
        <v>822</v>
      </c>
      <c r="F483" t="s">
        <v>820</v>
      </c>
      <c r="G483" t="s">
        <v>531</v>
      </c>
      <c r="H483" t="s">
        <v>373</v>
      </c>
      <c r="I483" t="s">
        <v>289</v>
      </c>
      <c r="J483" t="s">
        <v>821</v>
      </c>
      <c r="K483">
        <v>11</v>
      </c>
      <c r="L483" s="6">
        <v>3.3527999999999998</v>
      </c>
      <c r="M483" s="7">
        <v>38.1</v>
      </c>
      <c r="N483" s="7">
        <v>139.69999999999999</v>
      </c>
      <c r="O483" s="7">
        <f t="shared" si="36"/>
        <v>132</v>
      </c>
      <c r="P483" s="7">
        <f t="shared" si="37"/>
        <v>1.5000000000000002</v>
      </c>
      <c r="Q483" s="7">
        <f t="shared" si="37"/>
        <v>5.5</v>
      </c>
      <c r="R483" s="6">
        <f t="shared" si="38"/>
        <v>616.40099999999995</v>
      </c>
      <c r="S483" s="6">
        <f t="shared" si="40"/>
        <v>1.7845512695999998E-2</v>
      </c>
      <c r="T483" t="str">
        <f t="shared" si="39"/>
        <v>Cumaru S4S E4E 2x6 Long</v>
      </c>
    </row>
    <row r="484" spans="1:20" x14ac:dyDescent="0.25">
      <c r="A484" t="s">
        <v>531</v>
      </c>
      <c r="B484" t="s">
        <v>818</v>
      </c>
      <c r="C484" t="s">
        <v>283</v>
      </c>
      <c r="D484" t="s">
        <v>438</v>
      </c>
      <c r="E484" t="s">
        <v>823</v>
      </c>
      <c r="F484" t="s">
        <v>820</v>
      </c>
      <c r="G484" t="s">
        <v>531</v>
      </c>
      <c r="H484" t="s">
        <v>373</v>
      </c>
      <c r="I484" t="s">
        <v>289</v>
      </c>
      <c r="J484" t="s">
        <v>821</v>
      </c>
      <c r="K484">
        <v>12</v>
      </c>
      <c r="L484" s="6">
        <v>3.6576</v>
      </c>
      <c r="M484" s="7">
        <v>38.1</v>
      </c>
      <c r="N484" s="7">
        <v>139.69999999999999</v>
      </c>
      <c r="O484" s="7">
        <f t="shared" si="36"/>
        <v>144</v>
      </c>
      <c r="P484" s="7">
        <f t="shared" si="37"/>
        <v>1.5000000000000002</v>
      </c>
      <c r="Q484" s="7">
        <f t="shared" si="37"/>
        <v>5.5</v>
      </c>
      <c r="R484" s="6">
        <f t="shared" si="38"/>
        <v>616.40099999999995</v>
      </c>
      <c r="S484" s="6">
        <f t="shared" si="40"/>
        <v>1.9467832031999997E-2</v>
      </c>
      <c r="T484" t="str">
        <f t="shared" si="39"/>
        <v>Cumaru S4S E4E 2x6 Long</v>
      </c>
    </row>
    <row r="485" spans="1:20" x14ac:dyDescent="0.25">
      <c r="A485" t="s">
        <v>531</v>
      </c>
      <c r="B485" t="s">
        <v>818</v>
      </c>
      <c r="C485" t="s">
        <v>283</v>
      </c>
      <c r="D485" t="s">
        <v>438</v>
      </c>
      <c r="E485" t="s">
        <v>824</v>
      </c>
      <c r="F485" t="s">
        <v>820</v>
      </c>
      <c r="G485" t="s">
        <v>531</v>
      </c>
      <c r="H485" t="s">
        <v>373</v>
      </c>
      <c r="I485" t="s">
        <v>289</v>
      </c>
      <c r="J485" t="s">
        <v>821</v>
      </c>
      <c r="K485">
        <v>13</v>
      </c>
      <c r="L485" s="6">
        <v>3.9624000000000001</v>
      </c>
      <c r="M485" s="7">
        <v>38.1</v>
      </c>
      <c r="N485" s="7">
        <v>139.69999999999999</v>
      </c>
      <c r="O485" s="7">
        <f t="shared" si="36"/>
        <v>156</v>
      </c>
      <c r="P485" s="7">
        <f t="shared" si="37"/>
        <v>1.5000000000000002</v>
      </c>
      <c r="Q485" s="7">
        <f t="shared" si="37"/>
        <v>5.5</v>
      </c>
      <c r="R485" s="6">
        <f t="shared" si="38"/>
        <v>616.40099999999995</v>
      </c>
      <c r="S485" s="6">
        <f t="shared" si="40"/>
        <v>2.1090151368E-2</v>
      </c>
      <c r="T485" t="str">
        <f t="shared" si="39"/>
        <v>Cumaru S4S E4E 2x6 Long</v>
      </c>
    </row>
    <row r="486" spans="1:20" x14ac:dyDescent="0.25">
      <c r="A486" t="s">
        <v>531</v>
      </c>
      <c r="B486" t="s">
        <v>818</v>
      </c>
      <c r="C486" t="s">
        <v>283</v>
      </c>
      <c r="D486" t="s">
        <v>438</v>
      </c>
      <c r="E486" t="s">
        <v>825</v>
      </c>
      <c r="F486" t="s">
        <v>820</v>
      </c>
      <c r="G486" t="s">
        <v>531</v>
      </c>
      <c r="H486" t="s">
        <v>373</v>
      </c>
      <c r="I486" t="s">
        <v>289</v>
      </c>
      <c r="J486" t="s">
        <v>821</v>
      </c>
      <c r="K486">
        <v>14</v>
      </c>
      <c r="L486" s="6">
        <v>4.2671999999999999</v>
      </c>
      <c r="M486" s="7">
        <v>38.1</v>
      </c>
      <c r="N486" s="7">
        <v>139.69999999999999</v>
      </c>
      <c r="O486" s="7">
        <f t="shared" si="36"/>
        <v>168</v>
      </c>
      <c r="P486" s="7">
        <f t="shared" si="37"/>
        <v>1.5000000000000002</v>
      </c>
      <c r="Q486" s="7">
        <f t="shared" si="37"/>
        <v>5.5</v>
      </c>
      <c r="R486" s="6">
        <f t="shared" si="38"/>
        <v>616.40099999999995</v>
      </c>
      <c r="S486" s="6">
        <f t="shared" si="40"/>
        <v>2.2712470703999999E-2</v>
      </c>
      <c r="T486" t="str">
        <f t="shared" si="39"/>
        <v>Cumaru S4S E4E 2x6 Long</v>
      </c>
    </row>
    <row r="487" spans="1:20" x14ac:dyDescent="0.25">
      <c r="A487" t="s">
        <v>531</v>
      </c>
      <c r="B487" t="s">
        <v>818</v>
      </c>
      <c r="C487" t="s">
        <v>283</v>
      </c>
      <c r="D487" t="s">
        <v>438</v>
      </c>
      <c r="E487" t="s">
        <v>826</v>
      </c>
      <c r="F487" t="s">
        <v>820</v>
      </c>
      <c r="G487" t="s">
        <v>531</v>
      </c>
      <c r="H487" t="s">
        <v>373</v>
      </c>
      <c r="I487" t="s">
        <v>289</v>
      </c>
      <c r="J487" t="s">
        <v>821</v>
      </c>
      <c r="K487">
        <v>15</v>
      </c>
      <c r="L487" s="6">
        <v>4.5720000000000001</v>
      </c>
      <c r="M487" s="7">
        <v>38.1</v>
      </c>
      <c r="N487" s="7">
        <v>139.69999999999999</v>
      </c>
      <c r="O487" s="7">
        <f t="shared" si="36"/>
        <v>180</v>
      </c>
      <c r="P487" s="7">
        <f t="shared" si="37"/>
        <v>1.5000000000000002</v>
      </c>
      <c r="Q487" s="7">
        <f t="shared" si="37"/>
        <v>5.5</v>
      </c>
      <c r="R487" s="6">
        <f t="shared" si="38"/>
        <v>616.40099999999995</v>
      </c>
      <c r="S487" s="6">
        <f t="shared" si="40"/>
        <v>2.4334790040000002E-2</v>
      </c>
      <c r="T487" t="str">
        <f t="shared" si="39"/>
        <v>Cumaru S4S E4E 2x6 Long</v>
      </c>
    </row>
    <row r="488" spans="1:20" x14ac:dyDescent="0.25">
      <c r="A488" t="s">
        <v>531</v>
      </c>
      <c r="B488" t="s">
        <v>818</v>
      </c>
      <c r="C488" t="s">
        <v>283</v>
      </c>
      <c r="D488" t="s">
        <v>438</v>
      </c>
      <c r="E488" t="s">
        <v>827</v>
      </c>
      <c r="F488" t="s">
        <v>820</v>
      </c>
      <c r="G488" t="s">
        <v>531</v>
      </c>
      <c r="H488" t="s">
        <v>373</v>
      </c>
      <c r="I488" t="s">
        <v>289</v>
      </c>
      <c r="J488" t="s">
        <v>821</v>
      </c>
      <c r="K488">
        <v>16</v>
      </c>
      <c r="L488" s="6">
        <v>4.8768000000000002</v>
      </c>
      <c r="M488" s="7">
        <v>38.1</v>
      </c>
      <c r="N488" s="7">
        <v>139.69999999999999</v>
      </c>
      <c r="O488" s="7">
        <f t="shared" si="36"/>
        <v>192.00000000000003</v>
      </c>
      <c r="P488" s="7">
        <f t="shared" si="37"/>
        <v>1.5000000000000002</v>
      </c>
      <c r="Q488" s="7">
        <f t="shared" si="37"/>
        <v>5.5</v>
      </c>
      <c r="R488" s="6">
        <f t="shared" si="38"/>
        <v>616.40099999999995</v>
      </c>
      <c r="S488" s="6">
        <f t="shared" si="40"/>
        <v>2.5957109375999998E-2</v>
      </c>
      <c r="T488" t="str">
        <f t="shared" si="39"/>
        <v>Cumaru S4S E4E 2x6 Long</v>
      </c>
    </row>
    <row r="489" spans="1:20" x14ac:dyDescent="0.25">
      <c r="A489" t="s">
        <v>531</v>
      </c>
      <c r="B489" t="s">
        <v>818</v>
      </c>
      <c r="C489" t="s">
        <v>283</v>
      </c>
      <c r="D489" t="s">
        <v>438</v>
      </c>
      <c r="E489" t="s">
        <v>828</v>
      </c>
      <c r="F489" t="s">
        <v>820</v>
      </c>
      <c r="G489" t="s">
        <v>531</v>
      </c>
      <c r="H489" t="s">
        <v>373</v>
      </c>
      <c r="I489" t="s">
        <v>289</v>
      </c>
      <c r="J489" t="s">
        <v>821</v>
      </c>
      <c r="K489">
        <v>17</v>
      </c>
      <c r="L489" s="6">
        <v>5.1816000000000004</v>
      </c>
      <c r="M489" s="7">
        <v>38.1</v>
      </c>
      <c r="N489" s="7">
        <v>139.69999999999999</v>
      </c>
      <c r="O489" s="7">
        <f t="shared" si="36"/>
        <v>204.00000000000003</v>
      </c>
      <c r="P489" s="7">
        <f t="shared" si="37"/>
        <v>1.5000000000000002</v>
      </c>
      <c r="Q489" s="7">
        <f t="shared" si="37"/>
        <v>5.5</v>
      </c>
      <c r="R489" s="6">
        <f t="shared" si="38"/>
        <v>616.40099999999995</v>
      </c>
      <c r="S489" s="6">
        <f t="shared" si="40"/>
        <v>2.7579428712000004E-2</v>
      </c>
      <c r="T489" t="str">
        <f t="shared" si="39"/>
        <v>Cumaru S4S E4E 2x6 Long</v>
      </c>
    </row>
    <row r="490" spans="1:20" x14ac:dyDescent="0.25">
      <c r="A490" t="s">
        <v>531</v>
      </c>
      <c r="B490" t="s">
        <v>818</v>
      </c>
      <c r="C490" t="s">
        <v>283</v>
      </c>
      <c r="D490" t="s">
        <v>438</v>
      </c>
      <c r="E490" t="s">
        <v>829</v>
      </c>
      <c r="F490" t="s">
        <v>820</v>
      </c>
      <c r="G490" t="s">
        <v>531</v>
      </c>
      <c r="H490" t="s">
        <v>373</v>
      </c>
      <c r="I490" t="s">
        <v>289</v>
      </c>
      <c r="J490" t="s">
        <v>821</v>
      </c>
      <c r="K490">
        <v>18</v>
      </c>
      <c r="L490" s="6">
        <v>5.4863999999999997</v>
      </c>
      <c r="M490" s="7">
        <v>38.1</v>
      </c>
      <c r="N490" s="7">
        <v>139.69999999999999</v>
      </c>
      <c r="O490" s="7">
        <f t="shared" si="36"/>
        <v>216</v>
      </c>
      <c r="P490" s="7">
        <f t="shared" si="37"/>
        <v>1.5000000000000002</v>
      </c>
      <c r="Q490" s="7">
        <f t="shared" si="37"/>
        <v>5.5</v>
      </c>
      <c r="R490" s="6">
        <f t="shared" si="38"/>
        <v>616.40099999999995</v>
      </c>
      <c r="S490" s="6">
        <f t="shared" si="40"/>
        <v>2.9201748047999999E-2</v>
      </c>
      <c r="T490" t="str">
        <f t="shared" si="39"/>
        <v>Cumaru S4S E4E 2x6 Long</v>
      </c>
    </row>
    <row r="491" spans="1:20" x14ac:dyDescent="0.25">
      <c r="A491" t="s">
        <v>531</v>
      </c>
      <c r="B491" t="s">
        <v>818</v>
      </c>
      <c r="C491" t="s">
        <v>283</v>
      </c>
      <c r="D491" t="s">
        <v>438</v>
      </c>
      <c r="E491" t="s">
        <v>830</v>
      </c>
      <c r="F491" t="s">
        <v>820</v>
      </c>
      <c r="G491" t="s">
        <v>531</v>
      </c>
      <c r="H491" t="s">
        <v>373</v>
      </c>
      <c r="I491" t="s">
        <v>289</v>
      </c>
      <c r="J491" t="s">
        <v>821</v>
      </c>
      <c r="K491">
        <v>19</v>
      </c>
      <c r="L491" s="6">
        <v>5.7911999999999999</v>
      </c>
      <c r="M491" s="7">
        <v>38.1</v>
      </c>
      <c r="N491" s="7">
        <v>139.69999999999999</v>
      </c>
      <c r="O491" s="7">
        <f t="shared" si="36"/>
        <v>228</v>
      </c>
      <c r="P491" s="7">
        <f t="shared" si="37"/>
        <v>1.5000000000000002</v>
      </c>
      <c r="Q491" s="7">
        <f t="shared" si="37"/>
        <v>5.5</v>
      </c>
      <c r="R491" s="6">
        <f t="shared" si="38"/>
        <v>616.40099999999995</v>
      </c>
      <c r="S491" s="6">
        <f t="shared" si="40"/>
        <v>3.0824067383999999E-2</v>
      </c>
      <c r="T491" t="str">
        <f t="shared" si="39"/>
        <v>Cumaru S4S E4E 2x6 Long</v>
      </c>
    </row>
    <row r="492" spans="1:20" x14ac:dyDescent="0.25">
      <c r="A492" t="s">
        <v>531</v>
      </c>
      <c r="B492" t="s">
        <v>818</v>
      </c>
      <c r="C492" t="s">
        <v>283</v>
      </c>
      <c r="D492" t="s">
        <v>438</v>
      </c>
      <c r="E492" t="s">
        <v>831</v>
      </c>
      <c r="F492" t="s">
        <v>820</v>
      </c>
      <c r="G492" t="s">
        <v>531</v>
      </c>
      <c r="H492" t="s">
        <v>373</v>
      </c>
      <c r="I492" t="s">
        <v>289</v>
      </c>
      <c r="J492" t="s">
        <v>821</v>
      </c>
      <c r="K492">
        <v>20</v>
      </c>
      <c r="L492" s="6">
        <v>6.0960000000000001</v>
      </c>
      <c r="M492" s="7">
        <v>38.1</v>
      </c>
      <c r="N492" s="7">
        <v>139.69999999999999</v>
      </c>
      <c r="O492" s="7">
        <f t="shared" si="36"/>
        <v>240</v>
      </c>
      <c r="P492" s="7">
        <f t="shared" si="37"/>
        <v>1.5000000000000002</v>
      </c>
      <c r="Q492" s="7">
        <f t="shared" si="37"/>
        <v>5.5</v>
      </c>
      <c r="R492" s="6">
        <f t="shared" si="38"/>
        <v>616.40099999999995</v>
      </c>
      <c r="S492" s="6">
        <f t="shared" si="40"/>
        <v>3.2446386719999998E-2</v>
      </c>
      <c r="T492" t="str">
        <f t="shared" si="39"/>
        <v>Cumaru S4S E4E 2x6 Long</v>
      </c>
    </row>
    <row r="493" spans="1:20" x14ac:dyDescent="0.25">
      <c r="A493" t="s">
        <v>531</v>
      </c>
      <c r="B493" t="s">
        <v>818</v>
      </c>
      <c r="C493" t="s">
        <v>283</v>
      </c>
      <c r="D493" t="s">
        <v>438</v>
      </c>
      <c r="E493" t="s">
        <v>832</v>
      </c>
      <c r="F493" t="s">
        <v>820</v>
      </c>
      <c r="G493" t="s">
        <v>531</v>
      </c>
      <c r="H493" t="s">
        <v>373</v>
      </c>
      <c r="I493" t="s">
        <v>289</v>
      </c>
      <c r="J493" t="s">
        <v>821</v>
      </c>
      <c r="K493">
        <v>21</v>
      </c>
      <c r="L493" s="6">
        <v>6.4008000000000003</v>
      </c>
      <c r="M493" s="7">
        <v>38.1</v>
      </c>
      <c r="N493" s="7">
        <v>139.69999999999999</v>
      </c>
      <c r="O493" s="7">
        <f t="shared" si="36"/>
        <v>252.00000000000003</v>
      </c>
      <c r="P493" s="7">
        <f t="shared" si="37"/>
        <v>1.5000000000000002</v>
      </c>
      <c r="Q493" s="7">
        <f t="shared" si="37"/>
        <v>5.5</v>
      </c>
      <c r="R493" s="6">
        <f t="shared" si="38"/>
        <v>616.40099999999995</v>
      </c>
      <c r="S493" s="6">
        <f t="shared" si="40"/>
        <v>3.4068706056E-2</v>
      </c>
      <c r="T493" t="str">
        <f t="shared" si="39"/>
        <v>Cumaru S4S E4E 2x6 Long</v>
      </c>
    </row>
    <row r="494" spans="1:20" x14ac:dyDescent="0.25">
      <c r="A494" t="s">
        <v>531</v>
      </c>
      <c r="B494" t="s">
        <v>818</v>
      </c>
      <c r="C494" t="s">
        <v>283</v>
      </c>
      <c r="D494" t="s">
        <v>438</v>
      </c>
      <c r="E494" t="s">
        <v>833</v>
      </c>
      <c r="F494" t="s">
        <v>820</v>
      </c>
      <c r="G494" t="s">
        <v>531</v>
      </c>
      <c r="H494" t="s">
        <v>373</v>
      </c>
      <c r="I494" t="s">
        <v>289</v>
      </c>
      <c r="J494" t="s">
        <v>821</v>
      </c>
      <c r="K494">
        <v>22</v>
      </c>
      <c r="L494" s="6">
        <v>6.7055999999999996</v>
      </c>
      <c r="M494" s="7">
        <v>38.1</v>
      </c>
      <c r="N494" s="7">
        <v>139.69999999999999</v>
      </c>
      <c r="O494" s="7">
        <f t="shared" si="36"/>
        <v>264</v>
      </c>
      <c r="P494" s="7">
        <f t="shared" si="37"/>
        <v>1.5000000000000002</v>
      </c>
      <c r="Q494" s="7">
        <f t="shared" si="37"/>
        <v>5.5</v>
      </c>
      <c r="R494" s="6">
        <f t="shared" si="38"/>
        <v>616.40099999999995</v>
      </c>
      <c r="S494" s="6">
        <f t="shared" si="40"/>
        <v>3.5691025391999996E-2</v>
      </c>
      <c r="T494" t="str">
        <f t="shared" si="39"/>
        <v>Cumaru S4S E4E 2x6 Long</v>
      </c>
    </row>
    <row r="495" spans="1:20" x14ac:dyDescent="0.25">
      <c r="A495" t="s">
        <v>531</v>
      </c>
      <c r="B495" t="s">
        <v>818</v>
      </c>
      <c r="C495" t="s">
        <v>283</v>
      </c>
      <c r="D495" t="s">
        <v>438</v>
      </c>
      <c r="E495" t="s">
        <v>834</v>
      </c>
      <c r="F495" t="s">
        <v>820</v>
      </c>
      <c r="G495" t="s">
        <v>531</v>
      </c>
      <c r="H495" t="s">
        <v>373</v>
      </c>
      <c r="I495" t="s">
        <v>289</v>
      </c>
      <c r="J495" t="s">
        <v>821</v>
      </c>
      <c r="K495">
        <v>23</v>
      </c>
      <c r="L495" s="6">
        <v>7.0103999999999997</v>
      </c>
      <c r="M495" s="7">
        <v>38.1</v>
      </c>
      <c r="N495" s="7">
        <v>139.69999999999999</v>
      </c>
      <c r="O495" s="7">
        <f t="shared" si="36"/>
        <v>276</v>
      </c>
      <c r="P495" s="7">
        <f t="shared" si="37"/>
        <v>1.5000000000000002</v>
      </c>
      <c r="Q495" s="7">
        <f t="shared" si="37"/>
        <v>5.5</v>
      </c>
      <c r="R495" s="6">
        <f t="shared" si="38"/>
        <v>616.40099999999995</v>
      </c>
      <c r="S495" s="6">
        <f t="shared" si="40"/>
        <v>3.7313344728000006E-2</v>
      </c>
      <c r="T495" t="str">
        <f t="shared" si="39"/>
        <v>Cumaru S4S E4E 2x6 Long</v>
      </c>
    </row>
    <row r="496" spans="1:20" x14ac:dyDescent="0.25">
      <c r="A496" t="s">
        <v>531</v>
      </c>
      <c r="B496" t="s">
        <v>818</v>
      </c>
      <c r="C496" t="s">
        <v>283</v>
      </c>
      <c r="D496" t="s">
        <v>438</v>
      </c>
      <c r="E496" t="s">
        <v>835</v>
      </c>
      <c r="F496" t="s">
        <v>820</v>
      </c>
      <c r="G496" t="s">
        <v>531</v>
      </c>
      <c r="H496" t="s">
        <v>373</v>
      </c>
      <c r="I496" t="s">
        <v>289</v>
      </c>
      <c r="J496" t="s">
        <v>821</v>
      </c>
      <c r="K496">
        <v>24</v>
      </c>
      <c r="L496" s="6">
        <v>7.3152000000000008</v>
      </c>
      <c r="M496" s="7">
        <v>38.1</v>
      </c>
      <c r="N496" s="7">
        <v>139.69999999999999</v>
      </c>
      <c r="O496" s="7">
        <f t="shared" si="36"/>
        <v>288.00000000000006</v>
      </c>
      <c r="P496" s="7">
        <f t="shared" si="37"/>
        <v>1.5000000000000002</v>
      </c>
      <c r="Q496" s="7">
        <f t="shared" si="37"/>
        <v>5.5</v>
      </c>
      <c r="R496" s="6">
        <f t="shared" si="38"/>
        <v>616.40099999999995</v>
      </c>
      <c r="S496" s="6">
        <f t="shared" si="40"/>
        <v>3.8935664064000002E-2</v>
      </c>
      <c r="T496" t="str">
        <f t="shared" si="39"/>
        <v>Cumaru S4S E4E 2x6 Long</v>
      </c>
    </row>
    <row r="497" spans="1:20" x14ac:dyDescent="0.25">
      <c r="A497" t="s">
        <v>531</v>
      </c>
      <c r="B497" t="s">
        <v>818</v>
      </c>
      <c r="C497" t="s">
        <v>524</v>
      </c>
      <c r="D497" t="s">
        <v>438</v>
      </c>
      <c r="E497" t="s">
        <v>836</v>
      </c>
      <c r="F497" t="s">
        <v>820</v>
      </c>
      <c r="G497" t="s">
        <v>531</v>
      </c>
      <c r="H497" t="s">
        <v>373</v>
      </c>
      <c r="I497" t="s">
        <v>289</v>
      </c>
      <c r="J497" t="s">
        <v>821</v>
      </c>
      <c r="K497">
        <v>3</v>
      </c>
      <c r="L497" s="6">
        <v>0.91439999999999999</v>
      </c>
      <c r="M497" s="7">
        <v>38.1</v>
      </c>
      <c r="N497" s="7">
        <v>139.69999999999999</v>
      </c>
      <c r="O497" s="7">
        <f t="shared" si="36"/>
        <v>36</v>
      </c>
      <c r="P497" s="7">
        <f t="shared" si="37"/>
        <v>1.5000000000000002</v>
      </c>
      <c r="Q497" s="7">
        <f t="shared" si="37"/>
        <v>5.5</v>
      </c>
      <c r="R497" s="6">
        <f t="shared" si="38"/>
        <v>616.40099999999995</v>
      </c>
      <c r="S497" s="6">
        <f t="shared" si="40"/>
        <v>4.8669580079999993E-3</v>
      </c>
      <c r="T497" t="str">
        <f t="shared" si="39"/>
        <v>Cumaru S4S E4E 2x6 Short</v>
      </c>
    </row>
    <row r="498" spans="1:20" x14ac:dyDescent="0.25">
      <c r="A498" t="s">
        <v>531</v>
      </c>
      <c r="B498" t="s">
        <v>818</v>
      </c>
      <c r="C498" t="s">
        <v>524</v>
      </c>
      <c r="D498" t="s">
        <v>438</v>
      </c>
      <c r="E498" t="s">
        <v>837</v>
      </c>
      <c r="F498" t="s">
        <v>820</v>
      </c>
      <c r="G498" t="s">
        <v>531</v>
      </c>
      <c r="H498" t="s">
        <v>373</v>
      </c>
      <c r="I498" t="s">
        <v>289</v>
      </c>
      <c r="J498" t="s">
        <v>821</v>
      </c>
      <c r="K498">
        <v>4</v>
      </c>
      <c r="L498" s="6">
        <v>1.2192000000000001</v>
      </c>
      <c r="M498" s="7">
        <v>38.1</v>
      </c>
      <c r="N498" s="7">
        <v>139.69999999999999</v>
      </c>
      <c r="O498" s="7">
        <f t="shared" si="36"/>
        <v>48.000000000000007</v>
      </c>
      <c r="P498" s="7">
        <f t="shared" si="37"/>
        <v>1.5000000000000002</v>
      </c>
      <c r="Q498" s="7">
        <f t="shared" si="37"/>
        <v>5.5</v>
      </c>
      <c r="R498" s="6">
        <f t="shared" si="38"/>
        <v>616.40099999999995</v>
      </c>
      <c r="S498" s="6">
        <f t="shared" si="40"/>
        <v>6.4892773439999994E-3</v>
      </c>
      <c r="T498" t="str">
        <f t="shared" si="39"/>
        <v>Cumaru S4S E4E 2x6 Short</v>
      </c>
    </row>
    <row r="499" spans="1:20" x14ac:dyDescent="0.25">
      <c r="A499" t="s">
        <v>531</v>
      </c>
      <c r="B499" t="s">
        <v>818</v>
      </c>
      <c r="C499" t="s">
        <v>524</v>
      </c>
      <c r="D499" t="s">
        <v>438</v>
      </c>
      <c r="E499" t="s">
        <v>838</v>
      </c>
      <c r="F499" t="s">
        <v>820</v>
      </c>
      <c r="G499" t="s">
        <v>531</v>
      </c>
      <c r="H499" t="s">
        <v>373</v>
      </c>
      <c r="I499" t="s">
        <v>289</v>
      </c>
      <c r="J499" t="s">
        <v>821</v>
      </c>
      <c r="K499">
        <v>5</v>
      </c>
      <c r="L499" s="6">
        <v>1.524</v>
      </c>
      <c r="M499" s="7">
        <v>38.1</v>
      </c>
      <c r="N499" s="7">
        <v>139.69999999999999</v>
      </c>
      <c r="O499" s="7">
        <f t="shared" si="36"/>
        <v>60</v>
      </c>
      <c r="P499" s="7">
        <f t="shared" si="37"/>
        <v>1.5000000000000002</v>
      </c>
      <c r="Q499" s="7">
        <f t="shared" si="37"/>
        <v>5.5</v>
      </c>
      <c r="R499" s="6">
        <f t="shared" si="38"/>
        <v>616.40099999999995</v>
      </c>
      <c r="S499" s="6">
        <f t="shared" si="40"/>
        <v>8.1115966799999994E-3</v>
      </c>
      <c r="T499" t="str">
        <f t="shared" si="39"/>
        <v>Cumaru S4S E4E 2x6 Short</v>
      </c>
    </row>
    <row r="500" spans="1:20" x14ac:dyDescent="0.25">
      <c r="A500" t="s">
        <v>531</v>
      </c>
      <c r="B500" t="s">
        <v>818</v>
      </c>
      <c r="C500" t="s">
        <v>524</v>
      </c>
      <c r="D500" t="s">
        <v>438</v>
      </c>
      <c r="E500" t="s">
        <v>839</v>
      </c>
      <c r="F500" t="s">
        <v>820</v>
      </c>
      <c r="G500" t="s">
        <v>531</v>
      </c>
      <c r="H500" t="s">
        <v>373</v>
      </c>
      <c r="I500" t="s">
        <v>289</v>
      </c>
      <c r="J500" t="s">
        <v>821</v>
      </c>
      <c r="K500">
        <v>6</v>
      </c>
      <c r="L500" s="6">
        <v>1.8288</v>
      </c>
      <c r="M500" s="7">
        <v>38.1</v>
      </c>
      <c r="N500" s="7">
        <v>139.69999999999999</v>
      </c>
      <c r="O500" s="7">
        <f t="shared" si="36"/>
        <v>72</v>
      </c>
      <c r="P500" s="7">
        <f t="shared" si="37"/>
        <v>1.5000000000000002</v>
      </c>
      <c r="Q500" s="7">
        <f t="shared" si="37"/>
        <v>5.5</v>
      </c>
      <c r="R500" s="6">
        <f t="shared" si="38"/>
        <v>616.40099999999995</v>
      </c>
      <c r="S500" s="6">
        <f t="shared" si="40"/>
        <v>9.7339160159999986E-3</v>
      </c>
      <c r="T500" t="str">
        <f t="shared" si="39"/>
        <v>Cumaru S4S E4E 2x6 Short</v>
      </c>
    </row>
    <row r="501" spans="1:20" x14ac:dyDescent="0.25">
      <c r="A501" t="s">
        <v>531</v>
      </c>
      <c r="B501" t="s">
        <v>818</v>
      </c>
      <c r="C501" t="s">
        <v>524</v>
      </c>
      <c r="D501" t="s">
        <v>438</v>
      </c>
      <c r="E501" t="s">
        <v>840</v>
      </c>
      <c r="F501" t="s">
        <v>820</v>
      </c>
      <c r="G501" t="s">
        <v>531</v>
      </c>
      <c r="H501" t="s">
        <v>373</v>
      </c>
      <c r="I501" t="s">
        <v>289</v>
      </c>
      <c r="J501" t="s">
        <v>821</v>
      </c>
      <c r="K501">
        <v>7</v>
      </c>
      <c r="L501" s="6">
        <v>2.1335999999999999</v>
      </c>
      <c r="M501" s="7">
        <v>38.1</v>
      </c>
      <c r="N501" s="7">
        <v>139.69999999999999</v>
      </c>
      <c r="O501" s="7">
        <f t="shared" si="36"/>
        <v>84</v>
      </c>
      <c r="P501" s="7">
        <f t="shared" si="37"/>
        <v>1.5000000000000002</v>
      </c>
      <c r="Q501" s="7">
        <f t="shared" si="37"/>
        <v>5.5</v>
      </c>
      <c r="R501" s="6">
        <f t="shared" si="38"/>
        <v>616.40099999999995</v>
      </c>
      <c r="S501" s="6">
        <f t="shared" si="40"/>
        <v>1.1356235352E-2</v>
      </c>
      <c r="T501" t="str">
        <f t="shared" si="39"/>
        <v>Cumaru S4S E4E 2x6 Short</v>
      </c>
    </row>
    <row r="502" spans="1:20" x14ac:dyDescent="0.25">
      <c r="A502" t="s">
        <v>531</v>
      </c>
      <c r="B502" t="s">
        <v>818</v>
      </c>
      <c r="C502" t="s">
        <v>283</v>
      </c>
      <c r="D502" t="s">
        <v>438</v>
      </c>
      <c r="E502" t="s">
        <v>841</v>
      </c>
      <c r="F502" t="s">
        <v>820</v>
      </c>
      <c r="G502" t="s">
        <v>531</v>
      </c>
      <c r="H502" t="s">
        <v>373</v>
      </c>
      <c r="I502" t="s">
        <v>289</v>
      </c>
      <c r="J502" t="s">
        <v>821</v>
      </c>
      <c r="K502">
        <v>8</v>
      </c>
      <c r="L502" s="6">
        <v>2.4384000000000001</v>
      </c>
      <c r="M502" s="7">
        <v>38.1</v>
      </c>
      <c r="N502" s="7">
        <v>139.69999999999999</v>
      </c>
      <c r="O502" s="7">
        <f t="shared" si="36"/>
        <v>96.000000000000014</v>
      </c>
      <c r="P502" s="7">
        <f t="shared" si="37"/>
        <v>1.5000000000000002</v>
      </c>
      <c r="Q502" s="7">
        <f t="shared" si="37"/>
        <v>5.5</v>
      </c>
      <c r="R502" s="6">
        <f t="shared" si="38"/>
        <v>616.40099999999995</v>
      </c>
      <c r="S502" s="6">
        <f t="shared" si="40"/>
        <v>1.2978554687999999E-2</v>
      </c>
      <c r="T502" t="str">
        <f t="shared" si="39"/>
        <v>Cumaru S4S E4E 2x6 Long</v>
      </c>
    </row>
    <row r="503" spans="1:20" x14ac:dyDescent="0.25">
      <c r="A503" t="s">
        <v>531</v>
      </c>
      <c r="B503" t="s">
        <v>818</v>
      </c>
      <c r="C503" t="s">
        <v>283</v>
      </c>
      <c r="D503" t="s">
        <v>438</v>
      </c>
      <c r="E503" t="s">
        <v>842</v>
      </c>
      <c r="F503" t="s">
        <v>820</v>
      </c>
      <c r="G503" t="s">
        <v>531</v>
      </c>
      <c r="H503" t="s">
        <v>373</v>
      </c>
      <c r="I503" t="s">
        <v>289</v>
      </c>
      <c r="J503" t="s">
        <v>821</v>
      </c>
      <c r="K503">
        <v>9</v>
      </c>
      <c r="L503" s="6">
        <v>2.7431999999999999</v>
      </c>
      <c r="M503" s="7">
        <v>38.1</v>
      </c>
      <c r="N503" s="7">
        <v>139.69999999999999</v>
      </c>
      <c r="O503" s="7">
        <f t="shared" si="36"/>
        <v>108</v>
      </c>
      <c r="P503" s="7">
        <f t="shared" si="37"/>
        <v>1.5000000000000002</v>
      </c>
      <c r="Q503" s="7">
        <f t="shared" si="37"/>
        <v>5.5</v>
      </c>
      <c r="R503" s="6">
        <f t="shared" si="38"/>
        <v>616.40099999999995</v>
      </c>
      <c r="S503" s="6">
        <f t="shared" si="40"/>
        <v>1.4600874024E-2</v>
      </c>
      <c r="T503" t="str">
        <f t="shared" si="39"/>
        <v>Cumaru S4S E4E 2x6 Long</v>
      </c>
    </row>
    <row r="504" spans="1:20" x14ac:dyDescent="0.25">
      <c r="A504" t="s">
        <v>531</v>
      </c>
      <c r="B504" t="s">
        <v>843</v>
      </c>
      <c r="C504" t="s">
        <v>283</v>
      </c>
      <c r="D504" t="s">
        <v>438</v>
      </c>
      <c r="E504" t="s">
        <v>844</v>
      </c>
      <c r="F504" t="s">
        <v>845</v>
      </c>
      <c r="G504" t="s">
        <v>531</v>
      </c>
      <c r="H504" t="s">
        <v>373</v>
      </c>
      <c r="I504" t="s">
        <v>289</v>
      </c>
      <c r="J504" t="s">
        <v>846</v>
      </c>
      <c r="K504">
        <v>10</v>
      </c>
      <c r="L504" s="6">
        <v>3.048</v>
      </c>
      <c r="M504" s="7">
        <v>38.1</v>
      </c>
      <c r="N504" s="7">
        <v>184.15</v>
      </c>
      <c r="O504" s="7">
        <f t="shared" si="36"/>
        <v>120</v>
      </c>
      <c r="P504" s="7">
        <f t="shared" si="37"/>
        <v>1.5000000000000002</v>
      </c>
      <c r="Q504" s="7">
        <f t="shared" si="37"/>
        <v>7.2500000000000009</v>
      </c>
      <c r="R504" s="6">
        <f t="shared" si="38"/>
        <v>467.61500000000001</v>
      </c>
      <c r="S504" s="6">
        <f t="shared" si="40"/>
        <v>2.1385118520000003E-2</v>
      </c>
      <c r="T504" t="str">
        <f t="shared" si="39"/>
        <v>Cumaru S4S E4E 2x8 Long</v>
      </c>
    </row>
    <row r="505" spans="1:20" x14ac:dyDescent="0.25">
      <c r="A505" t="s">
        <v>531</v>
      </c>
      <c r="B505" t="s">
        <v>843</v>
      </c>
      <c r="C505" t="s">
        <v>283</v>
      </c>
      <c r="D505" t="s">
        <v>438</v>
      </c>
      <c r="E505" t="s">
        <v>847</v>
      </c>
      <c r="F505" t="s">
        <v>845</v>
      </c>
      <c r="G505" t="s">
        <v>531</v>
      </c>
      <c r="H505" t="s">
        <v>373</v>
      </c>
      <c r="I505" t="s">
        <v>289</v>
      </c>
      <c r="J505" t="s">
        <v>846</v>
      </c>
      <c r="K505">
        <v>11</v>
      </c>
      <c r="L505" s="6">
        <v>3.3527999999999998</v>
      </c>
      <c r="M505" s="7">
        <v>38.1</v>
      </c>
      <c r="N505" s="7">
        <v>184.15</v>
      </c>
      <c r="O505" s="7">
        <f t="shared" si="36"/>
        <v>132</v>
      </c>
      <c r="P505" s="7">
        <f t="shared" si="37"/>
        <v>1.5000000000000002</v>
      </c>
      <c r="Q505" s="7">
        <f t="shared" si="37"/>
        <v>7.2500000000000009</v>
      </c>
      <c r="R505" s="6">
        <f t="shared" si="38"/>
        <v>467.61500000000001</v>
      </c>
      <c r="S505" s="6">
        <f t="shared" si="40"/>
        <v>2.3523630372E-2</v>
      </c>
      <c r="T505" t="str">
        <f t="shared" si="39"/>
        <v>Cumaru S4S E4E 2x8 Long</v>
      </c>
    </row>
    <row r="506" spans="1:20" x14ac:dyDescent="0.25">
      <c r="A506" t="s">
        <v>531</v>
      </c>
      <c r="B506" t="s">
        <v>843</v>
      </c>
      <c r="C506" t="s">
        <v>283</v>
      </c>
      <c r="D506" t="s">
        <v>438</v>
      </c>
      <c r="E506" t="s">
        <v>848</v>
      </c>
      <c r="F506" t="s">
        <v>845</v>
      </c>
      <c r="G506" t="s">
        <v>531</v>
      </c>
      <c r="H506" t="s">
        <v>373</v>
      </c>
      <c r="I506" t="s">
        <v>289</v>
      </c>
      <c r="J506" t="s">
        <v>846</v>
      </c>
      <c r="K506">
        <v>12</v>
      </c>
      <c r="L506" s="6">
        <v>3.6576</v>
      </c>
      <c r="M506" s="7">
        <v>38.1</v>
      </c>
      <c r="N506" s="7">
        <v>184.15</v>
      </c>
      <c r="O506" s="7">
        <f t="shared" si="36"/>
        <v>144</v>
      </c>
      <c r="P506" s="7">
        <f t="shared" si="37"/>
        <v>1.5000000000000002</v>
      </c>
      <c r="Q506" s="7">
        <f t="shared" si="37"/>
        <v>7.2500000000000009</v>
      </c>
      <c r="R506" s="6">
        <f t="shared" si="38"/>
        <v>467.61500000000001</v>
      </c>
      <c r="S506" s="6">
        <f t="shared" si="40"/>
        <v>2.5662142224000001E-2</v>
      </c>
      <c r="T506" t="str">
        <f t="shared" si="39"/>
        <v>Cumaru S4S E4E 2x8 Long</v>
      </c>
    </row>
    <row r="507" spans="1:20" x14ac:dyDescent="0.25">
      <c r="A507" t="s">
        <v>531</v>
      </c>
      <c r="B507" t="s">
        <v>843</v>
      </c>
      <c r="C507" t="s">
        <v>283</v>
      </c>
      <c r="D507" t="s">
        <v>438</v>
      </c>
      <c r="E507" t="s">
        <v>849</v>
      </c>
      <c r="F507" t="s">
        <v>845</v>
      </c>
      <c r="G507" t="s">
        <v>531</v>
      </c>
      <c r="H507" t="s">
        <v>373</v>
      </c>
      <c r="I507" t="s">
        <v>289</v>
      </c>
      <c r="J507" t="s">
        <v>846</v>
      </c>
      <c r="K507">
        <v>13</v>
      </c>
      <c r="L507" s="6">
        <v>3.9624000000000001</v>
      </c>
      <c r="M507" s="7">
        <v>38.1</v>
      </c>
      <c r="N507" s="7">
        <v>184.15</v>
      </c>
      <c r="O507" s="7">
        <f t="shared" si="36"/>
        <v>156</v>
      </c>
      <c r="P507" s="7">
        <f t="shared" si="37"/>
        <v>1.5000000000000002</v>
      </c>
      <c r="Q507" s="7">
        <f t="shared" si="37"/>
        <v>7.2500000000000009</v>
      </c>
      <c r="R507" s="6">
        <f t="shared" si="38"/>
        <v>467.61500000000001</v>
      </c>
      <c r="S507" s="6">
        <f t="shared" si="40"/>
        <v>2.7800654075999999E-2</v>
      </c>
      <c r="T507" t="str">
        <f t="shared" si="39"/>
        <v>Cumaru S4S E4E 2x8 Long</v>
      </c>
    </row>
    <row r="508" spans="1:20" x14ac:dyDescent="0.25">
      <c r="A508" t="s">
        <v>531</v>
      </c>
      <c r="B508" t="s">
        <v>843</v>
      </c>
      <c r="C508" t="s">
        <v>283</v>
      </c>
      <c r="D508" t="s">
        <v>438</v>
      </c>
      <c r="E508" t="s">
        <v>850</v>
      </c>
      <c r="F508" t="s">
        <v>845</v>
      </c>
      <c r="G508" t="s">
        <v>531</v>
      </c>
      <c r="H508" t="s">
        <v>373</v>
      </c>
      <c r="I508" t="s">
        <v>289</v>
      </c>
      <c r="J508" t="s">
        <v>846</v>
      </c>
      <c r="K508">
        <v>14</v>
      </c>
      <c r="L508" s="6">
        <v>4.2671999999999999</v>
      </c>
      <c r="M508" s="7">
        <v>38.1</v>
      </c>
      <c r="N508" s="7">
        <v>184.15</v>
      </c>
      <c r="O508" s="7">
        <f t="shared" si="36"/>
        <v>168</v>
      </c>
      <c r="P508" s="7">
        <f t="shared" si="37"/>
        <v>1.5000000000000002</v>
      </c>
      <c r="Q508" s="7">
        <f t="shared" si="37"/>
        <v>7.2500000000000009</v>
      </c>
      <c r="R508" s="6">
        <f t="shared" si="38"/>
        <v>467.61500000000001</v>
      </c>
      <c r="S508" s="6">
        <f t="shared" si="40"/>
        <v>2.9939165928E-2</v>
      </c>
      <c r="T508" t="str">
        <f t="shared" si="39"/>
        <v>Cumaru S4S E4E 2x8 Long</v>
      </c>
    </row>
    <row r="509" spans="1:20" x14ac:dyDescent="0.25">
      <c r="A509" t="s">
        <v>531</v>
      </c>
      <c r="B509" t="s">
        <v>843</v>
      </c>
      <c r="C509" t="s">
        <v>283</v>
      </c>
      <c r="D509" t="s">
        <v>438</v>
      </c>
      <c r="E509" t="s">
        <v>851</v>
      </c>
      <c r="F509" t="s">
        <v>845</v>
      </c>
      <c r="G509" t="s">
        <v>531</v>
      </c>
      <c r="H509" t="s">
        <v>373</v>
      </c>
      <c r="I509" t="s">
        <v>289</v>
      </c>
      <c r="J509" t="s">
        <v>846</v>
      </c>
      <c r="K509">
        <v>15</v>
      </c>
      <c r="L509" s="6">
        <v>4.5720000000000001</v>
      </c>
      <c r="M509" s="7">
        <v>38.1</v>
      </c>
      <c r="N509" s="7">
        <v>184.15</v>
      </c>
      <c r="O509" s="7">
        <f t="shared" si="36"/>
        <v>180</v>
      </c>
      <c r="P509" s="7">
        <f t="shared" si="37"/>
        <v>1.5000000000000002</v>
      </c>
      <c r="Q509" s="7">
        <f t="shared" si="37"/>
        <v>7.2500000000000009</v>
      </c>
      <c r="R509" s="6">
        <f t="shared" si="38"/>
        <v>467.61500000000001</v>
      </c>
      <c r="S509" s="6">
        <f t="shared" si="40"/>
        <v>3.2077677780000001E-2</v>
      </c>
      <c r="T509" t="str">
        <f t="shared" si="39"/>
        <v>Cumaru S4S E4E 2x8 Long</v>
      </c>
    </row>
    <row r="510" spans="1:20" x14ac:dyDescent="0.25">
      <c r="A510" t="s">
        <v>531</v>
      </c>
      <c r="B510" t="s">
        <v>843</v>
      </c>
      <c r="C510" t="s">
        <v>283</v>
      </c>
      <c r="D510" t="s">
        <v>438</v>
      </c>
      <c r="E510" t="s">
        <v>852</v>
      </c>
      <c r="F510" t="s">
        <v>845</v>
      </c>
      <c r="G510" t="s">
        <v>531</v>
      </c>
      <c r="H510" t="s">
        <v>373</v>
      </c>
      <c r="I510" t="s">
        <v>289</v>
      </c>
      <c r="J510" t="s">
        <v>846</v>
      </c>
      <c r="K510">
        <v>16</v>
      </c>
      <c r="L510" s="6">
        <v>4.8768000000000002</v>
      </c>
      <c r="M510" s="7">
        <v>38.1</v>
      </c>
      <c r="N510" s="7">
        <v>184.15</v>
      </c>
      <c r="O510" s="7">
        <f t="shared" si="36"/>
        <v>192.00000000000003</v>
      </c>
      <c r="P510" s="7">
        <f t="shared" si="37"/>
        <v>1.5000000000000002</v>
      </c>
      <c r="Q510" s="7">
        <f t="shared" si="37"/>
        <v>7.2500000000000009</v>
      </c>
      <c r="R510" s="6">
        <f t="shared" si="38"/>
        <v>467.61500000000001</v>
      </c>
      <c r="S510" s="6">
        <f t="shared" si="40"/>
        <v>3.4216189632000002E-2</v>
      </c>
      <c r="T510" t="str">
        <f t="shared" si="39"/>
        <v>Cumaru S4S E4E 2x8 Long</v>
      </c>
    </row>
    <row r="511" spans="1:20" x14ac:dyDescent="0.25">
      <c r="A511" t="s">
        <v>531</v>
      </c>
      <c r="B511" t="s">
        <v>843</v>
      </c>
      <c r="C511" t="s">
        <v>283</v>
      </c>
      <c r="D511" t="s">
        <v>438</v>
      </c>
      <c r="E511" t="s">
        <v>853</v>
      </c>
      <c r="F511" t="s">
        <v>845</v>
      </c>
      <c r="G511" t="s">
        <v>531</v>
      </c>
      <c r="H511" t="s">
        <v>373</v>
      </c>
      <c r="I511" t="s">
        <v>289</v>
      </c>
      <c r="J511" t="s">
        <v>846</v>
      </c>
      <c r="K511">
        <v>17</v>
      </c>
      <c r="L511" s="6">
        <v>5.1816000000000004</v>
      </c>
      <c r="M511" s="7">
        <v>38.1</v>
      </c>
      <c r="N511" s="7">
        <v>184.15</v>
      </c>
      <c r="O511" s="7">
        <f t="shared" si="36"/>
        <v>204.00000000000003</v>
      </c>
      <c r="P511" s="7">
        <f t="shared" si="37"/>
        <v>1.5000000000000002</v>
      </c>
      <c r="Q511" s="7">
        <f t="shared" si="37"/>
        <v>7.2500000000000009</v>
      </c>
      <c r="R511" s="6">
        <f t="shared" si="38"/>
        <v>467.61500000000001</v>
      </c>
      <c r="S511" s="6">
        <f t="shared" si="40"/>
        <v>3.635470148400001E-2</v>
      </c>
      <c r="T511" t="str">
        <f t="shared" si="39"/>
        <v>Cumaru S4S E4E 2x8 Long</v>
      </c>
    </row>
    <row r="512" spans="1:20" x14ac:dyDescent="0.25">
      <c r="A512" t="s">
        <v>531</v>
      </c>
      <c r="B512" t="s">
        <v>843</v>
      </c>
      <c r="C512" t="s">
        <v>283</v>
      </c>
      <c r="D512" t="s">
        <v>438</v>
      </c>
      <c r="E512" t="s">
        <v>854</v>
      </c>
      <c r="F512" t="s">
        <v>845</v>
      </c>
      <c r="G512" t="s">
        <v>531</v>
      </c>
      <c r="H512" t="s">
        <v>373</v>
      </c>
      <c r="I512" t="s">
        <v>289</v>
      </c>
      <c r="J512" t="s">
        <v>846</v>
      </c>
      <c r="K512">
        <v>18</v>
      </c>
      <c r="L512" s="6">
        <v>5.4863999999999997</v>
      </c>
      <c r="M512" s="7">
        <v>38.1</v>
      </c>
      <c r="N512" s="7">
        <v>184.15</v>
      </c>
      <c r="O512" s="7">
        <f t="shared" si="36"/>
        <v>216</v>
      </c>
      <c r="P512" s="7">
        <f t="shared" si="37"/>
        <v>1.5000000000000002</v>
      </c>
      <c r="Q512" s="7">
        <f t="shared" si="37"/>
        <v>7.2500000000000009</v>
      </c>
      <c r="R512" s="6">
        <f t="shared" si="38"/>
        <v>467.61500000000001</v>
      </c>
      <c r="S512" s="6">
        <f t="shared" si="40"/>
        <v>3.8493213336000004E-2</v>
      </c>
      <c r="T512" t="str">
        <f t="shared" si="39"/>
        <v>Cumaru S4S E4E 2x8 Long</v>
      </c>
    </row>
    <row r="513" spans="1:20" x14ac:dyDescent="0.25">
      <c r="A513" t="s">
        <v>531</v>
      </c>
      <c r="B513" t="s">
        <v>843</v>
      </c>
      <c r="C513" t="s">
        <v>283</v>
      </c>
      <c r="D513" t="s">
        <v>438</v>
      </c>
      <c r="E513" t="s">
        <v>855</v>
      </c>
      <c r="F513" t="s">
        <v>845</v>
      </c>
      <c r="G513" t="s">
        <v>531</v>
      </c>
      <c r="H513" t="s">
        <v>373</v>
      </c>
      <c r="I513" t="s">
        <v>289</v>
      </c>
      <c r="J513" t="s">
        <v>846</v>
      </c>
      <c r="K513">
        <v>19</v>
      </c>
      <c r="L513" s="6">
        <v>5.7911999999999999</v>
      </c>
      <c r="M513" s="7">
        <v>38.1</v>
      </c>
      <c r="N513" s="7">
        <v>184.15</v>
      </c>
      <c r="O513" s="7">
        <f t="shared" si="36"/>
        <v>228</v>
      </c>
      <c r="P513" s="7">
        <f t="shared" si="37"/>
        <v>1.5000000000000002</v>
      </c>
      <c r="Q513" s="7">
        <f t="shared" si="37"/>
        <v>7.2500000000000009</v>
      </c>
      <c r="R513" s="6">
        <f t="shared" si="38"/>
        <v>467.61500000000001</v>
      </c>
      <c r="S513" s="6">
        <f t="shared" si="40"/>
        <v>4.0631725188000005E-2</v>
      </c>
      <c r="T513" t="str">
        <f t="shared" si="39"/>
        <v>Cumaru S4S E4E 2x8 Long</v>
      </c>
    </row>
    <row r="514" spans="1:20" x14ac:dyDescent="0.25">
      <c r="A514" t="s">
        <v>531</v>
      </c>
      <c r="B514" t="s">
        <v>843</v>
      </c>
      <c r="C514" t="s">
        <v>283</v>
      </c>
      <c r="D514" t="s">
        <v>438</v>
      </c>
      <c r="E514" t="s">
        <v>856</v>
      </c>
      <c r="F514" t="s">
        <v>845</v>
      </c>
      <c r="G514" t="s">
        <v>531</v>
      </c>
      <c r="H514" t="s">
        <v>373</v>
      </c>
      <c r="I514" t="s">
        <v>289</v>
      </c>
      <c r="J514" t="s">
        <v>846</v>
      </c>
      <c r="K514">
        <v>20</v>
      </c>
      <c r="L514" s="6">
        <v>6.0960000000000001</v>
      </c>
      <c r="M514" s="7">
        <v>38.1</v>
      </c>
      <c r="N514" s="7">
        <v>184.15</v>
      </c>
      <c r="O514" s="7">
        <f t="shared" ref="O514:O577" si="41">L514/0.0254</f>
        <v>240</v>
      </c>
      <c r="P514" s="7">
        <f t="shared" ref="P514:Q577" si="42">M514/25.4</f>
        <v>1.5000000000000002</v>
      </c>
      <c r="Q514" s="7">
        <f t="shared" si="42"/>
        <v>7.2500000000000009</v>
      </c>
      <c r="R514" s="6">
        <f t="shared" ref="R514:R577" si="43">ROUND(IFERROR(1/((M514*N514*0.3048)/1000000),0),3)</f>
        <v>467.61500000000001</v>
      </c>
      <c r="S514" s="6">
        <f t="shared" si="40"/>
        <v>4.2770237040000006E-2</v>
      </c>
      <c r="T514" t="str">
        <f t="shared" ref="T514:T577" si="44">F514&amp;" "&amp;C514</f>
        <v>Cumaru S4S E4E 2x8 Long</v>
      </c>
    </row>
    <row r="515" spans="1:20" x14ac:dyDescent="0.25">
      <c r="A515" t="s">
        <v>531</v>
      </c>
      <c r="B515" t="s">
        <v>843</v>
      </c>
      <c r="C515" t="s">
        <v>283</v>
      </c>
      <c r="D515" t="s">
        <v>438</v>
      </c>
      <c r="E515" t="s">
        <v>857</v>
      </c>
      <c r="F515" t="s">
        <v>845</v>
      </c>
      <c r="G515" t="s">
        <v>531</v>
      </c>
      <c r="H515" t="s">
        <v>373</v>
      </c>
      <c r="I515" t="s">
        <v>289</v>
      </c>
      <c r="J515" t="s">
        <v>846</v>
      </c>
      <c r="K515">
        <v>21</v>
      </c>
      <c r="L515" s="6">
        <v>6.4008000000000003</v>
      </c>
      <c r="M515" s="7">
        <v>38.1</v>
      </c>
      <c r="N515" s="7">
        <v>184.15</v>
      </c>
      <c r="O515" s="7">
        <f t="shared" si="41"/>
        <v>252.00000000000003</v>
      </c>
      <c r="P515" s="7">
        <f t="shared" si="42"/>
        <v>1.5000000000000002</v>
      </c>
      <c r="Q515" s="7">
        <f t="shared" si="42"/>
        <v>7.2500000000000009</v>
      </c>
      <c r="R515" s="6">
        <f t="shared" si="43"/>
        <v>467.61500000000001</v>
      </c>
      <c r="S515" s="6">
        <f t="shared" si="40"/>
        <v>4.4908748892000007E-2</v>
      </c>
      <c r="T515" t="str">
        <f t="shared" si="44"/>
        <v>Cumaru S4S E4E 2x8 Long</v>
      </c>
    </row>
    <row r="516" spans="1:20" x14ac:dyDescent="0.25">
      <c r="A516" t="s">
        <v>531</v>
      </c>
      <c r="B516" t="s">
        <v>843</v>
      </c>
      <c r="C516" t="s">
        <v>283</v>
      </c>
      <c r="D516" t="s">
        <v>438</v>
      </c>
      <c r="E516" t="s">
        <v>858</v>
      </c>
      <c r="F516" t="s">
        <v>845</v>
      </c>
      <c r="G516" t="s">
        <v>531</v>
      </c>
      <c r="H516" t="s">
        <v>373</v>
      </c>
      <c r="I516" t="s">
        <v>289</v>
      </c>
      <c r="J516" t="s">
        <v>846</v>
      </c>
      <c r="K516">
        <v>22</v>
      </c>
      <c r="L516" s="6">
        <v>6.7055999999999996</v>
      </c>
      <c r="M516" s="7">
        <v>38.1</v>
      </c>
      <c r="N516" s="7">
        <v>184.15</v>
      </c>
      <c r="O516" s="7">
        <f t="shared" si="41"/>
        <v>264</v>
      </c>
      <c r="P516" s="7">
        <f t="shared" si="42"/>
        <v>1.5000000000000002</v>
      </c>
      <c r="Q516" s="7">
        <f t="shared" si="42"/>
        <v>7.2500000000000009</v>
      </c>
      <c r="R516" s="6">
        <f t="shared" si="43"/>
        <v>467.61500000000001</v>
      </c>
      <c r="S516" s="6">
        <f t="shared" ref="S516:S579" si="45">L516*M516/1000*N516/1000</f>
        <v>4.7047260744000001E-2</v>
      </c>
      <c r="T516" t="str">
        <f t="shared" si="44"/>
        <v>Cumaru S4S E4E 2x8 Long</v>
      </c>
    </row>
    <row r="517" spans="1:20" x14ac:dyDescent="0.25">
      <c r="A517" t="s">
        <v>531</v>
      </c>
      <c r="B517" t="s">
        <v>843</v>
      </c>
      <c r="C517" t="s">
        <v>283</v>
      </c>
      <c r="D517" t="s">
        <v>438</v>
      </c>
      <c r="E517" t="s">
        <v>859</v>
      </c>
      <c r="F517" t="s">
        <v>845</v>
      </c>
      <c r="G517" t="s">
        <v>531</v>
      </c>
      <c r="H517" t="s">
        <v>373</v>
      </c>
      <c r="I517" t="s">
        <v>289</v>
      </c>
      <c r="J517" t="s">
        <v>846</v>
      </c>
      <c r="K517">
        <v>23</v>
      </c>
      <c r="L517" s="6">
        <v>7.0103999999999997</v>
      </c>
      <c r="M517" s="7">
        <v>38.1</v>
      </c>
      <c r="N517" s="7">
        <v>184.15</v>
      </c>
      <c r="O517" s="7">
        <f t="shared" si="41"/>
        <v>276</v>
      </c>
      <c r="P517" s="7">
        <f t="shared" si="42"/>
        <v>1.5000000000000002</v>
      </c>
      <c r="Q517" s="7">
        <f t="shared" si="42"/>
        <v>7.2500000000000009</v>
      </c>
      <c r="R517" s="6">
        <f t="shared" si="43"/>
        <v>467.61500000000001</v>
      </c>
      <c r="S517" s="6">
        <f t="shared" si="45"/>
        <v>4.9185772596000009E-2</v>
      </c>
      <c r="T517" t="str">
        <f t="shared" si="44"/>
        <v>Cumaru S4S E4E 2x8 Long</v>
      </c>
    </row>
    <row r="518" spans="1:20" x14ac:dyDescent="0.25">
      <c r="A518" t="s">
        <v>531</v>
      </c>
      <c r="B518" t="s">
        <v>843</v>
      </c>
      <c r="C518" t="s">
        <v>283</v>
      </c>
      <c r="D518" t="s">
        <v>438</v>
      </c>
      <c r="E518" t="s">
        <v>860</v>
      </c>
      <c r="F518" t="s">
        <v>845</v>
      </c>
      <c r="G518" t="s">
        <v>531</v>
      </c>
      <c r="H518" t="s">
        <v>373</v>
      </c>
      <c r="I518" t="s">
        <v>289</v>
      </c>
      <c r="J518" t="s">
        <v>846</v>
      </c>
      <c r="K518">
        <v>24</v>
      </c>
      <c r="L518" s="6">
        <v>7.3152000000000008</v>
      </c>
      <c r="M518" s="7">
        <v>38.1</v>
      </c>
      <c r="N518" s="7">
        <v>184.15</v>
      </c>
      <c r="O518" s="7">
        <f t="shared" si="41"/>
        <v>288.00000000000006</v>
      </c>
      <c r="P518" s="7">
        <f t="shared" si="42"/>
        <v>1.5000000000000002</v>
      </c>
      <c r="Q518" s="7">
        <f t="shared" si="42"/>
        <v>7.2500000000000009</v>
      </c>
      <c r="R518" s="6">
        <f t="shared" si="43"/>
        <v>467.61500000000001</v>
      </c>
      <c r="S518" s="6">
        <f t="shared" si="45"/>
        <v>5.132428444800001E-2</v>
      </c>
      <c r="T518" t="str">
        <f t="shared" si="44"/>
        <v>Cumaru S4S E4E 2x8 Long</v>
      </c>
    </row>
    <row r="519" spans="1:20" x14ac:dyDescent="0.25">
      <c r="A519" t="s">
        <v>531</v>
      </c>
      <c r="B519" t="s">
        <v>843</v>
      </c>
      <c r="C519" t="s">
        <v>524</v>
      </c>
      <c r="D519" t="s">
        <v>438</v>
      </c>
      <c r="E519" t="s">
        <v>861</v>
      </c>
      <c r="F519" t="s">
        <v>845</v>
      </c>
      <c r="G519" t="s">
        <v>531</v>
      </c>
      <c r="H519" t="s">
        <v>373</v>
      </c>
      <c r="I519" t="s">
        <v>289</v>
      </c>
      <c r="J519" t="s">
        <v>846</v>
      </c>
      <c r="K519">
        <v>3</v>
      </c>
      <c r="L519" s="6">
        <v>0.91439999999999999</v>
      </c>
      <c r="M519" s="7">
        <v>38.1</v>
      </c>
      <c r="N519" s="7">
        <v>184.15</v>
      </c>
      <c r="O519" s="7">
        <f t="shared" si="41"/>
        <v>36</v>
      </c>
      <c r="P519" s="7">
        <f t="shared" si="42"/>
        <v>1.5000000000000002</v>
      </c>
      <c r="Q519" s="7">
        <f t="shared" si="42"/>
        <v>7.2500000000000009</v>
      </c>
      <c r="R519" s="6">
        <f t="shared" si="43"/>
        <v>467.61500000000001</v>
      </c>
      <c r="S519" s="6">
        <f t="shared" si="45"/>
        <v>6.4155355560000004E-3</v>
      </c>
      <c r="T519" t="str">
        <f t="shared" si="44"/>
        <v>Cumaru S4S E4E 2x8 Short</v>
      </c>
    </row>
    <row r="520" spans="1:20" x14ac:dyDescent="0.25">
      <c r="A520" t="s">
        <v>531</v>
      </c>
      <c r="B520" t="s">
        <v>843</v>
      </c>
      <c r="C520" t="s">
        <v>524</v>
      </c>
      <c r="D520" t="s">
        <v>438</v>
      </c>
      <c r="E520" t="s">
        <v>862</v>
      </c>
      <c r="F520" t="s">
        <v>845</v>
      </c>
      <c r="G520" t="s">
        <v>531</v>
      </c>
      <c r="H520" t="s">
        <v>373</v>
      </c>
      <c r="I520" t="s">
        <v>289</v>
      </c>
      <c r="J520" t="s">
        <v>846</v>
      </c>
      <c r="K520">
        <v>4</v>
      </c>
      <c r="L520" s="6">
        <v>1.2192000000000001</v>
      </c>
      <c r="M520" s="7">
        <v>38.1</v>
      </c>
      <c r="N520" s="7">
        <v>184.15</v>
      </c>
      <c r="O520" s="7">
        <f t="shared" si="41"/>
        <v>48.000000000000007</v>
      </c>
      <c r="P520" s="7">
        <f t="shared" si="42"/>
        <v>1.5000000000000002</v>
      </c>
      <c r="Q520" s="7">
        <f t="shared" si="42"/>
        <v>7.2500000000000009</v>
      </c>
      <c r="R520" s="6">
        <f t="shared" si="43"/>
        <v>467.61500000000001</v>
      </c>
      <c r="S520" s="6">
        <f t="shared" si="45"/>
        <v>8.5540474080000005E-3</v>
      </c>
      <c r="T520" t="str">
        <f t="shared" si="44"/>
        <v>Cumaru S4S E4E 2x8 Short</v>
      </c>
    </row>
    <row r="521" spans="1:20" x14ac:dyDescent="0.25">
      <c r="A521" t="s">
        <v>531</v>
      </c>
      <c r="B521" t="s">
        <v>843</v>
      </c>
      <c r="C521" t="s">
        <v>524</v>
      </c>
      <c r="D521" t="s">
        <v>438</v>
      </c>
      <c r="E521" t="s">
        <v>863</v>
      </c>
      <c r="F521" t="s">
        <v>845</v>
      </c>
      <c r="G521" t="s">
        <v>531</v>
      </c>
      <c r="H521" t="s">
        <v>373</v>
      </c>
      <c r="I521" t="s">
        <v>289</v>
      </c>
      <c r="J521" t="s">
        <v>846</v>
      </c>
      <c r="K521">
        <v>5</v>
      </c>
      <c r="L521" s="6">
        <v>1.524</v>
      </c>
      <c r="M521" s="7">
        <v>38.1</v>
      </c>
      <c r="N521" s="7">
        <v>184.15</v>
      </c>
      <c r="O521" s="7">
        <f t="shared" si="41"/>
        <v>60</v>
      </c>
      <c r="P521" s="7">
        <f t="shared" si="42"/>
        <v>1.5000000000000002</v>
      </c>
      <c r="Q521" s="7">
        <f t="shared" si="42"/>
        <v>7.2500000000000009</v>
      </c>
      <c r="R521" s="6">
        <f t="shared" si="43"/>
        <v>467.61500000000001</v>
      </c>
      <c r="S521" s="6">
        <f t="shared" si="45"/>
        <v>1.0692559260000001E-2</v>
      </c>
      <c r="T521" t="str">
        <f t="shared" si="44"/>
        <v>Cumaru S4S E4E 2x8 Short</v>
      </c>
    </row>
    <row r="522" spans="1:20" x14ac:dyDescent="0.25">
      <c r="A522" t="s">
        <v>531</v>
      </c>
      <c r="B522" t="s">
        <v>843</v>
      </c>
      <c r="C522" t="s">
        <v>524</v>
      </c>
      <c r="D522" t="s">
        <v>438</v>
      </c>
      <c r="E522" t="s">
        <v>864</v>
      </c>
      <c r="F522" t="s">
        <v>845</v>
      </c>
      <c r="G522" t="s">
        <v>531</v>
      </c>
      <c r="H522" t="s">
        <v>373</v>
      </c>
      <c r="I522" t="s">
        <v>289</v>
      </c>
      <c r="J522" t="s">
        <v>846</v>
      </c>
      <c r="K522">
        <v>6</v>
      </c>
      <c r="L522" s="6">
        <v>1.8288</v>
      </c>
      <c r="M522" s="7">
        <v>38.1</v>
      </c>
      <c r="N522" s="7">
        <v>184.15</v>
      </c>
      <c r="O522" s="7">
        <f t="shared" si="41"/>
        <v>72</v>
      </c>
      <c r="P522" s="7">
        <f t="shared" si="42"/>
        <v>1.5000000000000002</v>
      </c>
      <c r="Q522" s="7">
        <f t="shared" si="42"/>
        <v>7.2500000000000009</v>
      </c>
      <c r="R522" s="6">
        <f t="shared" si="43"/>
        <v>467.61500000000001</v>
      </c>
      <c r="S522" s="6">
        <f t="shared" si="45"/>
        <v>1.2831071112000001E-2</v>
      </c>
      <c r="T522" t="str">
        <f t="shared" si="44"/>
        <v>Cumaru S4S E4E 2x8 Short</v>
      </c>
    </row>
    <row r="523" spans="1:20" x14ac:dyDescent="0.25">
      <c r="A523" t="s">
        <v>531</v>
      </c>
      <c r="B523" t="s">
        <v>843</v>
      </c>
      <c r="C523" t="s">
        <v>524</v>
      </c>
      <c r="D523" t="s">
        <v>438</v>
      </c>
      <c r="E523" t="s">
        <v>865</v>
      </c>
      <c r="F523" t="s">
        <v>845</v>
      </c>
      <c r="G523" t="s">
        <v>531</v>
      </c>
      <c r="H523" t="s">
        <v>373</v>
      </c>
      <c r="I523" t="s">
        <v>289</v>
      </c>
      <c r="J523" t="s">
        <v>846</v>
      </c>
      <c r="K523">
        <v>7</v>
      </c>
      <c r="L523" s="6">
        <v>2.1335999999999999</v>
      </c>
      <c r="M523" s="7">
        <v>38.1</v>
      </c>
      <c r="N523" s="7">
        <v>184.15</v>
      </c>
      <c r="O523" s="7">
        <f t="shared" si="41"/>
        <v>84</v>
      </c>
      <c r="P523" s="7">
        <f t="shared" si="42"/>
        <v>1.5000000000000002</v>
      </c>
      <c r="Q523" s="7">
        <f t="shared" si="42"/>
        <v>7.2500000000000009</v>
      </c>
      <c r="R523" s="6">
        <f t="shared" si="43"/>
        <v>467.61500000000001</v>
      </c>
      <c r="S523" s="6">
        <f t="shared" si="45"/>
        <v>1.4969582964E-2</v>
      </c>
      <c r="T523" t="str">
        <f t="shared" si="44"/>
        <v>Cumaru S4S E4E 2x8 Short</v>
      </c>
    </row>
    <row r="524" spans="1:20" x14ac:dyDescent="0.25">
      <c r="A524" t="s">
        <v>531</v>
      </c>
      <c r="B524" t="s">
        <v>843</v>
      </c>
      <c r="C524" t="s">
        <v>283</v>
      </c>
      <c r="D524" t="s">
        <v>438</v>
      </c>
      <c r="E524" t="s">
        <v>866</v>
      </c>
      <c r="F524" t="s">
        <v>845</v>
      </c>
      <c r="G524" t="s">
        <v>531</v>
      </c>
      <c r="H524" t="s">
        <v>373</v>
      </c>
      <c r="I524" t="s">
        <v>289</v>
      </c>
      <c r="J524" t="s">
        <v>846</v>
      </c>
      <c r="K524">
        <v>8</v>
      </c>
      <c r="L524" s="6">
        <v>2.4384000000000001</v>
      </c>
      <c r="M524" s="7">
        <v>38.1</v>
      </c>
      <c r="N524" s="7">
        <v>184.15</v>
      </c>
      <c r="O524" s="7">
        <f t="shared" si="41"/>
        <v>96.000000000000014</v>
      </c>
      <c r="P524" s="7">
        <f t="shared" si="42"/>
        <v>1.5000000000000002</v>
      </c>
      <c r="Q524" s="7">
        <f t="shared" si="42"/>
        <v>7.2500000000000009</v>
      </c>
      <c r="R524" s="6">
        <f t="shared" si="43"/>
        <v>467.61500000000001</v>
      </c>
      <c r="S524" s="6">
        <f t="shared" si="45"/>
        <v>1.7108094816000001E-2</v>
      </c>
      <c r="T524" t="str">
        <f t="shared" si="44"/>
        <v>Cumaru S4S E4E 2x8 Long</v>
      </c>
    </row>
    <row r="525" spans="1:20" x14ac:dyDescent="0.25">
      <c r="A525" t="s">
        <v>531</v>
      </c>
      <c r="B525" t="s">
        <v>843</v>
      </c>
      <c r="C525" t="s">
        <v>283</v>
      </c>
      <c r="D525" t="s">
        <v>438</v>
      </c>
      <c r="E525" t="s">
        <v>867</v>
      </c>
      <c r="F525" t="s">
        <v>845</v>
      </c>
      <c r="G525" t="s">
        <v>531</v>
      </c>
      <c r="H525" t="s">
        <v>373</v>
      </c>
      <c r="I525" t="s">
        <v>289</v>
      </c>
      <c r="J525" t="s">
        <v>846</v>
      </c>
      <c r="K525">
        <v>9</v>
      </c>
      <c r="L525" s="6">
        <v>2.7431999999999999</v>
      </c>
      <c r="M525" s="7">
        <v>38.1</v>
      </c>
      <c r="N525" s="7">
        <v>184.15</v>
      </c>
      <c r="O525" s="7">
        <f t="shared" si="41"/>
        <v>108</v>
      </c>
      <c r="P525" s="7">
        <f t="shared" si="42"/>
        <v>1.5000000000000002</v>
      </c>
      <c r="Q525" s="7">
        <f t="shared" si="42"/>
        <v>7.2500000000000009</v>
      </c>
      <c r="R525" s="6">
        <f t="shared" si="43"/>
        <v>467.61500000000001</v>
      </c>
      <c r="S525" s="6">
        <f t="shared" si="45"/>
        <v>1.9246606668000002E-2</v>
      </c>
      <c r="T525" t="str">
        <f t="shared" si="44"/>
        <v>Cumaru S4S E4E 2x8 Long</v>
      </c>
    </row>
    <row r="526" spans="1:20" x14ac:dyDescent="0.25">
      <c r="A526" t="s">
        <v>531</v>
      </c>
      <c r="B526" t="s">
        <v>868</v>
      </c>
      <c r="C526" t="s">
        <v>283</v>
      </c>
      <c r="D526" t="s">
        <v>438</v>
      </c>
      <c r="E526" t="s">
        <v>869</v>
      </c>
      <c r="F526" t="s">
        <v>870</v>
      </c>
      <c r="G526" t="s">
        <v>531</v>
      </c>
      <c r="H526" t="s">
        <v>373</v>
      </c>
      <c r="I526" t="s">
        <v>289</v>
      </c>
      <c r="J526" t="s">
        <v>871</v>
      </c>
      <c r="K526">
        <v>10</v>
      </c>
      <c r="L526" s="6">
        <v>3.048</v>
      </c>
      <c r="M526" s="7">
        <v>63.5</v>
      </c>
      <c r="N526" s="7">
        <v>234.95</v>
      </c>
      <c r="O526" s="7">
        <f t="shared" si="41"/>
        <v>120</v>
      </c>
      <c r="P526" s="7">
        <f t="shared" si="42"/>
        <v>2.5</v>
      </c>
      <c r="Q526" s="7">
        <f t="shared" si="42"/>
        <v>9.25</v>
      </c>
      <c r="R526" s="6">
        <f t="shared" si="43"/>
        <v>219.905</v>
      </c>
      <c r="S526" s="6">
        <f t="shared" si="45"/>
        <v>4.5474102599999996E-2</v>
      </c>
      <c r="T526" t="str">
        <f t="shared" si="44"/>
        <v>Cumaru S4S E4E 3x10 Long</v>
      </c>
    </row>
    <row r="527" spans="1:20" x14ac:dyDescent="0.25">
      <c r="A527" t="s">
        <v>531</v>
      </c>
      <c r="B527" t="s">
        <v>868</v>
      </c>
      <c r="C527" t="s">
        <v>283</v>
      </c>
      <c r="D527" t="s">
        <v>438</v>
      </c>
      <c r="E527" t="s">
        <v>872</v>
      </c>
      <c r="F527" t="s">
        <v>870</v>
      </c>
      <c r="G527" t="s">
        <v>531</v>
      </c>
      <c r="H527" t="s">
        <v>373</v>
      </c>
      <c r="I527" t="s">
        <v>289</v>
      </c>
      <c r="J527" t="s">
        <v>871</v>
      </c>
      <c r="K527">
        <v>11</v>
      </c>
      <c r="L527" s="6">
        <v>3.3527999999999998</v>
      </c>
      <c r="M527" s="7">
        <v>63.5</v>
      </c>
      <c r="N527" s="7">
        <v>234.95</v>
      </c>
      <c r="O527" s="7">
        <f t="shared" si="41"/>
        <v>132</v>
      </c>
      <c r="P527" s="7">
        <f t="shared" si="42"/>
        <v>2.5</v>
      </c>
      <c r="Q527" s="7">
        <f t="shared" si="42"/>
        <v>9.25</v>
      </c>
      <c r="R527" s="6">
        <f t="shared" si="43"/>
        <v>219.905</v>
      </c>
      <c r="S527" s="6">
        <f t="shared" si="45"/>
        <v>5.0021512859999992E-2</v>
      </c>
      <c r="T527" t="str">
        <f t="shared" si="44"/>
        <v>Cumaru S4S E4E 3x10 Long</v>
      </c>
    </row>
    <row r="528" spans="1:20" x14ac:dyDescent="0.25">
      <c r="A528" t="s">
        <v>531</v>
      </c>
      <c r="B528" t="s">
        <v>868</v>
      </c>
      <c r="C528" t="s">
        <v>283</v>
      </c>
      <c r="D528" t="s">
        <v>438</v>
      </c>
      <c r="E528" t="s">
        <v>873</v>
      </c>
      <c r="F528" t="s">
        <v>870</v>
      </c>
      <c r="G528" t="s">
        <v>531</v>
      </c>
      <c r="H528" t="s">
        <v>373</v>
      </c>
      <c r="I528" t="s">
        <v>289</v>
      </c>
      <c r="J528" t="s">
        <v>871</v>
      </c>
      <c r="K528">
        <v>12</v>
      </c>
      <c r="L528" s="6">
        <v>3.6576</v>
      </c>
      <c r="M528" s="7">
        <v>63.5</v>
      </c>
      <c r="N528" s="7">
        <v>234.95</v>
      </c>
      <c r="O528" s="7">
        <f t="shared" si="41"/>
        <v>144</v>
      </c>
      <c r="P528" s="7">
        <f t="shared" si="42"/>
        <v>2.5</v>
      </c>
      <c r="Q528" s="7">
        <f t="shared" si="42"/>
        <v>9.25</v>
      </c>
      <c r="R528" s="6">
        <f t="shared" si="43"/>
        <v>219.905</v>
      </c>
      <c r="S528" s="6">
        <f t="shared" si="45"/>
        <v>5.4568923120000001E-2</v>
      </c>
      <c r="T528" t="str">
        <f t="shared" si="44"/>
        <v>Cumaru S4S E4E 3x10 Long</v>
      </c>
    </row>
    <row r="529" spans="1:20" x14ac:dyDescent="0.25">
      <c r="A529" t="s">
        <v>531</v>
      </c>
      <c r="B529" t="s">
        <v>868</v>
      </c>
      <c r="C529" t="s">
        <v>283</v>
      </c>
      <c r="D529" t="s">
        <v>438</v>
      </c>
      <c r="E529" t="s">
        <v>874</v>
      </c>
      <c r="F529" t="s">
        <v>870</v>
      </c>
      <c r="G529" t="s">
        <v>531</v>
      </c>
      <c r="H529" t="s">
        <v>373</v>
      </c>
      <c r="I529" t="s">
        <v>289</v>
      </c>
      <c r="J529" t="s">
        <v>871</v>
      </c>
      <c r="K529">
        <v>13</v>
      </c>
      <c r="L529" s="6">
        <v>3.9624000000000001</v>
      </c>
      <c r="M529" s="7">
        <v>63.5</v>
      </c>
      <c r="N529" s="7">
        <v>234.95</v>
      </c>
      <c r="O529" s="7">
        <f t="shared" si="41"/>
        <v>156</v>
      </c>
      <c r="P529" s="7">
        <f t="shared" si="42"/>
        <v>2.5</v>
      </c>
      <c r="Q529" s="7">
        <f t="shared" si="42"/>
        <v>9.25</v>
      </c>
      <c r="R529" s="6">
        <f t="shared" si="43"/>
        <v>219.905</v>
      </c>
      <c r="S529" s="6">
        <f t="shared" si="45"/>
        <v>5.9116333380000004E-2</v>
      </c>
      <c r="T529" t="str">
        <f t="shared" si="44"/>
        <v>Cumaru S4S E4E 3x10 Long</v>
      </c>
    </row>
    <row r="530" spans="1:20" x14ac:dyDescent="0.25">
      <c r="A530" t="s">
        <v>531</v>
      </c>
      <c r="B530" t="s">
        <v>868</v>
      </c>
      <c r="C530" t="s">
        <v>283</v>
      </c>
      <c r="D530" t="s">
        <v>438</v>
      </c>
      <c r="E530" t="s">
        <v>875</v>
      </c>
      <c r="F530" t="s">
        <v>870</v>
      </c>
      <c r="G530" t="s">
        <v>531</v>
      </c>
      <c r="H530" t="s">
        <v>373</v>
      </c>
      <c r="I530" t="s">
        <v>289</v>
      </c>
      <c r="J530" t="s">
        <v>871</v>
      </c>
      <c r="K530">
        <v>14</v>
      </c>
      <c r="L530" s="6">
        <v>4.2671999999999999</v>
      </c>
      <c r="M530" s="7">
        <v>63.5</v>
      </c>
      <c r="N530" s="7">
        <v>234.95</v>
      </c>
      <c r="O530" s="7">
        <f t="shared" si="41"/>
        <v>168</v>
      </c>
      <c r="P530" s="7">
        <f t="shared" si="42"/>
        <v>2.5</v>
      </c>
      <c r="Q530" s="7">
        <f t="shared" si="42"/>
        <v>9.25</v>
      </c>
      <c r="R530" s="6">
        <f t="shared" si="43"/>
        <v>219.905</v>
      </c>
      <c r="S530" s="6">
        <f t="shared" si="45"/>
        <v>6.3663743639999992E-2</v>
      </c>
      <c r="T530" t="str">
        <f t="shared" si="44"/>
        <v>Cumaru S4S E4E 3x10 Long</v>
      </c>
    </row>
    <row r="531" spans="1:20" x14ac:dyDescent="0.25">
      <c r="A531" t="s">
        <v>531</v>
      </c>
      <c r="B531" t="s">
        <v>868</v>
      </c>
      <c r="C531" t="s">
        <v>283</v>
      </c>
      <c r="D531" t="s">
        <v>438</v>
      </c>
      <c r="E531" t="s">
        <v>876</v>
      </c>
      <c r="F531" t="s">
        <v>870</v>
      </c>
      <c r="G531" t="s">
        <v>531</v>
      </c>
      <c r="H531" t="s">
        <v>373</v>
      </c>
      <c r="I531" t="s">
        <v>289</v>
      </c>
      <c r="J531" t="s">
        <v>871</v>
      </c>
      <c r="K531">
        <v>15</v>
      </c>
      <c r="L531" s="6">
        <v>4.5720000000000001</v>
      </c>
      <c r="M531" s="7">
        <v>63.5</v>
      </c>
      <c r="N531" s="7">
        <v>234.95</v>
      </c>
      <c r="O531" s="7">
        <f t="shared" si="41"/>
        <v>180</v>
      </c>
      <c r="P531" s="7">
        <f t="shared" si="42"/>
        <v>2.5</v>
      </c>
      <c r="Q531" s="7">
        <f t="shared" si="42"/>
        <v>9.25</v>
      </c>
      <c r="R531" s="6">
        <f t="shared" si="43"/>
        <v>219.905</v>
      </c>
      <c r="S531" s="6">
        <f t="shared" si="45"/>
        <v>6.8211153900000002E-2</v>
      </c>
      <c r="T531" t="str">
        <f t="shared" si="44"/>
        <v>Cumaru S4S E4E 3x10 Long</v>
      </c>
    </row>
    <row r="532" spans="1:20" x14ac:dyDescent="0.25">
      <c r="A532" t="s">
        <v>531</v>
      </c>
      <c r="B532" t="s">
        <v>868</v>
      </c>
      <c r="C532" t="s">
        <v>283</v>
      </c>
      <c r="D532" t="s">
        <v>438</v>
      </c>
      <c r="E532" t="s">
        <v>877</v>
      </c>
      <c r="F532" t="s">
        <v>870</v>
      </c>
      <c r="G532" t="s">
        <v>531</v>
      </c>
      <c r="H532" t="s">
        <v>373</v>
      </c>
      <c r="I532" t="s">
        <v>289</v>
      </c>
      <c r="J532" t="s">
        <v>871</v>
      </c>
      <c r="K532">
        <v>16</v>
      </c>
      <c r="L532" s="6">
        <v>4.8768000000000002</v>
      </c>
      <c r="M532" s="7">
        <v>63.5</v>
      </c>
      <c r="N532" s="7">
        <v>234.95</v>
      </c>
      <c r="O532" s="7">
        <f t="shared" si="41"/>
        <v>192.00000000000003</v>
      </c>
      <c r="P532" s="7">
        <f t="shared" si="42"/>
        <v>2.5</v>
      </c>
      <c r="Q532" s="7">
        <f t="shared" si="42"/>
        <v>9.25</v>
      </c>
      <c r="R532" s="6">
        <f t="shared" si="43"/>
        <v>219.905</v>
      </c>
      <c r="S532" s="6">
        <f t="shared" si="45"/>
        <v>7.2758564160000011E-2</v>
      </c>
      <c r="T532" t="str">
        <f t="shared" si="44"/>
        <v>Cumaru S4S E4E 3x10 Long</v>
      </c>
    </row>
    <row r="533" spans="1:20" x14ac:dyDescent="0.25">
      <c r="A533" t="s">
        <v>531</v>
      </c>
      <c r="B533" t="s">
        <v>868</v>
      </c>
      <c r="C533" t="s">
        <v>283</v>
      </c>
      <c r="D533" t="s">
        <v>438</v>
      </c>
      <c r="E533" t="s">
        <v>878</v>
      </c>
      <c r="F533" t="s">
        <v>870</v>
      </c>
      <c r="G533" t="s">
        <v>531</v>
      </c>
      <c r="H533" t="s">
        <v>373</v>
      </c>
      <c r="I533" t="s">
        <v>289</v>
      </c>
      <c r="J533" t="s">
        <v>871</v>
      </c>
      <c r="K533">
        <v>17</v>
      </c>
      <c r="L533" s="6">
        <v>5.1816000000000004</v>
      </c>
      <c r="M533" s="7">
        <v>63.5</v>
      </c>
      <c r="N533" s="7">
        <v>234.95</v>
      </c>
      <c r="O533" s="7">
        <f t="shared" si="41"/>
        <v>204.00000000000003</v>
      </c>
      <c r="P533" s="7">
        <f t="shared" si="42"/>
        <v>2.5</v>
      </c>
      <c r="Q533" s="7">
        <f t="shared" si="42"/>
        <v>9.25</v>
      </c>
      <c r="R533" s="6">
        <f t="shared" si="43"/>
        <v>219.905</v>
      </c>
      <c r="S533" s="6">
        <f t="shared" si="45"/>
        <v>7.7305974419999993E-2</v>
      </c>
      <c r="T533" t="str">
        <f t="shared" si="44"/>
        <v>Cumaru S4S E4E 3x10 Long</v>
      </c>
    </row>
    <row r="534" spans="1:20" x14ac:dyDescent="0.25">
      <c r="A534" t="s">
        <v>531</v>
      </c>
      <c r="B534" t="s">
        <v>868</v>
      </c>
      <c r="C534" t="s">
        <v>283</v>
      </c>
      <c r="D534" t="s">
        <v>438</v>
      </c>
      <c r="E534" t="s">
        <v>879</v>
      </c>
      <c r="F534" t="s">
        <v>870</v>
      </c>
      <c r="G534" t="s">
        <v>531</v>
      </c>
      <c r="H534" t="s">
        <v>373</v>
      </c>
      <c r="I534" t="s">
        <v>289</v>
      </c>
      <c r="J534" t="s">
        <v>871</v>
      </c>
      <c r="K534">
        <v>18</v>
      </c>
      <c r="L534" s="6">
        <v>5.4863999999999997</v>
      </c>
      <c r="M534" s="7">
        <v>63.5</v>
      </c>
      <c r="N534" s="7">
        <v>234.95</v>
      </c>
      <c r="O534" s="7">
        <f t="shared" si="41"/>
        <v>216</v>
      </c>
      <c r="P534" s="7">
        <f t="shared" si="42"/>
        <v>2.5</v>
      </c>
      <c r="Q534" s="7">
        <f t="shared" si="42"/>
        <v>9.25</v>
      </c>
      <c r="R534" s="6">
        <f t="shared" si="43"/>
        <v>219.905</v>
      </c>
      <c r="S534" s="6">
        <f t="shared" si="45"/>
        <v>8.1853384679999988E-2</v>
      </c>
      <c r="T534" t="str">
        <f t="shared" si="44"/>
        <v>Cumaru S4S E4E 3x10 Long</v>
      </c>
    </row>
    <row r="535" spans="1:20" x14ac:dyDescent="0.25">
      <c r="A535" t="s">
        <v>531</v>
      </c>
      <c r="B535" t="s">
        <v>868</v>
      </c>
      <c r="C535" t="s">
        <v>283</v>
      </c>
      <c r="D535" t="s">
        <v>438</v>
      </c>
      <c r="E535" t="s">
        <v>880</v>
      </c>
      <c r="F535" t="s">
        <v>870</v>
      </c>
      <c r="G535" t="s">
        <v>531</v>
      </c>
      <c r="H535" t="s">
        <v>373</v>
      </c>
      <c r="I535" t="s">
        <v>289</v>
      </c>
      <c r="J535" t="s">
        <v>871</v>
      </c>
      <c r="K535">
        <v>19</v>
      </c>
      <c r="L535" s="6">
        <v>5.7911999999999999</v>
      </c>
      <c r="M535" s="7">
        <v>63.5</v>
      </c>
      <c r="N535" s="7">
        <v>234.95</v>
      </c>
      <c r="O535" s="7">
        <f t="shared" si="41"/>
        <v>228</v>
      </c>
      <c r="P535" s="7">
        <f t="shared" si="42"/>
        <v>2.5</v>
      </c>
      <c r="Q535" s="7">
        <f t="shared" si="42"/>
        <v>9.25</v>
      </c>
      <c r="R535" s="6">
        <f t="shared" si="43"/>
        <v>219.905</v>
      </c>
      <c r="S535" s="6">
        <f t="shared" si="45"/>
        <v>8.6400794939999997E-2</v>
      </c>
      <c r="T535" t="str">
        <f t="shared" si="44"/>
        <v>Cumaru S4S E4E 3x10 Long</v>
      </c>
    </row>
    <row r="536" spans="1:20" x14ac:dyDescent="0.25">
      <c r="A536" t="s">
        <v>531</v>
      </c>
      <c r="B536" t="s">
        <v>868</v>
      </c>
      <c r="C536" t="s">
        <v>283</v>
      </c>
      <c r="D536" t="s">
        <v>438</v>
      </c>
      <c r="E536" t="s">
        <v>881</v>
      </c>
      <c r="F536" t="s">
        <v>870</v>
      </c>
      <c r="G536" t="s">
        <v>531</v>
      </c>
      <c r="H536" t="s">
        <v>373</v>
      </c>
      <c r="I536" t="s">
        <v>289</v>
      </c>
      <c r="J536" t="s">
        <v>871</v>
      </c>
      <c r="K536">
        <v>20</v>
      </c>
      <c r="L536" s="6">
        <v>6.0960000000000001</v>
      </c>
      <c r="M536" s="7">
        <v>63.5</v>
      </c>
      <c r="N536" s="7">
        <v>234.95</v>
      </c>
      <c r="O536" s="7">
        <f t="shared" si="41"/>
        <v>240</v>
      </c>
      <c r="P536" s="7">
        <f t="shared" si="42"/>
        <v>2.5</v>
      </c>
      <c r="Q536" s="7">
        <f t="shared" si="42"/>
        <v>9.25</v>
      </c>
      <c r="R536" s="6">
        <f t="shared" si="43"/>
        <v>219.905</v>
      </c>
      <c r="S536" s="6">
        <f t="shared" si="45"/>
        <v>9.0948205199999993E-2</v>
      </c>
      <c r="T536" t="str">
        <f t="shared" si="44"/>
        <v>Cumaru S4S E4E 3x10 Long</v>
      </c>
    </row>
    <row r="537" spans="1:20" x14ac:dyDescent="0.25">
      <c r="A537" t="s">
        <v>531</v>
      </c>
      <c r="B537" t="s">
        <v>868</v>
      </c>
      <c r="C537" t="s">
        <v>283</v>
      </c>
      <c r="D537" t="s">
        <v>438</v>
      </c>
      <c r="E537" t="s">
        <v>882</v>
      </c>
      <c r="F537" t="s">
        <v>870</v>
      </c>
      <c r="G537" t="s">
        <v>531</v>
      </c>
      <c r="H537" t="s">
        <v>373</v>
      </c>
      <c r="I537" t="s">
        <v>289</v>
      </c>
      <c r="J537" t="s">
        <v>871</v>
      </c>
      <c r="K537">
        <v>21</v>
      </c>
      <c r="L537" s="6">
        <v>6.4008000000000003</v>
      </c>
      <c r="M537" s="7">
        <v>63.5</v>
      </c>
      <c r="N537" s="7">
        <v>234.95</v>
      </c>
      <c r="O537" s="7">
        <f t="shared" si="41"/>
        <v>252.00000000000003</v>
      </c>
      <c r="P537" s="7">
        <f t="shared" si="42"/>
        <v>2.5</v>
      </c>
      <c r="Q537" s="7">
        <f t="shared" si="42"/>
        <v>9.25</v>
      </c>
      <c r="R537" s="6">
        <f t="shared" si="43"/>
        <v>219.905</v>
      </c>
      <c r="S537" s="6">
        <f t="shared" si="45"/>
        <v>9.5495615460000002E-2</v>
      </c>
      <c r="T537" t="str">
        <f t="shared" si="44"/>
        <v>Cumaru S4S E4E 3x10 Long</v>
      </c>
    </row>
    <row r="538" spans="1:20" x14ac:dyDescent="0.25">
      <c r="A538" t="s">
        <v>531</v>
      </c>
      <c r="B538" t="s">
        <v>868</v>
      </c>
      <c r="C538" t="s">
        <v>283</v>
      </c>
      <c r="D538" t="s">
        <v>438</v>
      </c>
      <c r="E538" t="s">
        <v>883</v>
      </c>
      <c r="F538" t="s">
        <v>870</v>
      </c>
      <c r="G538" t="s">
        <v>531</v>
      </c>
      <c r="H538" t="s">
        <v>373</v>
      </c>
      <c r="I538" t="s">
        <v>289</v>
      </c>
      <c r="J538" t="s">
        <v>871</v>
      </c>
      <c r="K538">
        <v>22</v>
      </c>
      <c r="L538" s="6">
        <v>6.7055999999999996</v>
      </c>
      <c r="M538" s="7">
        <v>63.5</v>
      </c>
      <c r="N538" s="7">
        <v>234.95</v>
      </c>
      <c r="O538" s="7">
        <f t="shared" si="41"/>
        <v>264</v>
      </c>
      <c r="P538" s="7">
        <f t="shared" si="42"/>
        <v>2.5</v>
      </c>
      <c r="Q538" s="7">
        <f t="shared" si="42"/>
        <v>9.25</v>
      </c>
      <c r="R538" s="6">
        <f t="shared" si="43"/>
        <v>219.905</v>
      </c>
      <c r="S538" s="6">
        <f t="shared" si="45"/>
        <v>0.10004302571999998</v>
      </c>
      <c r="T538" t="str">
        <f t="shared" si="44"/>
        <v>Cumaru S4S E4E 3x10 Long</v>
      </c>
    </row>
    <row r="539" spans="1:20" x14ac:dyDescent="0.25">
      <c r="A539" t="s">
        <v>531</v>
      </c>
      <c r="B539" t="s">
        <v>868</v>
      </c>
      <c r="C539" t="s">
        <v>524</v>
      </c>
      <c r="D539" t="s">
        <v>438</v>
      </c>
      <c r="E539" t="s">
        <v>884</v>
      </c>
      <c r="F539" t="s">
        <v>870</v>
      </c>
      <c r="G539" t="s">
        <v>531</v>
      </c>
      <c r="H539" t="s">
        <v>373</v>
      </c>
      <c r="I539" t="s">
        <v>289</v>
      </c>
      <c r="J539" t="s">
        <v>871</v>
      </c>
      <c r="K539">
        <v>3</v>
      </c>
      <c r="L539" s="6">
        <v>0.91439999999999999</v>
      </c>
      <c r="M539" s="7">
        <v>63.5</v>
      </c>
      <c r="N539" s="7">
        <v>234.95</v>
      </c>
      <c r="O539" s="7">
        <f t="shared" si="41"/>
        <v>36</v>
      </c>
      <c r="P539" s="7">
        <f t="shared" si="42"/>
        <v>2.5</v>
      </c>
      <c r="Q539" s="7">
        <f t="shared" si="42"/>
        <v>9.25</v>
      </c>
      <c r="R539" s="6">
        <f t="shared" si="43"/>
        <v>219.905</v>
      </c>
      <c r="S539" s="6">
        <f t="shared" si="45"/>
        <v>1.364223078E-2</v>
      </c>
      <c r="T539" t="str">
        <f t="shared" si="44"/>
        <v>Cumaru S4S E4E 3x10 Short</v>
      </c>
    </row>
    <row r="540" spans="1:20" x14ac:dyDescent="0.25">
      <c r="A540" t="s">
        <v>531</v>
      </c>
      <c r="B540" t="s">
        <v>868</v>
      </c>
      <c r="C540" t="s">
        <v>524</v>
      </c>
      <c r="D540" t="s">
        <v>438</v>
      </c>
      <c r="E540" t="s">
        <v>885</v>
      </c>
      <c r="F540" t="s">
        <v>870</v>
      </c>
      <c r="G540" t="s">
        <v>531</v>
      </c>
      <c r="H540" t="s">
        <v>373</v>
      </c>
      <c r="I540" t="s">
        <v>289</v>
      </c>
      <c r="J540" t="s">
        <v>871</v>
      </c>
      <c r="K540">
        <v>4</v>
      </c>
      <c r="L540" s="6">
        <v>1.2192000000000001</v>
      </c>
      <c r="M540" s="7">
        <v>63.5</v>
      </c>
      <c r="N540" s="7">
        <v>234.95</v>
      </c>
      <c r="O540" s="7">
        <f t="shared" si="41"/>
        <v>48.000000000000007</v>
      </c>
      <c r="P540" s="7">
        <f t="shared" si="42"/>
        <v>2.5</v>
      </c>
      <c r="Q540" s="7">
        <f t="shared" si="42"/>
        <v>9.25</v>
      </c>
      <c r="R540" s="6">
        <f t="shared" si="43"/>
        <v>219.905</v>
      </c>
      <c r="S540" s="6">
        <f t="shared" si="45"/>
        <v>1.8189641040000003E-2</v>
      </c>
      <c r="T540" t="str">
        <f t="shared" si="44"/>
        <v>Cumaru S4S E4E 3x10 Short</v>
      </c>
    </row>
    <row r="541" spans="1:20" x14ac:dyDescent="0.25">
      <c r="A541" t="s">
        <v>531</v>
      </c>
      <c r="B541" t="s">
        <v>868</v>
      </c>
      <c r="C541" t="s">
        <v>524</v>
      </c>
      <c r="D541" t="s">
        <v>438</v>
      </c>
      <c r="E541" t="s">
        <v>886</v>
      </c>
      <c r="F541" t="s">
        <v>870</v>
      </c>
      <c r="G541" t="s">
        <v>531</v>
      </c>
      <c r="H541" t="s">
        <v>373</v>
      </c>
      <c r="I541" t="s">
        <v>289</v>
      </c>
      <c r="J541" t="s">
        <v>871</v>
      </c>
      <c r="K541">
        <v>5</v>
      </c>
      <c r="L541" s="6">
        <v>1.524</v>
      </c>
      <c r="M541" s="7">
        <v>63.5</v>
      </c>
      <c r="N541" s="7">
        <v>234.95</v>
      </c>
      <c r="O541" s="7">
        <f t="shared" si="41"/>
        <v>60</v>
      </c>
      <c r="P541" s="7">
        <f t="shared" si="42"/>
        <v>2.5</v>
      </c>
      <c r="Q541" s="7">
        <f t="shared" si="42"/>
        <v>9.25</v>
      </c>
      <c r="R541" s="6">
        <f t="shared" si="43"/>
        <v>219.905</v>
      </c>
      <c r="S541" s="6">
        <f t="shared" si="45"/>
        <v>2.2737051299999998E-2</v>
      </c>
      <c r="T541" t="str">
        <f t="shared" si="44"/>
        <v>Cumaru S4S E4E 3x10 Short</v>
      </c>
    </row>
    <row r="542" spans="1:20" x14ac:dyDescent="0.25">
      <c r="A542" t="s">
        <v>531</v>
      </c>
      <c r="B542" t="s">
        <v>868</v>
      </c>
      <c r="C542" t="s">
        <v>524</v>
      </c>
      <c r="D542" t="s">
        <v>438</v>
      </c>
      <c r="E542" t="s">
        <v>887</v>
      </c>
      <c r="F542" t="s">
        <v>870</v>
      </c>
      <c r="G542" t="s">
        <v>531</v>
      </c>
      <c r="H542" t="s">
        <v>373</v>
      </c>
      <c r="I542" t="s">
        <v>289</v>
      </c>
      <c r="J542" t="s">
        <v>871</v>
      </c>
      <c r="K542">
        <v>6</v>
      </c>
      <c r="L542" s="6">
        <v>1.8288</v>
      </c>
      <c r="M542" s="7">
        <v>63.5</v>
      </c>
      <c r="N542" s="7">
        <v>234.95</v>
      </c>
      <c r="O542" s="7">
        <f t="shared" si="41"/>
        <v>72</v>
      </c>
      <c r="P542" s="7">
        <f t="shared" si="42"/>
        <v>2.5</v>
      </c>
      <c r="Q542" s="7">
        <f t="shared" si="42"/>
        <v>9.25</v>
      </c>
      <c r="R542" s="6">
        <f t="shared" si="43"/>
        <v>219.905</v>
      </c>
      <c r="S542" s="6">
        <f t="shared" si="45"/>
        <v>2.7284461560000001E-2</v>
      </c>
      <c r="T542" t="str">
        <f t="shared" si="44"/>
        <v>Cumaru S4S E4E 3x10 Short</v>
      </c>
    </row>
    <row r="543" spans="1:20" x14ac:dyDescent="0.25">
      <c r="A543" t="s">
        <v>531</v>
      </c>
      <c r="B543" t="s">
        <v>868</v>
      </c>
      <c r="C543" t="s">
        <v>524</v>
      </c>
      <c r="D543" t="s">
        <v>438</v>
      </c>
      <c r="E543" t="s">
        <v>888</v>
      </c>
      <c r="F543" t="s">
        <v>870</v>
      </c>
      <c r="G543" t="s">
        <v>531</v>
      </c>
      <c r="H543" t="s">
        <v>373</v>
      </c>
      <c r="I543" t="s">
        <v>289</v>
      </c>
      <c r="J543" t="s">
        <v>871</v>
      </c>
      <c r="K543">
        <v>7</v>
      </c>
      <c r="L543" s="6">
        <v>2.1335999999999999</v>
      </c>
      <c r="M543" s="7">
        <v>63.5</v>
      </c>
      <c r="N543" s="7">
        <v>234.95</v>
      </c>
      <c r="O543" s="7">
        <f t="shared" si="41"/>
        <v>84</v>
      </c>
      <c r="P543" s="7">
        <f t="shared" si="42"/>
        <v>2.5</v>
      </c>
      <c r="Q543" s="7">
        <f t="shared" si="42"/>
        <v>9.25</v>
      </c>
      <c r="R543" s="6">
        <f t="shared" si="43"/>
        <v>219.905</v>
      </c>
      <c r="S543" s="6">
        <f t="shared" si="45"/>
        <v>3.1831871819999996E-2</v>
      </c>
      <c r="T543" t="str">
        <f t="shared" si="44"/>
        <v>Cumaru S4S E4E 3x10 Short</v>
      </c>
    </row>
    <row r="544" spans="1:20" x14ac:dyDescent="0.25">
      <c r="A544" t="s">
        <v>531</v>
      </c>
      <c r="B544" t="s">
        <v>868</v>
      </c>
      <c r="C544" t="s">
        <v>283</v>
      </c>
      <c r="D544" t="s">
        <v>438</v>
      </c>
      <c r="E544" t="s">
        <v>889</v>
      </c>
      <c r="F544" t="s">
        <v>870</v>
      </c>
      <c r="G544" t="s">
        <v>531</v>
      </c>
      <c r="H544" t="s">
        <v>373</v>
      </c>
      <c r="I544" t="s">
        <v>289</v>
      </c>
      <c r="J544" t="s">
        <v>871</v>
      </c>
      <c r="K544">
        <v>8</v>
      </c>
      <c r="L544" s="6">
        <v>2.4384000000000001</v>
      </c>
      <c r="M544" s="7">
        <v>63.5</v>
      </c>
      <c r="N544" s="7">
        <v>234.95</v>
      </c>
      <c r="O544" s="7">
        <f t="shared" si="41"/>
        <v>96.000000000000014</v>
      </c>
      <c r="P544" s="7">
        <f t="shared" si="42"/>
        <v>2.5</v>
      </c>
      <c r="Q544" s="7">
        <f t="shared" si="42"/>
        <v>9.25</v>
      </c>
      <c r="R544" s="6">
        <f t="shared" si="43"/>
        <v>219.905</v>
      </c>
      <c r="S544" s="6">
        <f t="shared" si="45"/>
        <v>3.6379282080000006E-2</v>
      </c>
      <c r="T544" t="str">
        <f t="shared" si="44"/>
        <v>Cumaru S4S E4E 3x10 Long</v>
      </c>
    </row>
    <row r="545" spans="1:20" x14ac:dyDescent="0.25">
      <c r="A545" t="s">
        <v>531</v>
      </c>
      <c r="B545" t="s">
        <v>868</v>
      </c>
      <c r="C545" t="s">
        <v>283</v>
      </c>
      <c r="D545" t="s">
        <v>438</v>
      </c>
      <c r="E545" t="s">
        <v>890</v>
      </c>
      <c r="F545" t="s">
        <v>870</v>
      </c>
      <c r="G545" t="s">
        <v>531</v>
      </c>
      <c r="H545" t="s">
        <v>373</v>
      </c>
      <c r="I545" t="s">
        <v>289</v>
      </c>
      <c r="J545" t="s">
        <v>871</v>
      </c>
      <c r="K545">
        <v>9</v>
      </c>
      <c r="L545" s="6">
        <v>2.7431999999999999</v>
      </c>
      <c r="M545" s="7">
        <v>63.5</v>
      </c>
      <c r="N545" s="7">
        <v>234.95</v>
      </c>
      <c r="O545" s="7">
        <f t="shared" si="41"/>
        <v>108</v>
      </c>
      <c r="P545" s="7">
        <f t="shared" si="42"/>
        <v>2.5</v>
      </c>
      <c r="Q545" s="7">
        <f t="shared" si="42"/>
        <v>9.25</v>
      </c>
      <c r="R545" s="6">
        <f t="shared" si="43"/>
        <v>219.905</v>
      </c>
      <c r="S545" s="6">
        <f t="shared" si="45"/>
        <v>4.0926692339999994E-2</v>
      </c>
      <c r="T545" t="str">
        <f t="shared" si="44"/>
        <v>Cumaru S4S E4E 3x10 Long</v>
      </c>
    </row>
    <row r="546" spans="1:20" x14ac:dyDescent="0.25">
      <c r="A546" t="s">
        <v>531</v>
      </c>
      <c r="B546" t="s">
        <v>891</v>
      </c>
      <c r="C546" t="s">
        <v>283</v>
      </c>
      <c r="D546" t="s">
        <v>438</v>
      </c>
      <c r="E546" t="s">
        <v>892</v>
      </c>
      <c r="F546" t="s">
        <v>893</v>
      </c>
      <c r="G546" t="s">
        <v>531</v>
      </c>
      <c r="H546" t="s">
        <v>373</v>
      </c>
      <c r="I546" t="s">
        <v>289</v>
      </c>
      <c r="J546" t="s">
        <v>894</v>
      </c>
      <c r="K546">
        <v>10</v>
      </c>
      <c r="L546" s="6">
        <v>3.048</v>
      </c>
      <c r="M546" s="7">
        <v>63.5</v>
      </c>
      <c r="N546" s="7">
        <v>285.75</v>
      </c>
      <c r="O546" s="7">
        <f t="shared" si="41"/>
        <v>120</v>
      </c>
      <c r="P546" s="7">
        <f t="shared" si="42"/>
        <v>2.5</v>
      </c>
      <c r="Q546" s="7">
        <f t="shared" si="42"/>
        <v>11.25</v>
      </c>
      <c r="R546" s="6">
        <f t="shared" si="43"/>
        <v>180.81100000000001</v>
      </c>
      <c r="S546" s="6">
        <f t="shared" si="45"/>
        <v>5.5306340999999995E-2</v>
      </c>
      <c r="T546" t="str">
        <f t="shared" si="44"/>
        <v>Cumaru S4S E4E 3x12 Long</v>
      </c>
    </row>
    <row r="547" spans="1:20" x14ac:dyDescent="0.25">
      <c r="A547" t="s">
        <v>531</v>
      </c>
      <c r="B547" t="s">
        <v>891</v>
      </c>
      <c r="C547" t="s">
        <v>283</v>
      </c>
      <c r="D547" t="s">
        <v>438</v>
      </c>
      <c r="E547" t="s">
        <v>895</v>
      </c>
      <c r="F547" t="s">
        <v>893</v>
      </c>
      <c r="G547" t="s">
        <v>531</v>
      </c>
      <c r="H547" t="s">
        <v>373</v>
      </c>
      <c r="I547" t="s">
        <v>289</v>
      </c>
      <c r="J547" t="s">
        <v>894</v>
      </c>
      <c r="K547">
        <v>10</v>
      </c>
      <c r="L547" s="6">
        <v>3.048</v>
      </c>
      <c r="M547" s="7">
        <v>63.5</v>
      </c>
      <c r="N547" s="7">
        <v>285.75</v>
      </c>
      <c r="O547" s="7">
        <f t="shared" si="41"/>
        <v>120</v>
      </c>
      <c r="P547" s="7">
        <f t="shared" si="42"/>
        <v>2.5</v>
      </c>
      <c r="Q547" s="7">
        <f t="shared" si="42"/>
        <v>11.25</v>
      </c>
      <c r="R547" s="6">
        <f t="shared" si="43"/>
        <v>180.81100000000001</v>
      </c>
      <c r="S547" s="6">
        <f t="shared" si="45"/>
        <v>5.5306340999999995E-2</v>
      </c>
      <c r="T547" t="str">
        <f t="shared" si="44"/>
        <v>Cumaru S4S E4E 3x12 Long</v>
      </c>
    </row>
    <row r="548" spans="1:20" x14ac:dyDescent="0.25">
      <c r="A548" t="s">
        <v>531</v>
      </c>
      <c r="B548" t="s">
        <v>891</v>
      </c>
      <c r="C548" t="s">
        <v>283</v>
      </c>
      <c r="D548" t="s">
        <v>438</v>
      </c>
      <c r="E548" t="s">
        <v>896</v>
      </c>
      <c r="F548" t="s">
        <v>893</v>
      </c>
      <c r="G548" t="s">
        <v>531</v>
      </c>
      <c r="H548" t="s">
        <v>373</v>
      </c>
      <c r="I548" t="s">
        <v>289</v>
      </c>
      <c r="J548" t="s">
        <v>894</v>
      </c>
      <c r="K548">
        <v>11</v>
      </c>
      <c r="L548" s="6">
        <v>3.3527999999999998</v>
      </c>
      <c r="M548" s="7">
        <v>63.5</v>
      </c>
      <c r="N548" s="7">
        <v>285.75</v>
      </c>
      <c r="O548" s="7">
        <f t="shared" si="41"/>
        <v>132</v>
      </c>
      <c r="P548" s="7">
        <f t="shared" si="42"/>
        <v>2.5</v>
      </c>
      <c r="Q548" s="7">
        <f t="shared" si="42"/>
        <v>11.25</v>
      </c>
      <c r="R548" s="6">
        <f t="shared" si="43"/>
        <v>180.81100000000001</v>
      </c>
      <c r="S548" s="6">
        <f t="shared" si="45"/>
        <v>6.0836975099999989E-2</v>
      </c>
      <c r="T548" t="str">
        <f t="shared" si="44"/>
        <v>Cumaru S4S E4E 3x12 Long</v>
      </c>
    </row>
    <row r="549" spans="1:20" x14ac:dyDescent="0.25">
      <c r="A549" t="s">
        <v>531</v>
      </c>
      <c r="B549" t="s">
        <v>891</v>
      </c>
      <c r="C549" t="s">
        <v>283</v>
      </c>
      <c r="D549" t="s">
        <v>438</v>
      </c>
      <c r="E549" t="s">
        <v>897</v>
      </c>
      <c r="F549" t="s">
        <v>893</v>
      </c>
      <c r="G549" t="s">
        <v>531</v>
      </c>
      <c r="H549" t="s">
        <v>373</v>
      </c>
      <c r="I549" t="s">
        <v>289</v>
      </c>
      <c r="J549" t="s">
        <v>894</v>
      </c>
      <c r="K549">
        <v>11</v>
      </c>
      <c r="L549" s="6">
        <v>3.3527999999999998</v>
      </c>
      <c r="M549" s="7">
        <v>63.5</v>
      </c>
      <c r="N549" s="7">
        <v>285.75</v>
      </c>
      <c r="O549" s="7">
        <f t="shared" si="41"/>
        <v>132</v>
      </c>
      <c r="P549" s="7">
        <f t="shared" si="42"/>
        <v>2.5</v>
      </c>
      <c r="Q549" s="7">
        <f t="shared" si="42"/>
        <v>11.25</v>
      </c>
      <c r="R549" s="6">
        <f t="shared" si="43"/>
        <v>180.81100000000001</v>
      </c>
      <c r="S549" s="6">
        <f t="shared" si="45"/>
        <v>6.0836975099999989E-2</v>
      </c>
      <c r="T549" t="str">
        <f t="shared" si="44"/>
        <v>Cumaru S4S E4E 3x12 Long</v>
      </c>
    </row>
    <row r="550" spans="1:20" x14ac:dyDescent="0.25">
      <c r="A550" t="s">
        <v>531</v>
      </c>
      <c r="B550" t="s">
        <v>891</v>
      </c>
      <c r="C550" t="s">
        <v>283</v>
      </c>
      <c r="D550" t="s">
        <v>438</v>
      </c>
      <c r="E550" t="s">
        <v>898</v>
      </c>
      <c r="F550" t="s">
        <v>893</v>
      </c>
      <c r="G550" t="s">
        <v>531</v>
      </c>
      <c r="H550" t="s">
        <v>373</v>
      </c>
      <c r="I550" t="s">
        <v>289</v>
      </c>
      <c r="J550" t="s">
        <v>894</v>
      </c>
      <c r="K550">
        <v>12</v>
      </c>
      <c r="L550" s="6">
        <v>3.6576</v>
      </c>
      <c r="M550" s="7">
        <v>63.5</v>
      </c>
      <c r="N550" s="7">
        <v>285.75</v>
      </c>
      <c r="O550" s="7">
        <f t="shared" si="41"/>
        <v>144</v>
      </c>
      <c r="P550" s="7">
        <f t="shared" si="42"/>
        <v>2.5</v>
      </c>
      <c r="Q550" s="7">
        <f t="shared" si="42"/>
        <v>11.25</v>
      </c>
      <c r="R550" s="6">
        <f t="shared" si="43"/>
        <v>180.81100000000001</v>
      </c>
      <c r="S550" s="6">
        <f t="shared" si="45"/>
        <v>6.6367609200000011E-2</v>
      </c>
      <c r="T550" t="str">
        <f t="shared" si="44"/>
        <v>Cumaru S4S E4E 3x12 Long</v>
      </c>
    </row>
    <row r="551" spans="1:20" x14ac:dyDescent="0.25">
      <c r="A551" t="s">
        <v>531</v>
      </c>
      <c r="B551" t="s">
        <v>891</v>
      </c>
      <c r="C551" t="s">
        <v>283</v>
      </c>
      <c r="D551" t="s">
        <v>438</v>
      </c>
      <c r="E551" t="s">
        <v>899</v>
      </c>
      <c r="F551" t="s">
        <v>893</v>
      </c>
      <c r="G551" t="s">
        <v>531</v>
      </c>
      <c r="H551" t="s">
        <v>373</v>
      </c>
      <c r="I551" t="s">
        <v>289</v>
      </c>
      <c r="J551" t="s">
        <v>894</v>
      </c>
      <c r="K551">
        <v>12</v>
      </c>
      <c r="L551" s="6">
        <v>3.6576</v>
      </c>
      <c r="M551" s="7">
        <v>63.5</v>
      </c>
      <c r="N551" s="7">
        <v>285.75</v>
      </c>
      <c r="O551" s="7">
        <f t="shared" si="41"/>
        <v>144</v>
      </c>
      <c r="P551" s="7">
        <f t="shared" si="42"/>
        <v>2.5</v>
      </c>
      <c r="Q551" s="7">
        <f t="shared" si="42"/>
        <v>11.25</v>
      </c>
      <c r="R551" s="6">
        <f t="shared" si="43"/>
        <v>180.81100000000001</v>
      </c>
      <c r="S551" s="6">
        <f t="shared" si="45"/>
        <v>6.6367609200000011E-2</v>
      </c>
      <c r="T551" t="str">
        <f t="shared" si="44"/>
        <v>Cumaru S4S E4E 3x12 Long</v>
      </c>
    </row>
    <row r="552" spans="1:20" x14ac:dyDescent="0.25">
      <c r="A552" t="s">
        <v>531</v>
      </c>
      <c r="B552" t="s">
        <v>891</v>
      </c>
      <c r="C552" t="s">
        <v>283</v>
      </c>
      <c r="D552" t="s">
        <v>438</v>
      </c>
      <c r="E552" t="s">
        <v>900</v>
      </c>
      <c r="F552" t="s">
        <v>893</v>
      </c>
      <c r="G552" t="s">
        <v>531</v>
      </c>
      <c r="H552" t="s">
        <v>373</v>
      </c>
      <c r="I552" t="s">
        <v>289</v>
      </c>
      <c r="J552" t="s">
        <v>894</v>
      </c>
      <c r="K552">
        <v>13</v>
      </c>
      <c r="L552" s="6">
        <v>3.9624000000000001</v>
      </c>
      <c r="M552" s="7">
        <v>63.5</v>
      </c>
      <c r="N552" s="7">
        <v>285.75</v>
      </c>
      <c r="O552" s="7">
        <f t="shared" si="41"/>
        <v>156</v>
      </c>
      <c r="P552" s="7">
        <f t="shared" si="42"/>
        <v>2.5</v>
      </c>
      <c r="Q552" s="7">
        <f t="shared" si="42"/>
        <v>11.25</v>
      </c>
      <c r="R552" s="6">
        <f t="shared" si="43"/>
        <v>180.81100000000001</v>
      </c>
      <c r="S552" s="6">
        <f t="shared" si="45"/>
        <v>7.1898243299999998E-2</v>
      </c>
      <c r="T552" t="str">
        <f t="shared" si="44"/>
        <v>Cumaru S4S E4E 3x12 Long</v>
      </c>
    </row>
    <row r="553" spans="1:20" x14ac:dyDescent="0.25">
      <c r="A553" t="s">
        <v>531</v>
      </c>
      <c r="B553" t="s">
        <v>891</v>
      </c>
      <c r="C553" t="s">
        <v>283</v>
      </c>
      <c r="D553" t="s">
        <v>438</v>
      </c>
      <c r="E553" t="s">
        <v>901</v>
      </c>
      <c r="F553" t="s">
        <v>893</v>
      </c>
      <c r="G553" t="s">
        <v>531</v>
      </c>
      <c r="H553" t="s">
        <v>373</v>
      </c>
      <c r="I553" t="s">
        <v>289</v>
      </c>
      <c r="J553" t="s">
        <v>894</v>
      </c>
      <c r="K553">
        <v>13</v>
      </c>
      <c r="L553" s="6">
        <v>3.9624000000000001</v>
      </c>
      <c r="M553" s="7">
        <v>63.5</v>
      </c>
      <c r="N553" s="7">
        <v>285.75</v>
      </c>
      <c r="O553" s="7">
        <f t="shared" si="41"/>
        <v>156</v>
      </c>
      <c r="P553" s="7">
        <f t="shared" si="42"/>
        <v>2.5</v>
      </c>
      <c r="Q553" s="7">
        <f t="shared" si="42"/>
        <v>11.25</v>
      </c>
      <c r="R553" s="6">
        <f t="shared" si="43"/>
        <v>180.81100000000001</v>
      </c>
      <c r="S553" s="6">
        <f t="shared" si="45"/>
        <v>7.1898243299999998E-2</v>
      </c>
      <c r="T553" t="str">
        <f t="shared" si="44"/>
        <v>Cumaru S4S E4E 3x12 Long</v>
      </c>
    </row>
    <row r="554" spans="1:20" x14ac:dyDescent="0.25">
      <c r="A554" t="s">
        <v>531</v>
      </c>
      <c r="B554" t="s">
        <v>891</v>
      </c>
      <c r="C554" t="s">
        <v>283</v>
      </c>
      <c r="D554" t="s">
        <v>438</v>
      </c>
      <c r="E554" t="s">
        <v>902</v>
      </c>
      <c r="F554" t="s">
        <v>893</v>
      </c>
      <c r="G554" t="s">
        <v>531</v>
      </c>
      <c r="H554" t="s">
        <v>373</v>
      </c>
      <c r="I554" t="s">
        <v>289</v>
      </c>
      <c r="J554" t="s">
        <v>894</v>
      </c>
      <c r="K554">
        <v>14</v>
      </c>
      <c r="L554" s="6">
        <v>4.2671999999999999</v>
      </c>
      <c r="M554" s="7">
        <v>63.5</v>
      </c>
      <c r="N554" s="7">
        <v>285.75</v>
      </c>
      <c r="O554" s="7">
        <f t="shared" si="41"/>
        <v>168</v>
      </c>
      <c r="P554" s="7">
        <f t="shared" si="42"/>
        <v>2.5</v>
      </c>
      <c r="Q554" s="7">
        <f t="shared" si="42"/>
        <v>11.25</v>
      </c>
      <c r="R554" s="6">
        <f t="shared" si="43"/>
        <v>180.81100000000001</v>
      </c>
      <c r="S554" s="6">
        <f t="shared" si="45"/>
        <v>7.7428877399999985E-2</v>
      </c>
      <c r="T554" t="str">
        <f t="shared" si="44"/>
        <v>Cumaru S4S E4E 3x12 Long</v>
      </c>
    </row>
    <row r="555" spans="1:20" x14ac:dyDescent="0.25">
      <c r="A555" t="s">
        <v>531</v>
      </c>
      <c r="B555" t="s">
        <v>891</v>
      </c>
      <c r="C555" t="s">
        <v>283</v>
      </c>
      <c r="D555" t="s">
        <v>438</v>
      </c>
      <c r="E555" t="s">
        <v>903</v>
      </c>
      <c r="F555" t="s">
        <v>893</v>
      </c>
      <c r="G555" t="s">
        <v>531</v>
      </c>
      <c r="H555" t="s">
        <v>373</v>
      </c>
      <c r="I555" t="s">
        <v>289</v>
      </c>
      <c r="J555" t="s">
        <v>894</v>
      </c>
      <c r="K555">
        <v>14</v>
      </c>
      <c r="L555" s="6">
        <v>4.2671999999999999</v>
      </c>
      <c r="M555" s="7">
        <v>63.5</v>
      </c>
      <c r="N555" s="7">
        <v>285.75</v>
      </c>
      <c r="O555" s="7">
        <f t="shared" si="41"/>
        <v>168</v>
      </c>
      <c r="P555" s="7">
        <f t="shared" si="42"/>
        <v>2.5</v>
      </c>
      <c r="Q555" s="7">
        <f t="shared" si="42"/>
        <v>11.25</v>
      </c>
      <c r="R555" s="6">
        <f t="shared" si="43"/>
        <v>180.81100000000001</v>
      </c>
      <c r="S555" s="6">
        <f t="shared" si="45"/>
        <v>7.7428877399999985E-2</v>
      </c>
      <c r="T555" t="str">
        <f t="shared" si="44"/>
        <v>Cumaru S4S E4E 3x12 Long</v>
      </c>
    </row>
    <row r="556" spans="1:20" x14ac:dyDescent="0.25">
      <c r="A556" t="s">
        <v>531</v>
      </c>
      <c r="B556" t="s">
        <v>891</v>
      </c>
      <c r="C556" t="s">
        <v>283</v>
      </c>
      <c r="D556" t="s">
        <v>438</v>
      </c>
      <c r="E556" t="s">
        <v>904</v>
      </c>
      <c r="F556" t="s">
        <v>893</v>
      </c>
      <c r="G556" t="s">
        <v>531</v>
      </c>
      <c r="H556" t="s">
        <v>373</v>
      </c>
      <c r="I556" t="s">
        <v>289</v>
      </c>
      <c r="J556" t="s">
        <v>894</v>
      </c>
      <c r="K556">
        <v>15</v>
      </c>
      <c r="L556" s="6">
        <v>4.5720000000000001</v>
      </c>
      <c r="M556" s="7">
        <v>63.5</v>
      </c>
      <c r="N556" s="7">
        <v>285.75</v>
      </c>
      <c r="O556" s="7">
        <f t="shared" si="41"/>
        <v>180</v>
      </c>
      <c r="P556" s="7">
        <f t="shared" si="42"/>
        <v>2.5</v>
      </c>
      <c r="Q556" s="7">
        <f t="shared" si="42"/>
        <v>11.25</v>
      </c>
      <c r="R556" s="6">
        <f t="shared" si="43"/>
        <v>180.81100000000001</v>
      </c>
      <c r="S556" s="6">
        <f t="shared" si="45"/>
        <v>8.2959511499999999E-2</v>
      </c>
      <c r="T556" t="str">
        <f t="shared" si="44"/>
        <v>Cumaru S4S E4E 3x12 Long</v>
      </c>
    </row>
    <row r="557" spans="1:20" x14ac:dyDescent="0.25">
      <c r="A557" t="s">
        <v>531</v>
      </c>
      <c r="B557" t="s">
        <v>891</v>
      </c>
      <c r="C557" t="s">
        <v>283</v>
      </c>
      <c r="D557" t="s">
        <v>438</v>
      </c>
      <c r="E557" t="s">
        <v>905</v>
      </c>
      <c r="F557" t="s">
        <v>893</v>
      </c>
      <c r="G557" t="s">
        <v>531</v>
      </c>
      <c r="H557" t="s">
        <v>373</v>
      </c>
      <c r="I557" t="s">
        <v>289</v>
      </c>
      <c r="J557" t="s">
        <v>894</v>
      </c>
      <c r="K557">
        <v>15</v>
      </c>
      <c r="L557" s="6">
        <v>4.5720000000000001</v>
      </c>
      <c r="M557" s="7">
        <v>63.5</v>
      </c>
      <c r="N557" s="7">
        <v>285.75</v>
      </c>
      <c r="O557" s="7">
        <f t="shared" si="41"/>
        <v>180</v>
      </c>
      <c r="P557" s="7">
        <f t="shared" si="42"/>
        <v>2.5</v>
      </c>
      <c r="Q557" s="7">
        <f t="shared" si="42"/>
        <v>11.25</v>
      </c>
      <c r="R557" s="6">
        <f t="shared" si="43"/>
        <v>180.81100000000001</v>
      </c>
      <c r="S557" s="6">
        <f t="shared" si="45"/>
        <v>8.2959511499999999E-2</v>
      </c>
      <c r="T557" t="str">
        <f t="shared" si="44"/>
        <v>Cumaru S4S E4E 3x12 Long</v>
      </c>
    </row>
    <row r="558" spans="1:20" x14ac:dyDescent="0.25">
      <c r="A558" t="s">
        <v>531</v>
      </c>
      <c r="B558" t="s">
        <v>891</v>
      </c>
      <c r="C558" t="s">
        <v>283</v>
      </c>
      <c r="D558" t="s">
        <v>438</v>
      </c>
      <c r="E558" t="s">
        <v>906</v>
      </c>
      <c r="F558" t="s">
        <v>893</v>
      </c>
      <c r="G558" t="s">
        <v>531</v>
      </c>
      <c r="H558" t="s">
        <v>373</v>
      </c>
      <c r="I558" t="s">
        <v>289</v>
      </c>
      <c r="J558" t="s">
        <v>894</v>
      </c>
      <c r="K558">
        <v>16</v>
      </c>
      <c r="L558" s="6">
        <v>4.8768000000000002</v>
      </c>
      <c r="M558" s="7">
        <v>63.5</v>
      </c>
      <c r="N558" s="7">
        <v>285.75</v>
      </c>
      <c r="O558" s="7">
        <f t="shared" si="41"/>
        <v>192.00000000000003</v>
      </c>
      <c r="P558" s="7">
        <f t="shared" si="42"/>
        <v>2.5</v>
      </c>
      <c r="Q558" s="7">
        <f t="shared" si="42"/>
        <v>11.25</v>
      </c>
      <c r="R558" s="6">
        <f t="shared" si="43"/>
        <v>180.81100000000001</v>
      </c>
      <c r="S558" s="6">
        <f t="shared" si="45"/>
        <v>8.84901456E-2</v>
      </c>
      <c r="T558" t="str">
        <f t="shared" si="44"/>
        <v>Cumaru S4S E4E 3x12 Long</v>
      </c>
    </row>
    <row r="559" spans="1:20" x14ac:dyDescent="0.25">
      <c r="A559" t="s">
        <v>531</v>
      </c>
      <c r="B559" t="s">
        <v>891</v>
      </c>
      <c r="C559" t="s">
        <v>283</v>
      </c>
      <c r="D559" t="s">
        <v>438</v>
      </c>
      <c r="E559" t="s">
        <v>907</v>
      </c>
      <c r="F559" t="s">
        <v>893</v>
      </c>
      <c r="G559" t="s">
        <v>531</v>
      </c>
      <c r="H559" t="s">
        <v>373</v>
      </c>
      <c r="I559" t="s">
        <v>289</v>
      </c>
      <c r="J559" t="s">
        <v>894</v>
      </c>
      <c r="K559">
        <v>16</v>
      </c>
      <c r="L559" s="6">
        <v>4.8768000000000002</v>
      </c>
      <c r="M559" s="7">
        <v>63.5</v>
      </c>
      <c r="N559" s="7">
        <v>285.75</v>
      </c>
      <c r="O559" s="7">
        <f t="shared" si="41"/>
        <v>192.00000000000003</v>
      </c>
      <c r="P559" s="7">
        <f t="shared" si="42"/>
        <v>2.5</v>
      </c>
      <c r="Q559" s="7">
        <f t="shared" si="42"/>
        <v>11.25</v>
      </c>
      <c r="R559" s="6">
        <f t="shared" si="43"/>
        <v>180.81100000000001</v>
      </c>
      <c r="S559" s="6">
        <f t="shared" si="45"/>
        <v>8.84901456E-2</v>
      </c>
      <c r="T559" t="str">
        <f t="shared" si="44"/>
        <v>Cumaru S4S E4E 3x12 Long</v>
      </c>
    </row>
    <row r="560" spans="1:20" x14ac:dyDescent="0.25">
      <c r="A560" t="s">
        <v>531</v>
      </c>
      <c r="B560" t="s">
        <v>891</v>
      </c>
      <c r="C560" t="s">
        <v>283</v>
      </c>
      <c r="D560" t="s">
        <v>438</v>
      </c>
      <c r="E560" t="s">
        <v>908</v>
      </c>
      <c r="F560" t="s">
        <v>893</v>
      </c>
      <c r="G560" t="s">
        <v>531</v>
      </c>
      <c r="H560" t="s">
        <v>373</v>
      </c>
      <c r="I560" t="s">
        <v>289</v>
      </c>
      <c r="J560" t="s">
        <v>894</v>
      </c>
      <c r="K560">
        <v>17</v>
      </c>
      <c r="L560" s="6">
        <v>5.1816000000000004</v>
      </c>
      <c r="M560" s="7">
        <v>63.5</v>
      </c>
      <c r="N560" s="7">
        <v>285.75</v>
      </c>
      <c r="O560" s="7">
        <f t="shared" si="41"/>
        <v>204.00000000000003</v>
      </c>
      <c r="P560" s="7">
        <f t="shared" si="42"/>
        <v>2.5</v>
      </c>
      <c r="Q560" s="7">
        <f t="shared" si="42"/>
        <v>11.25</v>
      </c>
      <c r="R560" s="6">
        <f t="shared" si="43"/>
        <v>180.81100000000001</v>
      </c>
      <c r="S560" s="6">
        <f t="shared" si="45"/>
        <v>9.4020779700000001E-2</v>
      </c>
      <c r="T560" t="str">
        <f t="shared" si="44"/>
        <v>Cumaru S4S E4E 3x12 Long</v>
      </c>
    </row>
    <row r="561" spans="1:20" x14ac:dyDescent="0.25">
      <c r="A561" t="s">
        <v>531</v>
      </c>
      <c r="B561" t="s">
        <v>891</v>
      </c>
      <c r="C561" t="s">
        <v>283</v>
      </c>
      <c r="D561" t="s">
        <v>438</v>
      </c>
      <c r="E561" t="s">
        <v>909</v>
      </c>
      <c r="F561" t="s">
        <v>893</v>
      </c>
      <c r="G561" t="s">
        <v>531</v>
      </c>
      <c r="H561" t="s">
        <v>373</v>
      </c>
      <c r="I561" t="s">
        <v>289</v>
      </c>
      <c r="J561" t="s">
        <v>894</v>
      </c>
      <c r="K561">
        <v>17</v>
      </c>
      <c r="L561" s="6">
        <v>5.1816000000000004</v>
      </c>
      <c r="M561" s="7">
        <v>63.5</v>
      </c>
      <c r="N561" s="7">
        <v>285.75</v>
      </c>
      <c r="O561" s="7">
        <f t="shared" si="41"/>
        <v>204.00000000000003</v>
      </c>
      <c r="P561" s="7">
        <f t="shared" si="42"/>
        <v>2.5</v>
      </c>
      <c r="Q561" s="7">
        <f t="shared" si="42"/>
        <v>11.25</v>
      </c>
      <c r="R561" s="6">
        <f t="shared" si="43"/>
        <v>180.81100000000001</v>
      </c>
      <c r="S561" s="6">
        <f t="shared" si="45"/>
        <v>9.4020779700000001E-2</v>
      </c>
      <c r="T561" t="str">
        <f t="shared" si="44"/>
        <v>Cumaru S4S E4E 3x12 Long</v>
      </c>
    </row>
    <row r="562" spans="1:20" x14ac:dyDescent="0.25">
      <c r="A562" t="s">
        <v>531</v>
      </c>
      <c r="B562" t="s">
        <v>891</v>
      </c>
      <c r="C562" t="s">
        <v>283</v>
      </c>
      <c r="D562" t="s">
        <v>438</v>
      </c>
      <c r="E562" t="s">
        <v>910</v>
      </c>
      <c r="F562" t="s">
        <v>893</v>
      </c>
      <c r="G562" t="s">
        <v>531</v>
      </c>
      <c r="H562" t="s">
        <v>373</v>
      </c>
      <c r="I562" t="s">
        <v>289</v>
      </c>
      <c r="J562" t="s">
        <v>894</v>
      </c>
      <c r="K562">
        <v>18</v>
      </c>
      <c r="L562" s="6">
        <v>5.4863999999999997</v>
      </c>
      <c r="M562" s="7">
        <v>63.5</v>
      </c>
      <c r="N562" s="7">
        <v>285.75</v>
      </c>
      <c r="O562" s="7">
        <f t="shared" si="41"/>
        <v>216</v>
      </c>
      <c r="P562" s="7">
        <f t="shared" si="42"/>
        <v>2.5</v>
      </c>
      <c r="Q562" s="7">
        <f t="shared" si="42"/>
        <v>11.25</v>
      </c>
      <c r="R562" s="6">
        <f t="shared" si="43"/>
        <v>180.81100000000001</v>
      </c>
      <c r="S562" s="6">
        <f t="shared" si="45"/>
        <v>9.9551413799999988E-2</v>
      </c>
      <c r="T562" t="str">
        <f t="shared" si="44"/>
        <v>Cumaru S4S E4E 3x12 Long</v>
      </c>
    </row>
    <row r="563" spans="1:20" x14ac:dyDescent="0.25">
      <c r="A563" t="s">
        <v>531</v>
      </c>
      <c r="B563" t="s">
        <v>891</v>
      </c>
      <c r="C563" t="s">
        <v>283</v>
      </c>
      <c r="D563" t="s">
        <v>438</v>
      </c>
      <c r="E563" t="s">
        <v>911</v>
      </c>
      <c r="F563" t="s">
        <v>893</v>
      </c>
      <c r="G563" t="s">
        <v>531</v>
      </c>
      <c r="H563" t="s">
        <v>373</v>
      </c>
      <c r="I563" t="s">
        <v>289</v>
      </c>
      <c r="J563" t="s">
        <v>894</v>
      </c>
      <c r="K563">
        <v>18</v>
      </c>
      <c r="L563" s="6">
        <v>5.4863999999999997</v>
      </c>
      <c r="M563" s="7">
        <v>63.5</v>
      </c>
      <c r="N563" s="7">
        <v>285.75</v>
      </c>
      <c r="O563" s="7">
        <f t="shared" si="41"/>
        <v>216</v>
      </c>
      <c r="P563" s="7">
        <f t="shared" si="42"/>
        <v>2.5</v>
      </c>
      <c r="Q563" s="7">
        <f t="shared" si="42"/>
        <v>11.25</v>
      </c>
      <c r="R563" s="6">
        <f t="shared" si="43"/>
        <v>180.81100000000001</v>
      </c>
      <c r="S563" s="6">
        <f t="shared" si="45"/>
        <v>9.9551413799999988E-2</v>
      </c>
      <c r="T563" t="str">
        <f t="shared" si="44"/>
        <v>Cumaru S4S E4E 3x12 Long</v>
      </c>
    </row>
    <row r="564" spans="1:20" x14ac:dyDescent="0.25">
      <c r="A564" t="s">
        <v>531</v>
      </c>
      <c r="B564" t="s">
        <v>891</v>
      </c>
      <c r="C564" t="s">
        <v>283</v>
      </c>
      <c r="D564" t="s">
        <v>438</v>
      </c>
      <c r="E564" t="s">
        <v>912</v>
      </c>
      <c r="F564" t="s">
        <v>893</v>
      </c>
      <c r="G564" t="s">
        <v>531</v>
      </c>
      <c r="H564" t="s">
        <v>373</v>
      </c>
      <c r="I564" t="s">
        <v>289</v>
      </c>
      <c r="J564" t="s">
        <v>894</v>
      </c>
      <c r="K564">
        <v>19</v>
      </c>
      <c r="L564" s="6">
        <v>5.7911999999999999</v>
      </c>
      <c r="M564" s="7">
        <v>63.5</v>
      </c>
      <c r="N564" s="7">
        <v>285.75</v>
      </c>
      <c r="O564" s="7">
        <f t="shared" si="41"/>
        <v>228</v>
      </c>
      <c r="P564" s="7">
        <f t="shared" si="42"/>
        <v>2.5</v>
      </c>
      <c r="Q564" s="7">
        <f t="shared" si="42"/>
        <v>11.25</v>
      </c>
      <c r="R564" s="6">
        <f t="shared" si="43"/>
        <v>180.81100000000001</v>
      </c>
      <c r="S564" s="6">
        <f t="shared" si="45"/>
        <v>0.10508204789999999</v>
      </c>
      <c r="T564" t="str">
        <f t="shared" si="44"/>
        <v>Cumaru S4S E4E 3x12 Long</v>
      </c>
    </row>
    <row r="565" spans="1:20" x14ac:dyDescent="0.25">
      <c r="A565" t="s">
        <v>531</v>
      </c>
      <c r="B565" t="s">
        <v>891</v>
      </c>
      <c r="C565" t="s">
        <v>283</v>
      </c>
      <c r="D565" t="s">
        <v>438</v>
      </c>
      <c r="E565" t="s">
        <v>913</v>
      </c>
      <c r="F565" t="s">
        <v>893</v>
      </c>
      <c r="G565" t="s">
        <v>531</v>
      </c>
      <c r="H565" t="s">
        <v>373</v>
      </c>
      <c r="I565" t="s">
        <v>289</v>
      </c>
      <c r="J565" t="s">
        <v>894</v>
      </c>
      <c r="K565">
        <v>19</v>
      </c>
      <c r="L565" s="6">
        <v>5.7911999999999999</v>
      </c>
      <c r="M565" s="7">
        <v>63.5</v>
      </c>
      <c r="N565" s="7">
        <v>285.75</v>
      </c>
      <c r="O565" s="7">
        <f t="shared" si="41"/>
        <v>228</v>
      </c>
      <c r="P565" s="7">
        <f t="shared" si="42"/>
        <v>2.5</v>
      </c>
      <c r="Q565" s="7">
        <f t="shared" si="42"/>
        <v>11.25</v>
      </c>
      <c r="R565" s="6">
        <f t="shared" si="43"/>
        <v>180.81100000000001</v>
      </c>
      <c r="S565" s="6">
        <f t="shared" si="45"/>
        <v>0.10508204789999999</v>
      </c>
      <c r="T565" t="str">
        <f t="shared" si="44"/>
        <v>Cumaru S4S E4E 3x12 Long</v>
      </c>
    </row>
    <row r="566" spans="1:20" x14ac:dyDescent="0.25">
      <c r="A566" t="s">
        <v>531</v>
      </c>
      <c r="B566" t="s">
        <v>891</v>
      </c>
      <c r="C566" t="s">
        <v>283</v>
      </c>
      <c r="D566" t="s">
        <v>438</v>
      </c>
      <c r="E566" t="s">
        <v>914</v>
      </c>
      <c r="F566" t="s">
        <v>893</v>
      </c>
      <c r="G566" t="s">
        <v>531</v>
      </c>
      <c r="H566" t="s">
        <v>373</v>
      </c>
      <c r="I566" t="s">
        <v>289</v>
      </c>
      <c r="J566" t="s">
        <v>894</v>
      </c>
      <c r="K566">
        <v>20</v>
      </c>
      <c r="L566" s="6">
        <v>6.0960000000000001</v>
      </c>
      <c r="M566" s="7">
        <v>63.5</v>
      </c>
      <c r="N566" s="7">
        <v>285.75</v>
      </c>
      <c r="O566" s="7">
        <f t="shared" si="41"/>
        <v>240</v>
      </c>
      <c r="P566" s="7">
        <f t="shared" si="42"/>
        <v>2.5</v>
      </c>
      <c r="Q566" s="7">
        <f t="shared" si="42"/>
        <v>11.25</v>
      </c>
      <c r="R566" s="6">
        <f t="shared" si="43"/>
        <v>180.81100000000001</v>
      </c>
      <c r="S566" s="6">
        <f t="shared" si="45"/>
        <v>0.11061268199999999</v>
      </c>
      <c r="T566" t="str">
        <f t="shared" si="44"/>
        <v>Cumaru S4S E4E 3x12 Long</v>
      </c>
    </row>
    <row r="567" spans="1:20" x14ac:dyDescent="0.25">
      <c r="A567" t="s">
        <v>531</v>
      </c>
      <c r="B567" t="s">
        <v>891</v>
      </c>
      <c r="C567" t="s">
        <v>283</v>
      </c>
      <c r="D567" t="s">
        <v>438</v>
      </c>
      <c r="E567" t="s">
        <v>915</v>
      </c>
      <c r="F567" t="s">
        <v>893</v>
      </c>
      <c r="G567" t="s">
        <v>531</v>
      </c>
      <c r="H567" t="s">
        <v>373</v>
      </c>
      <c r="I567" t="s">
        <v>289</v>
      </c>
      <c r="J567" t="s">
        <v>894</v>
      </c>
      <c r="K567">
        <v>20</v>
      </c>
      <c r="L567" s="6">
        <v>6.0960000000000001</v>
      </c>
      <c r="M567" s="7">
        <v>63.5</v>
      </c>
      <c r="N567" s="7">
        <v>285.75</v>
      </c>
      <c r="O567" s="7">
        <f t="shared" si="41"/>
        <v>240</v>
      </c>
      <c r="P567" s="7">
        <f t="shared" si="42"/>
        <v>2.5</v>
      </c>
      <c r="Q567" s="7">
        <f t="shared" si="42"/>
        <v>11.25</v>
      </c>
      <c r="R567" s="6">
        <f t="shared" si="43"/>
        <v>180.81100000000001</v>
      </c>
      <c r="S567" s="6">
        <f t="shared" si="45"/>
        <v>0.11061268199999999</v>
      </c>
      <c r="T567" t="str">
        <f t="shared" si="44"/>
        <v>Cumaru S4S E4E 3x12 Long</v>
      </c>
    </row>
    <row r="568" spans="1:20" x14ac:dyDescent="0.25">
      <c r="A568" t="s">
        <v>531</v>
      </c>
      <c r="B568" t="s">
        <v>891</v>
      </c>
      <c r="C568" t="s">
        <v>283</v>
      </c>
      <c r="D568" t="s">
        <v>438</v>
      </c>
      <c r="E568" t="s">
        <v>916</v>
      </c>
      <c r="F568" t="s">
        <v>893</v>
      </c>
      <c r="G568" t="s">
        <v>531</v>
      </c>
      <c r="H568" t="s">
        <v>373</v>
      </c>
      <c r="I568" t="s">
        <v>289</v>
      </c>
      <c r="J568" t="s">
        <v>894</v>
      </c>
      <c r="K568">
        <v>21</v>
      </c>
      <c r="L568" s="6">
        <v>6.4008000000000003</v>
      </c>
      <c r="M568" s="7">
        <v>63.5</v>
      </c>
      <c r="N568" s="7">
        <v>285.75</v>
      </c>
      <c r="O568" s="7">
        <f t="shared" si="41"/>
        <v>252.00000000000003</v>
      </c>
      <c r="P568" s="7">
        <f t="shared" si="42"/>
        <v>2.5</v>
      </c>
      <c r="Q568" s="7">
        <f t="shared" si="42"/>
        <v>11.25</v>
      </c>
      <c r="R568" s="6">
        <f t="shared" si="43"/>
        <v>180.81100000000001</v>
      </c>
      <c r="S568" s="6">
        <f t="shared" si="45"/>
        <v>0.1161433161</v>
      </c>
      <c r="T568" t="str">
        <f t="shared" si="44"/>
        <v>Cumaru S4S E4E 3x12 Long</v>
      </c>
    </row>
    <row r="569" spans="1:20" x14ac:dyDescent="0.25">
      <c r="A569" t="s">
        <v>531</v>
      </c>
      <c r="B569" t="s">
        <v>891</v>
      </c>
      <c r="C569" t="s">
        <v>283</v>
      </c>
      <c r="D569" t="s">
        <v>438</v>
      </c>
      <c r="E569" t="s">
        <v>917</v>
      </c>
      <c r="F569" t="s">
        <v>893</v>
      </c>
      <c r="G569" t="s">
        <v>531</v>
      </c>
      <c r="H569" t="s">
        <v>373</v>
      </c>
      <c r="I569" t="s">
        <v>289</v>
      </c>
      <c r="J569" t="s">
        <v>894</v>
      </c>
      <c r="K569">
        <v>21</v>
      </c>
      <c r="L569" s="6">
        <v>6.4008000000000003</v>
      </c>
      <c r="M569" s="7">
        <v>63.5</v>
      </c>
      <c r="N569" s="7">
        <v>285.75</v>
      </c>
      <c r="O569" s="7">
        <f t="shared" si="41"/>
        <v>252.00000000000003</v>
      </c>
      <c r="P569" s="7">
        <f t="shared" si="42"/>
        <v>2.5</v>
      </c>
      <c r="Q569" s="7">
        <f t="shared" si="42"/>
        <v>11.25</v>
      </c>
      <c r="R569" s="6">
        <f t="shared" si="43"/>
        <v>180.81100000000001</v>
      </c>
      <c r="S569" s="6">
        <f t="shared" si="45"/>
        <v>0.1161433161</v>
      </c>
      <c r="T569" t="str">
        <f t="shared" si="44"/>
        <v>Cumaru S4S E4E 3x12 Long</v>
      </c>
    </row>
    <row r="570" spans="1:20" x14ac:dyDescent="0.25">
      <c r="A570" t="s">
        <v>531</v>
      </c>
      <c r="B570" t="s">
        <v>891</v>
      </c>
      <c r="C570" t="s">
        <v>283</v>
      </c>
      <c r="D570" t="s">
        <v>438</v>
      </c>
      <c r="E570" t="s">
        <v>918</v>
      </c>
      <c r="F570" t="s">
        <v>893</v>
      </c>
      <c r="G570" t="s">
        <v>531</v>
      </c>
      <c r="H570" t="s">
        <v>373</v>
      </c>
      <c r="I570" t="s">
        <v>289</v>
      </c>
      <c r="J570" t="s">
        <v>894</v>
      </c>
      <c r="K570">
        <v>22</v>
      </c>
      <c r="L570" s="6">
        <v>6.7055999999999996</v>
      </c>
      <c r="M570" s="7">
        <v>63.5</v>
      </c>
      <c r="N570" s="7">
        <v>285.75</v>
      </c>
      <c r="O570" s="7">
        <f t="shared" si="41"/>
        <v>264</v>
      </c>
      <c r="P570" s="7">
        <f t="shared" si="42"/>
        <v>2.5</v>
      </c>
      <c r="Q570" s="7">
        <f t="shared" si="42"/>
        <v>11.25</v>
      </c>
      <c r="R570" s="6">
        <f t="shared" si="43"/>
        <v>180.81100000000001</v>
      </c>
      <c r="S570" s="6">
        <f t="shared" si="45"/>
        <v>0.12167395019999998</v>
      </c>
      <c r="T570" t="str">
        <f t="shared" si="44"/>
        <v>Cumaru S4S E4E 3x12 Long</v>
      </c>
    </row>
    <row r="571" spans="1:20" x14ac:dyDescent="0.25">
      <c r="A571" t="s">
        <v>531</v>
      </c>
      <c r="B571" t="s">
        <v>891</v>
      </c>
      <c r="C571" t="s">
        <v>283</v>
      </c>
      <c r="D571" t="s">
        <v>438</v>
      </c>
      <c r="E571" t="s">
        <v>919</v>
      </c>
      <c r="F571" t="s">
        <v>893</v>
      </c>
      <c r="G571" t="s">
        <v>531</v>
      </c>
      <c r="H571" t="s">
        <v>373</v>
      </c>
      <c r="I571" t="s">
        <v>289</v>
      </c>
      <c r="J571" t="s">
        <v>894</v>
      </c>
      <c r="K571">
        <v>22</v>
      </c>
      <c r="L571" s="6">
        <v>6.7055999999999996</v>
      </c>
      <c r="M571" s="7">
        <v>63.5</v>
      </c>
      <c r="N571" s="7">
        <v>285.75</v>
      </c>
      <c r="O571" s="7">
        <f t="shared" si="41"/>
        <v>264</v>
      </c>
      <c r="P571" s="7">
        <f t="shared" si="42"/>
        <v>2.5</v>
      </c>
      <c r="Q571" s="7">
        <f t="shared" si="42"/>
        <v>11.25</v>
      </c>
      <c r="R571" s="6">
        <f t="shared" si="43"/>
        <v>180.81100000000001</v>
      </c>
      <c r="S571" s="6">
        <f t="shared" si="45"/>
        <v>0.12167395019999998</v>
      </c>
      <c r="T571" t="str">
        <f t="shared" si="44"/>
        <v>Cumaru S4S E4E 3x12 Long</v>
      </c>
    </row>
    <row r="572" spans="1:20" x14ac:dyDescent="0.25">
      <c r="A572" t="s">
        <v>531</v>
      </c>
      <c r="B572" t="s">
        <v>891</v>
      </c>
      <c r="C572" t="s">
        <v>524</v>
      </c>
      <c r="D572" t="s">
        <v>438</v>
      </c>
      <c r="E572" t="s">
        <v>920</v>
      </c>
      <c r="F572" t="s">
        <v>893</v>
      </c>
      <c r="G572" t="s">
        <v>531</v>
      </c>
      <c r="H572" t="s">
        <v>373</v>
      </c>
      <c r="I572" t="s">
        <v>289</v>
      </c>
      <c r="J572" t="s">
        <v>894</v>
      </c>
      <c r="K572">
        <v>3</v>
      </c>
      <c r="L572" s="6">
        <v>0.91439999999999999</v>
      </c>
      <c r="M572" s="7">
        <v>63.5</v>
      </c>
      <c r="N572" s="7">
        <v>285.75</v>
      </c>
      <c r="O572" s="7">
        <f t="shared" si="41"/>
        <v>36</v>
      </c>
      <c r="P572" s="7">
        <f t="shared" si="42"/>
        <v>2.5</v>
      </c>
      <c r="Q572" s="7">
        <f t="shared" si="42"/>
        <v>11.25</v>
      </c>
      <c r="R572" s="6">
        <f t="shared" si="43"/>
        <v>180.81100000000001</v>
      </c>
      <c r="S572" s="6">
        <f t="shared" si="45"/>
        <v>1.6591902300000003E-2</v>
      </c>
      <c r="T572" t="str">
        <f t="shared" si="44"/>
        <v>Cumaru S4S E4E 3x12 Short</v>
      </c>
    </row>
    <row r="573" spans="1:20" x14ac:dyDescent="0.25">
      <c r="A573" t="s">
        <v>531</v>
      </c>
      <c r="B573" t="s">
        <v>891</v>
      </c>
      <c r="C573" t="s">
        <v>524</v>
      </c>
      <c r="D573" t="s">
        <v>438</v>
      </c>
      <c r="E573" t="s">
        <v>921</v>
      </c>
      <c r="F573" t="s">
        <v>893</v>
      </c>
      <c r="G573" t="s">
        <v>531</v>
      </c>
      <c r="H573" t="s">
        <v>373</v>
      </c>
      <c r="I573" t="s">
        <v>289</v>
      </c>
      <c r="J573" t="s">
        <v>894</v>
      </c>
      <c r="K573">
        <v>3</v>
      </c>
      <c r="L573" s="6">
        <v>0.91439999999999999</v>
      </c>
      <c r="M573" s="7">
        <v>63.5</v>
      </c>
      <c r="N573" s="7">
        <v>285.75</v>
      </c>
      <c r="O573" s="7">
        <f t="shared" si="41"/>
        <v>36</v>
      </c>
      <c r="P573" s="7">
        <f t="shared" si="42"/>
        <v>2.5</v>
      </c>
      <c r="Q573" s="7">
        <f t="shared" si="42"/>
        <v>11.25</v>
      </c>
      <c r="R573" s="6">
        <f t="shared" si="43"/>
        <v>180.81100000000001</v>
      </c>
      <c r="S573" s="6">
        <f t="shared" si="45"/>
        <v>1.6591902300000003E-2</v>
      </c>
      <c r="T573" t="str">
        <f t="shared" si="44"/>
        <v>Cumaru S4S E4E 3x12 Short</v>
      </c>
    </row>
    <row r="574" spans="1:20" x14ac:dyDescent="0.25">
      <c r="A574" t="s">
        <v>531</v>
      </c>
      <c r="B574" t="s">
        <v>891</v>
      </c>
      <c r="C574" t="s">
        <v>524</v>
      </c>
      <c r="D574" t="s">
        <v>438</v>
      </c>
      <c r="E574" t="s">
        <v>922</v>
      </c>
      <c r="F574" t="s">
        <v>893</v>
      </c>
      <c r="G574" t="s">
        <v>531</v>
      </c>
      <c r="H574" t="s">
        <v>373</v>
      </c>
      <c r="I574" t="s">
        <v>289</v>
      </c>
      <c r="J574" t="s">
        <v>894</v>
      </c>
      <c r="K574">
        <v>4</v>
      </c>
      <c r="L574" s="6">
        <v>1.2192000000000001</v>
      </c>
      <c r="M574" s="7">
        <v>63.5</v>
      </c>
      <c r="N574" s="7">
        <v>285.75</v>
      </c>
      <c r="O574" s="7">
        <f t="shared" si="41"/>
        <v>48.000000000000007</v>
      </c>
      <c r="P574" s="7">
        <f t="shared" si="42"/>
        <v>2.5</v>
      </c>
      <c r="Q574" s="7">
        <f t="shared" si="42"/>
        <v>11.25</v>
      </c>
      <c r="R574" s="6">
        <f t="shared" si="43"/>
        <v>180.81100000000001</v>
      </c>
      <c r="S574" s="6">
        <f t="shared" si="45"/>
        <v>2.21225364E-2</v>
      </c>
      <c r="T574" t="str">
        <f t="shared" si="44"/>
        <v>Cumaru S4S E4E 3x12 Short</v>
      </c>
    </row>
    <row r="575" spans="1:20" x14ac:dyDescent="0.25">
      <c r="A575" t="s">
        <v>531</v>
      </c>
      <c r="B575" t="s">
        <v>891</v>
      </c>
      <c r="C575" t="s">
        <v>524</v>
      </c>
      <c r="D575" t="s">
        <v>438</v>
      </c>
      <c r="E575" t="s">
        <v>923</v>
      </c>
      <c r="F575" t="s">
        <v>893</v>
      </c>
      <c r="G575" t="s">
        <v>531</v>
      </c>
      <c r="H575" t="s">
        <v>373</v>
      </c>
      <c r="I575" t="s">
        <v>289</v>
      </c>
      <c r="J575" t="s">
        <v>894</v>
      </c>
      <c r="K575">
        <v>4</v>
      </c>
      <c r="L575" s="6">
        <v>1.2192000000000001</v>
      </c>
      <c r="M575" s="7">
        <v>63.5</v>
      </c>
      <c r="N575" s="7">
        <v>285.75</v>
      </c>
      <c r="O575" s="7">
        <f t="shared" si="41"/>
        <v>48.000000000000007</v>
      </c>
      <c r="P575" s="7">
        <f t="shared" si="42"/>
        <v>2.5</v>
      </c>
      <c r="Q575" s="7">
        <f t="shared" si="42"/>
        <v>11.25</v>
      </c>
      <c r="R575" s="6">
        <f t="shared" si="43"/>
        <v>180.81100000000001</v>
      </c>
      <c r="S575" s="6">
        <f t="shared" si="45"/>
        <v>2.21225364E-2</v>
      </c>
      <c r="T575" t="str">
        <f t="shared" si="44"/>
        <v>Cumaru S4S E4E 3x12 Short</v>
      </c>
    </row>
    <row r="576" spans="1:20" x14ac:dyDescent="0.25">
      <c r="A576" t="s">
        <v>531</v>
      </c>
      <c r="B576" t="s">
        <v>891</v>
      </c>
      <c r="C576" t="s">
        <v>524</v>
      </c>
      <c r="D576" t="s">
        <v>438</v>
      </c>
      <c r="E576" t="s">
        <v>924</v>
      </c>
      <c r="F576" t="s">
        <v>893</v>
      </c>
      <c r="G576" t="s">
        <v>531</v>
      </c>
      <c r="H576" t="s">
        <v>373</v>
      </c>
      <c r="I576" t="s">
        <v>289</v>
      </c>
      <c r="J576" t="s">
        <v>894</v>
      </c>
      <c r="K576">
        <v>5</v>
      </c>
      <c r="L576" s="6">
        <v>1.524</v>
      </c>
      <c r="M576" s="7">
        <v>63.5</v>
      </c>
      <c r="N576" s="7">
        <v>285.75</v>
      </c>
      <c r="O576" s="7">
        <f t="shared" si="41"/>
        <v>60</v>
      </c>
      <c r="P576" s="7">
        <f t="shared" si="42"/>
        <v>2.5</v>
      </c>
      <c r="Q576" s="7">
        <f t="shared" si="42"/>
        <v>11.25</v>
      </c>
      <c r="R576" s="6">
        <f t="shared" si="43"/>
        <v>180.81100000000001</v>
      </c>
      <c r="S576" s="6">
        <f t="shared" si="45"/>
        <v>2.7653170499999997E-2</v>
      </c>
      <c r="T576" t="str">
        <f t="shared" si="44"/>
        <v>Cumaru S4S E4E 3x12 Short</v>
      </c>
    </row>
    <row r="577" spans="1:20" x14ac:dyDescent="0.25">
      <c r="A577" t="s">
        <v>531</v>
      </c>
      <c r="B577" t="s">
        <v>891</v>
      </c>
      <c r="C577" t="s">
        <v>524</v>
      </c>
      <c r="D577" t="s">
        <v>438</v>
      </c>
      <c r="E577" t="s">
        <v>925</v>
      </c>
      <c r="F577" t="s">
        <v>893</v>
      </c>
      <c r="G577" t="s">
        <v>531</v>
      </c>
      <c r="H577" t="s">
        <v>373</v>
      </c>
      <c r="I577" t="s">
        <v>289</v>
      </c>
      <c r="J577" t="s">
        <v>894</v>
      </c>
      <c r="K577">
        <v>5</v>
      </c>
      <c r="L577" s="6">
        <v>1.524</v>
      </c>
      <c r="M577" s="7">
        <v>63.5</v>
      </c>
      <c r="N577" s="7">
        <v>285.75</v>
      </c>
      <c r="O577" s="7">
        <f t="shared" si="41"/>
        <v>60</v>
      </c>
      <c r="P577" s="7">
        <f t="shared" si="42"/>
        <v>2.5</v>
      </c>
      <c r="Q577" s="7">
        <f t="shared" si="42"/>
        <v>11.25</v>
      </c>
      <c r="R577" s="6">
        <f t="shared" si="43"/>
        <v>180.81100000000001</v>
      </c>
      <c r="S577" s="6">
        <f t="shared" si="45"/>
        <v>2.7653170499999997E-2</v>
      </c>
      <c r="T577" t="str">
        <f t="shared" si="44"/>
        <v>Cumaru S4S E4E 3x12 Short</v>
      </c>
    </row>
    <row r="578" spans="1:20" x14ac:dyDescent="0.25">
      <c r="A578" t="s">
        <v>531</v>
      </c>
      <c r="B578" t="s">
        <v>891</v>
      </c>
      <c r="C578" t="s">
        <v>524</v>
      </c>
      <c r="D578" t="s">
        <v>438</v>
      </c>
      <c r="E578" t="s">
        <v>926</v>
      </c>
      <c r="F578" t="s">
        <v>893</v>
      </c>
      <c r="G578" t="s">
        <v>531</v>
      </c>
      <c r="H578" t="s">
        <v>373</v>
      </c>
      <c r="I578" t="s">
        <v>289</v>
      </c>
      <c r="J578" t="s">
        <v>894</v>
      </c>
      <c r="K578">
        <v>6</v>
      </c>
      <c r="L578" s="6">
        <v>1.8288</v>
      </c>
      <c r="M578" s="7">
        <v>63.5</v>
      </c>
      <c r="N578" s="7">
        <v>285.75</v>
      </c>
      <c r="O578" s="7">
        <f t="shared" ref="O578:O641" si="46">L578/0.0254</f>
        <v>72</v>
      </c>
      <c r="P578" s="7">
        <f t="shared" ref="P578:Q641" si="47">M578/25.4</f>
        <v>2.5</v>
      </c>
      <c r="Q578" s="7">
        <f t="shared" si="47"/>
        <v>11.25</v>
      </c>
      <c r="R578" s="6">
        <f t="shared" ref="R578:R641" si="48">ROUND(IFERROR(1/((M578*N578*0.3048)/1000000),0),3)</f>
        <v>180.81100000000001</v>
      </c>
      <c r="S578" s="6">
        <f t="shared" si="45"/>
        <v>3.3183804600000005E-2</v>
      </c>
      <c r="T578" t="str">
        <f t="shared" ref="T578:T641" si="49">F578&amp;" "&amp;C578</f>
        <v>Cumaru S4S E4E 3x12 Short</v>
      </c>
    </row>
    <row r="579" spans="1:20" x14ac:dyDescent="0.25">
      <c r="A579" t="s">
        <v>531</v>
      </c>
      <c r="B579" t="s">
        <v>891</v>
      </c>
      <c r="C579" t="s">
        <v>524</v>
      </c>
      <c r="D579" t="s">
        <v>438</v>
      </c>
      <c r="E579" t="s">
        <v>927</v>
      </c>
      <c r="F579" t="s">
        <v>893</v>
      </c>
      <c r="G579" t="s">
        <v>531</v>
      </c>
      <c r="H579" t="s">
        <v>373</v>
      </c>
      <c r="I579" t="s">
        <v>289</v>
      </c>
      <c r="J579" t="s">
        <v>894</v>
      </c>
      <c r="K579">
        <v>6</v>
      </c>
      <c r="L579" s="6">
        <v>1.8288</v>
      </c>
      <c r="M579" s="7">
        <v>63.5</v>
      </c>
      <c r="N579" s="7">
        <v>285.75</v>
      </c>
      <c r="O579" s="7">
        <f t="shared" si="46"/>
        <v>72</v>
      </c>
      <c r="P579" s="7">
        <f t="shared" si="47"/>
        <v>2.5</v>
      </c>
      <c r="Q579" s="7">
        <f t="shared" si="47"/>
        <v>11.25</v>
      </c>
      <c r="R579" s="6">
        <f t="shared" si="48"/>
        <v>180.81100000000001</v>
      </c>
      <c r="S579" s="6">
        <f t="shared" si="45"/>
        <v>3.3183804600000005E-2</v>
      </c>
      <c r="T579" t="str">
        <f t="shared" si="49"/>
        <v>Cumaru S4S E4E 3x12 Short</v>
      </c>
    </row>
    <row r="580" spans="1:20" x14ac:dyDescent="0.25">
      <c r="A580" t="s">
        <v>531</v>
      </c>
      <c r="B580" t="s">
        <v>891</v>
      </c>
      <c r="C580" t="s">
        <v>524</v>
      </c>
      <c r="D580" t="s">
        <v>438</v>
      </c>
      <c r="E580" t="s">
        <v>928</v>
      </c>
      <c r="F580" t="s">
        <v>893</v>
      </c>
      <c r="G580" t="s">
        <v>531</v>
      </c>
      <c r="H580" t="s">
        <v>373</v>
      </c>
      <c r="I580" t="s">
        <v>289</v>
      </c>
      <c r="J580" t="s">
        <v>894</v>
      </c>
      <c r="K580">
        <v>7</v>
      </c>
      <c r="L580" s="6">
        <v>2.1335999999999999</v>
      </c>
      <c r="M580" s="7">
        <v>63.5</v>
      </c>
      <c r="N580" s="7">
        <v>285.75</v>
      </c>
      <c r="O580" s="7">
        <f t="shared" si="46"/>
        <v>84</v>
      </c>
      <c r="P580" s="7">
        <f t="shared" si="47"/>
        <v>2.5</v>
      </c>
      <c r="Q580" s="7">
        <f t="shared" si="47"/>
        <v>11.25</v>
      </c>
      <c r="R580" s="6">
        <f t="shared" si="48"/>
        <v>180.81100000000001</v>
      </c>
      <c r="S580" s="6">
        <f t="shared" ref="S580:S643" si="50">L580*M580/1000*N580/1000</f>
        <v>3.8714438699999992E-2</v>
      </c>
      <c r="T580" t="str">
        <f t="shared" si="49"/>
        <v>Cumaru S4S E4E 3x12 Short</v>
      </c>
    </row>
    <row r="581" spans="1:20" x14ac:dyDescent="0.25">
      <c r="A581" t="s">
        <v>531</v>
      </c>
      <c r="B581" t="s">
        <v>891</v>
      </c>
      <c r="C581" t="s">
        <v>524</v>
      </c>
      <c r="D581" t="s">
        <v>438</v>
      </c>
      <c r="E581" t="s">
        <v>929</v>
      </c>
      <c r="F581" t="s">
        <v>893</v>
      </c>
      <c r="G581" t="s">
        <v>531</v>
      </c>
      <c r="H581" t="s">
        <v>373</v>
      </c>
      <c r="I581" t="s">
        <v>289</v>
      </c>
      <c r="J581" t="s">
        <v>894</v>
      </c>
      <c r="K581">
        <v>7</v>
      </c>
      <c r="L581" s="6">
        <v>2.1335999999999999</v>
      </c>
      <c r="M581" s="7">
        <v>63.5</v>
      </c>
      <c r="N581" s="7">
        <v>285.75</v>
      </c>
      <c r="O581" s="7">
        <f t="shared" si="46"/>
        <v>84</v>
      </c>
      <c r="P581" s="7">
        <f t="shared" si="47"/>
        <v>2.5</v>
      </c>
      <c r="Q581" s="7">
        <f t="shared" si="47"/>
        <v>11.25</v>
      </c>
      <c r="R581" s="6">
        <f t="shared" si="48"/>
        <v>180.81100000000001</v>
      </c>
      <c r="S581" s="6">
        <f t="shared" si="50"/>
        <v>3.8714438699999992E-2</v>
      </c>
      <c r="T581" t="str">
        <f t="shared" si="49"/>
        <v>Cumaru S4S E4E 3x12 Short</v>
      </c>
    </row>
    <row r="582" spans="1:20" x14ac:dyDescent="0.25">
      <c r="A582" t="s">
        <v>531</v>
      </c>
      <c r="B582" t="s">
        <v>891</v>
      </c>
      <c r="C582" t="s">
        <v>283</v>
      </c>
      <c r="D582" t="s">
        <v>438</v>
      </c>
      <c r="E582" t="s">
        <v>930</v>
      </c>
      <c r="F582" t="s">
        <v>893</v>
      </c>
      <c r="G582" t="s">
        <v>531</v>
      </c>
      <c r="H582" t="s">
        <v>373</v>
      </c>
      <c r="I582" t="s">
        <v>289</v>
      </c>
      <c r="J582" t="s">
        <v>894</v>
      </c>
      <c r="K582">
        <v>8</v>
      </c>
      <c r="L582" s="6">
        <v>2.4384000000000001</v>
      </c>
      <c r="M582" s="7">
        <v>63.5</v>
      </c>
      <c r="N582" s="7">
        <v>285.75</v>
      </c>
      <c r="O582" s="7">
        <f t="shared" si="46"/>
        <v>96.000000000000014</v>
      </c>
      <c r="P582" s="7">
        <f t="shared" si="47"/>
        <v>2.5</v>
      </c>
      <c r="Q582" s="7">
        <f t="shared" si="47"/>
        <v>11.25</v>
      </c>
      <c r="R582" s="6">
        <f t="shared" si="48"/>
        <v>180.81100000000001</v>
      </c>
      <c r="S582" s="6">
        <f t="shared" si="50"/>
        <v>4.42450728E-2</v>
      </c>
      <c r="T582" t="str">
        <f t="shared" si="49"/>
        <v>Cumaru S4S E4E 3x12 Long</v>
      </c>
    </row>
    <row r="583" spans="1:20" x14ac:dyDescent="0.25">
      <c r="A583" t="s">
        <v>531</v>
      </c>
      <c r="B583" t="s">
        <v>891</v>
      </c>
      <c r="C583" t="s">
        <v>283</v>
      </c>
      <c r="D583" t="s">
        <v>438</v>
      </c>
      <c r="E583" t="s">
        <v>931</v>
      </c>
      <c r="F583" t="s">
        <v>893</v>
      </c>
      <c r="G583" t="s">
        <v>531</v>
      </c>
      <c r="H583" t="s">
        <v>373</v>
      </c>
      <c r="I583" t="s">
        <v>289</v>
      </c>
      <c r="J583" t="s">
        <v>894</v>
      </c>
      <c r="K583">
        <v>8</v>
      </c>
      <c r="L583" s="6">
        <v>2.4384000000000001</v>
      </c>
      <c r="M583" s="7">
        <v>63.5</v>
      </c>
      <c r="N583" s="7">
        <v>285.75</v>
      </c>
      <c r="O583" s="7">
        <f t="shared" si="46"/>
        <v>96.000000000000014</v>
      </c>
      <c r="P583" s="7">
        <f t="shared" si="47"/>
        <v>2.5</v>
      </c>
      <c r="Q583" s="7">
        <f t="shared" si="47"/>
        <v>11.25</v>
      </c>
      <c r="R583" s="6">
        <f t="shared" si="48"/>
        <v>180.81100000000001</v>
      </c>
      <c r="S583" s="6">
        <f t="shared" si="50"/>
        <v>4.42450728E-2</v>
      </c>
      <c r="T583" t="str">
        <f t="shared" si="49"/>
        <v>Cumaru S4S E4E 3x12 Long</v>
      </c>
    </row>
    <row r="584" spans="1:20" x14ac:dyDescent="0.25">
      <c r="A584" t="s">
        <v>531</v>
      </c>
      <c r="B584" t="s">
        <v>891</v>
      </c>
      <c r="C584" t="s">
        <v>283</v>
      </c>
      <c r="D584" t="s">
        <v>438</v>
      </c>
      <c r="E584" t="s">
        <v>932</v>
      </c>
      <c r="F584" t="s">
        <v>893</v>
      </c>
      <c r="G584" t="s">
        <v>531</v>
      </c>
      <c r="H584" t="s">
        <v>373</v>
      </c>
      <c r="I584" t="s">
        <v>289</v>
      </c>
      <c r="J584" t="s">
        <v>894</v>
      </c>
      <c r="K584">
        <v>9</v>
      </c>
      <c r="L584" s="6">
        <v>2.7431999999999999</v>
      </c>
      <c r="M584" s="7">
        <v>63.5</v>
      </c>
      <c r="N584" s="7">
        <v>285.75</v>
      </c>
      <c r="O584" s="7">
        <f t="shared" si="46"/>
        <v>108</v>
      </c>
      <c r="P584" s="7">
        <f t="shared" si="47"/>
        <v>2.5</v>
      </c>
      <c r="Q584" s="7">
        <f t="shared" si="47"/>
        <v>11.25</v>
      </c>
      <c r="R584" s="6">
        <f t="shared" si="48"/>
        <v>180.81100000000001</v>
      </c>
      <c r="S584" s="6">
        <f t="shared" si="50"/>
        <v>4.9775706899999994E-2</v>
      </c>
      <c r="T584" t="str">
        <f t="shared" si="49"/>
        <v>Cumaru S4S E4E 3x12 Long</v>
      </c>
    </row>
    <row r="585" spans="1:20" x14ac:dyDescent="0.25">
      <c r="A585" t="s">
        <v>531</v>
      </c>
      <c r="B585" t="s">
        <v>891</v>
      </c>
      <c r="C585" t="s">
        <v>283</v>
      </c>
      <c r="D585" t="s">
        <v>438</v>
      </c>
      <c r="E585" t="s">
        <v>933</v>
      </c>
      <c r="F585" t="s">
        <v>893</v>
      </c>
      <c r="G585" t="s">
        <v>531</v>
      </c>
      <c r="H585" t="s">
        <v>373</v>
      </c>
      <c r="I585" t="s">
        <v>289</v>
      </c>
      <c r="J585" t="s">
        <v>894</v>
      </c>
      <c r="K585">
        <v>9</v>
      </c>
      <c r="L585" s="6">
        <v>2.7431999999999999</v>
      </c>
      <c r="M585" s="7">
        <v>63.5</v>
      </c>
      <c r="N585" s="7">
        <v>285.75</v>
      </c>
      <c r="O585" s="7">
        <f t="shared" si="46"/>
        <v>108</v>
      </c>
      <c r="P585" s="7">
        <f t="shared" si="47"/>
        <v>2.5</v>
      </c>
      <c r="Q585" s="7">
        <f t="shared" si="47"/>
        <v>11.25</v>
      </c>
      <c r="R585" s="6">
        <f t="shared" si="48"/>
        <v>180.81100000000001</v>
      </c>
      <c r="S585" s="6">
        <f t="shared" si="50"/>
        <v>4.9775706899999994E-2</v>
      </c>
      <c r="T585" t="str">
        <f t="shared" si="49"/>
        <v>Cumaru S4S E4E 3x12 Long</v>
      </c>
    </row>
    <row r="586" spans="1:20" x14ac:dyDescent="0.25">
      <c r="A586" t="s">
        <v>531</v>
      </c>
      <c r="B586" t="s">
        <v>934</v>
      </c>
      <c r="C586" t="s">
        <v>283</v>
      </c>
      <c r="D586" t="s">
        <v>438</v>
      </c>
      <c r="E586" t="s">
        <v>935</v>
      </c>
      <c r="F586" t="s">
        <v>936</v>
      </c>
      <c r="G586" t="s">
        <v>531</v>
      </c>
      <c r="H586" t="s">
        <v>373</v>
      </c>
      <c r="I586" t="s">
        <v>289</v>
      </c>
      <c r="J586" t="s">
        <v>937</v>
      </c>
      <c r="K586">
        <v>10</v>
      </c>
      <c r="L586" s="6">
        <v>3.048</v>
      </c>
      <c r="M586" s="7">
        <v>63.5</v>
      </c>
      <c r="N586" s="7">
        <v>139.69999999999999</v>
      </c>
      <c r="O586" s="7">
        <f t="shared" si="46"/>
        <v>120</v>
      </c>
      <c r="P586" s="7">
        <f t="shared" si="47"/>
        <v>2.5</v>
      </c>
      <c r="Q586" s="7">
        <f t="shared" si="47"/>
        <v>5.5</v>
      </c>
      <c r="R586" s="6">
        <f t="shared" si="48"/>
        <v>369.84100000000001</v>
      </c>
      <c r="S586" s="6">
        <f t="shared" si="50"/>
        <v>2.7038655599999999E-2</v>
      </c>
      <c r="T586" t="str">
        <f t="shared" si="49"/>
        <v>Cumaru S4S E4E 3x6 Long</v>
      </c>
    </row>
    <row r="587" spans="1:20" x14ac:dyDescent="0.25">
      <c r="A587" t="s">
        <v>531</v>
      </c>
      <c r="B587" t="s">
        <v>934</v>
      </c>
      <c r="C587" t="s">
        <v>283</v>
      </c>
      <c r="D587" t="s">
        <v>438</v>
      </c>
      <c r="E587" t="s">
        <v>938</v>
      </c>
      <c r="F587" t="s">
        <v>936</v>
      </c>
      <c r="G587" t="s">
        <v>531</v>
      </c>
      <c r="H587" t="s">
        <v>373</v>
      </c>
      <c r="I587" t="s">
        <v>289</v>
      </c>
      <c r="J587" t="s">
        <v>937</v>
      </c>
      <c r="K587">
        <v>11</v>
      </c>
      <c r="L587" s="6">
        <v>3.3527999999999998</v>
      </c>
      <c r="M587" s="7">
        <v>63.5</v>
      </c>
      <c r="N587" s="7">
        <v>139.69999999999999</v>
      </c>
      <c r="O587" s="7">
        <f t="shared" si="46"/>
        <v>132</v>
      </c>
      <c r="P587" s="7">
        <f t="shared" si="47"/>
        <v>2.5</v>
      </c>
      <c r="Q587" s="7">
        <f t="shared" si="47"/>
        <v>5.5</v>
      </c>
      <c r="R587" s="6">
        <f t="shared" si="48"/>
        <v>369.84100000000001</v>
      </c>
      <c r="S587" s="6">
        <f t="shared" si="50"/>
        <v>2.9742521159999997E-2</v>
      </c>
      <c r="T587" t="str">
        <f t="shared" si="49"/>
        <v>Cumaru S4S E4E 3x6 Long</v>
      </c>
    </row>
    <row r="588" spans="1:20" x14ac:dyDescent="0.25">
      <c r="A588" t="s">
        <v>531</v>
      </c>
      <c r="B588" t="s">
        <v>934</v>
      </c>
      <c r="C588" t="s">
        <v>283</v>
      </c>
      <c r="D588" t="s">
        <v>438</v>
      </c>
      <c r="E588" t="s">
        <v>939</v>
      </c>
      <c r="F588" t="s">
        <v>936</v>
      </c>
      <c r="G588" t="s">
        <v>531</v>
      </c>
      <c r="H588" t="s">
        <v>373</v>
      </c>
      <c r="I588" t="s">
        <v>289</v>
      </c>
      <c r="J588" t="s">
        <v>937</v>
      </c>
      <c r="K588">
        <v>12</v>
      </c>
      <c r="L588" s="6">
        <v>3.6576</v>
      </c>
      <c r="M588" s="7">
        <v>63.5</v>
      </c>
      <c r="N588" s="7">
        <v>139.69999999999999</v>
      </c>
      <c r="O588" s="7">
        <f t="shared" si="46"/>
        <v>144</v>
      </c>
      <c r="P588" s="7">
        <f t="shared" si="47"/>
        <v>2.5</v>
      </c>
      <c r="Q588" s="7">
        <f t="shared" si="47"/>
        <v>5.5</v>
      </c>
      <c r="R588" s="6">
        <f t="shared" si="48"/>
        <v>369.84100000000001</v>
      </c>
      <c r="S588" s="6">
        <f t="shared" si="50"/>
        <v>3.2446386719999998E-2</v>
      </c>
      <c r="T588" t="str">
        <f t="shared" si="49"/>
        <v>Cumaru S4S E4E 3x6 Long</v>
      </c>
    </row>
    <row r="589" spans="1:20" x14ac:dyDescent="0.25">
      <c r="A589" t="s">
        <v>531</v>
      </c>
      <c r="B589" t="s">
        <v>934</v>
      </c>
      <c r="C589" t="s">
        <v>283</v>
      </c>
      <c r="D589" t="s">
        <v>438</v>
      </c>
      <c r="E589" t="s">
        <v>940</v>
      </c>
      <c r="F589" t="s">
        <v>936</v>
      </c>
      <c r="G589" t="s">
        <v>531</v>
      </c>
      <c r="H589" t="s">
        <v>373</v>
      </c>
      <c r="I589" t="s">
        <v>289</v>
      </c>
      <c r="J589" t="s">
        <v>937</v>
      </c>
      <c r="K589">
        <v>13</v>
      </c>
      <c r="L589" s="6">
        <v>3.9624000000000001</v>
      </c>
      <c r="M589" s="7">
        <v>63.5</v>
      </c>
      <c r="N589" s="7">
        <v>139.69999999999999</v>
      </c>
      <c r="O589" s="7">
        <f t="shared" si="46"/>
        <v>156</v>
      </c>
      <c r="P589" s="7">
        <f t="shared" si="47"/>
        <v>2.5</v>
      </c>
      <c r="Q589" s="7">
        <f t="shared" si="47"/>
        <v>5.5</v>
      </c>
      <c r="R589" s="6">
        <f t="shared" si="48"/>
        <v>369.84100000000001</v>
      </c>
      <c r="S589" s="6">
        <f t="shared" si="50"/>
        <v>3.5150252279999995E-2</v>
      </c>
      <c r="T589" t="str">
        <f t="shared" si="49"/>
        <v>Cumaru S4S E4E 3x6 Long</v>
      </c>
    </row>
    <row r="590" spans="1:20" x14ac:dyDescent="0.25">
      <c r="A590" t="s">
        <v>531</v>
      </c>
      <c r="B590" t="s">
        <v>934</v>
      </c>
      <c r="C590" t="s">
        <v>283</v>
      </c>
      <c r="D590" t="s">
        <v>438</v>
      </c>
      <c r="E590" t="s">
        <v>941</v>
      </c>
      <c r="F590" t="s">
        <v>936</v>
      </c>
      <c r="G590" t="s">
        <v>531</v>
      </c>
      <c r="H590" t="s">
        <v>373</v>
      </c>
      <c r="I590" t="s">
        <v>289</v>
      </c>
      <c r="J590" t="s">
        <v>937</v>
      </c>
      <c r="K590">
        <v>14</v>
      </c>
      <c r="L590" s="6">
        <v>4.2671999999999999</v>
      </c>
      <c r="M590" s="7">
        <v>63.5</v>
      </c>
      <c r="N590" s="7">
        <v>139.69999999999999</v>
      </c>
      <c r="O590" s="7">
        <f t="shared" si="46"/>
        <v>168</v>
      </c>
      <c r="P590" s="7">
        <f t="shared" si="47"/>
        <v>2.5</v>
      </c>
      <c r="Q590" s="7">
        <f t="shared" si="47"/>
        <v>5.5</v>
      </c>
      <c r="R590" s="6">
        <f t="shared" si="48"/>
        <v>369.84100000000001</v>
      </c>
      <c r="S590" s="6">
        <f t="shared" si="50"/>
        <v>3.7854117839999993E-2</v>
      </c>
      <c r="T590" t="str">
        <f t="shared" si="49"/>
        <v>Cumaru S4S E4E 3x6 Long</v>
      </c>
    </row>
    <row r="591" spans="1:20" x14ac:dyDescent="0.25">
      <c r="A591" t="s">
        <v>531</v>
      </c>
      <c r="B591" t="s">
        <v>934</v>
      </c>
      <c r="C591" t="s">
        <v>283</v>
      </c>
      <c r="D591" t="s">
        <v>438</v>
      </c>
      <c r="E591" t="s">
        <v>942</v>
      </c>
      <c r="F591" t="s">
        <v>936</v>
      </c>
      <c r="G591" t="s">
        <v>531</v>
      </c>
      <c r="H591" t="s">
        <v>373</v>
      </c>
      <c r="I591" t="s">
        <v>289</v>
      </c>
      <c r="J591" t="s">
        <v>937</v>
      </c>
      <c r="K591">
        <v>15</v>
      </c>
      <c r="L591" s="6">
        <v>4.5720000000000001</v>
      </c>
      <c r="M591" s="7">
        <v>63.5</v>
      </c>
      <c r="N591" s="7">
        <v>139.69999999999999</v>
      </c>
      <c r="O591" s="7">
        <f t="shared" si="46"/>
        <v>180</v>
      </c>
      <c r="P591" s="7">
        <f t="shared" si="47"/>
        <v>2.5</v>
      </c>
      <c r="Q591" s="7">
        <f t="shared" si="47"/>
        <v>5.5</v>
      </c>
      <c r="R591" s="6">
        <f t="shared" si="48"/>
        <v>369.84100000000001</v>
      </c>
      <c r="S591" s="6">
        <f t="shared" si="50"/>
        <v>4.0557983399999997E-2</v>
      </c>
      <c r="T591" t="str">
        <f t="shared" si="49"/>
        <v>Cumaru S4S E4E 3x6 Long</v>
      </c>
    </row>
    <row r="592" spans="1:20" x14ac:dyDescent="0.25">
      <c r="A592" t="s">
        <v>531</v>
      </c>
      <c r="B592" t="s">
        <v>934</v>
      </c>
      <c r="C592" t="s">
        <v>283</v>
      </c>
      <c r="D592" t="s">
        <v>438</v>
      </c>
      <c r="E592" t="s">
        <v>943</v>
      </c>
      <c r="F592" t="s">
        <v>936</v>
      </c>
      <c r="G592" t="s">
        <v>531</v>
      </c>
      <c r="H592" t="s">
        <v>373</v>
      </c>
      <c r="I592" t="s">
        <v>289</v>
      </c>
      <c r="J592" t="s">
        <v>937</v>
      </c>
      <c r="K592">
        <v>16</v>
      </c>
      <c r="L592" s="6">
        <v>4.8768000000000002</v>
      </c>
      <c r="M592" s="7">
        <v>63.5</v>
      </c>
      <c r="N592" s="7">
        <v>139.69999999999999</v>
      </c>
      <c r="O592" s="7">
        <f t="shared" si="46"/>
        <v>192.00000000000003</v>
      </c>
      <c r="P592" s="7">
        <f t="shared" si="47"/>
        <v>2.5</v>
      </c>
      <c r="Q592" s="7">
        <f t="shared" si="47"/>
        <v>5.5</v>
      </c>
      <c r="R592" s="6">
        <f t="shared" si="48"/>
        <v>369.84100000000001</v>
      </c>
      <c r="S592" s="6">
        <f t="shared" si="50"/>
        <v>4.3261848960000002E-2</v>
      </c>
      <c r="T592" t="str">
        <f t="shared" si="49"/>
        <v>Cumaru S4S E4E 3x6 Long</v>
      </c>
    </row>
    <row r="593" spans="1:20" x14ac:dyDescent="0.25">
      <c r="A593" t="s">
        <v>531</v>
      </c>
      <c r="B593" t="s">
        <v>934</v>
      </c>
      <c r="C593" t="s">
        <v>283</v>
      </c>
      <c r="D593" t="s">
        <v>438</v>
      </c>
      <c r="E593" t="s">
        <v>944</v>
      </c>
      <c r="F593" t="s">
        <v>936</v>
      </c>
      <c r="G593" t="s">
        <v>531</v>
      </c>
      <c r="H593" t="s">
        <v>373</v>
      </c>
      <c r="I593" t="s">
        <v>289</v>
      </c>
      <c r="J593" t="s">
        <v>937</v>
      </c>
      <c r="K593">
        <v>17</v>
      </c>
      <c r="L593" s="6">
        <v>5.1816000000000004</v>
      </c>
      <c r="M593" s="7">
        <v>63.5</v>
      </c>
      <c r="N593" s="7">
        <v>139.69999999999999</v>
      </c>
      <c r="O593" s="7">
        <f t="shared" si="46"/>
        <v>204.00000000000003</v>
      </c>
      <c r="P593" s="7">
        <f t="shared" si="47"/>
        <v>2.5</v>
      </c>
      <c r="Q593" s="7">
        <f t="shared" si="47"/>
        <v>5.5</v>
      </c>
      <c r="R593" s="6">
        <f t="shared" si="48"/>
        <v>369.84100000000001</v>
      </c>
      <c r="S593" s="6">
        <f t="shared" si="50"/>
        <v>4.5965714519999999E-2</v>
      </c>
      <c r="T593" t="str">
        <f t="shared" si="49"/>
        <v>Cumaru S4S E4E 3x6 Long</v>
      </c>
    </row>
    <row r="594" spans="1:20" x14ac:dyDescent="0.25">
      <c r="A594" t="s">
        <v>531</v>
      </c>
      <c r="B594" t="s">
        <v>934</v>
      </c>
      <c r="C594" t="s">
        <v>283</v>
      </c>
      <c r="D594" t="s">
        <v>438</v>
      </c>
      <c r="E594" t="s">
        <v>945</v>
      </c>
      <c r="F594" t="s">
        <v>936</v>
      </c>
      <c r="G594" t="s">
        <v>531</v>
      </c>
      <c r="H594" t="s">
        <v>373</v>
      </c>
      <c r="I594" t="s">
        <v>289</v>
      </c>
      <c r="J594" t="s">
        <v>937</v>
      </c>
      <c r="K594">
        <v>18</v>
      </c>
      <c r="L594" s="6">
        <v>5.4863999999999997</v>
      </c>
      <c r="M594" s="7">
        <v>63.5</v>
      </c>
      <c r="N594" s="7">
        <v>139.69999999999999</v>
      </c>
      <c r="O594" s="7">
        <f t="shared" si="46"/>
        <v>216</v>
      </c>
      <c r="P594" s="7">
        <f t="shared" si="47"/>
        <v>2.5</v>
      </c>
      <c r="Q594" s="7">
        <f t="shared" si="47"/>
        <v>5.5</v>
      </c>
      <c r="R594" s="6">
        <f t="shared" si="48"/>
        <v>369.84100000000001</v>
      </c>
      <c r="S594" s="6">
        <f t="shared" si="50"/>
        <v>4.8669580079999997E-2</v>
      </c>
      <c r="T594" t="str">
        <f t="shared" si="49"/>
        <v>Cumaru S4S E4E 3x6 Long</v>
      </c>
    </row>
    <row r="595" spans="1:20" x14ac:dyDescent="0.25">
      <c r="A595" t="s">
        <v>531</v>
      </c>
      <c r="B595" t="s">
        <v>934</v>
      </c>
      <c r="C595" t="s">
        <v>283</v>
      </c>
      <c r="D595" t="s">
        <v>438</v>
      </c>
      <c r="E595" t="s">
        <v>946</v>
      </c>
      <c r="F595" t="s">
        <v>936</v>
      </c>
      <c r="G595" t="s">
        <v>531</v>
      </c>
      <c r="H595" t="s">
        <v>373</v>
      </c>
      <c r="I595" t="s">
        <v>289</v>
      </c>
      <c r="J595" t="s">
        <v>937</v>
      </c>
      <c r="K595">
        <v>19</v>
      </c>
      <c r="L595" s="6">
        <v>5.7911999999999999</v>
      </c>
      <c r="M595" s="7">
        <v>63.5</v>
      </c>
      <c r="N595" s="7">
        <v>139.69999999999999</v>
      </c>
      <c r="O595" s="7">
        <f t="shared" si="46"/>
        <v>228</v>
      </c>
      <c r="P595" s="7">
        <f t="shared" si="47"/>
        <v>2.5</v>
      </c>
      <c r="Q595" s="7">
        <f t="shared" si="47"/>
        <v>5.5</v>
      </c>
      <c r="R595" s="6">
        <f t="shared" si="48"/>
        <v>369.84100000000001</v>
      </c>
      <c r="S595" s="6">
        <f t="shared" si="50"/>
        <v>5.1373445639999994E-2</v>
      </c>
      <c r="T595" t="str">
        <f t="shared" si="49"/>
        <v>Cumaru S4S E4E 3x6 Long</v>
      </c>
    </row>
    <row r="596" spans="1:20" x14ac:dyDescent="0.25">
      <c r="A596" t="s">
        <v>531</v>
      </c>
      <c r="B596" t="s">
        <v>934</v>
      </c>
      <c r="C596" t="s">
        <v>283</v>
      </c>
      <c r="D596" t="s">
        <v>438</v>
      </c>
      <c r="E596" t="s">
        <v>947</v>
      </c>
      <c r="F596" t="s">
        <v>936</v>
      </c>
      <c r="G596" t="s">
        <v>531</v>
      </c>
      <c r="H596" t="s">
        <v>373</v>
      </c>
      <c r="I596" t="s">
        <v>289</v>
      </c>
      <c r="J596" t="s">
        <v>937</v>
      </c>
      <c r="K596">
        <v>20</v>
      </c>
      <c r="L596" s="6">
        <v>6.0960000000000001</v>
      </c>
      <c r="M596" s="7">
        <v>63.5</v>
      </c>
      <c r="N596" s="7">
        <v>139.69999999999999</v>
      </c>
      <c r="O596" s="7">
        <f t="shared" si="46"/>
        <v>240</v>
      </c>
      <c r="P596" s="7">
        <f t="shared" si="47"/>
        <v>2.5</v>
      </c>
      <c r="Q596" s="7">
        <f t="shared" si="47"/>
        <v>5.5</v>
      </c>
      <c r="R596" s="6">
        <f t="shared" si="48"/>
        <v>369.84100000000001</v>
      </c>
      <c r="S596" s="6">
        <f t="shared" si="50"/>
        <v>5.4077311199999999E-2</v>
      </c>
      <c r="T596" t="str">
        <f t="shared" si="49"/>
        <v>Cumaru S4S E4E 3x6 Long</v>
      </c>
    </row>
    <row r="597" spans="1:20" x14ac:dyDescent="0.25">
      <c r="A597" t="s">
        <v>531</v>
      </c>
      <c r="B597" t="s">
        <v>934</v>
      </c>
      <c r="C597" t="s">
        <v>283</v>
      </c>
      <c r="D597" t="s">
        <v>438</v>
      </c>
      <c r="E597" t="s">
        <v>948</v>
      </c>
      <c r="F597" t="s">
        <v>936</v>
      </c>
      <c r="G597" t="s">
        <v>531</v>
      </c>
      <c r="H597" t="s">
        <v>373</v>
      </c>
      <c r="I597" t="s">
        <v>289</v>
      </c>
      <c r="J597" t="s">
        <v>937</v>
      </c>
      <c r="K597">
        <v>21</v>
      </c>
      <c r="L597" s="6">
        <v>6.4008000000000003</v>
      </c>
      <c r="M597" s="7">
        <v>63.5</v>
      </c>
      <c r="N597" s="7">
        <v>139.69999999999999</v>
      </c>
      <c r="O597" s="7">
        <f t="shared" si="46"/>
        <v>252.00000000000003</v>
      </c>
      <c r="P597" s="7">
        <f t="shared" si="47"/>
        <v>2.5</v>
      </c>
      <c r="Q597" s="7">
        <f t="shared" si="47"/>
        <v>5.5</v>
      </c>
      <c r="R597" s="6">
        <f t="shared" si="48"/>
        <v>369.84100000000001</v>
      </c>
      <c r="S597" s="6">
        <f t="shared" si="50"/>
        <v>5.6781176759999996E-2</v>
      </c>
      <c r="T597" t="str">
        <f t="shared" si="49"/>
        <v>Cumaru S4S E4E 3x6 Long</v>
      </c>
    </row>
    <row r="598" spans="1:20" x14ac:dyDescent="0.25">
      <c r="A598" t="s">
        <v>531</v>
      </c>
      <c r="B598" t="s">
        <v>934</v>
      </c>
      <c r="C598" t="s">
        <v>283</v>
      </c>
      <c r="D598" t="s">
        <v>438</v>
      </c>
      <c r="E598" t="s">
        <v>949</v>
      </c>
      <c r="F598" t="s">
        <v>936</v>
      </c>
      <c r="G598" t="s">
        <v>531</v>
      </c>
      <c r="H598" t="s">
        <v>373</v>
      </c>
      <c r="I598" t="s">
        <v>289</v>
      </c>
      <c r="J598" t="s">
        <v>937</v>
      </c>
      <c r="K598">
        <v>22</v>
      </c>
      <c r="L598" s="6">
        <v>6.7055999999999996</v>
      </c>
      <c r="M598" s="7">
        <v>63.5</v>
      </c>
      <c r="N598" s="7">
        <v>139.69999999999999</v>
      </c>
      <c r="O598" s="7">
        <f t="shared" si="46"/>
        <v>264</v>
      </c>
      <c r="P598" s="7">
        <f t="shared" si="47"/>
        <v>2.5</v>
      </c>
      <c r="Q598" s="7">
        <f t="shared" si="47"/>
        <v>5.5</v>
      </c>
      <c r="R598" s="6">
        <f t="shared" si="48"/>
        <v>369.84100000000001</v>
      </c>
      <c r="S598" s="6">
        <f t="shared" si="50"/>
        <v>5.9485042319999994E-2</v>
      </c>
      <c r="T598" t="str">
        <f t="shared" si="49"/>
        <v>Cumaru S4S E4E 3x6 Long</v>
      </c>
    </row>
    <row r="599" spans="1:20" x14ac:dyDescent="0.25">
      <c r="A599" t="s">
        <v>531</v>
      </c>
      <c r="B599" t="s">
        <v>934</v>
      </c>
      <c r="C599" t="s">
        <v>524</v>
      </c>
      <c r="D599" t="s">
        <v>438</v>
      </c>
      <c r="E599" t="s">
        <v>950</v>
      </c>
      <c r="F599" t="s">
        <v>936</v>
      </c>
      <c r="G599" t="s">
        <v>531</v>
      </c>
      <c r="H599" t="s">
        <v>373</v>
      </c>
      <c r="I599" t="s">
        <v>289</v>
      </c>
      <c r="J599" t="s">
        <v>937</v>
      </c>
      <c r="K599">
        <v>3</v>
      </c>
      <c r="L599" s="6">
        <v>0.91439999999999999</v>
      </c>
      <c r="M599" s="7">
        <v>63.5</v>
      </c>
      <c r="N599" s="7">
        <v>139.69999999999999</v>
      </c>
      <c r="O599" s="7">
        <f t="shared" si="46"/>
        <v>36</v>
      </c>
      <c r="P599" s="7">
        <f t="shared" si="47"/>
        <v>2.5</v>
      </c>
      <c r="Q599" s="7">
        <f t="shared" si="47"/>
        <v>5.5</v>
      </c>
      <c r="R599" s="6">
        <f t="shared" si="48"/>
        <v>369.84100000000001</v>
      </c>
      <c r="S599" s="6">
        <f t="shared" si="50"/>
        <v>8.1115966799999994E-3</v>
      </c>
      <c r="T599" t="str">
        <f t="shared" si="49"/>
        <v>Cumaru S4S E4E 3x6 Short</v>
      </c>
    </row>
    <row r="600" spans="1:20" x14ac:dyDescent="0.25">
      <c r="A600" t="s">
        <v>531</v>
      </c>
      <c r="B600" t="s">
        <v>934</v>
      </c>
      <c r="C600" t="s">
        <v>524</v>
      </c>
      <c r="D600" t="s">
        <v>438</v>
      </c>
      <c r="E600" t="s">
        <v>951</v>
      </c>
      <c r="F600" t="s">
        <v>936</v>
      </c>
      <c r="G600" t="s">
        <v>531</v>
      </c>
      <c r="H600" t="s">
        <v>373</v>
      </c>
      <c r="I600" t="s">
        <v>289</v>
      </c>
      <c r="J600" t="s">
        <v>937</v>
      </c>
      <c r="K600">
        <v>4</v>
      </c>
      <c r="L600" s="6">
        <v>1.2192000000000001</v>
      </c>
      <c r="M600" s="7">
        <v>63.5</v>
      </c>
      <c r="N600" s="7">
        <v>139.69999999999999</v>
      </c>
      <c r="O600" s="7">
        <f t="shared" si="46"/>
        <v>48.000000000000007</v>
      </c>
      <c r="P600" s="7">
        <f t="shared" si="47"/>
        <v>2.5</v>
      </c>
      <c r="Q600" s="7">
        <f t="shared" si="47"/>
        <v>5.5</v>
      </c>
      <c r="R600" s="6">
        <f t="shared" si="48"/>
        <v>369.84100000000001</v>
      </c>
      <c r="S600" s="6">
        <f t="shared" si="50"/>
        <v>1.081546224E-2</v>
      </c>
      <c r="T600" t="str">
        <f t="shared" si="49"/>
        <v>Cumaru S4S E4E 3x6 Short</v>
      </c>
    </row>
    <row r="601" spans="1:20" x14ac:dyDescent="0.25">
      <c r="A601" t="s">
        <v>531</v>
      </c>
      <c r="B601" t="s">
        <v>934</v>
      </c>
      <c r="C601" t="s">
        <v>524</v>
      </c>
      <c r="D601" t="s">
        <v>438</v>
      </c>
      <c r="E601" t="s">
        <v>952</v>
      </c>
      <c r="F601" t="s">
        <v>936</v>
      </c>
      <c r="G601" t="s">
        <v>531</v>
      </c>
      <c r="H601" t="s">
        <v>373</v>
      </c>
      <c r="I601" t="s">
        <v>289</v>
      </c>
      <c r="J601" t="s">
        <v>937</v>
      </c>
      <c r="K601">
        <v>5</v>
      </c>
      <c r="L601" s="6">
        <v>1.524</v>
      </c>
      <c r="M601" s="7">
        <v>63.5</v>
      </c>
      <c r="N601" s="7">
        <v>139.69999999999999</v>
      </c>
      <c r="O601" s="7">
        <f t="shared" si="46"/>
        <v>60</v>
      </c>
      <c r="P601" s="7">
        <f t="shared" si="47"/>
        <v>2.5</v>
      </c>
      <c r="Q601" s="7">
        <f t="shared" si="47"/>
        <v>5.5</v>
      </c>
      <c r="R601" s="6">
        <f t="shared" si="48"/>
        <v>369.84100000000001</v>
      </c>
      <c r="S601" s="6">
        <f t="shared" si="50"/>
        <v>1.35193278E-2</v>
      </c>
      <c r="T601" t="str">
        <f t="shared" si="49"/>
        <v>Cumaru S4S E4E 3x6 Short</v>
      </c>
    </row>
    <row r="602" spans="1:20" x14ac:dyDescent="0.25">
      <c r="A602" t="s">
        <v>531</v>
      </c>
      <c r="B602" t="s">
        <v>934</v>
      </c>
      <c r="C602" t="s">
        <v>524</v>
      </c>
      <c r="D602" t="s">
        <v>438</v>
      </c>
      <c r="E602" t="s">
        <v>953</v>
      </c>
      <c r="F602" t="s">
        <v>936</v>
      </c>
      <c r="G602" t="s">
        <v>531</v>
      </c>
      <c r="H602" t="s">
        <v>373</v>
      </c>
      <c r="I602" t="s">
        <v>289</v>
      </c>
      <c r="J602" t="s">
        <v>937</v>
      </c>
      <c r="K602">
        <v>6</v>
      </c>
      <c r="L602" s="6">
        <v>1.8288</v>
      </c>
      <c r="M602" s="7">
        <v>63.5</v>
      </c>
      <c r="N602" s="7">
        <v>139.69999999999999</v>
      </c>
      <c r="O602" s="7">
        <f t="shared" si="46"/>
        <v>72</v>
      </c>
      <c r="P602" s="7">
        <f t="shared" si="47"/>
        <v>2.5</v>
      </c>
      <c r="Q602" s="7">
        <f t="shared" si="47"/>
        <v>5.5</v>
      </c>
      <c r="R602" s="6">
        <f t="shared" si="48"/>
        <v>369.84100000000001</v>
      </c>
      <c r="S602" s="6">
        <f t="shared" si="50"/>
        <v>1.6223193359999999E-2</v>
      </c>
      <c r="T602" t="str">
        <f t="shared" si="49"/>
        <v>Cumaru S4S E4E 3x6 Short</v>
      </c>
    </row>
    <row r="603" spans="1:20" x14ac:dyDescent="0.25">
      <c r="A603" t="s">
        <v>531</v>
      </c>
      <c r="B603" t="s">
        <v>934</v>
      </c>
      <c r="C603" t="s">
        <v>524</v>
      </c>
      <c r="D603" t="s">
        <v>438</v>
      </c>
      <c r="E603" t="s">
        <v>954</v>
      </c>
      <c r="F603" t="s">
        <v>936</v>
      </c>
      <c r="G603" t="s">
        <v>531</v>
      </c>
      <c r="H603" t="s">
        <v>373</v>
      </c>
      <c r="I603" t="s">
        <v>289</v>
      </c>
      <c r="J603" t="s">
        <v>937</v>
      </c>
      <c r="K603">
        <v>7</v>
      </c>
      <c r="L603" s="6">
        <v>2.1335999999999999</v>
      </c>
      <c r="M603" s="7">
        <v>63.5</v>
      </c>
      <c r="N603" s="7">
        <v>139.69999999999999</v>
      </c>
      <c r="O603" s="7">
        <f t="shared" si="46"/>
        <v>84</v>
      </c>
      <c r="P603" s="7">
        <f t="shared" si="47"/>
        <v>2.5</v>
      </c>
      <c r="Q603" s="7">
        <f t="shared" si="47"/>
        <v>5.5</v>
      </c>
      <c r="R603" s="6">
        <f t="shared" si="48"/>
        <v>369.84100000000001</v>
      </c>
      <c r="S603" s="6">
        <f t="shared" si="50"/>
        <v>1.8927058919999996E-2</v>
      </c>
      <c r="T603" t="str">
        <f t="shared" si="49"/>
        <v>Cumaru S4S E4E 3x6 Short</v>
      </c>
    </row>
    <row r="604" spans="1:20" x14ac:dyDescent="0.25">
      <c r="A604" t="s">
        <v>531</v>
      </c>
      <c r="B604" t="s">
        <v>934</v>
      </c>
      <c r="C604" t="s">
        <v>283</v>
      </c>
      <c r="D604" t="s">
        <v>438</v>
      </c>
      <c r="E604" t="s">
        <v>955</v>
      </c>
      <c r="F604" t="s">
        <v>936</v>
      </c>
      <c r="G604" t="s">
        <v>531</v>
      </c>
      <c r="H604" t="s">
        <v>373</v>
      </c>
      <c r="I604" t="s">
        <v>289</v>
      </c>
      <c r="J604" t="s">
        <v>937</v>
      </c>
      <c r="K604">
        <v>8</v>
      </c>
      <c r="L604" s="6">
        <v>2.4384000000000001</v>
      </c>
      <c r="M604" s="7">
        <v>63.5</v>
      </c>
      <c r="N604" s="7">
        <v>139.69999999999999</v>
      </c>
      <c r="O604" s="7">
        <f t="shared" si="46"/>
        <v>96.000000000000014</v>
      </c>
      <c r="P604" s="7">
        <f t="shared" si="47"/>
        <v>2.5</v>
      </c>
      <c r="Q604" s="7">
        <f t="shared" si="47"/>
        <v>5.5</v>
      </c>
      <c r="R604" s="6">
        <f t="shared" si="48"/>
        <v>369.84100000000001</v>
      </c>
      <c r="S604" s="6">
        <f t="shared" si="50"/>
        <v>2.1630924480000001E-2</v>
      </c>
      <c r="T604" t="str">
        <f t="shared" si="49"/>
        <v>Cumaru S4S E4E 3x6 Long</v>
      </c>
    </row>
    <row r="605" spans="1:20" x14ac:dyDescent="0.25">
      <c r="A605" t="s">
        <v>531</v>
      </c>
      <c r="B605" t="s">
        <v>934</v>
      </c>
      <c r="C605" t="s">
        <v>283</v>
      </c>
      <c r="D605" t="s">
        <v>438</v>
      </c>
      <c r="E605" t="s">
        <v>956</v>
      </c>
      <c r="F605" t="s">
        <v>936</v>
      </c>
      <c r="G605" t="s">
        <v>531</v>
      </c>
      <c r="H605" t="s">
        <v>373</v>
      </c>
      <c r="I605" t="s">
        <v>289</v>
      </c>
      <c r="J605" t="s">
        <v>937</v>
      </c>
      <c r="K605">
        <v>9</v>
      </c>
      <c r="L605" s="6">
        <v>2.7431999999999999</v>
      </c>
      <c r="M605" s="7">
        <v>63.5</v>
      </c>
      <c r="N605" s="7">
        <v>139.69999999999999</v>
      </c>
      <c r="O605" s="7">
        <f t="shared" si="46"/>
        <v>108</v>
      </c>
      <c r="P605" s="7">
        <f t="shared" si="47"/>
        <v>2.5</v>
      </c>
      <c r="Q605" s="7">
        <f t="shared" si="47"/>
        <v>5.5</v>
      </c>
      <c r="R605" s="6">
        <f t="shared" si="48"/>
        <v>369.84100000000001</v>
      </c>
      <c r="S605" s="6">
        <f t="shared" si="50"/>
        <v>2.4334790039999998E-2</v>
      </c>
      <c r="T605" t="str">
        <f t="shared" si="49"/>
        <v>Cumaru S4S E4E 3x6 Long</v>
      </c>
    </row>
    <row r="606" spans="1:20" x14ac:dyDescent="0.25">
      <c r="A606" t="s">
        <v>531</v>
      </c>
      <c r="B606" t="s">
        <v>957</v>
      </c>
      <c r="C606" t="s">
        <v>283</v>
      </c>
      <c r="D606" t="s">
        <v>438</v>
      </c>
      <c r="E606" t="s">
        <v>958</v>
      </c>
      <c r="F606" t="s">
        <v>959</v>
      </c>
      <c r="G606" t="s">
        <v>531</v>
      </c>
      <c r="H606" t="s">
        <v>373</v>
      </c>
      <c r="I606" t="s">
        <v>289</v>
      </c>
      <c r="J606" t="s">
        <v>960</v>
      </c>
      <c r="K606">
        <v>10</v>
      </c>
      <c r="L606" s="6">
        <v>3.048</v>
      </c>
      <c r="M606" s="7">
        <v>63.5</v>
      </c>
      <c r="N606" s="7">
        <v>184.15</v>
      </c>
      <c r="O606" s="7">
        <f t="shared" si="46"/>
        <v>120</v>
      </c>
      <c r="P606" s="7">
        <f t="shared" si="47"/>
        <v>2.5</v>
      </c>
      <c r="Q606" s="7">
        <f t="shared" si="47"/>
        <v>7.2500000000000009</v>
      </c>
      <c r="R606" s="6">
        <f t="shared" si="48"/>
        <v>280.56900000000002</v>
      </c>
      <c r="S606" s="6">
        <f t="shared" si="50"/>
        <v>3.5641864199999998E-2</v>
      </c>
      <c r="T606" t="str">
        <f t="shared" si="49"/>
        <v>Cumaru S4S E4E 3x8 Long</v>
      </c>
    </row>
    <row r="607" spans="1:20" x14ac:dyDescent="0.25">
      <c r="A607" t="s">
        <v>531</v>
      </c>
      <c r="B607" t="s">
        <v>957</v>
      </c>
      <c r="C607" t="s">
        <v>283</v>
      </c>
      <c r="D607" t="s">
        <v>438</v>
      </c>
      <c r="E607" t="s">
        <v>961</v>
      </c>
      <c r="F607" t="s">
        <v>959</v>
      </c>
      <c r="G607" t="s">
        <v>531</v>
      </c>
      <c r="H607" t="s">
        <v>373</v>
      </c>
      <c r="I607" t="s">
        <v>289</v>
      </c>
      <c r="J607" t="s">
        <v>960</v>
      </c>
      <c r="K607">
        <v>10</v>
      </c>
      <c r="L607" s="6">
        <v>3.048</v>
      </c>
      <c r="M607" s="7">
        <v>63.5</v>
      </c>
      <c r="N607" s="7">
        <v>184.15</v>
      </c>
      <c r="O607" s="7">
        <f t="shared" si="46"/>
        <v>120</v>
      </c>
      <c r="P607" s="7">
        <f t="shared" si="47"/>
        <v>2.5</v>
      </c>
      <c r="Q607" s="7">
        <f t="shared" si="47"/>
        <v>7.2500000000000009</v>
      </c>
      <c r="R607" s="6">
        <f t="shared" si="48"/>
        <v>280.56900000000002</v>
      </c>
      <c r="S607" s="6">
        <f t="shared" si="50"/>
        <v>3.5641864199999998E-2</v>
      </c>
      <c r="T607" t="str">
        <f t="shared" si="49"/>
        <v>Cumaru S4S E4E 3x8 Long</v>
      </c>
    </row>
    <row r="608" spans="1:20" x14ac:dyDescent="0.25">
      <c r="A608" t="s">
        <v>531</v>
      </c>
      <c r="B608" t="s">
        <v>957</v>
      </c>
      <c r="C608" t="s">
        <v>283</v>
      </c>
      <c r="D608" t="s">
        <v>438</v>
      </c>
      <c r="E608" t="s">
        <v>962</v>
      </c>
      <c r="F608" t="s">
        <v>959</v>
      </c>
      <c r="G608" t="s">
        <v>531</v>
      </c>
      <c r="H608" t="s">
        <v>373</v>
      </c>
      <c r="I608" t="s">
        <v>289</v>
      </c>
      <c r="J608" t="s">
        <v>960</v>
      </c>
      <c r="K608">
        <v>11</v>
      </c>
      <c r="L608" s="6">
        <v>3.3527999999999998</v>
      </c>
      <c r="M608" s="7">
        <v>63.5</v>
      </c>
      <c r="N608" s="7">
        <v>184.15</v>
      </c>
      <c r="O608" s="7">
        <f t="shared" si="46"/>
        <v>132</v>
      </c>
      <c r="P608" s="7">
        <f t="shared" si="47"/>
        <v>2.5</v>
      </c>
      <c r="Q608" s="7">
        <f t="shared" si="47"/>
        <v>7.2500000000000009</v>
      </c>
      <c r="R608" s="6">
        <f t="shared" si="48"/>
        <v>280.56900000000002</v>
      </c>
      <c r="S608" s="6">
        <f t="shared" si="50"/>
        <v>3.9206050620000002E-2</v>
      </c>
      <c r="T608" t="str">
        <f t="shared" si="49"/>
        <v>Cumaru S4S E4E 3x8 Long</v>
      </c>
    </row>
    <row r="609" spans="1:20" x14ac:dyDescent="0.25">
      <c r="A609" t="s">
        <v>531</v>
      </c>
      <c r="B609" t="s">
        <v>957</v>
      </c>
      <c r="C609" t="s">
        <v>283</v>
      </c>
      <c r="D609" t="s">
        <v>438</v>
      </c>
      <c r="E609" t="s">
        <v>963</v>
      </c>
      <c r="F609" t="s">
        <v>959</v>
      </c>
      <c r="G609" t="s">
        <v>531</v>
      </c>
      <c r="H609" t="s">
        <v>373</v>
      </c>
      <c r="I609" t="s">
        <v>289</v>
      </c>
      <c r="J609" t="s">
        <v>960</v>
      </c>
      <c r="K609">
        <v>11</v>
      </c>
      <c r="L609" s="6">
        <v>3.3527999999999998</v>
      </c>
      <c r="M609" s="7">
        <v>63.5</v>
      </c>
      <c r="N609" s="7">
        <v>184.15</v>
      </c>
      <c r="O609" s="7">
        <f t="shared" si="46"/>
        <v>132</v>
      </c>
      <c r="P609" s="7">
        <f t="shared" si="47"/>
        <v>2.5</v>
      </c>
      <c r="Q609" s="7">
        <f t="shared" si="47"/>
        <v>7.2500000000000009</v>
      </c>
      <c r="R609" s="6">
        <f t="shared" si="48"/>
        <v>280.56900000000002</v>
      </c>
      <c r="S609" s="6">
        <f t="shared" si="50"/>
        <v>3.9206050620000002E-2</v>
      </c>
      <c r="T609" t="str">
        <f t="shared" si="49"/>
        <v>Cumaru S4S E4E 3x8 Long</v>
      </c>
    </row>
    <row r="610" spans="1:20" x14ac:dyDescent="0.25">
      <c r="A610" t="s">
        <v>531</v>
      </c>
      <c r="B610" t="s">
        <v>957</v>
      </c>
      <c r="C610" t="s">
        <v>283</v>
      </c>
      <c r="D610" t="s">
        <v>438</v>
      </c>
      <c r="E610" t="s">
        <v>964</v>
      </c>
      <c r="F610" t="s">
        <v>959</v>
      </c>
      <c r="G610" t="s">
        <v>531</v>
      </c>
      <c r="H610" t="s">
        <v>373</v>
      </c>
      <c r="I610" t="s">
        <v>289</v>
      </c>
      <c r="J610" t="s">
        <v>960</v>
      </c>
      <c r="K610">
        <v>12</v>
      </c>
      <c r="L610" s="6">
        <v>3.6576</v>
      </c>
      <c r="M610" s="7">
        <v>63.5</v>
      </c>
      <c r="N610" s="7">
        <v>184.15</v>
      </c>
      <c r="O610" s="7">
        <f t="shared" si="46"/>
        <v>144</v>
      </c>
      <c r="P610" s="7">
        <f t="shared" si="47"/>
        <v>2.5</v>
      </c>
      <c r="Q610" s="7">
        <f t="shared" si="47"/>
        <v>7.2500000000000009</v>
      </c>
      <c r="R610" s="6">
        <f t="shared" si="48"/>
        <v>280.56900000000002</v>
      </c>
      <c r="S610" s="6">
        <f t="shared" si="50"/>
        <v>4.2770237040000006E-2</v>
      </c>
      <c r="T610" t="str">
        <f t="shared" si="49"/>
        <v>Cumaru S4S E4E 3x8 Long</v>
      </c>
    </row>
    <row r="611" spans="1:20" x14ac:dyDescent="0.25">
      <c r="A611" t="s">
        <v>531</v>
      </c>
      <c r="B611" t="s">
        <v>957</v>
      </c>
      <c r="C611" t="s">
        <v>283</v>
      </c>
      <c r="D611" t="s">
        <v>438</v>
      </c>
      <c r="E611" t="s">
        <v>965</v>
      </c>
      <c r="F611" t="s">
        <v>959</v>
      </c>
      <c r="G611" t="s">
        <v>531</v>
      </c>
      <c r="H611" t="s">
        <v>373</v>
      </c>
      <c r="I611" t="s">
        <v>289</v>
      </c>
      <c r="J611" t="s">
        <v>960</v>
      </c>
      <c r="K611">
        <v>12</v>
      </c>
      <c r="L611" s="6">
        <v>3.6576</v>
      </c>
      <c r="M611" s="7">
        <v>63.5</v>
      </c>
      <c r="N611" s="7">
        <v>184.15</v>
      </c>
      <c r="O611" s="7">
        <f t="shared" si="46"/>
        <v>144</v>
      </c>
      <c r="P611" s="7">
        <f t="shared" si="47"/>
        <v>2.5</v>
      </c>
      <c r="Q611" s="7">
        <f t="shared" si="47"/>
        <v>7.2500000000000009</v>
      </c>
      <c r="R611" s="6">
        <f t="shared" si="48"/>
        <v>280.56900000000002</v>
      </c>
      <c r="S611" s="6">
        <f t="shared" si="50"/>
        <v>4.2770237040000006E-2</v>
      </c>
      <c r="T611" t="str">
        <f t="shared" si="49"/>
        <v>Cumaru S4S E4E 3x8 Long</v>
      </c>
    </row>
    <row r="612" spans="1:20" x14ac:dyDescent="0.25">
      <c r="A612" t="s">
        <v>531</v>
      </c>
      <c r="B612" t="s">
        <v>957</v>
      </c>
      <c r="C612" t="s">
        <v>283</v>
      </c>
      <c r="D612" t="s">
        <v>438</v>
      </c>
      <c r="E612" t="s">
        <v>966</v>
      </c>
      <c r="F612" t="s">
        <v>959</v>
      </c>
      <c r="G612" t="s">
        <v>531</v>
      </c>
      <c r="H612" t="s">
        <v>373</v>
      </c>
      <c r="I612" t="s">
        <v>289</v>
      </c>
      <c r="J612" t="s">
        <v>960</v>
      </c>
      <c r="K612">
        <v>13</v>
      </c>
      <c r="L612" s="6">
        <v>3.9624000000000001</v>
      </c>
      <c r="M612" s="7">
        <v>63.5</v>
      </c>
      <c r="N612" s="7">
        <v>184.15</v>
      </c>
      <c r="O612" s="7">
        <f t="shared" si="46"/>
        <v>156</v>
      </c>
      <c r="P612" s="7">
        <f t="shared" si="47"/>
        <v>2.5</v>
      </c>
      <c r="Q612" s="7">
        <f t="shared" si="47"/>
        <v>7.2500000000000009</v>
      </c>
      <c r="R612" s="6">
        <f t="shared" si="48"/>
        <v>280.56900000000002</v>
      </c>
      <c r="S612" s="6">
        <f t="shared" si="50"/>
        <v>4.6334423460000003E-2</v>
      </c>
      <c r="T612" t="str">
        <f t="shared" si="49"/>
        <v>Cumaru S4S E4E 3x8 Long</v>
      </c>
    </row>
    <row r="613" spans="1:20" x14ac:dyDescent="0.25">
      <c r="A613" t="s">
        <v>531</v>
      </c>
      <c r="B613" t="s">
        <v>957</v>
      </c>
      <c r="C613" t="s">
        <v>283</v>
      </c>
      <c r="D613" t="s">
        <v>438</v>
      </c>
      <c r="E613" t="s">
        <v>967</v>
      </c>
      <c r="F613" t="s">
        <v>959</v>
      </c>
      <c r="G613" t="s">
        <v>531</v>
      </c>
      <c r="H613" t="s">
        <v>373</v>
      </c>
      <c r="I613" t="s">
        <v>289</v>
      </c>
      <c r="J613" t="s">
        <v>960</v>
      </c>
      <c r="K613">
        <v>13</v>
      </c>
      <c r="L613" s="6">
        <v>3.9624000000000001</v>
      </c>
      <c r="M613" s="7">
        <v>63.5</v>
      </c>
      <c r="N613" s="7">
        <v>184.15</v>
      </c>
      <c r="O613" s="7">
        <f t="shared" si="46"/>
        <v>156</v>
      </c>
      <c r="P613" s="7">
        <f t="shared" si="47"/>
        <v>2.5</v>
      </c>
      <c r="Q613" s="7">
        <f t="shared" si="47"/>
        <v>7.2500000000000009</v>
      </c>
      <c r="R613" s="6">
        <f t="shared" si="48"/>
        <v>280.56900000000002</v>
      </c>
      <c r="S613" s="6">
        <f t="shared" si="50"/>
        <v>4.6334423460000003E-2</v>
      </c>
      <c r="T613" t="str">
        <f t="shared" si="49"/>
        <v>Cumaru S4S E4E 3x8 Long</v>
      </c>
    </row>
    <row r="614" spans="1:20" x14ac:dyDescent="0.25">
      <c r="A614" t="s">
        <v>531</v>
      </c>
      <c r="B614" t="s">
        <v>957</v>
      </c>
      <c r="C614" t="s">
        <v>283</v>
      </c>
      <c r="D614" t="s">
        <v>438</v>
      </c>
      <c r="E614" t="s">
        <v>968</v>
      </c>
      <c r="F614" t="s">
        <v>959</v>
      </c>
      <c r="G614" t="s">
        <v>531</v>
      </c>
      <c r="H614" t="s">
        <v>373</v>
      </c>
      <c r="I614" t="s">
        <v>289</v>
      </c>
      <c r="J614" t="s">
        <v>960</v>
      </c>
      <c r="K614">
        <v>14</v>
      </c>
      <c r="L614" s="6">
        <v>4.2671999999999999</v>
      </c>
      <c r="M614" s="7">
        <v>63.5</v>
      </c>
      <c r="N614" s="7">
        <v>184.15</v>
      </c>
      <c r="O614" s="7">
        <f t="shared" si="46"/>
        <v>168</v>
      </c>
      <c r="P614" s="7">
        <f t="shared" si="47"/>
        <v>2.5</v>
      </c>
      <c r="Q614" s="7">
        <f t="shared" si="47"/>
        <v>7.2500000000000009</v>
      </c>
      <c r="R614" s="6">
        <f t="shared" si="48"/>
        <v>280.56900000000002</v>
      </c>
      <c r="S614" s="6">
        <f t="shared" si="50"/>
        <v>4.9898609879999993E-2</v>
      </c>
      <c r="T614" t="str">
        <f t="shared" si="49"/>
        <v>Cumaru S4S E4E 3x8 Long</v>
      </c>
    </row>
    <row r="615" spans="1:20" x14ac:dyDescent="0.25">
      <c r="A615" t="s">
        <v>531</v>
      </c>
      <c r="B615" t="s">
        <v>957</v>
      </c>
      <c r="C615" t="s">
        <v>283</v>
      </c>
      <c r="D615" t="s">
        <v>438</v>
      </c>
      <c r="E615" t="s">
        <v>969</v>
      </c>
      <c r="F615" t="s">
        <v>959</v>
      </c>
      <c r="G615" t="s">
        <v>531</v>
      </c>
      <c r="H615" t="s">
        <v>373</v>
      </c>
      <c r="I615" t="s">
        <v>289</v>
      </c>
      <c r="J615" t="s">
        <v>960</v>
      </c>
      <c r="K615">
        <v>14</v>
      </c>
      <c r="L615" s="6">
        <v>4.2671999999999999</v>
      </c>
      <c r="M615" s="7">
        <v>63.5</v>
      </c>
      <c r="N615" s="7">
        <v>184.15</v>
      </c>
      <c r="O615" s="7">
        <f t="shared" si="46"/>
        <v>168</v>
      </c>
      <c r="P615" s="7">
        <f t="shared" si="47"/>
        <v>2.5</v>
      </c>
      <c r="Q615" s="7">
        <f t="shared" si="47"/>
        <v>7.2500000000000009</v>
      </c>
      <c r="R615" s="6">
        <f t="shared" si="48"/>
        <v>280.56900000000002</v>
      </c>
      <c r="S615" s="6">
        <f t="shared" si="50"/>
        <v>4.9898609879999993E-2</v>
      </c>
      <c r="T615" t="str">
        <f t="shared" si="49"/>
        <v>Cumaru S4S E4E 3x8 Long</v>
      </c>
    </row>
    <row r="616" spans="1:20" x14ac:dyDescent="0.25">
      <c r="A616" t="s">
        <v>531</v>
      </c>
      <c r="B616" t="s">
        <v>957</v>
      </c>
      <c r="C616" t="s">
        <v>283</v>
      </c>
      <c r="D616" t="s">
        <v>438</v>
      </c>
      <c r="E616" t="s">
        <v>970</v>
      </c>
      <c r="F616" t="s">
        <v>959</v>
      </c>
      <c r="G616" t="s">
        <v>531</v>
      </c>
      <c r="H616" t="s">
        <v>373</v>
      </c>
      <c r="I616" t="s">
        <v>289</v>
      </c>
      <c r="J616" t="s">
        <v>960</v>
      </c>
      <c r="K616">
        <v>15</v>
      </c>
      <c r="L616" s="6">
        <v>4.5720000000000001</v>
      </c>
      <c r="M616" s="7">
        <v>63.5</v>
      </c>
      <c r="N616" s="7">
        <v>184.15</v>
      </c>
      <c r="O616" s="7">
        <f t="shared" si="46"/>
        <v>180</v>
      </c>
      <c r="P616" s="7">
        <f t="shared" si="47"/>
        <v>2.5</v>
      </c>
      <c r="Q616" s="7">
        <f t="shared" si="47"/>
        <v>7.2500000000000009</v>
      </c>
      <c r="R616" s="6">
        <f t="shared" si="48"/>
        <v>280.56900000000002</v>
      </c>
      <c r="S616" s="6">
        <f t="shared" si="50"/>
        <v>5.3462796300000011E-2</v>
      </c>
      <c r="T616" t="str">
        <f t="shared" si="49"/>
        <v>Cumaru S4S E4E 3x8 Long</v>
      </c>
    </row>
    <row r="617" spans="1:20" x14ac:dyDescent="0.25">
      <c r="A617" t="s">
        <v>531</v>
      </c>
      <c r="B617" t="s">
        <v>957</v>
      </c>
      <c r="C617" t="s">
        <v>283</v>
      </c>
      <c r="D617" t="s">
        <v>438</v>
      </c>
      <c r="E617" t="s">
        <v>971</v>
      </c>
      <c r="F617" t="s">
        <v>959</v>
      </c>
      <c r="G617" t="s">
        <v>531</v>
      </c>
      <c r="H617" t="s">
        <v>373</v>
      </c>
      <c r="I617" t="s">
        <v>289</v>
      </c>
      <c r="J617" t="s">
        <v>960</v>
      </c>
      <c r="K617">
        <v>15</v>
      </c>
      <c r="L617" s="6">
        <v>4.5720000000000001</v>
      </c>
      <c r="M617" s="7">
        <v>63.5</v>
      </c>
      <c r="N617" s="7">
        <v>184.15</v>
      </c>
      <c r="O617" s="7">
        <f t="shared" si="46"/>
        <v>180</v>
      </c>
      <c r="P617" s="7">
        <f t="shared" si="47"/>
        <v>2.5</v>
      </c>
      <c r="Q617" s="7">
        <f t="shared" si="47"/>
        <v>7.2500000000000009</v>
      </c>
      <c r="R617" s="6">
        <f t="shared" si="48"/>
        <v>280.56900000000002</v>
      </c>
      <c r="S617" s="6">
        <f t="shared" si="50"/>
        <v>5.3462796300000011E-2</v>
      </c>
      <c r="T617" t="str">
        <f t="shared" si="49"/>
        <v>Cumaru S4S E4E 3x8 Long</v>
      </c>
    </row>
    <row r="618" spans="1:20" x14ac:dyDescent="0.25">
      <c r="A618" t="s">
        <v>531</v>
      </c>
      <c r="B618" t="s">
        <v>957</v>
      </c>
      <c r="C618" t="s">
        <v>283</v>
      </c>
      <c r="D618" t="s">
        <v>438</v>
      </c>
      <c r="E618" t="s">
        <v>972</v>
      </c>
      <c r="F618" t="s">
        <v>959</v>
      </c>
      <c r="G618" t="s">
        <v>531</v>
      </c>
      <c r="H618" t="s">
        <v>373</v>
      </c>
      <c r="I618" t="s">
        <v>289</v>
      </c>
      <c r="J618" t="s">
        <v>960</v>
      </c>
      <c r="K618">
        <v>16</v>
      </c>
      <c r="L618" s="6">
        <v>4.8768000000000002</v>
      </c>
      <c r="M618" s="7">
        <v>63.5</v>
      </c>
      <c r="N618" s="7">
        <v>184.15</v>
      </c>
      <c r="O618" s="7">
        <f t="shared" si="46"/>
        <v>192.00000000000003</v>
      </c>
      <c r="P618" s="7">
        <f t="shared" si="47"/>
        <v>2.5</v>
      </c>
      <c r="Q618" s="7">
        <f t="shared" si="47"/>
        <v>7.2500000000000009</v>
      </c>
      <c r="R618" s="6">
        <f t="shared" si="48"/>
        <v>280.56900000000002</v>
      </c>
      <c r="S618" s="6">
        <f t="shared" si="50"/>
        <v>5.7026982720000008E-2</v>
      </c>
      <c r="T618" t="str">
        <f t="shared" si="49"/>
        <v>Cumaru S4S E4E 3x8 Long</v>
      </c>
    </row>
    <row r="619" spans="1:20" x14ac:dyDescent="0.25">
      <c r="A619" t="s">
        <v>531</v>
      </c>
      <c r="B619" t="s">
        <v>957</v>
      </c>
      <c r="C619" t="s">
        <v>283</v>
      </c>
      <c r="D619" t="s">
        <v>438</v>
      </c>
      <c r="E619" t="s">
        <v>973</v>
      </c>
      <c r="F619" t="s">
        <v>959</v>
      </c>
      <c r="G619" t="s">
        <v>531</v>
      </c>
      <c r="H619" t="s">
        <v>373</v>
      </c>
      <c r="I619" t="s">
        <v>289</v>
      </c>
      <c r="J619" t="s">
        <v>960</v>
      </c>
      <c r="K619">
        <v>16</v>
      </c>
      <c r="L619" s="6">
        <v>4.8768000000000002</v>
      </c>
      <c r="M619" s="7">
        <v>63.5</v>
      </c>
      <c r="N619" s="7">
        <v>184.15</v>
      </c>
      <c r="O619" s="7">
        <f t="shared" si="46"/>
        <v>192.00000000000003</v>
      </c>
      <c r="P619" s="7">
        <f t="shared" si="47"/>
        <v>2.5</v>
      </c>
      <c r="Q619" s="7">
        <f t="shared" si="47"/>
        <v>7.2500000000000009</v>
      </c>
      <c r="R619" s="6">
        <f t="shared" si="48"/>
        <v>280.56900000000002</v>
      </c>
      <c r="S619" s="6">
        <f t="shared" si="50"/>
        <v>5.7026982720000008E-2</v>
      </c>
      <c r="T619" t="str">
        <f t="shared" si="49"/>
        <v>Cumaru S4S E4E 3x8 Long</v>
      </c>
    </row>
    <row r="620" spans="1:20" x14ac:dyDescent="0.25">
      <c r="A620" t="s">
        <v>531</v>
      </c>
      <c r="B620" t="s">
        <v>957</v>
      </c>
      <c r="C620" t="s">
        <v>283</v>
      </c>
      <c r="D620" t="s">
        <v>438</v>
      </c>
      <c r="E620" t="s">
        <v>974</v>
      </c>
      <c r="F620" t="s">
        <v>959</v>
      </c>
      <c r="G620" t="s">
        <v>531</v>
      </c>
      <c r="H620" t="s">
        <v>373</v>
      </c>
      <c r="I620" t="s">
        <v>289</v>
      </c>
      <c r="J620" t="s">
        <v>960</v>
      </c>
      <c r="K620">
        <v>17</v>
      </c>
      <c r="L620" s="6">
        <v>5.1816000000000004</v>
      </c>
      <c r="M620" s="7">
        <v>63.5</v>
      </c>
      <c r="N620" s="7">
        <v>184.15</v>
      </c>
      <c r="O620" s="7">
        <f t="shared" si="46"/>
        <v>204.00000000000003</v>
      </c>
      <c r="P620" s="7">
        <f t="shared" si="47"/>
        <v>2.5</v>
      </c>
      <c r="Q620" s="7">
        <f t="shared" si="47"/>
        <v>7.2500000000000009</v>
      </c>
      <c r="R620" s="6">
        <f t="shared" si="48"/>
        <v>280.56900000000002</v>
      </c>
      <c r="S620" s="6">
        <f t="shared" si="50"/>
        <v>6.0591169140000005E-2</v>
      </c>
      <c r="T620" t="str">
        <f t="shared" si="49"/>
        <v>Cumaru S4S E4E 3x8 Long</v>
      </c>
    </row>
    <row r="621" spans="1:20" x14ac:dyDescent="0.25">
      <c r="A621" t="s">
        <v>531</v>
      </c>
      <c r="B621" t="s">
        <v>957</v>
      </c>
      <c r="C621" t="s">
        <v>283</v>
      </c>
      <c r="D621" t="s">
        <v>438</v>
      </c>
      <c r="E621" t="s">
        <v>975</v>
      </c>
      <c r="F621" t="s">
        <v>959</v>
      </c>
      <c r="G621" t="s">
        <v>531</v>
      </c>
      <c r="H621" t="s">
        <v>373</v>
      </c>
      <c r="I621" t="s">
        <v>289</v>
      </c>
      <c r="J621" t="s">
        <v>960</v>
      </c>
      <c r="K621">
        <v>17</v>
      </c>
      <c r="L621" s="6">
        <v>5.1816000000000004</v>
      </c>
      <c r="M621" s="7">
        <v>63.5</v>
      </c>
      <c r="N621" s="7">
        <v>184.15</v>
      </c>
      <c r="O621" s="7">
        <f t="shared" si="46"/>
        <v>204.00000000000003</v>
      </c>
      <c r="P621" s="7">
        <f t="shared" si="47"/>
        <v>2.5</v>
      </c>
      <c r="Q621" s="7">
        <f t="shared" si="47"/>
        <v>7.2500000000000009</v>
      </c>
      <c r="R621" s="6">
        <f t="shared" si="48"/>
        <v>280.56900000000002</v>
      </c>
      <c r="S621" s="6">
        <f t="shared" si="50"/>
        <v>6.0591169140000005E-2</v>
      </c>
      <c r="T621" t="str">
        <f t="shared" si="49"/>
        <v>Cumaru S4S E4E 3x8 Long</v>
      </c>
    </row>
    <row r="622" spans="1:20" x14ac:dyDescent="0.25">
      <c r="A622" t="s">
        <v>531</v>
      </c>
      <c r="B622" t="s">
        <v>957</v>
      </c>
      <c r="C622" t="s">
        <v>283</v>
      </c>
      <c r="D622" t="s">
        <v>438</v>
      </c>
      <c r="E622" t="s">
        <v>976</v>
      </c>
      <c r="F622" t="s">
        <v>959</v>
      </c>
      <c r="G622" t="s">
        <v>531</v>
      </c>
      <c r="H622" t="s">
        <v>373</v>
      </c>
      <c r="I622" t="s">
        <v>289</v>
      </c>
      <c r="J622" t="s">
        <v>960</v>
      </c>
      <c r="K622">
        <v>18</v>
      </c>
      <c r="L622" s="6">
        <v>5.4863999999999997</v>
      </c>
      <c r="M622" s="7">
        <v>63.5</v>
      </c>
      <c r="N622" s="7">
        <v>184.15</v>
      </c>
      <c r="O622" s="7">
        <f t="shared" si="46"/>
        <v>216</v>
      </c>
      <c r="P622" s="7">
        <f t="shared" si="47"/>
        <v>2.5</v>
      </c>
      <c r="Q622" s="7">
        <f t="shared" si="47"/>
        <v>7.2500000000000009</v>
      </c>
      <c r="R622" s="6">
        <f t="shared" si="48"/>
        <v>280.56900000000002</v>
      </c>
      <c r="S622" s="6">
        <f t="shared" si="50"/>
        <v>6.4155355560000002E-2</v>
      </c>
      <c r="T622" t="str">
        <f t="shared" si="49"/>
        <v>Cumaru S4S E4E 3x8 Long</v>
      </c>
    </row>
    <row r="623" spans="1:20" x14ac:dyDescent="0.25">
      <c r="A623" t="s">
        <v>531</v>
      </c>
      <c r="B623" t="s">
        <v>957</v>
      </c>
      <c r="C623" t="s">
        <v>283</v>
      </c>
      <c r="D623" t="s">
        <v>438</v>
      </c>
      <c r="E623" t="s">
        <v>977</v>
      </c>
      <c r="F623" t="s">
        <v>959</v>
      </c>
      <c r="G623" t="s">
        <v>531</v>
      </c>
      <c r="H623" t="s">
        <v>373</v>
      </c>
      <c r="I623" t="s">
        <v>289</v>
      </c>
      <c r="J623" t="s">
        <v>960</v>
      </c>
      <c r="K623">
        <v>18</v>
      </c>
      <c r="L623" s="6">
        <v>5.4863999999999997</v>
      </c>
      <c r="M623" s="7">
        <v>63.5</v>
      </c>
      <c r="N623" s="7">
        <v>184.15</v>
      </c>
      <c r="O623" s="7">
        <f t="shared" si="46"/>
        <v>216</v>
      </c>
      <c r="P623" s="7">
        <f t="shared" si="47"/>
        <v>2.5</v>
      </c>
      <c r="Q623" s="7">
        <f t="shared" si="47"/>
        <v>7.2500000000000009</v>
      </c>
      <c r="R623" s="6">
        <f t="shared" si="48"/>
        <v>280.56900000000002</v>
      </c>
      <c r="S623" s="6">
        <f t="shared" si="50"/>
        <v>6.4155355560000002E-2</v>
      </c>
      <c r="T623" t="str">
        <f t="shared" si="49"/>
        <v>Cumaru S4S E4E 3x8 Long</v>
      </c>
    </row>
    <row r="624" spans="1:20" x14ac:dyDescent="0.25">
      <c r="A624" t="s">
        <v>531</v>
      </c>
      <c r="B624" t="s">
        <v>957</v>
      </c>
      <c r="C624" t="s">
        <v>283</v>
      </c>
      <c r="D624" t="s">
        <v>438</v>
      </c>
      <c r="E624" t="s">
        <v>978</v>
      </c>
      <c r="F624" t="s">
        <v>959</v>
      </c>
      <c r="G624" t="s">
        <v>531</v>
      </c>
      <c r="H624" t="s">
        <v>373</v>
      </c>
      <c r="I624" t="s">
        <v>289</v>
      </c>
      <c r="J624" t="s">
        <v>960</v>
      </c>
      <c r="K624">
        <v>19</v>
      </c>
      <c r="L624" s="6">
        <v>5.7911999999999999</v>
      </c>
      <c r="M624" s="7">
        <v>63.5</v>
      </c>
      <c r="N624" s="7">
        <v>184.15</v>
      </c>
      <c r="O624" s="7">
        <f t="shared" si="46"/>
        <v>228</v>
      </c>
      <c r="P624" s="7">
        <f t="shared" si="47"/>
        <v>2.5</v>
      </c>
      <c r="Q624" s="7">
        <f t="shared" si="47"/>
        <v>7.2500000000000009</v>
      </c>
      <c r="R624" s="6">
        <f t="shared" si="48"/>
        <v>280.56900000000002</v>
      </c>
      <c r="S624" s="6">
        <f t="shared" si="50"/>
        <v>6.7719541980000006E-2</v>
      </c>
      <c r="T624" t="str">
        <f t="shared" si="49"/>
        <v>Cumaru S4S E4E 3x8 Long</v>
      </c>
    </row>
    <row r="625" spans="1:20" x14ac:dyDescent="0.25">
      <c r="A625" t="s">
        <v>531</v>
      </c>
      <c r="B625" t="s">
        <v>957</v>
      </c>
      <c r="C625" t="s">
        <v>283</v>
      </c>
      <c r="D625" t="s">
        <v>438</v>
      </c>
      <c r="E625" t="s">
        <v>979</v>
      </c>
      <c r="F625" t="s">
        <v>959</v>
      </c>
      <c r="G625" t="s">
        <v>531</v>
      </c>
      <c r="H625" t="s">
        <v>373</v>
      </c>
      <c r="I625" t="s">
        <v>289</v>
      </c>
      <c r="J625" t="s">
        <v>960</v>
      </c>
      <c r="K625">
        <v>19</v>
      </c>
      <c r="L625" s="6">
        <v>5.7911999999999999</v>
      </c>
      <c r="M625" s="7">
        <v>63.5</v>
      </c>
      <c r="N625" s="7">
        <v>184.15</v>
      </c>
      <c r="O625" s="7">
        <f t="shared" si="46"/>
        <v>228</v>
      </c>
      <c r="P625" s="7">
        <f t="shared" si="47"/>
        <v>2.5</v>
      </c>
      <c r="Q625" s="7">
        <f t="shared" si="47"/>
        <v>7.2500000000000009</v>
      </c>
      <c r="R625" s="6">
        <f t="shared" si="48"/>
        <v>280.56900000000002</v>
      </c>
      <c r="S625" s="6">
        <f t="shared" si="50"/>
        <v>6.7719541980000006E-2</v>
      </c>
      <c r="T625" t="str">
        <f t="shared" si="49"/>
        <v>Cumaru S4S E4E 3x8 Long</v>
      </c>
    </row>
    <row r="626" spans="1:20" x14ac:dyDescent="0.25">
      <c r="A626" t="s">
        <v>531</v>
      </c>
      <c r="B626" t="s">
        <v>957</v>
      </c>
      <c r="C626" t="s">
        <v>283</v>
      </c>
      <c r="D626" t="s">
        <v>438</v>
      </c>
      <c r="E626" t="s">
        <v>980</v>
      </c>
      <c r="F626" t="s">
        <v>959</v>
      </c>
      <c r="G626" t="s">
        <v>531</v>
      </c>
      <c r="H626" t="s">
        <v>373</v>
      </c>
      <c r="I626" t="s">
        <v>289</v>
      </c>
      <c r="J626" t="s">
        <v>960</v>
      </c>
      <c r="K626">
        <v>20</v>
      </c>
      <c r="L626" s="6">
        <v>6.0960000000000001</v>
      </c>
      <c r="M626" s="7">
        <v>63.5</v>
      </c>
      <c r="N626" s="7">
        <v>184.15</v>
      </c>
      <c r="O626" s="7">
        <f t="shared" si="46"/>
        <v>240</v>
      </c>
      <c r="P626" s="7">
        <f t="shared" si="47"/>
        <v>2.5</v>
      </c>
      <c r="Q626" s="7">
        <f t="shared" si="47"/>
        <v>7.2500000000000009</v>
      </c>
      <c r="R626" s="6">
        <f t="shared" si="48"/>
        <v>280.56900000000002</v>
      </c>
      <c r="S626" s="6">
        <f t="shared" si="50"/>
        <v>7.1283728399999996E-2</v>
      </c>
      <c r="T626" t="str">
        <f t="shared" si="49"/>
        <v>Cumaru S4S E4E 3x8 Long</v>
      </c>
    </row>
    <row r="627" spans="1:20" x14ac:dyDescent="0.25">
      <c r="A627" t="s">
        <v>531</v>
      </c>
      <c r="B627" t="s">
        <v>957</v>
      </c>
      <c r="C627" t="s">
        <v>283</v>
      </c>
      <c r="D627" t="s">
        <v>438</v>
      </c>
      <c r="E627" t="s">
        <v>981</v>
      </c>
      <c r="F627" t="s">
        <v>959</v>
      </c>
      <c r="G627" t="s">
        <v>531</v>
      </c>
      <c r="H627" t="s">
        <v>373</v>
      </c>
      <c r="I627" t="s">
        <v>289</v>
      </c>
      <c r="J627" t="s">
        <v>960</v>
      </c>
      <c r="K627">
        <v>20</v>
      </c>
      <c r="L627" s="6">
        <v>6.0960000000000001</v>
      </c>
      <c r="M627" s="7">
        <v>63.5</v>
      </c>
      <c r="N627" s="7">
        <v>184.15</v>
      </c>
      <c r="O627" s="7">
        <f t="shared" si="46"/>
        <v>240</v>
      </c>
      <c r="P627" s="7">
        <f t="shared" si="47"/>
        <v>2.5</v>
      </c>
      <c r="Q627" s="7">
        <f t="shared" si="47"/>
        <v>7.2500000000000009</v>
      </c>
      <c r="R627" s="6">
        <f t="shared" si="48"/>
        <v>280.56900000000002</v>
      </c>
      <c r="S627" s="6">
        <f t="shared" si="50"/>
        <v>7.1283728399999996E-2</v>
      </c>
      <c r="T627" t="str">
        <f t="shared" si="49"/>
        <v>Cumaru S4S E4E 3x8 Long</v>
      </c>
    </row>
    <row r="628" spans="1:20" x14ac:dyDescent="0.25">
      <c r="A628" t="s">
        <v>531</v>
      </c>
      <c r="B628" t="s">
        <v>957</v>
      </c>
      <c r="C628" t="s">
        <v>283</v>
      </c>
      <c r="D628" t="s">
        <v>438</v>
      </c>
      <c r="E628" t="s">
        <v>982</v>
      </c>
      <c r="F628" t="s">
        <v>959</v>
      </c>
      <c r="G628" t="s">
        <v>531</v>
      </c>
      <c r="H628" t="s">
        <v>373</v>
      </c>
      <c r="I628" t="s">
        <v>289</v>
      </c>
      <c r="J628" t="s">
        <v>960</v>
      </c>
      <c r="K628">
        <v>21</v>
      </c>
      <c r="L628" s="6">
        <v>6.4008000000000003</v>
      </c>
      <c r="M628" s="7">
        <v>63.5</v>
      </c>
      <c r="N628" s="7">
        <v>184.15</v>
      </c>
      <c r="O628" s="7">
        <f t="shared" si="46"/>
        <v>252.00000000000003</v>
      </c>
      <c r="P628" s="7">
        <f t="shared" si="47"/>
        <v>2.5</v>
      </c>
      <c r="Q628" s="7">
        <f t="shared" si="47"/>
        <v>7.2500000000000009</v>
      </c>
      <c r="R628" s="6">
        <f t="shared" si="48"/>
        <v>280.56900000000002</v>
      </c>
      <c r="S628" s="6">
        <f t="shared" si="50"/>
        <v>7.484791482E-2</v>
      </c>
      <c r="T628" t="str">
        <f t="shared" si="49"/>
        <v>Cumaru S4S E4E 3x8 Long</v>
      </c>
    </row>
    <row r="629" spans="1:20" x14ac:dyDescent="0.25">
      <c r="A629" t="s">
        <v>531</v>
      </c>
      <c r="B629" t="s">
        <v>957</v>
      </c>
      <c r="C629" t="s">
        <v>283</v>
      </c>
      <c r="D629" t="s">
        <v>438</v>
      </c>
      <c r="E629" t="s">
        <v>983</v>
      </c>
      <c r="F629" t="s">
        <v>959</v>
      </c>
      <c r="G629" t="s">
        <v>531</v>
      </c>
      <c r="H629" t="s">
        <v>373</v>
      </c>
      <c r="I629" t="s">
        <v>289</v>
      </c>
      <c r="J629" t="s">
        <v>960</v>
      </c>
      <c r="K629">
        <v>21</v>
      </c>
      <c r="L629" s="6">
        <v>6.4008000000000003</v>
      </c>
      <c r="M629" s="7">
        <v>63.5</v>
      </c>
      <c r="N629" s="7">
        <v>184.15</v>
      </c>
      <c r="O629" s="7">
        <f t="shared" si="46"/>
        <v>252.00000000000003</v>
      </c>
      <c r="P629" s="7">
        <f t="shared" si="47"/>
        <v>2.5</v>
      </c>
      <c r="Q629" s="7">
        <f t="shared" si="47"/>
        <v>7.2500000000000009</v>
      </c>
      <c r="R629" s="6">
        <f t="shared" si="48"/>
        <v>280.56900000000002</v>
      </c>
      <c r="S629" s="6">
        <f t="shared" si="50"/>
        <v>7.484791482E-2</v>
      </c>
      <c r="T629" t="str">
        <f t="shared" si="49"/>
        <v>Cumaru S4S E4E 3x8 Long</v>
      </c>
    </row>
    <row r="630" spans="1:20" x14ac:dyDescent="0.25">
      <c r="A630" t="s">
        <v>531</v>
      </c>
      <c r="B630" t="s">
        <v>957</v>
      </c>
      <c r="C630" t="s">
        <v>283</v>
      </c>
      <c r="D630" t="s">
        <v>438</v>
      </c>
      <c r="E630" t="s">
        <v>984</v>
      </c>
      <c r="F630" t="s">
        <v>959</v>
      </c>
      <c r="G630" t="s">
        <v>531</v>
      </c>
      <c r="H630" t="s">
        <v>373</v>
      </c>
      <c r="I630" t="s">
        <v>289</v>
      </c>
      <c r="J630" t="s">
        <v>960</v>
      </c>
      <c r="K630">
        <v>22</v>
      </c>
      <c r="L630" s="6">
        <v>6.7055999999999996</v>
      </c>
      <c r="M630" s="7">
        <v>63.5</v>
      </c>
      <c r="N630" s="7">
        <v>184.15</v>
      </c>
      <c r="O630" s="7">
        <f t="shared" si="46"/>
        <v>264</v>
      </c>
      <c r="P630" s="7">
        <f t="shared" si="47"/>
        <v>2.5</v>
      </c>
      <c r="Q630" s="7">
        <f t="shared" si="47"/>
        <v>7.2500000000000009</v>
      </c>
      <c r="R630" s="6">
        <f t="shared" si="48"/>
        <v>280.56900000000002</v>
      </c>
      <c r="S630" s="6">
        <f t="shared" si="50"/>
        <v>7.8412101240000004E-2</v>
      </c>
      <c r="T630" t="str">
        <f t="shared" si="49"/>
        <v>Cumaru S4S E4E 3x8 Long</v>
      </c>
    </row>
    <row r="631" spans="1:20" x14ac:dyDescent="0.25">
      <c r="A631" t="s">
        <v>531</v>
      </c>
      <c r="B631" t="s">
        <v>957</v>
      </c>
      <c r="C631" t="s">
        <v>283</v>
      </c>
      <c r="D631" t="s">
        <v>438</v>
      </c>
      <c r="E631" t="s">
        <v>985</v>
      </c>
      <c r="F631" t="s">
        <v>959</v>
      </c>
      <c r="G631" t="s">
        <v>531</v>
      </c>
      <c r="H631" t="s">
        <v>373</v>
      </c>
      <c r="I631" t="s">
        <v>289</v>
      </c>
      <c r="J631" t="s">
        <v>960</v>
      </c>
      <c r="K631">
        <v>22</v>
      </c>
      <c r="L631" s="6">
        <v>6.7055999999999996</v>
      </c>
      <c r="M631" s="7">
        <v>63.5</v>
      </c>
      <c r="N631" s="7">
        <v>184.15</v>
      </c>
      <c r="O631" s="7">
        <f t="shared" si="46"/>
        <v>264</v>
      </c>
      <c r="P631" s="7">
        <f t="shared" si="47"/>
        <v>2.5</v>
      </c>
      <c r="Q631" s="7">
        <f t="shared" si="47"/>
        <v>7.2500000000000009</v>
      </c>
      <c r="R631" s="6">
        <f t="shared" si="48"/>
        <v>280.56900000000002</v>
      </c>
      <c r="S631" s="6">
        <f t="shared" si="50"/>
        <v>7.8412101240000004E-2</v>
      </c>
      <c r="T631" t="str">
        <f t="shared" si="49"/>
        <v>Cumaru S4S E4E 3x8 Long</v>
      </c>
    </row>
    <row r="632" spans="1:20" x14ac:dyDescent="0.25">
      <c r="A632" t="s">
        <v>531</v>
      </c>
      <c r="B632" t="s">
        <v>957</v>
      </c>
      <c r="C632" t="s">
        <v>524</v>
      </c>
      <c r="D632" t="s">
        <v>438</v>
      </c>
      <c r="E632" t="s">
        <v>986</v>
      </c>
      <c r="F632" t="s">
        <v>959</v>
      </c>
      <c r="G632" t="s">
        <v>531</v>
      </c>
      <c r="H632" t="s">
        <v>373</v>
      </c>
      <c r="I632" t="s">
        <v>289</v>
      </c>
      <c r="J632" t="s">
        <v>960</v>
      </c>
      <c r="K632">
        <v>3</v>
      </c>
      <c r="L632" s="6">
        <v>0.91439999999999999</v>
      </c>
      <c r="M632" s="7">
        <v>63.5</v>
      </c>
      <c r="N632" s="7">
        <v>184.15</v>
      </c>
      <c r="O632" s="7">
        <f t="shared" si="46"/>
        <v>36</v>
      </c>
      <c r="P632" s="7">
        <f t="shared" si="47"/>
        <v>2.5</v>
      </c>
      <c r="Q632" s="7">
        <f t="shared" si="47"/>
        <v>7.2500000000000009</v>
      </c>
      <c r="R632" s="6">
        <f t="shared" si="48"/>
        <v>280.56900000000002</v>
      </c>
      <c r="S632" s="6">
        <f t="shared" si="50"/>
        <v>1.0692559260000001E-2</v>
      </c>
      <c r="T632" t="str">
        <f t="shared" si="49"/>
        <v>Cumaru S4S E4E 3x8 Short</v>
      </c>
    </row>
    <row r="633" spans="1:20" x14ac:dyDescent="0.25">
      <c r="A633" t="s">
        <v>531</v>
      </c>
      <c r="B633" t="s">
        <v>957</v>
      </c>
      <c r="C633" t="s">
        <v>524</v>
      </c>
      <c r="D633" t="s">
        <v>438</v>
      </c>
      <c r="E633" t="s">
        <v>987</v>
      </c>
      <c r="F633" t="s">
        <v>959</v>
      </c>
      <c r="G633" t="s">
        <v>531</v>
      </c>
      <c r="H633" t="s">
        <v>373</v>
      </c>
      <c r="I633" t="s">
        <v>289</v>
      </c>
      <c r="J633" t="s">
        <v>960</v>
      </c>
      <c r="K633">
        <v>3</v>
      </c>
      <c r="L633" s="6">
        <v>0.91439999999999999</v>
      </c>
      <c r="M633" s="7">
        <v>63.5</v>
      </c>
      <c r="N633" s="7">
        <v>184.15</v>
      </c>
      <c r="O633" s="7">
        <f t="shared" si="46"/>
        <v>36</v>
      </c>
      <c r="P633" s="7">
        <f t="shared" si="47"/>
        <v>2.5</v>
      </c>
      <c r="Q633" s="7">
        <f t="shared" si="47"/>
        <v>7.2500000000000009</v>
      </c>
      <c r="R633" s="6">
        <f t="shared" si="48"/>
        <v>280.56900000000002</v>
      </c>
      <c r="S633" s="6">
        <f t="shared" si="50"/>
        <v>1.0692559260000001E-2</v>
      </c>
      <c r="T633" t="str">
        <f t="shared" si="49"/>
        <v>Cumaru S4S E4E 3x8 Short</v>
      </c>
    </row>
    <row r="634" spans="1:20" x14ac:dyDescent="0.25">
      <c r="A634" t="s">
        <v>531</v>
      </c>
      <c r="B634" t="s">
        <v>957</v>
      </c>
      <c r="C634" t="s">
        <v>524</v>
      </c>
      <c r="D634" t="s">
        <v>438</v>
      </c>
      <c r="E634" t="s">
        <v>988</v>
      </c>
      <c r="F634" t="s">
        <v>959</v>
      </c>
      <c r="G634" t="s">
        <v>531</v>
      </c>
      <c r="H634" t="s">
        <v>373</v>
      </c>
      <c r="I634" t="s">
        <v>289</v>
      </c>
      <c r="J634" t="s">
        <v>960</v>
      </c>
      <c r="K634">
        <v>4</v>
      </c>
      <c r="L634" s="6">
        <v>1.2192000000000001</v>
      </c>
      <c r="M634" s="7">
        <v>63.5</v>
      </c>
      <c r="N634" s="7">
        <v>184.15</v>
      </c>
      <c r="O634" s="7">
        <f t="shared" si="46"/>
        <v>48.000000000000007</v>
      </c>
      <c r="P634" s="7">
        <f t="shared" si="47"/>
        <v>2.5</v>
      </c>
      <c r="Q634" s="7">
        <f t="shared" si="47"/>
        <v>7.2500000000000009</v>
      </c>
      <c r="R634" s="6">
        <f t="shared" si="48"/>
        <v>280.56900000000002</v>
      </c>
      <c r="S634" s="6">
        <f t="shared" si="50"/>
        <v>1.4256745680000002E-2</v>
      </c>
      <c r="T634" t="str">
        <f t="shared" si="49"/>
        <v>Cumaru S4S E4E 3x8 Short</v>
      </c>
    </row>
    <row r="635" spans="1:20" x14ac:dyDescent="0.25">
      <c r="A635" t="s">
        <v>531</v>
      </c>
      <c r="B635" t="s">
        <v>957</v>
      </c>
      <c r="C635" t="s">
        <v>524</v>
      </c>
      <c r="D635" t="s">
        <v>438</v>
      </c>
      <c r="E635" t="s">
        <v>989</v>
      </c>
      <c r="F635" t="s">
        <v>959</v>
      </c>
      <c r="G635" t="s">
        <v>531</v>
      </c>
      <c r="H635" t="s">
        <v>373</v>
      </c>
      <c r="I635" t="s">
        <v>289</v>
      </c>
      <c r="J635" t="s">
        <v>960</v>
      </c>
      <c r="K635">
        <v>4</v>
      </c>
      <c r="L635" s="6">
        <v>1.2192000000000001</v>
      </c>
      <c r="M635" s="7">
        <v>63.5</v>
      </c>
      <c r="N635" s="7">
        <v>184.15</v>
      </c>
      <c r="O635" s="7">
        <f t="shared" si="46"/>
        <v>48.000000000000007</v>
      </c>
      <c r="P635" s="7">
        <f t="shared" si="47"/>
        <v>2.5</v>
      </c>
      <c r="Q635" s="7">
        <f t="shared" si="47"/>
        <v>7.2500000000000009</v>
      </c>
      <c r="R635" s="6">
        <f t="shared" si="48"/>
        <v>280.56900000000002</v>
      </c>
      <c r="S635" s="6">
        <f t="shared" si="50"/>
        <v>1.4256745680000002E-2</v>
      </c>
      <c r="T635" t="str">
        <f t="shared" si="49"/>
        <v>Cumaru S4S E4E 3x8 Short</v>
      </c>
    </row>
    <row r="636" spans="1:20" x14ac:dyDescent="0.25">
      <c r="A636" t="s">
        <v>531</v>
      </c>
      <c r="B636" t="s">
        <v>957</v>
      </c>
      <c r="C636" t="s">
        <v>524</v>
      </c>
      <c r="D636" t="s">
        <v>438</v>
      </c>
      <c r="E636" t="s">
        <v>990</v>
      </c>
      <c r="F636" t="s">
        <v>959</v>
      </c>
      <c r="G636" t="s">
        <v>531</v>
      </c>
      <c r="H636" t="s">
        <v>373</v>
      </c>
      <c r="I636" t="s">
        <v>289</v>
      </c>
      <c r="J636" t="s">
        <v>960</v>
      </c>
      <c r="K636">
        <v>5</v>
      </c>
      <c r="L636" s="6">
        <v>1.524</v>
      </c>
      <c r="M636" s="7">
        <v>63.5</v>
      </c>
      <c r="N636" s="7">
        <v>184.15</v>
      </c>
      <c r="O636" s="7">
        <f t="shared" si="46"/>
        <v>60</v>
      </c>
      <c r="P636" s="7">
        <f t="shared" si="47"/>
        <v>2.5</v>
      </c>
      <c r="Q636" s="7">
        <f t="shared" si="47"/>
        <v>7.2500000000000009</v>
      </c>
      <c r="R636" s="6">
        <f t="shared" si="48"/>
        <v>280.56900000000002</v>
      </c>
      <c r="S636" s="6">
        <f t="shared" si="50"/>
        <v>1.7820932099999999E-2</v>
      </c>
      <c r="T636" t="str">
        <f t="shared" si="49"/>
        <v>Cumaru S4S E4E 3x8 Short</v>
      </c>
    </row>
    <row r="637" spans="1:20" x14ac:dyDescent="0.25">
      <c r="A637" t="s">
        <v>531</v>
      </c>
      <c r="B637" t="s">
        <v>957</v>
      </c>
      <c r="C637" t="s">
        <v>524</v>
      </c>
      <c r="D637" t="s">
        <v>438</v>
      </c>
      <c r="E637" t="s">
        <v>991</v>
      </c>
      <c r="F637" t="s">
        <v>959</v>
      </c>
      <c r="G637" t="s">
        <v>531</v>
      </c>
      <c r="H637" t="s">
        <v>373</v>
      </c>
      <c r="I637" t="s">
        <v>289</v>
      </c>
      <c r="J637" t="s">
        <v>960</v>
      </c>
      <c r="K637">
        <v>5</v>
      </c>
      <c r="L637" s="6">
        <v>1.524</v>
      </c>
      <c r="M637" s="7">
        <v>63.5</v>
      </c>
      <c r="N637" s="7">
        <v>184.15</v>
      </c>
      <c r="O637" s="7">
        <f t="shared" si="46"/>
        <v>60</v>
      </c>
      <c r="P637" s="7">
        <f t="shared" si="47"/>
        <v>2.5</v>
      </c>
      <c r="Q637" s="7">
        <f t="shared" si="47"/>
        <v>7.2500000000000009</v>
      </c>
      <c r="R637" s="6">
        <f t="shared" si="48"/>
        <v>280.56900000000002</v>
      </c>
      <c r="S637" s="6">
        <f t="shared" si="50"/>
        <v>1.7820932099999999E-2</v>
      </c>
      <c r="T637" t="str">
        <f t="shared" si="49"/>
        <v>Cumaru S4S E4E 3x8 Short</v>
      </c>
    </row>
    <row r="638" spans="1:20" x14ac:dyDescent="0.25">
      <c r="A638" t="s">
        <v>531</v>
      </c>
      <c r="B638" t="s">
        <v>957</v>
      </c>
      <c r="C638" t="s">
        <v>524</v>
      </c>
      <c r="D638" t="s">
        <v>438</v>
      </c>
      <c r="E638" t="s">
        <v>992</v>
      </c>
      <c r="F638" t="s">
        <v>959</v>
      </c>
      <c r="G638" t="s">
        <v>531</v>
      </c>
      <c r="H638" t="s">
        <v>373</v>
      </c>
      <c r="I638" t="s">
        <v>289</v>
      </c>
      <c r="J638" t="s">
        <v>960</v>
      </c>
      <c r="K638">
        <v>6</v>
      </c>
      <c r="L638" s="6">
        <v>1.8288</v>
      </c>
      <c r="M638" s="7">
        <v>63.5</v>
      </c>
      <c r="N638" s="7">
        <v>184.15</v>
      </c>
      <c r="O638" s="7">
        <f t="shared" si="46"/>
        <v>72</v>
      </c>
      <c r="P638" s="7">
        <f t="shared" si="47"/>
        <v>2.5</v>
      </c>
      <c r="Q638" s="7">
        <f t="shared" si="47"/>
        <v>7.2500000000000009</v>
      </c>
      <c r="R638" s="6">
        <f t="shared" si="48"/>
        <v>280.56900000000002</v>
      </c>
      <c r="S638" s="6">
        <f t="shared" si="50"/>
        <v>2.1385118520000003E-2</v>
      </c>
      <c r="T638" t="str">
        <f t="shared" si="49"/>
        <v>Cumaru S4S E4E 3x8 Short</v>
      </c>
    </row>
    <row r="639" spans="1:20" x14ac:dyDescent="0.25">
      <c r="A639" t="s">
        <v>531</v>
      </c>
      <c r="B639" t="s">
        <v>957</v>
      </c>
      <c r="C639" t="s">
        <v>524</v>
      </c>
      <c r="D639" t="s">
        <v>438</v>
      </c>
      <c r="E639" t="s">
        <v>993</v>
      </c>
      <c r="F639" t="s">
        <v>959</v>
      </c>
      <c r="G639" t="s">
        <v>531</v>
      </c>
      <c r="H639" t="s">
        <v>373</v>
      </c>
      <c r="I639" t="s">
        <v>289</v>
      </c>
      <c r="J639" t="s">
        <v>960</v>
      </c>
      <c r="K639">
        <v>6</v>
      </c>
      <c r="L639" s="6">
        <v>1.8288</v>
      </c>
      <c r="M639" s="7">
        <v>63.5</v>
      </c>
      <c r="N639" s="7">
        <v>184.15</v>
      </c>
      <c r="O639" s="7">
        <f t="shared" si="46"/>
        <v>72</v>
      </c>
      <c r="P639" s="7">
        <f t="shared" si="47"/>
        <v>2.5</v>
      </c>
      <c r="Q639" s="7">
        <f t="shared" si="47"/>
        <v>7.2500000000000009</v>
      </c>
      <c r="R639" s="6">
        <f t="shared" si="48"/>
        <v>280.56900000000002</v>
      </c>
      <c r="S639" s="6">
        <f t="shared" si="50"/>
        <v>2.1385118520000003E-2</v>
      </c>
      <c r="T639" t="str">
        <f t="shared" si="49"/>
        <v>Cumaru S4S E4E 3x8 Short</v>
      </c>
    </row>
    <row r="640" spans="1:20" x14ac:dyDescent="0.25">
      <c r="A640" t="s">
        <v>531</v>
      </c>
      <c r="B640" t="s">
        <v>957</v>
      </c>
      <c r="C640" t="s">
        <v>524</v>
      </c>
      <c r="D640" t="s">
        <v>438</v>
      </c>
      <c r="E640" t="s">
        <v>994</v>
      </c>
      <c r="F640" t="s">
        <v>959</v>
      </c>
      <c r="G640" t="s">
        <v>531</v>
      </c>
      <c r="H640" t="s">
        <v>373</v>
      </c>
      <c r="I640" t="s">
        <v>289</v>
      </c>
      <c r="J640" t="s">
        <v>960</v>
      </c>
      <c r="K640">
        <v>7</v>
      </c>
      <c r="L640" s="6">
        <v>2.1335999999999999</v>
      </c>
      <c r="M640" s="7">
        <v>63.5</v>
      </c>
      <c r="N640" s="7">
        <v>184.15</v>
      </c>
      <c r="O640" s="7">
        <f t="shared" si="46"/>
        <v>84</v>
      </c>
      <c r="P640" s="7">
        <f t="shared" si="47"/>
        <v>2.5</v>
      </c>
      <c r="Q640" s="7">
        <f t="shared" si="47"/>
        <v>7.2500000000000009</v>
      </c>
      <c r="R640" s="6">
        <f t="shared" si="48"/>
        <v>280.56900000000002</v>
      </c>
      <c r="S640" s="6">
        <f t="shared" si="50"/>
        <v>2.4949304939999997E-2</v>
      </c>
      <c r="T640" t="str">
        <f t="shared" si="49"/>
        <v>Cumaru S4S E4E 3x8 Short</v>
      </c>
    </row>
    <row r="641" spans="1:20" x14ac:dyDescent="0.25">
      <c r="A641" t="s">
        <v>531</v>
      </c>
      <c r="B641" t="s">
        <v>957</v>
      </c>
      <c r="C641" t="s">
        <v>524</v>
      </c>
      <c r="D641" t="s">
        <v>438</v>
      </c>
      <c r="E641" t="s">
        <v>995</v>
      </c>
      <c r="F641" t="s">
        <v>959</v>
      </c>
      <c r="G641" t="s">
        <v>531</v>
      </c>
      <c r="H641" t="s">
        <v>373</v>
      </c>
      <c r="I641" t="s">
        <v>289</v>
      </c>
      <c r="J641" t="s">
        <v>960</v>
      </c>
      <c r="K641">
        <v>7</v>
      </c>
      <c r="L641" s="6">
        <v>2.1335999999999999</v>
      </c>
      <c r="M641" s="7">
        <v>63.5</v>
      </c>
      <c r="N641" s="7">
        <v>184.15</v>
      </c>
      <c r="O641" s="7">
        <f t="shared" si="46"/>
        <v>84</v>
      </c>
      <c r="P641" s="7">
        <f t="shared" si="47"/>
        <v>2.5</v>
      </c>
      <c r="Q641" s="7">
        <f t="shared" si="47"/>
        <v>7.2500000000000009</v>
      </c>
      <c r="R641" s="6">
        <f t="shared" si="48"/>
        <v>280.56900000000002</v>
      </c>
      <c r="S641" s="6">
        <f t="shared" si="50"/>
        <v>2.4949304939999997E-2</v>
      </c>
      <c r="T641" t="str">
        <f t="shared" si="49"/>
        <v>Cumaru S4S E4E 3x8 Short</v>
      </c>
    </row>
    <row r="642" spans="1:20" x14ac:dyDescent="0.25">
      <c r="A642" t="s">
        <v>531</v>
      </c>
      <c r="B642" t="s">
        <v>957</v>
      </c>
      <c r="C642" t="s">
        <v>283</v>
      </c>
      <c r="D642" t="s">
        <v>438</v>
      </c>
      <c r="E642" t="s">
        <v>996</v>
      </c>
      <c r="F642" t="s">
        <v>959</v>
      </c>
      <c r="G642" t="s">
        <v>531</v>
      </c>
      <c r="H642" t="s">
        <v>373</v>
      </c>
      <c r="I642" t="s">
        <v>289</v>
      </c>
      <c r="J642" t="s">
        <v>960</v>
      </c>
      <c r="K642">
        <v>8</v>
      </c>
      <c r="L642" s="6">
        <v>2.4384000000000001</v>
      </c>
      <c r="M642" s="7">
        <v>63.5</v>
      </c>
      <c r="N642" s="7">
        <v>184.15</v>
      </c>
      <c r="O642" s="7">
        <f t="shared" ref="O642:O705" si="51">L642/0.0254</f>
        <v>96.000000000000014</v>
      </c>
      <c r="P642" s="7">
        <f t="shared" ref="P642:Q705" si="52">M642/25.4</f>
        <v>2.5</v>
      </c>
      <c r="Q642" s="7">
        <f t="shared" si="52"/>
        <v>7.2500000000000009</v>
      </c>
      <c r="R642" s="6">
        <f t="shared" ref="R642:R705" si="53">ROUND(IFERROR(1/((M642*N642*0.3048)/1000000),0),3)</f>
        <v>280.56900000000002</v>
      </c>
      <c r="S642" s="6">
        <f t="shared" si="50"/>
        <v>2.8513491360000004E-2</v>
      </c>
      <c r="T642" t="str">
        <f t="shared" ref="T642:T705" si="54">F642&amp;" "&amp;C642</f>
        <v>Cumaru S4S E4E 3x8 Long</v>
      </c>
    </row>
    <row r="643" spans="1:20" x14ac:dyDescent="0.25">
      <c r="A643" t="s">
        <v>531</v>
      </c>
      <c r="B643" t="s">
        <v>957</v>
      </c>
      <c r="C643" t="s">
        <v>283</v>
      </c>
      <c r="D643" t="s">
        <v>438</v>
      </c>
      <c r="E643" t="s">
        <v>997</v>
      </c>
      <c r="F643" t="s">
        <v>959</v>
      </c>
      <c r="G643" t="s">
        <v>531</v>
      </c>
      <c r="H643" t="s">
        <v>373</v>
      </c>
      <c r="I643" t="s">
        <v>289</v>
      </c>
      <c r="J643" t="s">
        <v>960</v>
      </c>
      <c r="K643">
        <v>8</v>
      </c>
      <c r="L643" s="6">
        <v>2.4384000000000001</v>
      </c>
      <c r="M643" s="7">
        <v>63.5</v>
      </c>
      <c r="N643" s="7">
        <v>184.15</v>
      </c>
      <c r="O643" s="7">
        <f t="shared" si="51"/>
        <v>96.000000000000014</v>
      </c>
      <c r="P643" s="7">
        <f t="shared" si="52"/>
        <v>2.5</v>
      </c>
      <c r="Q643" s="7">
        <f t="shared" si="52"/>
        <v>7.2500000000000009</v>
      </c>
      <c r="R643" s="6">
        <f t="shared" si="53"/>
        <v>280.56900000000002</v>
      </c>
      <c r="S643" s="6">
        <f t="shared" si="50"/>
        <v>2.8513491360000004E-2</v>
      </c>
      <c r="T643" t="str">
        <f t="shared" si="54"/>
        <v>Cumaru S4S E4E 3x8 Long</v>
      </c>
    </row>
    <row r="644" spans="1:20" x14ac:dyDescent="0.25">
      <c r="A644" t="s">
        <v>531</v>
      </c>
      <c r="B644" t="s">
        <v>957</v>
      </c>
      <c r="C644" t="s">
        <v>283</v>
      </c>
      <c r="D644" t="s">
        <v>438</v>
      </c>
      <c r="E644" t="s">
        <v>998</v>
      </c>
      <c r="F644" t="s">
        <v>959</v>
      </c>
      <c r="G644" t="s">
        <v>531</v>
      </c>
      <c r="H644" t="s">
        <v>373</v>
      </c>
      <c r="I644" t="s">
        <v>289</v>
      </c>
      <c r="J644" t="s">
        <v>960</v>
      </c>
      <c r="K644">
        <v>9</v>
      </c>
      <c r="L644" s="6">
        <v>2.7431999999999999</v>
      </c>
      <c r="M644" s="7">
        <v>63.5</v>
      </c>
      <c r="N644" s="7">
        <v>184.15</v>
      </c>
      <c r="O644" s="7">
        <f t="shared" si="51"/>
        <v>108</v>
      </c>
      <c r="P644" s="7">
        <f t="shared" si="52"/>
        <v>2.5</v>
      </c>
      <c r="Q644" s="7">
        <f t="shared" si="52"/>
        <v>7.2500000000000009</v>
      </c>
      <c r="R644" s="6">
        <f t="shared" si="53"/>
        <v>280.56900000000002</v>
      </c>
      <c r="S644" s="6">
        <f t="shared" ref="S644:S707" si="55">L644*M644/1000*N644/1000</f>
        <v>3.2077677780000001E-2</v>
      </c>
      <c r="T644" t="str">
        <f t="shared" si="54"/>
        <v>Cumaru S4S E4E 3x8 Long</v>
      </c>
    </row>
    <row r="645" spans="1:20" x14ac:dyDescent="0.25">
      <c r="A645" t="s">
        <v>531</v>
      </c>
      <c r="B645" t="s">
        <v>957</v>
      </c>
      <c r="C645" t="s">
        <v>283</v>
      </c>
      <c r="D645" t="s">
        <v>438</v>
      </c>
      <c r="E645" t="s">
        <v>999</v>
      </c>
      <c r="F645" t="s">
        <v>959</v>
      </c>
      <c r="G645" t="s">
        <v>531</v>
      </c>
      <c r="H645" t="s">
        <v>373</v>
      </c>
      <c r="I645" t="s">
        <v>289</v>
      </c>
      <c r="J645" t="s">
        <v>960</v>
      </c>
      <c r="K645">
        <v>9</v>
      </c>
      <c r="L645" s="6">
        <v>2.7431999999999999</v>
      </c>
      <c r="M645" s="7">
        <v>63.5</v>
      </c>
      <c r="N645" s="7">
        <v>184.15</v>
      </c>
      <c r="O645" s="7">
        <f t="shared" si="51"/>
        <v>108</v>
      </c>
      <c r="P645" s="7">
        <f t="shared" si="52"/>
        <v>2.5</v>
      </c>
      <c r="Q645" s="7">
        <f t="shared" si="52"/>
        <v>7.2500000000000009</v>
      </c>
      <c r="R645" s="6">
        <f t="shared" si="53"/>
        <v>280.56900000000002</v>
      </c>
      <c r="S645" s="6">
        <f t="shared" si="55"/>
        <v>3.2077677780000001E-2</v>
      </c>
      <c r="T645" t="str">
        <f t="shared" si="54"/>
        <v>Cumaru S4S E4E 3x8 Long</v>
      </c>
    </row>
    <row r="646" spans="1:20" x14ac:dyDescent="0.25">
      <c r="A646" t="s">
        <v>531</v>
      </c>
      <c r="B646" t="s">
        <v>1000</v>
      </c>
      <c r="C646" t="s">
        <v>283</v>
      </c>
      <c r="D646" t="s">
        <v>438</v>
      </c>
      <c r="E646" t="s">
        <v>1001</v>
      </c>
      <c r="F646" t="s">
        <v>1002</v>
      </c>
      <c r="G646" t="s">
        <v>531</v>
      </c>
      <c r="H646" t="s">
        <v>373</v>
      </c>
      <c r="I646" t="s">
        <v>289</v>
      </c>
      <c r="J646" t="s">
        <v>1003</v>
      </c>
      <c r="K646">
        <v>12</v>
      </c>
      <c r="L646" s="6">
        <v>3.6576</v>
      </c>
      <c r="M646" s="7">
        <v>63.5</v>
      </c>
      <c r="N646" s="7">
        <v>215.89999999999998</v>
      </c>
      <c r="O646" s="7">
        <f t="shared" si="51"/>
        <v>144</v>
      </c>
      <c r="P646" s="7">
        <f t="shared" si="52"/>
        <v>2.5</v>
      </c>
      <c r="Q646" s="7">
        <f t="shared" si="52"/>
        <v>8.5</v>
      </c>
      <c r="R646" s="6">
        <f t="shared" si="53"/>
        <v>239.309</v>
      </c>
      <c r="S646" s="6">
        <f t="shared" si="55"/>
        <v>5.0144415839999991E-2</v>
      </c>
      <c r="T646" t="str">
        <f t="shared" si="54"/>
        <v>Cumaru S4S E4E 3x9 Long</v>
      </c>
    </row>
    <row r="647" spans="1:20" x14ac:dyDescent="0.25">
      <c r="A647" t="s">
        <v>531</v>
      </c>
      <c r="B647" t="s">
        <v>1004</v>
      </c>
      <c r="C647" t="s">
        <v>283</v>
      </c>
      <c r="D647" t="s">
        <v>438</v>
      </c>
      <c r="E647" t="str">
        <f>"CM412"&amp;K647&amp;"S"</f>
        <v>CM41210S</v>
      </c>
      <c r="F647" t="s">
        <v>1005</v>
      </c>
      <c r="G647" t="s">
        <v>531</v>
      </c>
      <c r="H647" t="s">
        <v>373</v>
      </c>
      <c r="I647" t="s">
        <v>289</v>
      </c>
      <c r="J647" t="s">
        <v>1006</v>
      </c>
      <c r="K647">
        <v>10</v>
      </c>
      <c r="L647" s="6">
        <v>3.048</v>
      </c>
      <c r="M647" s="7">
        <v>88.9</v>
      </c>
      <c r="N647" s="7">
        <v>285.75</v>
      </c>
      <c r="O647" s="7">
        <f t="shared" si="51"/>
        <v>120</v>
      </c>
      <c r="P647" s="7">
        <f t="shared" si="52"/>
        <v>3.5000000000000004</v>
      </c>
      <c r="Q647" s="7">
        <f t="shared" si="52"/>
        <v>11.25</v>
      </c>
      <c r="R647" s="6">
        <f t="shared" si="53"/>
        <v>129.15100000000001</v>
      </c>
      <c r="S647" s="6">
        <f t="shared" si="55"/>
        <v>7.7428877400000012E-2</v>
      </c>
      <c r="T647" t="str">
        <f t="shared" si="54"/>
        <v>Cumaru S4S E4E 4x12 Long</v>
      </c>
    </row>
    <row r="648" spans="1:20" x14ac:dyDescent="0.25">
      <c r="A648" t="s">
        <v>531</v>
      </c>
      <c r="B648" t="s">
        <v>1004</v>
      </c>
      <c r="C648" t="s">
        <v>283</v>
      </c>
      <c r="D648" t="s">
        <v>438</v>
      </c>
      <c r="E648" t="str">
        <f>"CMKD412"&amp;K648&amp;"S"</f>
        <v>CMKD41210S</v>
      </c>
      <c r="F648" t="s">
        <v>1005</v>
      </c>
      <c r="G648" t="s">
        <v>531</v>
      </c>
      <c r="H648" t="s">
        <v>373</v>
      </c>
      <c r="I648" t="s">
        <v>289</v>
      </c>
      <c r="J648" t="s">
        <v>1006</v>
      </c>
      <c r="K648">
        <v>10</v>
      </c>
      <c r="L648" s="6">
        <v>3.048</v>
      </c>
      <c r="M648" s="7">
        <v>88.9</v>
      </c>
      <c r="N648" s="7">
        <v>285.75</v>
      </c>
      <c r="O648" s="7">
        <f t="shared" si="51"/>
        <v>120</v>
      </c>
      <c r="P648" s="7">
        <f t="shared" si="52"/>
        <v>3.5000000000000004</v>
      </c>
      <c r="Q648" s="7">
        <f t="shared" si="52"/>
        <v>11.25</v>
      </c>
      <c r="R648" s="6">
        <f t="shared" si="53"/>
        <v>129.15100000000001</v>
      </c>
      <c r="S648" s="6">
        <f t="shared" si="55"/>
        <v>7.7428877400000012E-2</v>
      </c>
      <c r="T648" t="str">
        <f t="shared" si="54"/>
        <v>Cumaru S4S E4E 4x12 Long</v>
      </c>
    </row>
    <row r="649" spans="1:20" x14ac:dyDescent="0.25">
      <c r="A649" t="s">
        <v>531</v>
      </c>
      <c r="B649" t="s">
        <v>1004</v>
      </c>
      <c r="C649" t="s">
        <v>283</v>
      </c>
      <c r="D649" t="s">
        <v>438</v>
      </c>
      <c r="E649" t="str">
        <f>"CM412"&amp;K649&amp;"S"</f>
        <v>CM41211S</v>
      </c>
      <c r="F649" t="s">
        <v>1005</v>
      </c>
      <c r="G649" t="s">
        <v>531</v>
      </c>
      <c r="H649" t="s">
        <v>373</v>
      </c>
      <c r="I649" t="s">
        <v>289</v>
      </c>
      <c r="J649" t="s">
        <v>1006</v>
      </c>
      <c r="K649">
        <v>11</v>
      </c>
      <c r="L649" s="6">
        <v>3.3527999999999998</v>
      </c>
      <c r="M649" s="7">
        <v>88.9</v>
      </c>
      <c r="N649" s="7">
        <v>285.75</v>
      </c>
      <c r="O649" s="7">
        <f t="shared" si="51"/>
        <v>132</v>
      </c>
      <c r="P649" s="7">
        <f t="shared" si="52"/>
        <v>3.5000000000000004</v>
      </c>
      <c r="Q649" s="7">
        <f t="shared" si="52"/>
        <v>11.25</v>
      </c>
      <c r="R649" s="6">
        <f t="shared" si="53"/>
        <v>129.15100000000001</v>
      </c>
      <c r="S649" s="6">
        <f t="shared" si="55"/>
        <v>8.5171765139999994E-2</v>
      </c>
      <c r="T649" t="str">
        <f t="shared" si="54"/>
        <v>Cumaru S4S E4E 4x12 Long</v>
      </c>
    </row>
    <row r="650" spans="1:20" x14ac:dyDescent="0.25">
      <c r="A650" t="s">
        <v>531</v>
      </c>
      <c r="B650" t="s">
        <v>1004</v>
      </c>
      <c r="C650" t="s">
        <v>283</v>
      </c>
      <c r="D650" t="s">
        <v>438</v>
      </c>
      <c r="E650" t="str">
        <f>"CMKD412"&amp;K650&amp;"S"</f>
        <v>CMKD41211S</v>
      </c>
      <c r="F650" t="s">
        <v>1005</v>
      </c>
      <c r="G650" t="s">
        <v>531</v>
      </c>
      <c r="H650" t="s">
        <v>373</v>
      </c>
      <c r="I650" t="s">
        <v>289</v>
      </c>
      <c r="J650" t="s">
        <v>1006</v>
      </c>
      <c r="K650">
        <v>11</v>
      </c>
      <c r="L650" s="6">
        <v>3.3527999999999998</v>
      </c>
      <c r="M650" s="7">
        <v>88.9</v>
      </c>
      <c r="N650" s="7">
        <v>285.75</v>
      </c>
      <c r="O650" s="7">
        <f t="shared" si="51"/>
        <v>132</v>
      </c>
      <c r="P650" s="7">
        <f t="shared" si="52"/>
        <v>3.5000000000000004</v>
      </c>
      <c r="Q650" s="7">
        <f t="shared" si="52"/>
        <v>11.25</v>
      </c>
      <c r="R650" s="6">
        <f t="shared" si="53"/>
        <v>129.15100000000001</v>
      </c>
      <c r="S650" s="6">
        <f t="shared" si="55"/>
        <v>8.5171765139999994E-2</v>
      </c>
      <c r="T650" t="str">
        <f t="shared" si="54"/>
        <v>Cumaru S4S E4E 4x12 Long</v>
      </c>
    </row>
    <row r="651" spans="1:20" x14ac:dyDescent="0.25">
      <c r="A651" t="s">
        <v>531</v>
      </c>
      <c r="B651" t="s">
        <v>1004</v>
      </c>
      <c r="C651" t="s">
        <v>283</v>
      </c>
      <c r="D651" t="s">
        <v>438</v>
      </c>
      <c r="E651" t="str">
        <f>"CM412"&amp;K651&amp;"S"</f>
        <v>CM41212S</v>
      </c>
      <c r="F651" t="s">
        <v>1005</v>
      </c>
      <c r="G651" t="s">
        <v>531</v>
      </c>
      <c r="H651" t="s">
        <v>373</v>
      </c>
      <c r="I651" t="s">
        <v>289</v>
      </c>
      <c r="J651" t="s">
        <v>1006</v>
      </c>
      <c r="K651">
        <v>12</v>
      </c>
      <c r="L651" s="6">
        <v>3.6576</v>
      </c>
      <c r="M651" s="7">
        <v>88.9</v>
      </c>
      <c r="N651" s="7">
        <v>285.75</v>
      </c>
      <c r="O651" s="7">
        <f t="shared" si="51"/>
        <v>144</v>
      </c>
      <c r="P651" s="7">
        <f t="shared" si="52"/>
        <v>3.5000000000000004</v>
      </c>
      <c r="Q651" s="7">
        <f t="shared" si="52"/>
        <v>11.25</v>
      </c>
      <c r="R651" s="6">
        <f t="shared" si="53"/>
        <v>129.15100000000001</v>
      </c>
      <c r="S651" s="6">
        <f t="shared" si="55"/>
        <v>9.2914652880000004E-2</v>
      </c>
      <c r="T651" t="str">
        <f t="shared" si="54"/>
        <v>Cumaru S4S E4E 4x12 Long</v>
      </c>
    </row>
    <row r="652" spans="1:20" x14ac:dyDescent="0.25">
      <c r="A652" t="s">
        <v>531</v>
      </c>
      <c r="B652" t="s">
        <v>1004</v>
      </c>
      <c r="C652" t="s">
        <v>283</v>
      </c>
      <c r="D652" t="s">
        <v>438</v>
      </c>
      <c r="E652" t="str">
        <f>"CMKD412"&amp;K652&amp;"S"</f>
        <v>CMKD41212S</v>
      </c>
      <c r="F652" t="s">
        <v>1005</v>
      </c>
      <c r="G652" t="s">
        <v>531</v>
      </c>
      <c r="H652" t="s">
        <v>373</v>
      </c>
      <c r="I652" t="s">
        <v>289</v>
      </c>
      <c r="J652" t="s">
        <v>1006</v>
      </c>
      <c r="K652">
        <v>12</v>
      </c>
      <c r="L652" s="6">
        <v>3.6576</v>
      </c>
      <c r="M652" s="7">
        <v>88.9</v>
      </c>
      <c r="N652" s="7">
        <v>285.75</v>
      </c>
      <c r="O652" s="7">
        <f t="shared" si="51"/>
        <v>144</v>
      </c>
      <c r="P652" s="7">
        <f t="shared" si="52"/>
        <v>3.5000000000000004</v>
      </c>
      <c r="Q652" s="7">
        <f t="shared" si="52"/>
        <v>11.25</v>
      </c>
      <c r="R652" s="6">
        <f t="shared" si="53"/>
        <v>129.15100000000001</v>
      </c>
      <c r="S652" s="6">
        <f t="shared" si="55"/>
        <v>9.2914652880000004E-2</v>
      </c>
      <c r="T652" t="str">
        <f t="shared" si="54"/>
        <v>Cumaru S4S E4E 4x12 Long</v>
      </c>
    </row>
    <row r="653" spans="1:20" x14ac:dyDescent="0.25">
      <c r="A653" t="s">
        <v>531</v>
      </c>
      <c r="B653" t="s">
        <v>1004</v>
      </c>
      <c r="C653" t="s">
        <v>283</v>
      </c>
      <c r="D653" t="s">
        <v>438</v>
      </c>
      <c r="E653" t="str">
        <f>"CM412"&amp;K653&amp;"S"</f>
        <v>CM41213S</v>
      </c>
      <c r="F653" t="s">
        <v>1005</v>
      </c>
      <c r="G653" t="s">
        <v>531</v>
      </c>
      <c r="H653" t="s">
        <v>373</v>
      </c>
      <c r="I653" t="s">
        <v>289</v>
      </c>
      <c r="J653" t="s">
        <v>1006</v>
      </c>
      <c r="K653">
        <v>13</v>
      </c>
      <c r="L653" s="6">
        <v>3.9624000000000001</v>
      </c>
      <c r="M653" s="7">
        <v>88.9</v>
      </c>
      <c r="N653" s="7">
        <v>285.75</v>
      </c>
      <c r="O653" s="7">
        <f t="shared" si="51"/>
        <v>156</v>
      </c>
      <c r="P653" s="7">
        <f t="shared" si="52"/>
        <v>3.5000000000000004</v>
      </c>
      <c r="Q653" s="7">
        <f t="shared" si="52"/>
        <v>11.25</v>
      </c>
      <c r="R653" s="6">
        <f t="shared" si="53"/>
        <v>129.15100000000001</v>
      </c>
      <c r="S653" s="6">
        <f t="shared" si="55"/>
        <v>0.10065754062000001</v>
      </c>
      <c r="T653" t="str">
        <f t="shared" si="54"/>
        <v>Cumaru S4S E4E 4x12 Long</v>
      </c>
    </row>
    <row r="654" spans="1:20" x14ac:dyDescent="0.25">
      <c r="A654" t="s">
        <v>531</v>
      </c>
      <c r="B654" t="s">
        <v>1004</v>
      </c>
      <c r="C654" t="s">
        <v>283</v>
      </c>
      <c r="D654" t="s">
        <v>438</v>
      </c>
      <c r="E654" t="str">
        <f>"CMKD412"&amp;K654&amp;"S"</f>
        <v>CMKD41213S</v>
      </c>
      <c r="F654" t="s">
        <v>1005</v>
      </c>
      <c r="G654" t="s">
        <v>531</v>
      </c>
      <c r="H654" t="s">
        <v>373</v>
      </c>
      <c r="I654" t="s">
        <v>289</v>
      </c>
      <c r="J654" t="s">
        <v>1006</v>
      </c>
      <c r="K654">
        <v>13</v>
      </c>
      <c r="L654" s="6">
        <v>3.9624000000000001</v>
      </c>
      <c r="M654" s="7">
        <v>88.9</v>
      </c>
      <c r="N654" s="7">
        <v>285.75</v>
      </c>
      <c r="O654" s="7">
        <f t="shared" si="51"/>
        <v>156</v>
      </c>
      <c r="P654" s="7">
        <f t="shared" si="52"/>
        <v>3.5000000000000004</v>
      </c>
      <c r="Q654" s="7">
        <f t="shared" si="52"/>
        <v>11.25</v>
      </c>
      <c r="R654" s="6">
        <f t="shared" si="53"/>
        <v>129.15100000000001</v>
      </c>
      <c r="S654" s="6">
        <f t="shared" si="55"/>
        <v>0.10065754062000001</v>
      </c>
      <c r="T654" t="str">
        <f t="shared" si="54"/>
        <v>Cumaru S4S E4E 4x12 Long</v>
      </c>
    </row>
    <row r="655" spans="1:20" x14ac:dyDescent="0.25">
      <c r="A655" t="s">
        <v>531</v>
      </c>
      <c r="B655" t="s">
        <v>1004</v>
      </c>
      <c r="C655" t="s">
        <v>283</v>
      </c>
      <c r="D655" t="s">
        <v>438</v>
      </c>
      <c r="E655" t="str">
        <f>"CM412"&amp;K655&amp;"S"</f>
        <v>CM41214S</v>
      </c>
      <c r="F655" t="s">
        <v>1005</v>
      </c>
      <c r="G655" t="s">
        <v>531</v>
      </c>
      <c r="H655" t="s">
        <v>373</v>
      </c>
      <c r="I655" t="s">
        <v>289</v>
      </c>
      <c r="J655" t="s">
        <v>1006</v>
      </c>
      <c r="K655">
        <v>14</v>
      </c>
      <c r="L655" s="6">
        <v>4.2671999999999999</v>
      </c>
      <c r="M655" s="7">
        <v>88.9</v>
      </c>
      <c r="N655" s="7">
        <v>285.75</v>
      </c>
      <c r="O655" s="7">
        <f t="shared" si="51"/>
        <v>168</v>
      </c>
      <c r="P655" s="7">
        <f t="shared" si="52"/>
        <v>3.5000000000000004</v>
      </c>
      <c r="Q655" s="7">
        <f t="shared" si="52"/>
        <v>11.25</v>
      </c>
      <c r="R655" s="6">
        <f t="shared" si="53"/>
        <v>129.15100000000001</v>
      </c>
      <c r="S655" s="6">
        <f t="shared" si="55"/>
        <v>0.10840042836000001</v>
      </c>
      <c r="T655" t="str">
        <f t="shared" si="54"/>
        <v>Cumaru S4S E4E 4x12 Long</v>
      </c>
    </row>
    <row r="656" spans="1:20" x14ac:dyDescent="0.25">
      <c r="A656" t="s">
        <v>531</v>
      </c>
      <c r="B656" t="s">
        <v>1004</v>
      </c>
      <c r="C656" t="s">
        <v>283</v>
      </c>
      <c r="D656" t="s">
        <v>438</v>
      </c>
      <c r="E656" t="str">
        <f>"CMKD412"&amp;K656&amp;"S"</f>
        <v>CMKD41214S</v>
      </c>
      <c r="F656" t="s">
        <v>1005</v>
      </c>
      <c r="G656" t="s">
        <v>531</v>
      </c>
      <c r="H656" t="s">
        <v>373</v>
      </c>
      <c r="I656" t="s">
        <v>289</v>
      </c>
      <c r="J656" t="s">
        <v>1006</v>
      </c>
      <c r="K656">
        <v>14</v>
      </c>
      <c r="L656" s="6">
        <v>4.2671999999999999</v>
      </c>
      <c r="M656" s="7">
        <v>88.9</v>
      </c>
      <c r="N656" s="7">
        <v>285.75</v>
      </c>
      <c r="O656" s="7">
        <f t="shared" si="51"/>
        <v>168</v>
      </c>
      <c r="P656" s="7">
        <f t="shared" si="52"/>
        <v>3.5000000000000004</v>
      </c>
      <c r="Q656" s="7">
        <f t="shared" si="52"/>
        <v>11.25</v>
      </c>
      <c r="R656" s="6">
        <f t="shared" si="53"/>
        <v>129.15100000000001</v>
      </c>
      <c r="S656" s="6">
        <f t="shared" si="55"/>
        <v>0.10840042836000001</v>
      </c>
      <c r="T656" t="str">
        <f t="shared" si="54"/>
        <v>Cumaru S4S E4E 4x12 Long</v>
      </c>
    </row>
    <row r="657" spans="1:20" x14ac:dyDescent="0.25">
      <c r="A657" t="s">
        <v>531</v>
      </c>
      <c r="B657" t="s">
        <v>1004</v>
      </c>
      <c r="C657" t="s">
        <v>283</v>
      </c>
      <c r="D657" t="s">
        <v>438</v>
      </c>
      <c r="E657" t="str">
        <f>"CM412"&amp;K657&amp;"S"</f>
        <v>CM41215S</v>
      </c>
      <c r="F657" t="s">
        <v>1005</v>
      </c>
      <c r="G657" t="s">
        <v>531</v>
      </c>
      <c r="H657" t="s">
        <v>373</v>
      </c>
      <c r="I657" t="s">
        <v>289</v>
      </c>
      <c r="J657" t="s">
        <v>1006</v>
      </c>
      <c r="K657">
        <v>15</v>
      </c>
      <c r="L657" s="6">
        <v>4.5720000000000001</v>
      </c>
      <c r="M657" s="7">
        <v>88.9</v>
      </c>
      <c r="N657" s="7">
        <v>285.75</v>
      </c>
      <c r="O657" s="7">
        <f t="shared" si="51"/>
        <v>180</v>
      </c>
      <c r="P657" s="7">
        <f t="shared" si="52"/>
        <v>3.5000000000000004</v>
      </c>
      <c r="Q657" s="7">
        <f t="shared" si="52"/>
        <v>11.25</v>
      </c>
      <c r="R657" s="6">
        <f t="shared" si="53"/>
        <v>129.15100000000001</v>
      </c>
      <c r="S657" s="6">
        <f t="shared" si="55"/>
        <v>0.1161433161</v>
      </c>
      <c r="T657" t="str">
        <f t="shared" si="54"/>
        <v>Cumaru S4S E4E 4x12 Long</v>
      </c>
    </row>
    <row r="658" spans="1:20" x14ac:dyDescent="0.25">
      <c r="A658" t="s">
        <v>531</v>
      </c>
      <c r="B658" t="s">
        <v>1004</v>
      </c>
      <c r="C658" t="s">
        <v>283</v>
      </c>
      <c r="D658" t="s">
        <v>438</v>
      </c>
      <c r="E658" t="str">
        <f>"CMKD412"&amp;K658&amp;"S"</f>
        <v>CMKD41215S</v>
      </c>
      <c r="F658" t="s">
        <v>1005</v>
      </c>
      <c r="G658" t="s">
        <v>531</v>
      </c>
      <c r="H658" t="s">
        <v>373</v>
      </c>
      <c r="I658" t="s">
        <v>289</v>
      </c>
      <c r="J658" t="s">
        <v>1006</v>
      </c>
      <c r="K658">
        <v>15</v>
      </c>
      <c r="L658" s="6">
        <v>4.5720000000000001</v>
      </c>
      <c r="M658" s="7">
        <v>88.9</v>
      </c>
      <c r="N658" s="7">
        <v>285.75</v>
      </c>
      <c r="O658" s="7">
        <f t="shared" si="51"/>
        <v>180</v>
      </c>
      <c r="P658" s="7">
        <f t="shared" si="52"/>
        <v>3.5000000000000004</v>
      </c>
      <c r="Q658" s="7">
        <f t="shared" si="52"/>
        <v>11.25</v>
      </c>
      <c r="R658" s="6">
        <f t="shared" si="53"/>
        <v>129.15100000000001</v>
      </c>
      <c r="S658" s="6">
        <f t="shared" si="55"/>
        <v>0.1161433161</v>
      </c>
      <c r="T658" t="str">
        <f t="shared" si="54"/>
        <v>Cumaru S4S E4E 4x12 Long</v>
      </c>
    </row>
    <row r="659" spans="1:20" x14ac:dyDescent="0.25">
      <c r="A659" t="s">
        <v>531</v>
      </c>
      <c r="B659" t="s">
        <v>1004</v>
      </c>
      <c r="C659" t="s">
        <v>283</v>
      </c>
      <c r="D659" t="s">
        <v>438</v>
      </c>
      <c r="E659" t="str">
        <f>"CM412"&amp;K659&amp;"S"</f>
        <v>CM41216S</v>
      </c>
      <c r="F659" t="s">
        <v>1005</v>
      </c>
      <c r="G659" t="s">
        <v>531</v>
      </c>
      <c r="H659" t="s">
        <v>373</v>
      </c>
      <c r="I659" t="s">
        <v>289</v>
      </c>
      <c r="J659" t="s">
        <v>1006</v>
      </c>
      <c r="K659">
        <v>16</v>
      </c>
      <c r="L659" s="6">
        <v>4.8768000000000002</v>
      </c>
      <c r="M659" s="7">
        <v>88.9</v>
      </c>
      <c r="N659" s="7">
        <v>285.75</v>
      </c>
      <c r="O659" s="7">
        <f t="shared" si="51"/>
        <v>192.00000000000003</v>
      </c>
      <c r="P659" s="7">
        <f t="shared" si="52"/>
        <v>3.5000000000000004</v>
      </c>
      <c r="Q659" s="7">
        <f t="shared" si="52"/>
        <v>11.25</v>
      </c>
      <c r="R659" s="6">
        <f t="shared" si="53"/>
        <v>129.15100000000001</v>
      </c>
      <c r="S659" s="6">
        <f t="shared" si="55"/>
        <v>0.12388620384000003</v>
      </c>
      <c r="T659" t="str">
        <f t="shared" si="54"/>
        <v>Cumaru S4S E4E 4x12 Long</v>
      </c>
    </row>
    <row r="660" spans="1:20" x14ac:dyDescent="0.25">
      <c r="A660" t="s">
        <v>531</v>
      </c>
      <c r="B660" t="s">
        <v>1004</v>
      </c>
      <c r="C660" t="s">
        <v>283</v>
      </c>
      <c r="D660" t="s">
        <v>438</v>
      </c>
      <c r="E660" t="str">
        <f>"CMKD412"&amp;K660&amp;"S"</f>
        <v>CMKD41216S</v>
      </c>
      <c r="F660" t="s">
        <v>1005</v>
      </c>
      <c r="G660" t="s">
        <v>531</v>
      </c>
      <c r="H660" t="s">
        <v>373</v>
      </c>
      <c r="I660" t="s">
        <v>289</v>
      </c>
      <c r="J660" t="s">
        <v>1006</v>
      </c>
      <c r="K660">
        <v>16</v>
      </c>
      <c r="L660" s="6">
        <v>4.8768000000000002</v>
      </c>
      <c r="M660" s="7">
        <v>88.9</v>
      </c>
      <c r="N660" s="7">
        <v>285.75</v>
      </c>
      <c r="O660" s="7">
        <f t="shared" si="51"/>
        <v>192.00000000000003</v>
      </c>
      <c r="P660" s="7">
        <f t="shared" si="52"/>
        <v>3.5000000000000004</v>
      </c>
      <c r="Q660" s="7">
        <f t="shared" si="52"/>
        <v>11.25</v>
      </c>
      <c r="R660" s="6">
        <f t="shared" si="53"/>
        <v>129.15100000000001</v>
      </c>
      <c r="S660" s="6">
        <f t="shared" si="55"/>
        <v>0.12388620384000003</v>
      </c>
      <c r="T660" t="str">
        <f t="shared" si="54"/>
        <v>Cumaru S4S E4E 4x12 Long</v>
      </c>
    </row>
    <row r="661" spans="1:20" x14ac:dyDescent="0.25">
      <c r="A661" t="s">
        <v>531</v>
      </c>
      <c r="B661" t="s">
        <v>1004</v>
      </c>
      <c r="C661" t="s">
        <v>283</v>
      </c>
      <c r="D661" t="s">
        <v>438</v>
      </c>
      <c r="E661" t="str">
        <f>"CM412"&amp;K661&amp;"S"</f>
        <v>CM41217S</v>
      </c>
      <c r="F661" t="s">
        <v>1005</v>
      </c>
      <c r="G661" t="s">
        <v>531</v>
      </c>
      <c r="H661" t="s">
        <v>373</v>
      </c>
      <c r="I661" t="s">
        <v>289</v>
      </c>
      <c r="J661" t="s">
        <v>1006</v>
      </c>
      <c r="K661">
        <v>17</v>
      </c>
      <c r="L661" s="6">
        <v>5.1816000000000004</v>
      </c>
      <c r="M661" s="7">
        <v>88.9</v>
      </c>
      <c r="N661" s="7">
        <v>285.75</v>
      </c>
      <c r="O661" s="7">
        <f t="shared" si="51"/>
        <v>204.00000000000003</v>
      </c>
      <c r="P661" s="7">
        <f t="shared" si="52"/>
        <v>3.5000000000000004</v>
      </c>
      <c r="Q661" s="7">
        <f t="shared" si="52"/>
        <v>11.25</v>
      </c>
      <c r="R661" s="6">
        <f t="shared" si="53"/>
        <v>129.15100000000001</v>
      </c>
      <c r="S661" s="6">
        <f t="shared" si="55"/>
        <v>0.13162909158000002</v>
      </c>
      <c r="T661" t="str">
        <f t="shared" si="54"/>
        <v>Cumaru S4S E4E 4x12 Long</v>
      </c>
    </row>
    <row r="662" spans="1:20" x14ac:dyDescent="0.25">
      <c r="A662" t="s">
        <v>531</v>
      </c>
      <c r="B662" t="s">
        <v>1004</v>
      </c>
      <c r="C662" t="s">
        <v>283</v>
      </c>
      <c r="D662" t="s">
        <v>438</v>
      </c>
      <c r="E662" t="str">
        <f>"CMKD412"&amp;K662&amp;"S"</f>
        <v>CMKD41217S</v>
      </c>
      <c r="F662" t="s">
        <v>1005</v>
      </c>
      <c r="G662" t="s">
        <v>531</v>
      </c>
      <c r="H662" t="s">
        <v>373</v>
      </c>
      <c r="I662" t="s">
        <v>289</v>
      </c>
      <c r="J662" t="s">
        <v>1006</v>
      </c>
      <c r="K662">
        <v>17</v>
      </c>
      <c r="L662" s="6">
        <v>5.1816000000000004</v>
      </c>
      <c r="M662" s="7">
        <v>88.9</v>
      </c>
      <c r="N662" s="7">
        <v>285.75</v>
      </c>
      <c r="O662" s="7">
        <f t="shared" si="51"/>
        <v>204.00000000000003</v>
      </c>
      <c r="P662" s="7">
        <f t="shared" si="52"/>
        <v>3.5000000000000004</v>
      </c>
      <c r="Q662" s="7">
        <f t="shared" si="52"/>
        <v>11.25</v>
      </c>
      <c r="R662" s="6">
        <f t="shared" si="53"/>
        <v>129.15100000000001</v>
      </c>
      <c r="S662" s="6">
        <f t="shared" si="55"/>
        <v>0.13162909158000002</v>
      </c>
      <c r="T662" t="str">
        <f t="shared" si="54"/>
        <v>Cumaru S4S E4E 4x12 Long</v>
      </c>
    </row>
    <row r="663" spans="1:20" x14ac:dyDescent="0.25">
      <c r="A663" t="s">
        <v>531</v>
      </c>
      <c r="B663" t="s">
        <v>1004</v>
      </c>
      <c r="C663" t="s">
        <v>283</v>
      </c>
      <c r="D663" t="s">
        <v>438</v>
      </c>
      <c r="E663" t="str">
        <f>"CM412"&amp;K663&amp;"S"</f>
        <v>CM41218S</v>
      </c>
      <c r="F663" t="s">
        <v>1005</v>
      </c>
      <c r="G663" t="s">
        <v>531</v>
      </c>
      <c r="H663" t="s">
        <v>373</v>
      </c>
      <c r="I663" t="s">
        <v>289</v>
      </c>
      <c r="J663" t="s">
        <v>1006</v>
      </c>
      <c r="K663">
        <v>18</v>
      </c>
      <c r="L663" s="6">
        <v>5.4863999999999997</v>
      </c>
      <c r="M663" s="7">
        <v>88.9</v>
      </c>
      <c r="N663" s="7">
        <v>285.75</v>
      </c>
      <c r="O663" s="7">
        <f t="shared" si="51"/>
        <v>216</v>
      </c>
      <c r="P663" s="7">
        <f t="shared" si="52"/>
        <v>3.5000000000000004</v>
      </c>
      <c r="Q663" s="7">
        <f t="shared" si="52"/>
        <v>11.25</v>
      </c>
      <c r="R663" s="6">
        <f t="shared" si="53"/>
        <v>129.15100000000001</v>
      </c>
      <c r="S663" s="6">
        <f t="shared" si="55"/>
        <v>0.13937197932000001</v>
      </c>
      <c r="T663" t="str">
        <f t="shared" si="54"/>
        <v>Cumaru S4S E4E 4x12 Long</v>
      </c>
    </row>
    <row r="664" spans="1:20" x14ac:dyDescent="0.25">
      <c r="A664" t="s">
        <v>531</v>
      </c>
      <c r="B664" t="s">
        <v>1004</v>
      </c>
      <c r="C664" t="s">
        <v>283</v>
      </c>
      <c r="D664" t="s">
        <v>438</v>
      </c>
      <c r="E664" t="str">
        <f>"CMKD412"&amp;K664&amp;"S"</f>
        <v>CMKD41218S</v>
      </c>
      <c r="F664" t="s">
        <v>1005</v>
      </c>
      <c r="G664" t="s">
        <v>531</v>
      </c>
      <c r="H664" t="s">
        <v>373</v>
      </c>
      <c r="I664" t="s">
        <v>289</v>
      </c>
      <c r="J664" t="s">
        <v>1006</v>
      </c>
      <c r="K664">
        <v>18</v>
      </c>
      <c r="L664" s="6">
        <v>5.4863999999999997</v>
      </c>
      <c r="M664" s="7">
        <v>88.9</v>
      </c>
      <c r="N664" s="7">
        <v>285.75</v>
      </c>
      <c r="O664" s="7">
        <f t="shared" si="51"/>
        <v>216</v>
      </c>
      <c r="P664" s="7">
        <f t="shared" si="52"/>
        <v>3.5000000000000004</v>
      </c>
      <c r="Q664" s="7">
        <f t="shared" si="52"/>
        <v>11.25</v>
      </c>
      <c r="R664" s="6">
        <f t="shared" si="53"/>
        <v>129.15100000000001</v>
      </c>
      <c r="S664" s="6">
        <f t="shared" si="55"/>
        <v>0.13937197932000001</v>
      </c>
      <c r="T664" t="str">
        <f t="shared" si="54"/>
        <v>Cumaru S4S E4E 4x12 Long</v>
      </c>
    </row>
    <row r="665" spans="1:20" x14ac:dyDescent="0.25">
      <c r="A665" t="s">
        <v>531</v>
      </c>
      <c r="B665" t="s">
        <v>1004</v>
      </c>
      <c r="C665" t="s">
        <v>283</v>
      </c>
      <c r="D665" t="s">
        <v>438</v>
      </c>
      <c r="E665" t="str">
        <f>"CM412"&amp;K665&amp;"S"</f>
        <v>CM41219S</v>
      </c>
      <c r="F665" t="s">
        <v>1005</v>
      </c>
      <c r="G665" t="s">
        <v>531</v>
      </c>
      <c r="H665" t="s">
        <v>373</v>
      </c>
      <c r="I665" t="s">
        <v>289</v>
      </c>
      <c r="J665" t="s">
        <v>1006</v>
      </c>
      <c r="K665">
        <v>19</v>
      </c>
      <c r="L665" s="6">
        <v>5.7911999999999999</v>
      </c>
      <c r="M665" s="7">
        <v>88.9</v>
      </c>
      <c r="N665" s="7">
        <v>285.75</v>
      </c>
      <c r="O665" s="7">
        <f t="shared" si="51"/>
        <v>228</v>
      </c>
      <c r="P665" s="7">
        <f t="shared" si="52"/>
        <v>3.5000000000000004</v>
      </c>
      <c r="Q665" s="7">
        <f t="shared" si="52"/>
        <v>11.25</v>
      </c>
      <c r="R665" s="6">
        <f t="shared" si="53"/>
        <v>129.15100000000001</v>
      </c>
      <c r="S665" s="6">
        <f t="shared" si="55"/>
        <v>0.14711486705999999</v>
      </c>
      <c r="T665" t="str">
        <f t="shared" si="54"/>
        <v>Cumaru S4S E4E 4x12 Long</v>
      </c>
    </row>
    <row r="666" spans="1:20" x14ac:dyDescent="0.25">
      <c r="A666" t="s">
        <v>531</v>
      </c>
      <c r="B666" t="s">
        <v>1004</v>
      </c>
      <c r="C666" t="s">
        <v>283</v>
      </c>
      <c r="D666" t="s">
        <v>438</v>
      </c>
      <c r="E666" t="str">
        <f>"CMKD412"&amp;K666&amp;"S"</f>
        <v>CMKD41219S</v>
      </c>
      <c r="F666" t="s">
        <v>1005</v>
      </c>
      <c r="G666" t="s">
        <v>531</v>
      </c>
      <c r="H666" t="s">
        <v>373</v>
      </c>
      <c r="I666" t="s">
        <v>289</v>
      </c>
      <c r="J666" t="s">
        <v>1006</v>
      </c>
      <c r="K666">
        <v>19</v>
      </c>
      <c r="L666" s="6">
        <v>5.7911999999999999</v>
      </c>
      <c r="M666" s="7">
        <v>88.9</v>
      </c>
      <c r="N666" s="7">
        <v>285.75</v>
      </c>
      <c r="O666" s="7">
        <f t="shared" si="51"/>
        <v>228</v>
      </c>
      <c r="P666" s="7">
        <f t="shared" si="52"/>
        <v>3.5000000000000004</v>
      </c>
      <c r="Q666" s="7">
        <f t="shared" si="52"/>
        <v>11.25</v>
      </c>
      <c r="R666" s="6">
        <f t="shared" si="53"/>
        <v>129.15100000000001</v>
      </c>
      <c r="S666" s="6">
        <f t="shared" si="55"/>
        <v>0.14711486705999999</v>
      </c>
      <c r="T666" t="str">
        <f t="shared" si="54"/>
        <v>Cumaru S4S E4E 4x12 Long</v>
      </c>
    </row>
    <row r="667" spans="1:20" x14ac:dyDescent="0.25">
      <c r="A667" t="s">
        <v>531</v>
      </c>
      <c r="B667" t="s">
        <v>1004</v>
      </c>
      <c r="C667" t="s">
        <v>283</v>
      </c>
      <c r="D667" t="s">
        <v>438</v>
      </c>
      <c r="E667" t="str">
        <f>"CM412"&amp;K667&amp;"S"</f>
        <v>CM41220S</v>
      </c>
      <c r="F667" t="s">
        <v>1005</v>
      </c>
      <c r="G667" t="s">
        <v>531</v>
      </c>
      <c r="H667" t="s">
        <v>373</v>
      </c>
      <c r="I667" t="s">
        <v>289</v>
      </c>
      <c r="J667" t="s">
        <v>1006</v>
      </c>
      <c r="K667">
        <v>20</v>
      </c>
      <c r="L667" s="6">
        <v>6.0960000000000001</v>
      </c>
      <c r="M667" s="7">
        <v>88.9</v>
      </c>
      <c r="N667" s="7">
        <v>285.75</v>
      </c>
      <c r="O667" s="7">
        <f t="shared" si="51"/>
        <v>240</v>
      </c>
      <c r="P667" s="7">
        <f t="shared" si="52"/>
        <v>3.5000000000000004</v>
      </c>
      <c r="Q667" s="7">
        <f t="shared" si="52"/>
        <v>11.25</v>
      </c>
      <c r="R667" s="6">
        <f t="shared" si="53"/>
        <v>129.15100000000001</v>
      </c>
      <c r="S667" s="6">
        <f t="shared" si="55"/>
        <v>0.15485775480000002</v>
      </c>
      <c r="T667" t="str">
        <f t="shared" si="54"/>
        <v>Cumaru S4S E4E 4x12 Long</v>
      </c>
    </row>
    <row r="668" spans="1:20" x14ac:dyDescent="0.25">
      <c r="A668" t="s">
        <v>531</v>
      </c>
      <c r="B668" t="s">
        <v>1004</v>
      </c>
      <c r="C668" t="s">
        <v>283</v>
      </c>
      <c r="D668" t="s">
        <v>438</v>
      </c>
      <c r="E668" t="str">
        <f>"CMKD412"&amp;K668&amp;"S"</f>
        <v>CMKD41220S</v>
      </c>
      <c r="F668" t="s">
        <v>1005</v>
      </c>
      <c r="G668" t="s">
        <v>531</v>
      </c>
      <c r="H668" t="s">
        <v>373</v>
      </c>
      <c r="I668" t="s">
        <v>289</v>
      </c>
      <c r="J668" t="s">
        <v>1006</v>
      </c>
      <c r="K668">
        <v>20</v>
      </c>
      <c r="L668" s="6">
        <v>6.0960000000000001</v>
      </c>
      <c r="M668" s="7">
        <v>88.9</v>
      </c>
      <c r="N668" s="7">
        <v>285.75</v>
      </c>
      <c r="O668" s="7">
        <f t="shared" si="51"/>
        <v>240</v>
      </c>
      <c r="P668" s="7">
        <f t="shared" si="52"/>
        <v>3.5000000000000004</v>
      </c>
      <c r="Q668" s="7">
        <f t="shared" si="52"/>
        <v>11.25</v>
      </c>
      <c r="R668" s="6">
        <f t="shared" si="53"/>
        <v>129.15100000000001</v>
      </c>
      <c r="S668" s="6">
        <f t="shared" si="55"/>
        <v>0.15485775480000002</v>
      </c>
      <c r="T668" t="str">
        <f t="shared" si="54"/>
        <v>Cumaru S4S E4E 4x12 Long</v>
      </c>
    </row>
    <row r="669" spans="1:20" x14ac:dyDescent="0.25">
      <c r="A669" t="s">
        <v>531</v>
      </c>
      <c r="B669" t="s">
        <v>1004</v>
      </c>
      <c r="C669" t="s">
        <v>283</v>
      </c>
      <c r="D669" t="s">
        <v>438</v>
      </c>
      <c r="E669" t="str">
        <f>"CM412"&amp;K669&amp;"S"</f>
        <v>CM41221S</v>
      </c>
      <c r="F669" t="s">
        <v>1005</v>
      </c>
      <c r="G669" t="s">
        <v>531</v>
      </c>
      <c r="H669" t="s">
        <v>373</v>
      </c>
      <c r="I669" t="s">
        <v>289</v>
      </c>
      <c r="J669" t="s">
        <v>1006</v>
      </c>
      <c r="K669">
        <v>21</v>
      </c>
      <c r="L669" s="6">
        <v>6.4008000000000003</v>
      </c>
      <c r="M669" s="7">
        <v>88.9</v>
      </c>
      <c r="N669" s="7">
        <v>285.75</v>
      </c>
      <c r="O669" s="7">
        <f t="shared" si="51"/>
        <v>252.00000000000003</v>
      </c>
      <c r="P669" s="7">
        <f t="shared" si="52"/>
        <v>3.5000000000000004</v>
      </c>
      <c r="Q669" s="7">
        <f t="shared" si="52"/>
        <v>11.25</v>
      </c>
      <c r="R669" s="6">
        <f t="shared" si="53"/>
        <v>129.15100000000001</v>
      </c>
      <c r="S669" s="6">
        <f t="shared" si="55"/>
        <v>0.16260064254000003</v>
      </c>
      <c r="T669" t="str">
        <f t="shared" si="54"/>
        <v>Cumaru S4S E4E 4x12 Long</v>
      </c>
    </row>
    <row r="670" spans="1:20" x14ac:dyDescent="0.25">
      <c r="A670" t="s">
        <v>531</v>
      </c>
      <c r="B670" t="s">
        <v>1004</v>
      </c>
      <c r="C670" t="s">
        <v>283</v>
      </c>
      <c r="D670" t="s">
        <v>438</v>
      </c>
      <c r="E670" t="str">
        <f>"CMKD412"&amp;K670&amp;"S"</f>
        <v>CMKD41221S</v>
      </c>
      <c r="F670" t="s">
        <v>1005</v>
      </c>
      <c r="G670" t="s">
        <v>531</v>
      </c>
      <c r="H670" t="s">
        <v>373</v>
      </c>
      <c r="I670" t="s">
        <v>289</v>
      </c>
      <c r="J670" t="s">
        <v>1006</v>
      </c>
      <c r="K670">
        <v>21</v>
      </c>
      <c r="L670" s="6">
        <v>6.4008000000000003</v>
      </c>
      <c r="M670" s="7">
        <v>88.9</v>
      </c>
      <c r="N670" s="7">
        <v>285.75</v>
      </c>
      <c r="O670" s="7">
        <f t="shared" si="51"/>
        <v>252.00000000000003</v>
      </c>
      <c r="P670" s="7">
        <f t="shared" si="52"/>
        <v>3.5000000000000004</v>
      </c>
      <c r="Q670" s="7">
        <f t="shared" si="52"/>
        <v>11.25</v>
      </c>
      <c r="R670" s="6">
        <f t="shared" si="53"/>
        <v>129.15100000000001</v>
      </c>
      <c r="S670" s="6">
        <f t="shared" si="55"/>
        <v>0.16260064254000003</v>
      </c>
      <c r="T670" t="str">
        <f t="shared" si="54"/>
        <v>Cumaru S4S E4E 4x12 Long</v>
      </c>
    </row>
    <row r="671" spans="1:20" x14ac:dyDescent="0.25">
      <c r="A671" t="s">
        <v>531</v>
      </c>
      <c r="B671" t="s">
        <v>1004</v>
      </c>
      <c r="C671" t="s">
        <v>283</v>
      </c>
      <c r="D671" t="s">
        <v>438</v>
      </c>
      <c r="E671" t="str">
        <f>"CM412"&amp;K671&amp;"S"</f>
        <v>CM41222S</v>
      </c>
      <c r="F671" t="s">
        <v>1005</v>
      </c>
      <c r="G671" t="s">
        <v>531</v>
      </c>
      <c r="H671" t="s">
        <v>373</v>
      </c>
      <c r="I671" t="s">
        <v>289</v>
      </c>
      <c r="J671" t="s">
        <v>1006</v>
      </c>
      <c r="K671">
        <v>22</v>
      </c>
      <c r="L671" s="6">
        <v>6.7055999999999996</v>
      </c>
      <c r="M671" s="7">
        <v>88.9</v>
      </c>
      <c r="N671" s="7">
        <v>285.75</v>
      </c>
      <c r="O671" s="7">
        <f t="shared" si="51"/>
        <v>264</v>
      </c>
      <c r="P671" s="7">
        <f t="shared" si="52"/>
        <v>3.5000000000000004</v>
      </c>
      <c r="Q671" s="7">
        <f t="shared" si="52"/>
        <v>11.25</v>
      </c>
      <c r="R671" s="6">
        <f t="shared" si="53"/>
        <v>129.15100000000001</v>
      </c>
      <c r="S671" s="6">
        <f t="shared" si="55"/>
        <v>0.17034353027999999</v>
      </c>
      <c r="T671" t="str">
        <f t="shared" si="54"/>
        <v>Cumaru S4S E4E 4x12 Long</v>
      </c>
    </row>
    <row r="672" spans="1:20" x14ac:dyDescent="0.25">
      <c r="A672" t="s">
        <v>531</v>
      </c>
      <c r="B672" t="s">
        <v>1004</v>
      </c>
      <c r="C672" t="s">
        <v>283</v>
      </c>
      <c r="D672" t="s">
        <v>438</v>
      </c>
      <c r="E672" t="str">
        <f>"CMKD412"&amp;K672&amp;"S"</f>
        <v>CMKD41222S</v>
      </c>
      <c r="F672" t="s">
        <v>1005</v>
      </c>
      <c r="G672" t="s">
        <v>531</v>
      </c>
      <c r="H672" t="s">
        <v>373</v>
      </c>
      <c r="I672" t="s">
        <v>289</v>
      </c>
      <c r="J672" t="s">
        <v>1006</v>
      </c>
      <c r="K672">
        <v>22</v>
      </c>
      <c r="L672" s="6">
        <v>6.7055999999999996</v>
      </c>
      <c r="M672" s="7">
        <v>88.9</v>
      </c>
      <c r="N672" s="7">
        <v>285.75</v>
      </c>
      <c r="O672" s="7">
        <f t="shared" si="51"/>
        <v>264</v>
      </c>
      <c r="P672" s="7">
        <f t="shared" si="52"/>
        <v>3.5000000000000004</v>
      </c>
      <c r="Q672" s="7">
        <f t="shared" si="52"/>
        <v>11.25</v>
      </c>
      <c r="R672" s="6">
        <f t="shared" si="53"/>
        <v>129.15100000000001</v>
      </c>
      <c r="S672" s="6">
        <f t="shared" si="55"/>
        <v>0.17034353027999999</v>
      </c>
      <c r="T672" t="str">
        <f t="shared" si="54"/>
        <v>Cumaru S4S E4E 4x12 Long</v>
      </c>
    </row>
    <row r="673" spans="1:20" x14ac:dyDescent="0.25">
      <c r="A673" t="s">
        <v>531</v>
      </c>
      <c r="B673" t="s">
        <v>1004</v>
      </c>
      <c r="C673" t="s">
        <v>524</v>
      </c>
      <c r="D673" t="s">
        <v>438</v>
      </c>
      <c r="E673" t="str">
        <f>"CM412"&amp;K673&amp;"S"</f>
        <v>CM4123S</v>
      </c>
      <c r="F673" t="s">
        <v>1005</v>
      </c>
      <c r="G673" t="s">
        <v>531</v>
      </c>
      <c r="H673" t="s">
        <v>373</v>
      </c>
      <c r="I673" t="s">
        <v>289</v>
      </c>
      <c r="J673" t="s">
        <v>1006</v>
      </c>
      <c r="K673">
        <v>3</v>
      </c>
      <c r="L673" s="6">
        <v>0.91439999999999999</v>
      </c>
      <c r="M673" s="7">
        <v>88.9</v>
      </c>
      <c r="N673" s="7">
        <v>285.75</v>
      </c>
      <c r="O673" s="7">
        <f t="shared" si="51"/>
        <v>36</v>
      </c>
      <c r="P673" s="7">
        <f t="shared" si="52"/>
        <v>3.5000000000000004</v>
      </c>
      <c r="Q673" s="7">
        <f t="shared" si="52"/>
        <v>11.25</v>
      </c>
      <c r="R673" s="6">
        <f t="shared" si="53"/>
        <v>129.15100000000001</v>
      </c>
      <c r="S673" s="6">
        <f t="shared" si="55"/>
        <v>2.3228663220000001E-2</v>
      </c>
      <c r="T673" t="str">
        <f t="shared" si="54"/>
        <v>Cumaru S4S E4E 4x12 Short</v>
      </c>
    </row>
    <row r="674" spans="1:20" x14ac:dyDescent="0.25">
      <c r="A674" t="s">
        <v>531</v>
      </c>
      <c r="B674" t="s">
        <v>1004</v>
      </c>
      <c r="C674" t="s">
        <v>524</v>
      </c>
      <c r="D674" t="s">
        <v>438</v>
      </c>
      <c r="E674" t="str">
        <f>"CMKD412"&amp;K674&amp;"S"</f>
        <v>CMKD4123S</v>
      </c>
      <c r="F674" t="s">
        <v>1005</v>
      </c>
      <c r="G674" t="s">
        <v>531</v>
      </c>
      <c r="H674" t="s">
        <v>373</v>
      </c>
      <c r="I674" t="s">
        <v>289</v>
      </c>
      <c r="J674" t="s">
        <v>1006</v>
      </c>
      <c r="K674">
        <v>3</v>
      </c>
      <c r="L674" s="6">
        <v>0.91439999999999999</v>
      </c>
      <c r="M674" s="7">
        <v>88.9</v>
      </c>
      <c r="N674" s="7">
        <v>285.75</v>
      </c>
      <c r="O674" s="7">
        <f t="shared" si="51"/>
        <v>36</v>
      </c>
      <c r="P674" s="7">
        <f t="shared" si="52"/>
        <v>3.5000000000000004</v>
      </c>
      <c r="Q674" s="7">
        <f t="shared" si="52"/>
        <v>11.25</v>
      </c>
      <c r="R674" s="6">
        <f t="shared" si="53"/>
        <v>129.15100000000001</v>
      </c>
      <c r="S674" s="6">
        <f t="shared" si="55"/>
        <v>2.3228663220000001E-2</v>
      </c>
      <c r="T674" t="str">
        <f t="shared" si="54"/>
        <v>Cumaru S4S E4E 4x12 Short</v>
      </c>
    </row>
    <row r="675" spans="1:20" x14ac:dyDescent="0.25">
      <c r="A675" t="s">
        <v>531</v>
      </c>
      <c r="B675" t="s">
        <v>1004</v>
      </c>
      <c r="C675" t="s">
        <v>524</v>
      </c>
      <c r="D675" t="s">
        <v>438</v>
      </c>
      <c r="E675" t="str">
        <f>"CM412"&amp;K675&amp;"S"</f>
        <v>CM4124S</v>
      </c>
      <c r="F675" t="s">
        <v>1005</v>
      </c>
      <c r="G675" t="s">
        <v>531</v>
      </c>
      <c r="H675" t="s">
        <v>373</v>
      </c>
      <c r="I675" t="s">
        <v>289</v>
      </c>
      <c r="J675" t="s">
        <v>1006</v>
      </c>
      <c r="K675">
        <v>4</v>
      </c>
      <c r="L675" s="6">
        <v>1.2192000000000001</v>
      </c>
      <c r="M675" s="7">
        <v>88.9</v>
      </c>
      <c r="N675" s="7">
        <v>285.75</v>
      </c>
      <c r="O675" s="7">
        <f t="shared" si="51"/>
        <v>48.000000000000007</v>
      </c>
      <c r="P675" s="7">
        <f t="shared" si="52"/>
        <v>3.5000000000000004</v>
      </c>
      <c r="Q675" s="7">
        <f t="shared" si="52"/>
        <v>11.25</v>
      </c>
      <c r="R675" s="6">
        <f t="shared" si="53"/>
        <v>129.15100000000001</v>
      </c>
      <c r="S675" s="6">
        <f t="shared" si="55"/>
        <v>3.0971550960000007E-2</v>
      </c>
      <c r="T675" t="str">
        <f t="shared" si="54"/>
        <v>Cumaru S4S E4E 4x12 Short</v>
      </c>
    </row>
    <row r="676" spans="1:20" x14ac:dyDescent="0.25">
      <c r="A676" t="s">
        <v>531</v>
      </c>
      <c r="B676" t="s">
        <v>1004</v>
      </c>
      <c r="C676" t="s">
        <v>524</v>
      </c>
      <c r="D676" t="s">
        <v>438</v>
      </c>
      <c r="E676" t="str">
        <f>"CMKD412"&amp;K676&amp;"S"</f>
        <v>CMKD4124S</v>
      </c>
      <c r="F676" t="s">
        <v>1005</v>
      </c>
      <c r="G676" t="s">
        <v>531</v>
      </c>
      <c r="H676" t="s">
        <v>373</v>
      </c>
      <c r="I676" t="s">
        <v>289</v>
      </c>
      <c r="J676" t="s">
        <v>1006</v>
      </c>
      <c r="K676">
        <v>4</v>
      </c>
      <c r="L676" s="6">
        <v>1.2192000000000001</v>
      </c>
      <c r="M676" s="7">
        <v>88.9</v>
      </c>
      <c r="N676" s="7">
        <v>285.75</v>
      </c>
      <c r="O676" s="7">
        <f t="shared" si="51"/>
        <v>48.000000000000007</v>
      </c>
      <c r="P676" s="7">
        <f t="shared" si="52"/>
        <v>3.5000000000000004</v>
      </c>
      <c r="Q676" s="7">
        <f t="shared" si="52"/>
        <v>11.25</v>
      </c>
      <c r="R676" s="6">
        <f t="shared" si="53"/>
        <v>129.15100000000001</v>
      </c>
      <c r="S676" s="6">
        <f t="shared" si="55"/>
        <v>3.0971550960000007E-2</v>
      </c>
      <c r="T676" t="str">
        <f t="shared" si="54"/>
        <v>Cumaru S4S E4E 4x12 Short</v>
      </c>
    </row>
    <row r="677" spans="1:20" x14ac:dyDescent="0.25">
      <c r="A677" t="s">
        <v>531</v>
      </c>
      <c r="B677" t="s">
        <v>1004</v>
      </c>
      <c r="C677" t="s">
        <v>524</v>
      </c>
      <c r="D677" t="s">
        <v>438</v>
      </c>
      <c r="E677" t="str">
        <f>"CM412"&amp;K677&amp;"S"</f>
        <v>CM4125S</v>
      </c>
      <c r="F677" t="s">
        <v>1005</v>
      </c>
      <c r="G677" t="s">
        <v>531</v>
      </c>
      <c r="H677" t="s">
        <v>373</v>
      </c>
      <c r="I677" t="s">
        <v>289</v>
      </c>
      <c r="J677" t="s">
        <v>1006</v>
      </c>
      <c r="K677">
        <v>5</v>
      </c>
      <c r="L677" s="6">
        <v>1.524</v>
      </c>
      <c r="M677" s="7">
        <v>88.9</v>
      </c>
      <c r="N677" s="7">
        <v>285.75</v>
      </c>
      <c r="O677" s="7">
        <f t="shared" si="51"/>
        <v>60</v>
      </c>
      <c r="P677" s="7">
        <f t="shared" si="52"/>
        <v>3.5000000000000004</v>
      </c>
      <c r="Q677" s="7">
        <f t="shared" si="52"/>
        <v>11.25</v>
      </c>
      <c r="R677" s="6">
        <f t="shared" si="53"/>
        <v>129.15100000000001</v>
      </c>
      <c r="S677" s="6">
        <f t="shared" si="55"/>
        <v>3.8714438700000006E-2</v>
      </c>
      <c r="T677" t="str">
        <f t="shared" si="54"/>
        <v>Cumaru S4S E4E 4x12 Short</v>
      </c>
    </row>
    <row r="678" spans="1:20" x14ac:dyDescent="0.25">
      <c r="A678" t="s">
        <v>531</v>
      </c>
      <c r="B678" t="s">
        <v>1004</v>
      </c>
      <c r="C678" t="s">
        <v>524</v>
      </c>
      <c r="D678" t="s">
        <v>438</v>
      </c>
      <c r="E678" t="str">
        <f>"CMKD412"&amp;K678&amp;"S"</f>
        <v>CMKD4125S</v>
      </c>
      <c r="F678" t="s">
        <v>1005</v>
      </c>
      <c r="G678" t="s">
        <v>531</v>
      </c>
      <c r="H678" t="s">
        <v>373</v>
      </c>
      <c r="I678" t="s">
        <v>289</v>
      </c>
      <c r="J678" t="s">
        <v>1006</v>
      </c>
      <c r="K678">
        <v>5</v>
      </c>
      <c r="L678" s="6">
        <v>1.524</v>
      </c>
      <c r="M678" s="7">
        <v>88.9</v>
      </c>
      <c r="N678" s="7">
        <v>285.75</v>
      </c>
      <c r="O678" s="7">
        <f t="shared" si="51"/>
        <v>60</v>
      </c>
      <c r="P678" s="7">
        <f t="shared" si="52"/>
        <v>3.5000000000000004</v>
      </c>
      <c r="Q678" s="7">
        <f t="shared" si="52"/>
        <v>11.25</v>
      </c>
      <c r="R678" s="6">
        <f t="shared" si="53"/>
        <v>129.15100000000001</v>
      </c>
      <c r="S678" s="6">
        <f t="shared" si="55"/>
        <v>3.8714438700000006E-2</v>
      </c>
      <c r="T678" t="str">
        <f t="shared" si="54"/>
        <v>Cumaru S4S E4E 4x12 Short</v>
      </c>
    </row>
    <row r="679" spans="1:20" x14ac:dyDescent="0.25">
      <c r="A679" t="s">
        <v>531</v>
      </c>
      <c r="B679" t="s">
        <v>1004</v>
      </c>
      <c r="C679" t="s">
        <v>524</v>
      </c>
      <c r="D679" t="s">
        <v>438</v>
      </c>
      <c r="E679" t="str">
        <f>"CM412"&amp;K679&amp;"S"</f>
        <v>CM4126S</v>
      </c>
      <c r="F679" t="s">
        <v>1005</v>
      </c>
      <c r="G679" t="s">
        <v>531</v>
      </c>
      <c r="H679" t="s">
        <v>373</v>
      </c>
      <c r="I679" t="s">
        <v>289</v>
      </c>
      <c r="J679" t="s">
        <v>1006</v>
      </c>
      <c r="K679">
        <v>6</v>
      </c>
      <c r="L679" s="6">
        <v>1.8288</v>
      </c>
      <c r="M679" s="7">
        <v>88.9</v>
      </c>
      <c r="N679" s="7">
        <v>285.75</v>
      </c>
      <c r="O679" s="7">
        <f t="shared" si="51"/>
        <v>72</v>
      </c>
      <c r="P679" s="7">
        <f t="shared" si="52"/>
        <v>3.5000000000000004</v>
      </c>
      <c r="Q679" s="7">
        <f t="shared" si="52"/>
        <v>11.25</v>
      </c>
      <c r="R679" s="6">
        <f t="shared" si="53"/>
        <v>129.15100000000001</v>
      </c>
      <c r="S679" s="6">
        <f t="shared" si="55"/>
        <v>4.6457326440000002E-2</v>
      </c>
      <c r="T679" t="str">
        <f t="shared" si="54"/>
        <v>Cumaru S4S E4E 4x12 Short</v>
      </c>
    </row>
    <row r="680" spans="1:20" x14ac:dyDescent="0.25">
      <c r="A680" t="s">
        <v>531</v>
      </c>
      <c r="B680" t="s">
        <v>1004</v>
      </c>
      <c r="C680" t="s">
        <v>524</v>
      </c>
      <c r="D680" t="s">
        <v>438</v>
      </c>
      <c r="E680" t="str">
        <f>"CMKD412"&amp;K680&amp;"S"</f>
        <v>CMKD4126S</v>
      </c>
      <c r="F680" t="s">
        <v>1005</v>
      </c>
      <c r="G680" t="s">
        <v>531</v>
      </c>
      <c r="H680" t="s">
        <v>373</v>
      </c>
      <c r="I680" t="s">
        <v>289</v>
      </c>
      <c r="J680" t="s">
        <v>1006</v>
      </c>
      <c r="K680">
        <v>6</v>
      </c>
      <c r="L680" s="6">
        <v>1.8288</v>
      </c>
      <c r="M680" s="7">
        <v>88.9</v>
      </c>
      <c r="N680" s="7">
        <v>285.75</v>
      </c>
      <c r="O680" s="7">
        <f t="shared" si="51"/>
        <v>72</v>
      </c>
      <c r="P680" s="7">
        <f t="shared" si="52"/>
        <v>3.5000000000000004</v>
      </c>
      <c r="Q680" s="7">
        <f t="shared" si="52"/>
        <v>11.25</v>
      </c>
      <c r="R680" s="6">
        <f t="shared" si="53"/>
        <v>129.15100000000001</v>
      </c>
      <c r="S680" s="6">
        <f t="shared" si="55"/>
        <v>4.6457326440000002E-2</v>
      </c>
      <c r="T680" t="str">
        <f t="shared" si="54"/>
        <v>Cumaru S4S E4E 4x12 Short</v>
      </c>
    </row>
    <row r="681" spans="1:20" x14ac:dyDescent="0.25">
      <c r="A681" t="s">
        <v>531</v>
      </c>
      <c r="B681" t="s">
        <v>1004</v>
      </c>
      <c r="C681" t="s">
        <v>524</v>
      </c>
      <c r="D681" t="s">
        <v>438</v>
      </c>
      <c r="E681" t="str">
        <f>"CM412"&amp;K681&amp;"S"</f>
        <v>CM4127S</v>
      </c>
      <c r="F681" t="s">
        <v>1005</v>
      </c>
      <c r="G681" t="s">
        <v>531</v>
      </c>
      <c r="H681" t="s">
        <v>373</v>
      </c>
      <c r="I681" t="s">
        <v>289</v>
      </c>
      <c r="J681" t="s">
        <v>1006</v>
      </c>
      <c r="K681">
        <v>7</v>
      </c>
      <c r="L681" s="6">
        <v>2.1335999999999999</v>
      </c>
      <c r="M681" s="7">
        <v>88.9</v>
      </c>
      <c r="N681" s="7">
        <v>285.75</v>
      </c>
      <c r="O681" s="7">
        <f t="shared" si="51"/>
        <v>84</v>
      </c>
      <c r="P681" s="7">
        <f t="shared" si="52"/>
        <v>3.5000000000000004</v>
      </c>
      <c r="Q681" s="7">
        <f t="shared" si="52"/>
        <v>11.25</v>
      </c>
      <c r="R681" s="6">
        <f t="shared" si="53"/>
        <v>129.15100000000001</v>
      </c>
      <c r="S681" s="6">
        <f t="shared" si="55"/>
        <v>5.4200214180000005E-2</v>
      </c>
      <c r="T681" t="str">
        <f t="shared" si="54"/>
        <v>Cumaru S4S E4E 4x12 Short</v>
      </c>
    </row>
    <row r="682" spans="1:20" x14ac:dyDescent="0.25">
      <c r="A682" t="s">
        <v>531</v>
      </c>
      <c r="B682" t="s">
        <v>1004</v>
      </c>
      <c r="C682" t="s">
        <v>524</v>
      </c>
      <c r="D682" t="s">
        <v>438</v>
      </c>
      <c r="E682" t="str">
        <f>"CMKD412"&amp;K682&amp;"S"</f>
        <v>CMKD4127S</v>
      </c>
      <c r="F682" t="s">
        <v>1005</v>
      </c>
      <c r="G682" t="s">
        <v>531</v>
      </c>
      <c r="H682" t="s">
        <v>373</v>
      </c>
      <c r="I682" t="s">
        <v>289</v>
      </c>
      <c r="J682" t="s">
        <v>1006</v>
      </c>
      <c r="K682">
        <v>7</v>
      </c>
      <c r="L682" s="6">
        <v>2.1335999999999999</v>
      </c>
      <c r="M682" s="7">
        <v>88.9</v>
      </c>
      <c r="N682" s="7">
        <v>285.75</v>
      </c>
      <c r="O682" s="7">
        <f t="shared" si="51"/>
        <v>84</v>
      </c>
      <c r="P682" s="7">
        <f t="shared" si="52"/>
        <v>3.5000000000000004</v>
      </c>
      <c r="Q682" s="7">
        <f t="shared" si="52"/>
        <v>11.25</v>
      </c>
      <c r="R682" s="6">
        <f t="shared" si="53"/>
        <v>129.15100000000001</v>
      </c>
      <c r="S682" s="6">
        <f t="shared" si="55"/>
        <v>5.4200214180000005E-2</v>
      </c>
      <c r="T682" t="str">
        <f t="shared" si="54"/>
        <v>Cumaru S4S E4E 4x12 Short</v>
      </c>
    </row>
    <row r="683" spans="1:20" x14ac:dyDescent="0.25">
      <c r="A683" t="s">
        <v>531</v>
      </c>
      <c r="B683" t="s">
        <v>1004</v>
      </c>
      <c r="C683" t="s">
        <v>283</v>
      </c>
      <c r="D683" t="s">
        <v>438</v>
      </c>
      <c r="E683" t="str">
        <f>"CM412"&amp;K683&amp;"S"</f>
        <v>CM4128S</v>
      </c>
      <c r="F683" t="s">
        <v>1005</v>
      </c>
      <c r="G683" t="s">
        <v>531</v>
      </c>
      <c r="H683" t="s">
        <v>373</v>
      </c>
      <c r="I683" t="s">
        <v>289</v>
      </c>
      <c r="J683" t="s">
        <v>1006</v>
      </c>
      <c r="K683">
        <v>8</v>
      </c>
      <c r="L683" s="6">
        <v>2.4384000000000001</v>
      </c>
      <c r="M683" s="7">
        <v>88.9</v>
      </c>
      <c r="N683" s="7">
        <v>285.75</v>
      </c>
      <c r="O683" s="7">
        <f t="shared" si="51"/>
        <v>96.000000000000014</v>
      </c>
      <c r="P683" s="7">
        <f t="shared" si="52"/>
        <v>3.5000000000000004</v>
      </c>
      <c r="Q683" s="7">
        <f t="shared" si="52"/>
        <v>11.25</v>
      </c>
      <c r="R683" s="6">
        <f t="shared" si="53"/>
        <v>129.15100000000001</v>
      </c>
      <c r="S683" s="6">
        <f t="shared" si="55"/>
        <v>6.1943101920000014E-2</v>
      </c>
      <c r="T683" t="str">
        <f t="shared" si="54"/>
        <v>Cumaru S4S E4E 4x12 Long</v>
      </c>
    </row>
    <row r="684" spans="1:20" x14ac:dyDescent="0.25">
      <c r="A684" t="s">
        <v>531</v>
      </c>
      <c r="B684" t="s">
        <v>1004</v>
      </c>
      <c r="C684" t="s">
        <v>283</v>
      </c>
      <c r="D684" t="s">
        <v>438</v>
      </c>
      <c r="E684" t="str">
        <f>"CMKD412"&amp;K684&amp;"S"</f>
        <v>CMKD4128S</v>
      </c>
      <c r="F684" t="s">
        <v>1005</v>
      </c>
      <c r="G684" t="s">
        <v>531</v>
      </c>
      <c r="H684" t="s">
        <v>373</v>
      </c>
      <c r="I684" t="s">
        <v>289</v>
      </c>
      <c r="J684" t="s">
        <v>1006</v>
      </c>
      <c r="K684">
        <v>8</v>
      </c>
      <c r="L684" s="6">
        <v>2.4384000000000001</v>
      </c>
      <c r="M684" s="7">
        <v>88.9</v>
      </c>
      <c r="N684" s="7">
        <v>285.75</v>
      </c>
      <c r="O684" s="7">
        <f t="shared" si="51"/>
        <v>96.000000000000014</v>
      </c>
      <c r="P684" s="7">
        <f t="shared" si="52"/>
        <v>3.5000000000000004</v>
      </c>
      <c r="Q684" s="7">
        <f t="shared" si="52"/>
        <v>11.25</v>
      </c>
      <c r="R684" s="6">
        <f t="shared" si="53"/>
        <v>129.15100000000001</v>
      </c>
      <c r="S684" s="6">
        <f t="shared" si="55"/>
        <v>6.1943101920000014E-2</v>
      </c>
      <c r="T684" t="str">
        <f t="shared" si="54"/>
        <v>Cumaru S4S E4E 4x12 Long</v>
      </c>
    </row>
    <row r="685" spans="1:20" x14ac:dyDescent="0.25">
      <c r="A685" t="s">
        <v>531</v>
      </c>
      <c r="B685" t="s">
        <v>1004</v>
      </c>
      <c r="C685" t="s">
        <v>283</v>
      </c>
      <c r="D685" t="s">
        <v>438</v>
      </c>
      <c r="E685" t="str">
        <f>"CM412"&amp;K685&amp;"S"</f>
        <v>CM4129S</v>
      </c>
      <c r="F685" t="s">
        <v>1005</v>
      </c>
      <c r="G685" t="s">
        <v>531</v>
      </c>
      <c r="H685" t="s">
        <v>373</v>
      </c>
      <c r="I685" t="s">
        <v>289</v>
      </c>
      <c r="J685" t="s">
        <v>1006</v>
      </c>
      <c r="K685">
        <v>9</v>
      </c>
      <c r="L685" s="6">
        <v>2.7431999999999999</v>
      </c>
      <c r="M685" s="7">
        <v>88.9</v>
      </c>
      <c r="N685" s="7">
        <v>285.75</v>
      </c>
      <c r="O685" s="7">
        <f t="shared" si="51"/>
        <v>108</v>
      </c>
      <c r="P685" s="7">
        <f t="shared" si="52"/>
        <v>3.5000000000000004</v>
      </c>
      <c r="Q685" s="7">
        <f t="shared" si="52"/>
        <v>11.25</v>
      </c>
      <c r="R685" s="6">
        <f t="shared" si="53"/>
        <v>129.15100000000001</v>
      </c>
      <c r="S685" s="6">
        <f t="shared" si="55"/>
        <v>6.9685989660000003E-2</v>
      </c>
      <c r="T685" t="str">
        <f t="shared" si="54"/>
        <v>Cumaru S4S E4E 4x12 Long</v>
      </c>
    </row>
    <row r="686" spans="1:20" x14ac:dyDescent="0.25">
      <c r="A686" t="s">
        <v>531</v>
      </c>
      <c r="B686" t="s">
        <v>1004</v>
      </c>
      <c r="C686" t="s">
        <v>283</v>
      </c>
      <c r="D686" t="s">
        <v>438</v>
      </c>
      <c r="E686" t="str">
        <f>"CMKD412"&amp;K686&amp;"S"</f>
        <v>CMKD4129S</v>
      </c>
      <c r="F686" t="s">
        <v>1005</v>
      </c>
      <c r="G686" t="s">
        <v>531</v>
      </c>
      <c r="H686" t="s">
        <v>373</v>
      </c>
      <c r="I686" t="s">
        <v>289</v>
      </c>
      <c r="J686" t="s">
        <v>1006</v>
      </c>
      <c r="K686">
        <v>9</v>
      </c>
      <c r="L686" s="6">
        <v>2.7431999999999999</v>
      </c>
      <c r="M686" s="7">
        <v>88.9</v>
      </c>
      <c r="N686" s="7">
        <v>285.75</v>
      </c>
      <c r="O686" s="7">
        <f t="shared" si="51"/>
        <v>108</v>
      </c>
      <c r="P686" s="7">
        <f t="shared" si="52"/>
        <v>3.5000000000000004</v>
      </c>
      <c r="Q686" s="7">
        <f t="shared" si="52"/>
        <v>11.25</v>
      </c>
      <c r="R686" s="6">
        <f t="shared" si="53"/>
        <v>129.15100000000001</v>
      </c>
      <c r="S686" s="6">
        <f t="shared" si="55"/>
        <v>6.9685989660000003E-2</v>
      </c>
      <c r="T686" t="str">
        <f t="shared" si="54"/>
        <v>Cumaru S4S E4E 4x12 Long</v>
      </c>
    </row>
    <row r="687" spans="1:20" x14ac:dyDescent="0.25">
      <c r="A687" t="s">
        <v>531</v>
      </c>
      <c r="B687" t="s">
        <v>1007</v>
      </c>
      <c r="C687" t="s">
        <v>283</v>
      </c>
      <c r="D687" t="s">
        <v>438</v>
      </c>
      <c r="E687" t="s">
        <v>1008</v>
      </c>
      <c r="F687" t="s">
        <v>1009</v>
      </c>
      <c r="G687" t="s">
        <v>531</v>
      </c>
      <c r="H687" t="s">
        <v>373</v>
      </c>
      <c r="I687" t="s">
        <v>289</v>
      </c>
      <c r="J687" t="s">
        <v>1010</v>
      </c>
      <c r="K687">
        <v>10</v>
      </c>
      <c r="L687" s="6">
        <v>3.048</v>
      </c>
      <c r="M687" s="7">
        <v>88.9</v>
      </c>
      <c r="N687" s="7">
        <v>88.9</v>
      </c>
      <c r="O687" s="7">
        <f t="shared" si="51"/>
        <v>120</v>
      </c>
      <c r="P687" s="7">
        <f t="shared" si="52"/>
        <v>3.5000000000000004</v>
      </c>
      <c r="Q687" s="7">
        <f t="shared" si="52"/>
        <v>3.5000000000000004</v>
      </c>
      <c r="R687" s="6">
        <f t="shared" si="53"/>
        <v>415.12799999999999</v>
      </c>
      <c r="S687" s="6">
        <f t="shared" si="55"/>
        <v>2.4088984080000007E-2</v>
      </c>
      <c r="T687" t="str">
        <f t="shared" si="54"/>
        <v>Cumaru S4S E4E 4x4 Long</v>
      </c>
    </row>
    <row r="688" spans="1:20" x14ac:dyDescent="0.25">
      <c r="A688" t="s">
        <v>531</v>
      </c>
      <c r="B688" t="s">
        <v>1007</v>
      </c>
      <c r="C688" t="s">
        <v>283</v>
      </c>
      <c r="D688" t="s">
        <v>438</v>
      </c>
      <c r="E688" t="s">
        <v>1011</v>
      </c>
      <c r="F688" t="s">
        <v>1009</v>
      </c>
      <c r="G688" t="s">
        <v>531</v>
      </c>
      <c r="H688" t="s">
        <v>373</v>
      </c>
      <c r="I688" t="s">
        <v>289</v>
      </c>
      <c r="J688" t="s">
        <v>1010</v>
      </c>
      <c r="K688">
        <v>11</v>
      </c>
      <c r="L688" s="6">
        <v>3.3527999999999998</v>
      </c>
      <c r="M688" s="7">
        <v>88.9</v>
      </c>
      <c r="N688" s="7">
        <v>88.9</v>
      </c>
      <c r="O688" s="7">
        <f t="shared" si="51"/>
        <v>132</v>
      </c>
      <c r="P688" s="7">
        <f t="shared" si="52"/>
        <v>3.5000000000000004</v>
      </c>
      <c r="Q688" s="7">
        <f t="shared" si="52"/>
        <v>3.5000000000000004</v>
      </c>
      <c r="R688" s="6">
        <f t="shared" si="53"/>
        <v>415.12799999999999</v>
      </c>
      <c r="S688" s="6">
        <f t="shared" si="55"/>
        <v>2.6497882487999998E-2</v>
      </c>
      <c r="T688" t="str">
        <f t="shared" si="54"/>
        <v>Cumaru S4S E4E 4x4 Long</v>
      </c>
    </row>
    <row r="689" spans="1:20" x14ac:dyDescent="0.25">
      <c r="A689" t="s">
        <v>531</v>
      </c>
      <c r="B689" t="s">
        <v>1007</v>
      </c>
      <c r="C689" t="s">
        <v>283</v>
      </c>
      <c r="D689" t="s">
        <v>438</v>
      </c>
      <c r="E689" t="s">
        <v>1012</v>
      </c>
      <c r="F689" t="s">
        <v>1009</v>
      </c>
      <c r="G689" t="s">
        <v>531</v>
      </c>
      <c r="H689" t="s">
        <v>373</v>
      </c>
      <c r="I689" t="s">
        <v>289</v>
      </c>
      <c r="J689" t="s">
        <v>1010</v>
      </c>
      <c r="K689">
        <v>12</v>
      </c>
      <c r="L689" s="6">
        <v>3.6576</v>
      </c>
      <c r="M689" s="7">
        <v>88.9</v>
      </c>
      <c r="N689" s="7">
        <v>88.9</v>
      </c>
      <c r="O689" s="7">
        <f t="shared" si="51"/>
        <v>144</v>
      </c>
      <c r="P689" s="7">
        <f t="shared" si="52"/>
        <v>3.5000000000000004</v>
      </c>
      <c r="Q689" s="7">
        <f t="shared" si="52"/>
        <v>3.5000000000000004</v>
      </c>
      <c r="R689" s="6">
        <f t="shared" si="53"/>
        <v>415.12799999999999</v>
      </c>
      <c r="S689" s="6">
        <f t="shared" si="55"/>
        <v>2.8906780896E-2</v>
      </c>
      <c r="T689" t="str">
        <f t="shared" si="54"/>
        <v>Cumaru S4S E4E 4x4 Long</v>
      </c>
    </row>
    <row r="690" spans="1:20" x14ac:dyDescent="0.25">
      <c r="A690" t="s">
        <v>531</v>
      </c>
      <c r="B690" t="s">
        <v>1007</v>
      </c>
      <c r="C690" t="s">
        <v>283</v>
      </c>
      <c r="D690" t="s">
        <v>438</v>
      </c>
      <c r="E690" t="s">
        <v>1013</v>
      </c>
      <c r="F690" t="s">
        <v>1009</v>
      </c>
      <c r="G690" t="s">
        <v>531</v>
      </c>
      <c r="H690" t="s">
        <v>373</v>
      </c>
      <c r="I690" t="s">
        <v>289</v>
      </c>
      <c r="J690" t="s">
        <v>1010</v>
      </c>
      <c r="K690">
        <v>13</v>
      </c>
      <c r="L690" s="6">
        <v>3.9624000000000001</v>
      </c>
      <c r="M690" s="7">
        <v>88.9</v>
      </c>
      <c r="N690" s="7">
        <v>88.9</v>
      </c>
      <c r="O690" s="7">
        <f t="shared" si="51"/>
        <v>156</v>
      </c>
      <c r="P690" s="7">
        <f t="shared" si="52"/>
        <v>3.5000000000000004</v>
      </c>
      <c r="Q690" s="7">
        <f t="shared" si="52"/>
        <v>3.5000000000000004</v>
      </c>
      <c r="R690" s="6">
        <f t="shared" si="53"/>
        <v>415.12799999999999</v>
      </c>
      <c r="S690" s="6">
        <f t="shared" si="55"/>
        <v>3.1315679304000012E-2</v>
      </c>
      <c r="T690" t="str">
        <f t="shared" si="54"/>
        <v>Cumaru S4S E4E 4x4 Long</v>
      </c>
    </row>
    <row r="691" spans="1:20" x14ac:dyDescent="0.25">
      <c r="A691" t="s">
        <v>531</v>
      </c>
      <c r="B691" t="s">
        <v>1007</v>
      </c>
      <c r="C691" t="s">
        <v>283</v>
      </c>
      <c r="D691" t="s">
        <v>438</v>
      </c>
      <c r="E691" t="s">
        <v>1014</v>
      </c>
      <c r="F691" t="s">
        <v>1009</v>
      </c>
      <c r="G691" t="s">
        <v>531</v>
      </c>
      <c r="H691" t="s">
        <v>373</v>
      </c>
      <c r="I691" t="s">
        <v>289</v>
      </c>
      <c r="J691" t="s">
        <v>1010</v>
      </c>
      <c r="K691">
        <v>14</v>
      </c>
      <c r="L691" s="6">
        <v>4.2671999999999999</v>
      </c>
      <c r="M691" s="7">
        <v>88.9</v>
      </c>
      <c r="N691" s="7">
        <v>88.9</v>
      </c>
      <c r="O691" s="7">
        <f t="shared" si="51"/>
        <v>168</v>
      </c>
      <c r="P691" s="7">
        <f t="shared" si="52"/>
        <v>3.5000000000000004</v>
      </c>
      <c r="Q691" s="7">
        <f t="shared" si="52"/>
        <v>3.5000000000000004</v>
      </c>
      <c r="R691" s="6">
        <f t="shared" si="53"/>
        <v>415.12799999999999</v>
      </c>
      <c r="S691" s="6">
        <f t="shared" si="55"/>
        <v>3.3724577712000006E-2</v>
      </c>
      <c r="T691" t="str">
        <f t="shared" si="54"/>
        <v>Cumaru S4S E4E 4x4 Long</v>
      </c>
    </row>
    <row r="692" spans="1:20" x14ac:dyDescent="0.25">
      <c r="A692" t="s">
        <v>531</v>
      </c>
      <c r="B692" t="s">
        <v>1007</v>
      </c>
      <c r="C692" t="s">
        <v>283</v>
      </c>
      <c r="D692" t="s">
        <v>438</v>
      </c>
      <c r="E692" t="s">
        <v>1015</v>
      </c>
      <c r="F692" t="s">
        <v>1009</v>
      </c>
      <c r="G692" t="s">
        <v>531</v>
      </c>
      <c r="H692" t="s">
        <v>373</v>
      </c>
      <c r="I692" t="s">
        <v>289</v>
      </c>
      <c r="J692" t="s">
        <v>1010</v>
      </c>
      <c r="K692">
        <v>15</v>
      </c>
      <c r="L692" s="6">
        <v>4.5720000000000001</v>
      </c>
      <c r="M692" s="7">
        <v>88.9</v>
      </c>
      <c r="N692" s="7">
        <v>88.9</v>
      </c>
      <c r="O692" s="7">
        <f t="shared" si="51"/>
        <v>180</v>
      </c>
      <c r="P692" s="7">
        <f t="shared" si="52"/>
        <v>3.5000000000000004</v>
      </c>
      <c r="Q692" s="7">
        <f t="shared" si="52"/>
        <v>3.5000000000000004</v>
      </c>
      <c r="R692" s="6">
        <f t="shared" si="53"/>
        <v>415.12799999999999</v>
      </c>
      <c r="S692" s="6">
        <f t="shared" si="55"/>
        <v>3.6133476120000008E-2</v>
      </c>
      <c r="T692" t="str">
        <f t="shared" si="54"/>
        <v>Cumaru S4S E4E 4x4 Long</v>
      </c>
    </row>
    <row r="693" spans="1:20" x14ac:dyDescent="0.25">
      <c r="A693" t="s">
        <v>531</v>
      </c>
      <c r="B693" t="s">
        <v>1007</v>
      </c>
      <c r="C693" t="s">
        <v>283</v>
      </c>
      <c r="D693" t="s">
        <v>438</v>
      </c>
      <c r="E693" t="s">
        <v>1016</v>
      </c>
      <c r="F693" t="s">
        <v>1009</v>
      </c>
      <c r="G693" t="s">
        <v>531</v>
      </c>
      <c r="H693" t="s">
        <v>373</v>
      </c>
      <c r="I693" t="s">
        <v>289</v>
      </c>
      <c r="J693" t="s">
        <v>1010</v>
      </c>
      <c r="K693">
        <v>16</v>
      </c>
      <c r="L693" s="6">
        <v>4.8768000000000002</v>
      </c>
      <c r="M693" s="7">
        <v>88.9</v>
      </c>
      <c r="N693" s="7">
        <v>88.9</v>
      </c>
      <c r="O693" s="7">
        <f t="shared" si="51"/>
        <v>192.00000000000003</v>
      </c>
      <c r="P693" s="7">
        <f t="shared" si="52"/>
        <v>3.5000000000000004</v>
      </c>
      <c r="Q693" s="7">
        <f t="shared" si="52"/>
        <v>3.5000000000000004</v>
      </c>
      <c r="R693" s="6">
        <f t="shared" si="53"/>
        <v>415.12799999999999</v>
      </c>
      <c r="S693" s="6">
        <f t="shared" si="55"/>
        <v>3.8542374528000009E-2</v>
      </c>
      <c r="T693" t="str">
        <f t="shared" si="54"/>
        <v>Cumaru S4S E4E 4x4 Long</v>
      </c>
    </row>
    <row r="694" spans="1:20" x14ac:dyDescent="0.25">
      <c r="A694" t="s">
        <v>531</v>
      </c>
      <c r="B694" t="s">
        <v>1007</v>
      </c>
      <c r="C694" t="s">
        <v>283</v>
      </c>
      <c r="D694" t="s">
        <v>438</v>
      </c>
      <c r="E694" t="s">
        <v>1017</v>
      </c>
      <c r="F694" t="s">
        <v>1009</v>
      </c>
      <c r="G694" t="s">
        <v>531</v>
      </c>
      <c r="H694" t="s">
        <v>373</v>
      </c>
      <c r="I694" t="s">
        <v>289</v>
      </c>
      <c r="J694" t="s">
        <v>1010</v>
      </c>
      <c r="K694">
        <v>17</v>
      </c>
      <c r="L694" s="6">
        <v>5.1816000000000004</v>
      </c>
      <c r="M694" s="7">
        <v>88.9</v>
      </c>
      <c r="N694" s="7">
        <v>88.9</v>
      </c>
      <c r="O694" s="7">
        <f t="shared" si="51"/>
        <v>204.00000000000003</v>
      </c>
      <c r="P694" s="7">
        <f t="shared" si="52"/>
        <v>3.5000000000000004</v>
      </c>
      <c r="Q694" s="7">
        <f t="shared" si="52"/>
        <v>3.5000000000000004</v>
      </c>
      <c r="R694" s="6">
        <f t="shared" si="53"/>
        <v>415.12799999999999</v>
      </c>
      <c r="S694" s="6">
        <f t="shared" si="55"/>
        <v>4.0951272936000011E-2</v>
      </c>
      <c r="T694" t="str">
        <f t="shared" si="54"/>
        <v>Cumaru S4S E4E 4x4 Long</v>
      </c>
    </row>
    <row r="695" spans="1:20" x14ac:dyDescent="0.25">
      <c r="A695" t="s">
        <v>531</v>
      </c>
      <c r="B695" t="s">
        <v>1007</v>
      </c>
      <c r="C695" t="s">
        <v>283</v>
      </c>
      <c r="D695" t="s">
        <v>438</v>
      </c>
      <c r="E695" t="s">
        <v>1018</v>
      </c>
      <c r="F695" t="s">
        <v>1009</v>
      </c>
      <c r="G695" t="s">
        <v>531</v>
      </c>
      <c r="H695" t="s">
        <v>373</v>
      </c>
      <c r="I695" t="s">
        <v>289</v>
      </c>
      <c r="J695" t="s">
        <v>1010</v>
      </c>
      <c r="K695">
        <v>18</v>
      </c>
      <c r="L695" s="6">
        <v>5.4863999999999997</v>
      </c>
      <c r="M695" s="7">
        <v>88.9</v>
      </c>
      <c r="N695" s="7">
        <v>88.9</v>
      </c>
      <c r="O695" s="7">
        <f t="shared" si="51"/>
        <v>216</v>
      </c>
      <c r="P695" s="7">
        <f t="shared" si="52"/>
        <v>3.5000000000000004</v>
      </c>
      <c r="Q695" s="7">
        <f t="shared" si="52"/>
        <v>3.5000000000000004</v>
      </c>
      <c r="R695" s="6">
        <f t="shared" si="53"/>
        <v>415.12799999999999</v>
      </c>
      <c r="S695" s="6">
        <f t="shared" si="55"/>
        <v>4.3360171344000005E-2</v>
      </c>
      <c r="T695" t="str">
        <f t="shared" si="54"/>
        <v>Cumaru S4S E4E 4x4 Long</v>
      </c>
    </row>
    <row r="696" spans="1:20" x14ac:dyDescent="0.25">
      <c r="A696" t="s">
        <v>531</v>
      </c>
      <c r="B696" t="s">
        <v>1007</v>
      </c>
      <c r="C696" t="s">
        <v>283</v>
      </c>
      <c r="D696" t="s">
        <v>438</v>
      </c>
      <c r="E696" t="s">
        <v>1019</v>
      </c>
      <c r="F696" t="s">
        <v>1009</v>
      </c>
      <c r="G696" t="s">
        <v>531</v>
      </c>
      <c r="H696" t="s">
        <v>373</v>
      </c>
      <c r="I696" t="s">
        <v>289</v>
      </c>
      <c r="J696" t="s">
        <v>1010</v>
      </c>
      <c r="K696">
        <v>19</v>
      </c>
      <c r="L696" s="6">
        <v>5.7911999999999999</v>
      </c>
      <c r="M696" s="7">
        <v>88.9</v>
      </c>
      <c r="N696" s="7">
        <v>88.9</v>
      </c>
      <c r="O696" s="7">
        <f t="shared" si="51"/>
        <v>228</v>
      </c>
      <c r="P696" s="7">
        <f t="shared" si="52"/>
        <v>3.5000000000000004</v>
      </c>
      <c r="Q696" s="7">
        <f t="shared" si="52"/>
        <v>3.5000000000000004</v>
      </c>
      <c r="R696" s="6">
        <f t="shared" si="53"/>
        <v>415.12799999999999</v>
      </c>
      <c r="S696" s="6">
        <f t="shared" si="55"/>
        <v>4.5769069751999999E-2</v>
      </c>
      <c r="T696" t="str">
        <f t="shared" si="54"/>
        <v>Cumaru S4S E4E 4x4 Long</v>
      </c>
    </row>
    <row r="697" spans="1:20" x14ac:dyDescent="0.25">
      <c r="A697" t="s">
        <v>531</v>
      </c>
      <c r="B697" t="s">
        <v>1007</v>
      </c>
      <c r="C697" t="s">
        <v>283</v>
      </c>
      <c r="D697" t="s">
        <v>438</v>
      </c>
      <c r="E697" t="s">
        <v>1020</v>
      </c>
      <c r="F697" t="s">
        <v>1009</v>
      </c>
      <c r="G697" t="s">
        <v>531</v>
      </c>
      <c r="H697" t="s">
        <v>373</v>
      </c>
      <c r="I697" t="s">
        <v>289</v>
      </c>
      <c r="J697" t="s">
        <v>1010</v>
      </c>
      <c r="K697">
        <v>20</v>
      </c>
      <c r="L697" s="6">
        <v>6.0960000000000001</v>
      </c>
      <c r="M697" s="7">
        <v>88.9</v>
      </c>
      <c r="N697" s="7">
        <v>88.9</v>
      </c>
      <c r="O697" s="7">
        <f t="shared" si="51"/>
        <v>240</v>
      </c>
      <c r="P697" s="7">
        <f t="shared" si="52"/>
        <v>3.5000000000000004</v>
      </c>
      <c r="Q697" s="7">
        <f t="shared" si="52"/>
        <v>3.5000000000000004</v>
      </c>
      <c r="R697" s="6">
        <f t="shared" si="53"/>
        <v>415.12799999999999</v>
      </c>
      <c r="S697" s="6">
        <f t="shared" si="55"/>
        <v>4.8177968160000015E-2</v>
      </c>
      <c r="T697" t="str">
        <f t="shared" si="54"/>
        <v>Cumaru S4S E4E 4x4 Long</v>
      </c>
    </row>
    <row r="698" spans="1:20" x14ac:dyDescent="0.25">
      <c r="A698" t="s">
        <v>531</v>
      </c>
      <c r="B698" t="s">
        <v>1007</v>
      </c>
      <c r="C698" t="s">
        <v>283</v>
      </c>
      <c r="D698" t="s">
        <v>438</v>
      </c>
      <c r="E698" t="s">
        <v>1021</v>
      </c>
      <c r="F698" t="s">
        <v>1009</v>
      </c>
      <c r="G698" t="s">
        <v>531</v>
      </c>
      <c r="H698" t="s">
        <v>373</v>
      </c>
      <c r="I698" t="s">
        <v>289</v>
      </c>
      <c r="J698" t="s">
        <v>1010</v>
      </c>
      <c r="K698">
        <v>21</v>
      </c>
      <c r="L698" s="6">
        <v>6.4008000000000003</v>
      </c>
      <c r="M698" s="7">
        <v>88.9</v>
      </c>
      <c r="N698" s="7">
        <v>88.9</v>
      </c>
      <c r="O698" s="7">
        <f t="shared" si="51"/>
        <v>252.00000000000003</v>
      </c>
      <c r="P698" s="7">
        <f t="shared" si="52"/>
        <v>3.5000000000000004</v>
      </c>
      <c r="Q698" s="7">
        <f t="shared" si="52"/>
        <v>3.5000000000000004</v>
      </c>
      <c r="R698" s="6">
        <f t="shared" si="53"/>
        <v>415.12799999999999</v>
      </c>
      <c r="S698" s="6">
        <f t="shared" si="55"/>
        <v>5.0586866568000009E-2</v>
      </c>
      <c r="T698" t="str">
        <f t="shared" si="54"/>
        <v>Cumaru S4S E4E 4x4 Long</v>
      </c>
    </row>
    <row r="699" spans="1:20" x14ac:dyDescent="0.25">
      <c r="A699" t="s">
        <v>531</v>
      </c>
      <c r="B699" t="s">
        <v>1007</v>
      </c>
      <c r="C699" t="s">
        <v>283</v>
      </c>
      <c r="D699" t="s">
        <v>438</v>
      </c>
      <c r="E699" t="s">
        <v>1022</v>
      </c>
      <c r="F699" t="s">
        <v>1009</v>
      </c>
      <c r="G699" t="s">
        <v>531</v>
      </c>
      <c r="H699" t="s">
        <v>373</v>
      </c>
      <c r="I699" t="s">
        <v>289</v>
      </c>
      <c r="J699" t="s">
        <v>1010</v>
      </c>
      <c r="K699">
        <v>22</v>
      </c>
      <c r="L699" s="6">
        <v>6.7055999999999996</v>
      </c>
      <c r="M699" s="7">
        <v>88.9</v>
      </c>
      <c r="N699" s="7">
        <v>88.9</v>
      </c>
      <c r="O699" s="7">
        <f t="shared" si="51"/>
        <v>264</v>
      </c>
      <c r="P699" s="7">
        <f t="shared" si="52"/>
        <v>3.5000000000000004</v>
      </c>
      <c r="Q699" s="7">
        <f t="shared" si="52"/>
        <v>3.5000000000000004</v>
      </c>
      <c r="R699" s="6">
        <f t="shared" si="53"/>
        <v>415.12799999999999</v>
      </c>
      <c r="S699" s="6">
        <f t="shared" si="55"/>
        <v>5.2995764975999997E-2</v>
      </c>
      <c r="T699" t="str">
        <f t="shared" si="54"/>
        <v>Cumaru S4S E4E 4x4 Long</v>
      </c>
    </row>
    <row r="700" spans="1:20" x14ac:dyDescent="0.25">
      <c r="A700" t="s">
        <v>531</v>
      </c>
      <c r="B700" t="s">
        <v>1007</v>
      </c>
      <c r="C700" t="s">
        <v>524</v>
      </c>
      <c r="D700" t="s">
        <v>438</v>
      </c>
      <c r="E700" t="s">
        <v>1023</v>
      </c>
      <c r="F700" t="s">
        <v>1009</v>
      </c>
      <c r="G700" t="s">
        <v>531</v>
      </c>
      <c r="H700" t="s">
        <v>373</v>
      </c>
      <c r="I700" t="s">
        <v>289</v>
      </c>
      <c r="J700" t="s">
        <v>1010</v>
      </c>
      <c r="K700">
        <v>3</v>
      </c>
      <c r="L700" s="6">
        <v>0.91439999999999999</v>
      </c>
      <c r="M700" s="7">
        <v>88.9</v>
      </c>
      <c r="N700" s="7">
        <v>88.9</v>
      </c>
      <c r="O700" s="7">
        <f t="shared" si="51"/>
        <v>36</v>
      </c>
      <c r="P700" s="7">
        <f t="shared" si="52"/>
        <v>3.5000000000000004</v>
      </c>
      <c r="Q700" s="7">
        <f t="shared" si="52"/>
        <v>3.5000000000000004</v>
      </c>
      <c r="R700" s="6">
        <f t="shared" si="53"/>
        <v>415.12799999999999</v>
      </c>
      <c r="S700" s="6">
        <f t="shared" si="55"/>
        <v>7.226695224E-3</v>
      </c>
      <c r="T700" t="str">
        <f t="shared" si="54"/>
        <v>Cumaru S4S E4E 4x4 Short</v>
      </c>
    </row>
    <row r="701" spans="1:20" x14ac:dyDescent="0.25">
      <c r="A701" t="s">
        <v>531</v>
      </c>
      <c r="B701" t="s">
        <v>1007</v>
      </c>
      <c r="C701" t="s">
        <v>524</v>
      </c>
      <c r="D701" t="s">
        <v>438</v>
      </c>
      <c r="E701" t="s">
        <v>1024</v>
      </c>
      <c r="F701" t="s">
        <v>1009</v>
      </c>
      <c r="G701" t="s">
        <v>531</v>
      </c>
      <c r="H701" t="s">
        <v>373</v>
      </c>
      <c r="I701" t="s">
        <v>289</v>
      </c>
      <c r="J701" t="s">
        <v>1010</v>
      </c>
      <c r="K701">
        <v>4</v>
      </c>
      <c r="L701" s="6">
        <v>1.2192000000000001</v>
      </c>
      <c r="M701" s="7">
        <v>88.9</v>
      </c>
      <c r="N701" s="7">
        <v>88.9</v>
      </c>
      <c r="O701" s="7">
        <f t="shared" si="51"/>
        <v>48.000000000000007</v>
      </c>
      <c r="P701" s="7">
        <f t="shared" si="52"/>
        <v>3.5000000000000004</v>
      </c>
      <c r="Q701" s="7">
        <f t="shared" si="52"/>
        <v>3.5000000000000004</v>
      </c>
      <c r="R701" s="6">
        <f t="shared" si="53"/>
        <v>415.12799999999999</v>
      </c>
      <c r="S701" s="6">
        <f t="shared" si="55"/>
        <v>9.6355936320000023E-3</v>
      </c>
      <c r="T701" t="str">
        <f t="shared" si="54"/>
        <v>Cumaru S4S E4E 4x4 Short</v>
      </c>
    </row>
    <row r="702" spans="1:20" x14ac:dyDescent="0.25">
      <c r="A702" t="s">
        <v>531</v>
      </c>
      <c r="B702" t="s">
        <v>1007</v>
      </c>
      <c r="C702" t="s">
        <v>524</v>
      </c>
      <c r="D702" t="s">
        <v>438</v>
      </c>
      <c r="E702" t="s">
        <v>1025</v>
      </c>
      <c r="F702" t="s">
        <v>1009</v>
      </c>
      <c r="G702" t="s">
        <v>531</v>
      </c>
      <c r="H702" t="s">
        <v>373</v>
      </c>
      <c r="I702" t="s">
        <v>289</v>
      </c>
      <c r="J702" t="s">
        <v>1010</v>
      </c>
      <c r="K702">
        <v>5</v>
      </c>
      <c r="L702" s="6">
        <v>1.524</v>
      </c>
      <c r="M702" s="7">
        <v>88.9</v>
      </c>
      <c r="N702" s="7">
        <v>88.9</v>
      </c>
      <c r="O702" s="7">
        <f t="shared" si="51"/>
        <v>60</v>
      </c>
      <c r="P702" s="7">
        <f t="shared" si="52"/>
        <v>3.5000000000000004</v>
      </c>
      <c r="Q702" s="7">
        <f t="shared" si="52"/>
        <v>3.5000000000000004</v>
      </c>
      <c r="R702" s="6">
        <f t="shared" si="53"/>
        <v>415.12799999999999</v>
      </c>
      <c r="S702" s="6">
        <f t="shared" si="55"/>
        <v>1.2044492040000004E-2</v>
      </c>
      <c r="T702" t="str">
        <f t="shared" si="54"/>
        <v>Cumaru S4S E4E 4x4 Short</v>
      </c>
    </row>
    <row r="703" spans="1:20" x14ac:dyDescent="0.25">
      <c r="A703" t="s">
        <v>531</v>
      </c>
      <c r="B703" t="s">
        <v>1007</v>
      </c>
      <c r="C703" t="s">
        <v>524</v>
      </c>
      <c r="D703" t="s">
        <v>438</v>
      </c>
      <c r="E703" t="s">
        <v>1026</v>
      </c>
      <c r="F703" t="s">
        <v>1009</v>
      </c>
      <c r="G703" t="s">
        <v>531</v>
      </c>
      <c r="H703" t="s">
        <v>373</v>
      </c>
      <c r="I703" t="s">
        <v>289</v>
      </c>
      <c r="J703" t="s">
        <v>1010</v>
      </c>
      <c r="K703">
        <v>6</v>
      </c>
      <c r="L703" s="6">
        <v>1.8288</v>
      </c>
      <c r="M703" s="7">
        <v>88.9</v>
      </c>
      <c r="N703" s="7">
        <v>88.9</v>
      </c>
      <c r="O703" s="7">
        <f t="shared" si="51"/>
        <v>72</v>
      </c>
      <c r="P703" s="7">
        <f t="shared" si="52"/>
        <v>3.5000000000000004</v>
      </c>
      <c r="Q703" s="7">
        <f t="shared" si="52"/>
        <v>3.5000000000000004</v>
      </c>
      <c r="R703" s="6">
        <f t="shared" si="53"/>
        <v>415.12799999999999</v>
      </c>
      <c r="S703" s="6">
        <f t="shared" si="55"/>
        <v>1.4453390448E-2</v>
      </c>
      <c r="T703" t="str">
        <f t="shared" si="54"/>
        <v>Cumaru S4S E4E 4x4 Short</v>
      </c>
    </row>
    <row r="704" spans="1:20" x14ac:dyDescent="0.25">
      <c r="A704" t="s">
        <v>531</v>
      </c>
      <c r="B704" t="s">
        <v>1007</v>
      </c>
      <c r="C704" t="s">
        <v>524</v>
      </c>
      <c r="D704" t="s">
        <v>438</v>
      </c>
      <c r="E704" t="s">
        <v>1027</v>
      </c>
      <c r="F704" t="s">
        <v>1009</v>
      </c>
      <c r="G704" t="s">
        <v>531</v>
      </c>
      <c r="H704" t="s">
        <v>373</v>
      </c>
      <c r="I704" t="s">
        <v>289</v>
      </c>
      <c r="J704" t="s">
        <v>1010</v>
      </c>
      <c r="K704">
        <v>7</v>
      </c>
      <c r="L704" s="6">
        <v>2.1335999999999999</v>
      </c>
      <c r="M704" s="7">
        <v>88.9</v>
      </c>
      <c r="N704" s="7">
        <v>88.9</v>
      </c>
      <c r="O704" s="7">
        <f t="shared" si="51"/>
        <v>84</v>
      </c>
      <c r="P704" s="7">
        <f t="shared" si="52"/>
        <v>3.5000000000000004</v>
      </c>
      <c r="Q704" s="7">
        <f t="shared" si="52"/>
        <v>3.5000000000000004</v>
      </c>
      <c r="R704" s="6">
        <f t="shared" si="53"/>
        <v>415.12799999999999</v>
      </c>
      <c r="S704" s="6">
        <f t="shared" si="55"/>
        <v>1.6862288856000003E-2</v>
      </c>
      <c r="T704" t="str">
        <f t="shared" si="54"/>
        <v>Cumaru S4S E4E 4x4 Short</v>
      </c>
    </row>
    <row r="705" spans="1:20" x14ac:dyDescent="0.25">
      <c r="A705" t="s">
        <v>531</v>
      </c>
      <c r="B705" t="s">
        <v>1007</v>
      </c>
      <c r="C705" t="s">
        <v>283</v>
      </c>
      <c r="D705" t="s">
        <v>438</v>
      </c>
      <c r="E705" t="s">
        <v>1028</v>
      </c>
      <c r="F705" t="s">
        <v>1009</v>
      </c>
      <c r="G705" t="s">
        <v>531</v>
      </c>
      <c r="H705" t="s">
        <v>373</v>
      </c>
      <c r="I705" t="s">
        <v>289</v>
      </c>
      <c r="J705" t="s">
        <v>1010</v>
      </c>
      <c r="K705">
        <v>8</v>
      </c>
      <c r="L705" s="6">
        <v>2.4384000000000001</v>
      </c>
      <c r="M705" s="7">
        <v>88.9</v>
      </c>
      <c r="N705" s="7">
        <v>88.9</v>
      </c>
      <c r="O705" s="7">
        <f t="shared" si="51"/>
        <v>96.000000000000014</v>
      </c>
      <c r="P705" s="7">
        <f t="shared" si="52"/>
        <v>3.5000000000000004</v>
      </c>
      <c r="Q705" s="7">
        <f t="shared" si="52"/>
        <v>3.5000000000000004</v>
      </c>
      <c r="R705" s="6">
        <f t="shared" si="53"/>
        <v>415.12799999999999</v>
      </c>
      <c r="S705" s="6">
        <f t="shared" si="55"/>
        <v>1.9271187264000005E-2</v>
      </c>
      <c r="T705" t="str">
        <f t="shared" si="54"/>
        <v>Cumaru S4S E4E 4x4 Long</v>
      </c>
    </row>
    <row r="706" spans="1:20" x14ac:dyDescent="0.25">
      <c r="A706" t="s">
        <v>531</v>
      </c>
      <c r="B706" t="s">
        <v>1007</v>
      </c>
      <c r="C706" t="s">
        <v>283</v>
      </c>
      <c r="D706" t="s">
        <v>438</v>
      </c>
      <c r="E706" t="s">
        <v>1029</v>
      </c>
      <c r="F706" t="s">
        <v>1009</v>
      </c>
      <c r="G706" t="s">
        <v>531</v>
      </c>
      <c r="H706" t="s">
        <v>373</v>
      </c>
      <c r="I706" t="s">
        <v>289</v>
      </c>
      <c r="J706" t="s">
        <v>1010</v>
      </c>
      <c r="K706">
        <v>9</v>
      </c>
      <c r="L706" s="6">
        <v>2.7431999999999999</v>
      </c>
      <c r="M706" s="7">
        <v>88.9</v>
      </c>
      <c r="N706" s="7">
        <v>88.9</v>
      </c>
      <c r="O706" s="7">
        <f t="shared" ref="O706:O769" si="56">L706/0.0254</f>
        <v>108</v>
      </c>
      <c r="P706" s="7">
        <f t="shared" ref="P706:Q769" si="57">M706/25.4</f>
        <v>3.5000000000000004</v>
      </c>
      <c r="Q706" s="7">
        <f t="shared" si="57"/>
        <v>3.5000000000000004</v>
      </c>
      <c r="R706" s="6">
        <f t="shared" ref="R706:R769" si="58">ROUND(IFERROR(1/((M706*N706*0.3048)/1000000),0),3)</f>
        <v>415.12799999999999</v>
      </c>
      <c r="S706" s="6">
        <f t="shared" si="55"/>
        <v>2.1680085672000003E-2</v>
      </c>
      <c r="T706" t="str">
        <f t="shared" ref="T706:T769" si="59">F706&amp;" "&amp;C706</f>
        <v>Cumaru S4S E4E 4x4 Long</v>
      </c>
    </row>
    <row r="707" spans="1:20" x14ac:dyDescent="0.25">
      <c r="A707" t="s">
        <v>531</v>
      </c>
      <c r="B707" t="s">
        <v>1030</v>
      </c>
      <c r="C707" t="s">
        <v>283</v>
      </c>
      <c r="D707" t="s">
        <v>438</v>
      </c>
      <c r="E707" t="s">
        <v>1031</v>
      </c>
      <c r="F707" t="s">
        <v>1032</v>
      </c>
      <c r="G707" t="s">
        <v>531</v>
      </c>
      <c r="H707" t="s">
        <v>373</v>
      </c>
      <c r="I707" t="s">
        <v>289</v>
      </c>
      <c r="J707" t="s">
        <v>1033</v>
      </c>
      <c r="K707">
        <v>10</v>
      </c>
      <c r="L707" s="6">
        <v>3.048</v>
      </c>
      <c r="M707" s="7">
        <v>88.9</v>
      </c>
      <c r="N707" s="7">
        <v>184.15</v>
      </c>
      <c r="O707" s="7">
        <f t="shared" si="56"/>
        <v>120</v>
      </c>
      <c r="P707" s="7">
        <f t="shared" si="57"/>
        <v>3.5000000000000004</v>
      </c>
      <c r="Q707" s="7">
        <f t="shared" si="57"/>
        <v>7.2500000000000009</v>
      </c>
      <c r="R707" s="6">
        <f t="shared" si="58"/>
        <v>200.40600000000001</v>
      </c>
      <c r="S707" s="6">
        <f t="shared" si="55"/>
        <v>4.9898609880000014E-2</v>
      </c>
      <c r="T707" t="str">
        <f t="shared" si="59"/>
        <v>Cumaru S4S E4E 4x8 Long</v>
      </c>
    </row>
    <row r="708" spans="1:20" x14ac:dyDescent="0.25">
      <c r="A708" t="s">
        <v>531</v>
      </c>
      <c r="B708" t="s">
        <v>1030</v>
      </c>
      <c r="C708" t="s">
        <v>283</v>
      </c>
      <c r="D708" t="s">
        <v>438</v>
      </c>
      <c r="E708" t="s">
        <v>1034</v>
      </c>
      <c r="F708" t="s">
        <v>1032</v>
      </c>
      <c r="G708" t="s">
        <v>531</v>
      </c>
      <c r="H708" t="s">
        <v>373</v>
      </c>
      <c r="I708" t="s">
        <v>289</v>
      </c>
      <c r="J708" t="s">
        <v>1033</v>
      </c>
      <c r="K708">
        <v>11</v>
      </c>
      <c r="L708" s="6">
        <v>3.3527999999999998</v>
      </c>
      <c r="M708" s="7">
        <v>88.9</v>
      </c>
      <c r="N708" s="7">
        <v>184.15</v>
      </c>
      <c r="O708" s="7">
        <f t="shared" si="56"/>
        <v>132</v>
      </c>
      <c r="P708" s="7">
        <f t="shared" si="57"/>
        <v>3.5000000000000004</v>
      </c>
      <c r="Q708" s="7">
        <f t="shared" si="57"/>
        <v>7.2500000000000009</v>
      </c>
      <c r="R708" s="6">
        <f t="shared" si="58"/>
        <v>200.40600000000001</v>
      </c>
      <c r="S708" s="6">
        <f t="shared" ref="S708:S771" si="60">L708*M708/1000*N708/1000</f>
        <v>5.4888470868E-2</v>
      </c>
      <c r="T708" t="str">
        <f t="shared" si="59"/>
        <v>Cumaru S4S E4E 4x8 Long</v>
      </c>
    </row>
    <row r="709" spans="1:20" x14ac:dyDescent="0.25">
      <c r="A709" t="s">
        <v>531</v>
      </c>
      <c r="B709" t="s">
        <v>1030</v>
      </c>
      <c r="C709" t="s">
        <v>283</v>
      </c>
      <c r="D709" t="s">
        <v>438</v>
      </c>
      <c r="E709" t="s">
        <v>1035</v>
      </c>
      <c r="F709" t="s">
        <v>1032</v>
      </c>
      <c r="G709" t="s">
        <v>531</v>
      </c>
      <c r="H709" t="s">
        <v>373</v>
      </c>
      <c r="I709" t="s">
        <v>289</v>
      </c>
      <c r="J709" t="s">
        <v>1033</v>
      </c>
      <c r="K709">
        <v>12</v>
      </c>
      <c r="L709" s="6">
        <v>3.6576</v>
      </c>
      <c r="M709" s="7">
        <v>88.9</v>
      </c>
      <c r="N709" s="7">
        <v>184.15</v>
      </c>
      <c r="O709" s="7">
        <f t="shared" si="56"/>
        <v>144</v>
      </c>
      <c r="P709" s="7">
        <f t="shared" si="57"/>
        <v>3.5000000000000004</v>
      </c>
      <c r="Q709" s="7">
        <f t="shared" si="57"/>
        <v>7.2500000000000009</v>
      </c>
      <c r="R709" s="6">
        <f t="shared" si="58"/>
        <v>200.40600000000001</v>
      </c>
      <c r="S709" s="6">
        <f t="shared" si="60"/>
        <v>5.9878331856E-2</v>
      </c>
      <c r="T709" t="str">
        <f t="shared" si="59"/>
        <v>Cumaru S4S E4E 4x8 Long</v>
      </c>
    </row>
    <row r="710" spans="1:20" x14ac:dyDescent="0.25">
      <c r="A710" t="s">
        <v>531</v>
      </c>
      <c r="B710" t="s">
        <v>1030</v>
      </c>
      <c r="C710" t="s">
        <v>283</v>
      </c>
      <c r="D710" t="s">
        <v>438</v>
      </c>
      <c r="E710" t="s">
        <v>1036</v>
      </c>
      <c r="F710" t="s">
        <v>1032</v>
      </c>
      <c r="G710" t="s">
        <v>531</v>
      </c>
      <c r="H710" t="s">
        <v>373</v>
      </c>
      <c r="I710" t="s">
        <v>289</v>
      </c>
      <c r="J710" t="s">
        <v>1033</v>
      </c>
      <c r="K710">
        <v>13</v>
      </c>
      <c r="L710" s="6">
        <v>3.9624000000000001</v>
      </c>
      <c r="M710" s="7">
        <v>88.9</v>
      </c>
      <c r="N710" s="7">
        <v>184.15</v>
      </c>
      <c r="O710" s="7">
        <f t="shared" si="56"/>
        <v>156</v>
      </c>
      <c r="P710" s="7">
        <f t="shared" si="57"/>
        <v>3.5000000000000004</v>
      </c>
      <c r="Q710" s="7">
        <f t="shared" si="57"/>
        <v>7.2500000000000009</v>
      </c>
      <c r="R710" s="6">
        <f t="shared" si="58"/>
        <v>200.40600000000001</v>
      </c>
      <c r="S710" s="6">
        <f t="shared" si="60"/>
        <v>6.4868192844000014E-2</v>
      </c>
      <c r="T710" t="str">
        <f t="shared" si="59"/>
        <v>Cumaru S4S E4E 4x8 Long</v>
      </c>
    </row>
    <row r="711" spans="1:20" x14ac:dyDescent="0.25">
      <c r="A711" t="s">
        <v>531</v>
      </c>
      <c r="B711" t="s">
        <v>1030</v>
      </c>
      <c r="C711" t="s">
        <v>283</v>
      </c>
      <c r="D711" t="s">
        <v>438</v>
      </c>
      <c r="E711" t="s">
        <v>1037</v>
      </c>
      <c r="F711" t="s">
        <v>1032</v>
      </c>
      <c r="G711" t="s">
        <v>531</v>
      </c>
      <c r="H711" t="s">
        <v>373</v>
      </c>
      <c r="I711" t="s">
        <v>289</v>
      </c>
      <c r="J711" t="s">
        <v>1033</v>
      </c>
      <c r="K711">
        <v>14</v>
      </c>
      <c r="L711" s="6">
        <v>4.2671999999999999</v>
      </c>
      <c r="M711" s="7">
        <v>88.9</v>
      </c>
      <c r="N711" s="7">
        <v>184.15</v>
      </c>
      <c r="O711" s="7">
        <f t="shared" si="56"/>
        <v>168</v>
      </c>
      <c r="P711" s="7">
        <f t="shared" si="57"/>
        <v>3.5000000000000004</v>
      </c>
      <c r="Q711" s="7">
        <f t="shared" si="57"/>
        <v>7.2500000000000009</v>
      </c>
      <c r="R711" s="6">
        <f t="shared" si="58"/>
        <v>200.40600000000001</v>
      </c>
      <c r="S711" s="6">
        <f t="shared" si="60"/>
        <v>6.9858053832000014E-2</v>
      </c>
      <c r="T711" t="str">
        <f t="shared" si="59"/>
        <v>Cumaru S4S E4E 4x8 Long</v>
      </c>
    </row>
    <row r="712" spans="1:20" x14ac:dyDescent="0.25">
      <c r="A712" t="s">
        <v>531</v>
      </c>
      <c r="B712" t="s">
        <v>1030</v>
      </c>
      <c r="C712" t="s">
        <v>283</v>
      </c>
      <c r="D712" t="s">
        <v>438</v>
      </c>
      <c r="E712" t="s">
        <v>1038</v>
      </c>
      <c r="F712" t="s">
        <v>1032</v>
      </c>
      <c r="G712" t="s">
        <v>531</v>
      </c>
      <c r="H712" t="s">
        <v>373</v>
      </c>
      <c r="I712" t="s">
        <v>289</v>
      </c>
      <c r="J712" t="s">
        <v>1033</v>
      </c>
      <c r="K712">
        <v>15</v>
      </c>
      <c r="L712" s="6">
        <v>4.5720000000000001</v>
      </c>
      <c r="M712" s="7">
        <v>88.9</v>
      </c>
      <c r="N712" s="7">
        <v>184.15</v>
      </c>
      <c r="O712" s="7">
        <f t="shared" si="56"/>
        <v>180</v>
      </c>
      <c r="P712" s="7">
        <f t="shared" si="57"/>
        <v>3.5000000000000004</v>
      </c>
      <c r="Q712" s="7">
        <f t="shared" si="57"/>
        <v>7.2500000000000009</v>
      </c>
      <c r="R712" s="6">
        <f t="shared" si="58"/>
        <v>200.40600000000001</v>
      </c>
      <c r="S712" s="6">
        <f t="shared" si="60"/>
        <v>7.484791482E-2</v>
      </c>
      <c r="T712" t="str">
        <f t="shared" si="59"/>
        <v>Cumaru S4S E4E 4x8 Long</v>
      </c>
    </row>
    <row r="713" spans="1:20" x14ac:dyDescent="0.25">
      <c r="A713" t="s">
        <v>531</v>
      </c>
      <c r="B713" t="s">
        <v>1030</v>
      </c>
      <c r="C713" t="s">
        <v>283</v>
      </c>
      <c r="D713" t="s">
        <v>438</v>
      </c>
      <c r="E713" t="s">
        <v>1039</v>
      </c>
      <c r="F713" t="s">
        <v>1032</v>
      </c>
      <c r="G713" t="s">
        <v>531</v>
      </c>
      <c r="H713" t="s">
        <v>373</v>
      </c>
      <c r="I713" t="s">
        <v>289</v>
      </c>
      <c r="J713" t="s">
        <v>1033</v>
      </c>
      <c r="K713">
        <v>16</v>
      </c>
      <c r="L713" s="6">
        <v>4.8768000000000002</v>
      </c>
      <c r="M713" s="7">
        <v>88.9</v>
      </c>
      <c r="N713" s="7">
        <v>184.15</v>
      </c>
      <c r="O713" s="7">
        <f t="shared" si="56"/>
        <v>192.00000000000003</v>
      </c>
      <c r="P713" s="7">
        <f t="shared" si="57"/>
        <v>3.5000000000000004</v>
      </c>
      <c r="Q713" s="7">
        <f t="shared" si="57"/>
        <v>7.2500000000000009</v>
      </c>
      <c r="R713" s="6">
        <f t="shared" si="58"/>
        <v>200.40600000000001</v>
      </c>
      <c r="S713" s="6">
        <f t="shared" si="60"/>
        <v>7.9837775808000014E-2</v>
      </c>
      <c r="T713" t="str">
        <f t="shared" si="59"/>
        <v>Cumaru S4S E4E 4x8 Long</v>
      </c>
    </row>
    <row r="714" spans="1:20" x14ac:dyDescent="0.25">
      <c r="A714" t="s">
        <v>531</v>
      </c>
      <c r="B714" t="s">
        <v>1030</v>
      </c>
      <c r="C714" t="s">
        <v>283</v>
      </c>
      <c r="D714" t="s">
        <v>438</v>
      </c>
      <c r="E714" t="s">
        <v>1040</v>
      </c>
      <c r="F714" t="s">
        <v>1032</v>
      </c>
      <c r="G714" t="s">
        <v>531</v>
      </c>
      <c r="H714" t="s">
        <v>373</v>
      </c>
      <c r="I714" t="s">
        <v>289</v>
      </c>
      <c r="J714" t="s">
        <v>1033</v>
      </c>
      <c r="K714">
        <v>17</v>
      </c>
      <c r="L714" s="6">
        <v>5.1816000000000004</v>
      </c>
      <c r="M714" s="7">
        <v>88.9</v>
      </c>
      <c r="N714" s="7">
        <v>184.15</v>
      </c>
      <c r="O714" s="7">
        <f t="shared" si="56"/>
        <v>204.00000000000003</v>
      </c>
      <c r="P714" s="7">
        <f t="shared" si="57"/>
        <v>3.5000000000000004</v>
      </c>
      <c r="Q714" s="7">
        <f t="shared" si="57"/>
        <v>7.2500000000000009</v>
      </c>
      <c r="R714" s="6">
        <f t="shared" si="58"/>
        <v>200.40600000000001</v>
      </c>
      <c r="S714" s="6">
        <f t="shared" si="60"/>
        <v>8.4827636796000028E-2</v>
      </c>
      <c r="T714" t="str">
        <f t="shared" si="59"/>
        <v>Cumaru S4S E4E 4x8 Long</v>
      </c>
    </row>
    <row r="715" spans="1:20" x14ac:dyDescent="0.25">
      <c r="A715" t="s">
        <v>531</v>
      </c>
      <c r="B715" t="s">
        <v>1030</v>
      </c>
      <c r="C715" t="s">
        <v>283</v>
      </c>
      <c r="D715" t="s">
        <v>438</v>
      </c>
      <c r="E715" t="s">
        <v>1041</v>
      </c>
      <c r="F715" t="s">
        <v>1032</v>
      </c>
      <c r="G715" t="s">
        <v>531</v>
      </c>
      <c r="H715" t="s">
        <v>373</v>
      </c>
      <c r="I715" t="s">
        <v>289</v>
      </c>
      <c r="J715" t="s">
        <v>1033</v>
      </c>
      <c r="K715">
        <v>18</v>
      </c>
      <c r="L715" s="6">
        <v>5.4863999999999997</v>
      </c>
      <c r="M715" s="7">
        <v>88.9</v>
      </c>
      <c r="N715" s="7">
        <v>184.15</v>
      </c>
      <c r="O715" s="7">
        <f t="shared" si="56"/>
        <v>216</v>
      </c>
      <c r="P715" s="7">
        <f t="shared" si="57"/>
        <v>3.5000000000000004</v>
      </c>
      <c r="Q715" s="7">
        <f t="shared" si="57"/>
        <v>7.2500000000000009</v>
      </c>
      <c r="R715" s="6">
        <f t="shared" si="58"/>
        <v>200.40600000000001</v>
      </c>
      <c r="S715" s="6">
        <f t="shared" si="60"/>
        <v>8.9817497784000014E-2</v>
      </c>
      <c r="T715" t="str">
        <f t="shared" si="59"/>
        <v>Cumaru S4S E4E 4x8 Long</v>
      </c>
    </row>
    <row r="716" spans="1:20" x14ac:dyDescent="0.25">
      <c r="A716" t="s">
        <v>531</v>
      </c>
      <c r="B716" t="s">
        <v>1030</v>
      </c>
      <c r="C716" t="s">
        <v>283</v>
      </c>
      <c r="D716" t="s">
        <v>438</v>
      </c>
      <c r="E716" t="s">
        <v>1042</v>
      </c>
      <c r="F716" t="s">
        <v>1032</v>
      </c>
      <c r="G716" t="s">
        <v>531</v>
      </c>
      <c r="H716" t="s">
        <v>373</v>
      </c>
      <c r="I716" t="s">
        <v>289</v>
      </c>
      <c r="J716" t="s">
        <v>1033</v>
      </c>
      <c r="K716">
        <v>19</v>
      </c>
      <c r="L716" s="6">
        <v>5.7911999999999999</v>
      </c>
      <c r="M716" s="7">
        <v>88.9</v>
      </c>
      <c r="N716" s="7">
        <v>184.15</v>
      </c>
      <c r="O716" s="7">
        <f t="shared" si="56"/>
        <v>228</v>
      </c>
      <c r="P716" s="7">
        <f t="shared" si="57"/>
        <v>3.5000000000000004</v>
      </c>
      <c r="Q716" s="7">
        <f t="shared" si="57"/>
        <v>7.2500000000000009</v>
      </c>
      <c r="R716" s="6">
        <f t="shared" si="58"/>
        <v>200.40600000000001</v>
      </c>
      <c r="S716" s="6">
        <f t="shared" si="60"/>
        <v>9.4807358772E-2</v>
      </c>
      <c r="T716" t="str">
        <f t="shared" si="59"/>
        <v>Cumaru S4S E4E 4x8 Long</v>
      </c>
    </row>
    <row r="717" spans="1:20" x14ac:dyDescent="0.25">
      <c r="A717" t="s">
        <v>531</v>
      </c>
      <c r="B717" t="s">
        <v>1030</v>
      </c>
      <c r="C717" t="s">
        <v>283</v>
      </c>
      <c r="D717" t="s">
        <v>438</v>
      </c>
      <c r="E717" t="s">
        <v>1043</v>
      </c>
      <c r="F717" t="s">
        <v>1032</v>
      </c>
      <c r="G717" t="s">
        <v>531</v>
      </c>
      <c r="H717" t="s">
        <v>373</v>
      </c>
      <c r="I717" t="s">
        <v>289</v>
      </c>
      <c r="J717" t="s">
        <v>1033</v>
      </c>
      <c r="K717">
        <v>20</v>
      </c>
      <c r="L717" s="6">
        <v>6.0960000000000001</v>
      </c>
      <c r="M717" s="7">
        <v>88.9</v>
      </c>
      <c r="N717" s="7">
        <v>184.15</v>
      </c>
      <c r="O717" s="7">
        <f t="shared" si="56"/>
        <v>240</v>
      </c>
      <c r="P717" s="7">
        <f t="shared" si="57"/>
        <v>3.5000000000000004</v>
      </c>
      <c r="Q717" s="7">
        <f t="shared" si="57"/>
        <v>7.2500000000000009</v>
      </c>
      <c r="R717" s="6">
        <f t="shared" si="58"/>
        <v>200.40600000000001</v>
      </c>
      <c r="S717" s="6">
        <f t="shared" si="60"/>
        <v>9.9797219760000028E-2</v>
      </c>
      <c r="T717" t="str">
        <f t="shared" si="59"/>
        <v>Cumaru S4S E4E 4x8 Long</v>
      </c>
    </row>
    <row r="718" spans="1:20" x14ac:dyDescent="0.25">
      <c r="A718" t="s">
        <v>531</v>
      </c>
      <c r="B718" t="s">
        <v>1030</v>
      </c>
      <c r="C718" t="s">
        <v>283</v>
      </c>
      <c r="D718" t="s">
        <v>438</v>
      </c>
      <c r="E718" t="s">
        <v>1044</v>
      </c>
      <c r="F718" t="s">
        <v>1032</v>
      </c>
      <c r="G718" t="s">
        <v>531</v>
      </c>
      <c r="H718" t="s">
        <v>373</v>
      </c>
      <c r="I718" t="s">
        <v>289</v>
      </c>
      <c r="J718" t="s">
        <v>1033</v>
      </c>
      <c r="K718">
        <v>21</v>
      </c>
      <c r="L718" s="6">
        <v>6.4008000000000003</v>
      </c>
      <c r="M718" s="7">
        <v>88.9</v>
      </c>
      <c r="N718" s="7">
        <v>184.15</v>
      </c>
      <c r="O718" s="7">
        <f t="shared" si="56"/>
        <v>252.00000000000003</v>
      </c>
      <c r="P718" s="7">
        <f t="shared" si="57"/>
        <v>3.5000000000000004</v>
      </c>
      <c r="Q718" s="7">
        <f t="shared" si="57"/>
        <v>7.2500000000000009</v>
      </c>
      <c r="R718" s="6">
        <f t="shared" si="58"/>
        <v>200.40600000000001</v>
      </c>
      <c r="S718" s="6">
        <f t="shared" si="60"/>
        <v>0.10478708074800003</v>
      </c>
      <c r="T718" t="str">
        <f t="shared" si="59"/>
        <v>Cumaru S4S E4E 4x8 Long</v>
      </c>
    </row>
    <row r="719" spans="1:20" x14ac:dyDescent="0.25">
      <c r="A719" t="s">
        <v>531</v>
      </c>
      <c r="B719" t="s">
        <v>1030</v>
      </c>
      <c r="C719" t="s">
        <v>283</v>
      </c>
      <c r="D719" t="s">
        <v>438</v>
      </c>
      <c r="E719" t="s">
        <v>1045</v>
      </c>
      <c r="F719" t="s">
        <v>1032</v>
      </c>
      <c r="G719" t="s">
        <v>531</v>
      </c>
      <c r="H719" t="s">
        <v>373</v>
      </c>
      <c r="I719" t="s">
        <v>289</v>
      </c>
      <c r="J719" t="s">
        <v>1033</v>
      </c>
      <c r="K719">
        <v>22</v>
      </c>
      <c r="L719" s="6">
        <v>6.7055999999999996</v>
      </c>
      <c r="M719" s="7">
        <v>88.9</v>
      </c>
      <c r="N719" s="7">
        <v>184.15</v>
      </c>
      <c r="O719" s="7">
        <f t="shared" si="56"/>
        <v>264</v>
      </c>
      <c r="P719" s="7">
        <f t="shared" si="57"/>
        <v>3.5000000000000004</v>
      </c>
      <c r="Q719" s="7">
        <f t="shared" si="57"/>
        <v>7.2500000000000009</v>
      </c>
      <c r="R719" s="6">
        <f t="shared" si="58"/>
        <v>200.40600000000001</v>
      </c>
      <c r="S719" s="6">
        <f t="shared" si="60"/>
        <v>0.109776941736</v>
      </c>
      <c r="T719" t="str">
        <f t="shared" si="59"/>
        <v>Cumaru S4S E4E 4x8 Long</v>
      </c>
    </row>
    <row r="720" spans="1:20" x14ac:dyDescent="0.25">
      <c r="A720" t="s">
        <v>531</v>
      </c>
      <c r="B720" t="s">
        <v>1030</v>
      </c>
      <c r="C720" t="s">
        <v>283</v>
      </c>
      <c r="D720" t="s">
        <v>438</v>
      </c>
      <c r="E720" t="s">
        <v>1046</v>
      </c>
      <c r="F720" t="s">
        <v>1032</v>
      </c>
      <c r="G720" t="s">
        <v>531</v>
      </c>
      <c r="H720" t="s">
        <v>373</v>
      </c>
      <c r="I720" t="s">
        <v>289</v>
      </c>
      <c r="J720" t="s">
        <v>1033</v>
      </c>
      <c r="K720">
        <v>23</v>
      </c>
      <c r="L720" s="6">
        <v>7.0103999999999997</v>
      </c>
      <c r="M720" s="7">
        <v>88.9</v>
      </c>
      <c r="N720" s="7">
        <v>184.15</v>
      </c>
      <c r="O720" s="7">
        <f t="shared" si="56"/>
        <v>276</v>
      </c>
      <c r="P720" s="7">
        <f t="shared" si="57"/>
        <v>3.5000000000000004</v>
      </c>
      <c r="Q720" s="7">
        <f t="shared" si="57"/>
        <v>7.2500000000000009</v>
      </c>
      <c r="R720" s="6">
        <f t="shared" si="58"/>
        <v>200.40600000000001</v>
      </c>
      <c r="S720" s="6">
        <f t="shared" si="60"/>
        <v>0.11476680272400001</v>
      </c>
      <c r="T720" t="str">
        <f t="shared" si="59"/>
        <v>Cumaru S4S E4E 4x8 Long</v>
      </c>
    </row>
    <row r="721" spans="1:20" x14ac:dyDescent="0.25">
      <c r="A721" t="s">
        <v>531</v>
      </c>
      <c r="B721" t="s">
        <v>1030</v>
      </c>
      <c r="C721" t="s">
        <v>283</v>
      </c>
      <c r="D721" t="s">
        <v>438</v>
      </c>
      <c r="E721" t="s">
        <v>1047</v>
      </c>
      <c r="F721" t="s">
        <v>1032</v>
      </c>
      <c r="G721" t="s">
        <v>531</v>
      </c>
      <c r="H721" t="s">
        <v>373</v>
      </c>
      <c r="I721" t="s">
        <v>289</v>
      </c>
      <c r="J721" t="s">
        <v>1033</v>
      </c>
      <c r="K721">
        <v>24</v>
      </c>
      <c r="L721" s="6">
        <v>7.3152000000000008</v>
      </c>
      <c r="M721" s="7">
        <v>88.9</v>
      </c>
      <c r="N721" s="7">
        <v>184.15</v>
      </c>
      <c r="O721" s="7">
        <f t="shared" si="56"/>
        <v>288.00000000000006</v>
      </c>
      <c r="P721" s="7">
        <f t="shared" si="57"/>
        <v>3.5000000000000004</v>
      </c>
      <c r="Q721" s="7">
        <f t="shared" si="57"/>
        <v>7.2500000000000009</v>
      </c>
      <c r="R721" s="6">
        <f t="shared" si="58"/>
        <v>200.40600000000001</v>
      </c>
      <c r="S721" s="6">
        <f t="shared" si="60"/>
        <v>0.11975666371200001</v>
      </c>
      <c r="T721" t="str">
        <f t="shared" si="59"/>
        <v>Cumaru S4S E4E 4x8 Long</v>
      </c>
    </row>
    <row r="722" spans="1:20" x14ac:dyDescent="0.25">
      <c r="A722" t="s">
        <v>531</v>
      </c>
      <c r="B722" t="s">
        <v>1030</v>
      </c>
      <c r="C722" t="s">
        <v>524</v>
      </c>
      <c r="D722" t="s">
        <v>438</v>
      </c>
      <c r="E722" t="s">
        <v>1048</v>
      </c>
      <c r="F722" t="s">
        <v>1032</v>
      </c>
      <c r="G722" t="s">
        <v>531</v>
      </c>
      <c r="H722" t="s">
        <v>373</v>
      </c>
      <c r="I722" t="s">
        <v>289</v>
      </c>
      <c r="J722" t="s">
        <v>1033</v>
      </c>
      <c r="K722">
        <v>3</v>
      </c>
      <c r="L722" s="6">
        <v>0.91439999999999999</v>
      </c>
      <c r="M722" s="7">
        <v>88.9</v>
      </c>
      <c r="N722" s="7">
        <v>184.15</v>
      </c>
      <c r="O722" s="7">
        <f t="shared" si="56"/>
        <v>36</v>
      </c>
      <c r="P722" s="7">
        <f t="shared" si="57"/>
        <v>3.5000000000000004</v>
      </c>
      <c r="Q722" s="7">
        <f t="shared" si="57"/>
        <v>7.2500000000000009</v>
      </c>
      <c r="R722" s="6">
        <f t="shared" si="58"/>
        <v>200.40600000000001</v>
      </c>
      <c r="S722" s="6">
        <f t="shared" si="60"/>
        <v>1.4969582964E-2</v>
      </c>
      <c r="T722" t="str">
        <f t="shared" si="59"/>
        <v>Cumaru S4S E4E 4x8 Short</v>
      </c>
    </row>
    <row r="723" spans="1:20" x14ac:dyDescent="0.25">
      <c r="A723" t="s">
        <v>531</v>
      </c>
      <c r="B723" t="s">
        <v>1030</v>
      </c>
      <c r="C723" t="s">
        <v>524</v>
      </c>
      <c r="D723" t="s">
        <v>438</v>
      </c>
      <c r="E723" t="s">
        <v>1049</v>
      </c>
      <c r="F723" t="s">
        <v>1032</v>
      </c>
      <c r="G723" t="s">
        <v>531</v>
      </c>
      <c r="H723" t="s">
        <v>373</v>
      </c>
      <c r="I723" t="s">
        <v>289</v>
      </c>
      <c r="J723" t="s">
        <v>1033</v>
      </c>
      <c r="K723">
        <v>4</v>
      </c>
      <c r="L723" s="6">
        <v>1.2192000000000001</v>
      </c>
      <c r="M723" s="7">
        <v>88.9</v>
      </c>
      <c r="N723" s="7">
        <v>184.15</v>
      </c>
      <c r="O723" s="7">
        <f t="shared" si="56"/>
        <v>48.000000000000007</v>
      </c>
      <c r="P723" s="7">
        <f t="shared" si="57"/>
        <v>3.5000000000000004</v>
      </c>
      <c r="Q723" s="7">
        <f t="shared" si="57"/>
        <v>7.2500000000000009</v>
      </c>
      <c r="R723" s="6">
        <f t="shared" si="58"/>
        <v>200.40600000000001</v>
      </c>
      <c r="S723" s="6">
        <f t="shared" si="60"/>
        <v>1.9959443952000003E-2</v>
      </c>
      <c r="T723" t="str">
        <f t="shared" si="59"/>
        <v>Cumaru S4S E4E 4x8 Short</v>
      </c>
    </row>
    <row r="724" spans="1:20" x14ac:dyDescent="0.25">
      <c r="A724" t="s">
        <v>531</v>
      </c>
      <c r="B724" t="s">
        <v>1030</v>
      </c>
      <c r="C724" t="s">
        <v>524</v>
      </c>
      <c r="D724" t="s">
        <v>438</v>
      </c>
      <c r="E724" t="s">
        <v>1050</v>
      </c>
      <c r="F724" t="s">
        <v>1032</v>
      </c>
      <c r="G724" t="s">
        <v>531</v>
      </c>
      <c r="H724" t="s">
        <v>373</v>
      </c>
      <c r="I724" t="s">
        <v>289</v>
      </c>
      <c r="J724" t="s">
        <v>1033</v>
      </c>
      <c r="K724">
        <v>5</v>
      </c>
      <c r="L724" s="6">
        <v>1.524</v>
      </c>
      <c r="M724" s="7">
        <v>88.9</v>
      </c>
      <c r="N724" s="7">
        <v>184.15</v>
      </c>
      <c r="O724" s="7">
        <f t="shared" si="56"/>
        <v>60</v>
      </c>
      <c r="P724" s="7">
        <f t="shared" si="57"/>
        <v>3.5000000000000004</v>
      </c>
      <c r="Q724" s="7">
        <f t="shared" si="57"/>
        <v>7.2500000000000009</v>
      </c>
      <c r="R724" s="6">
        <f t="shared" si="58"/>
        <v>200.40600000000001</v>
      </c>
      <c r="S724" s="6">
        <f t="shared" si="60"/>
        <v>2.4949304940000007E-2</v>
      </c>
      <c r="T724" t="str">
        <f t="shared" si="59"/>
        <v>Cumaru S4S E4E 4x8 Short</v>
      </c>
    </row>
    <row r="725" spans="1:20" x14ac:dyDescent="0.25">
      <c r="A725" t="s">
        <v>531</v>
      </c>
      <c r="B725" t="s">
        <v>1030</v>
      </c>
      <c r="C725" t="s">
        <v>524</v>
      </c>
      <c r="D725" t="s">
        <v>438</v>
      </c>
      <c r="E725" t="s">
        <v>1051</v>
      </c>
      <c r="F725" t="s">
        <v>1032</v>
      </c>
      <c r="G725" t="s">
        <v>531</v>
      </c>
      <c r="H725" t="s">
        <v>373</v>
      </c>
      <c r="I725" t="s">
        <v>289</v>
      </c>
      <c r="J725" t="s">
        <v>1033</v>
      </c>
      <c r="K725">
        <v>6</v>
      </c>
      <c r="L725" s="6">
        <v>1.8288</v>
      </c>
      <c r="M725" s="7">
        <v>88.9</v>
      </c>
      <c r="N725" s="7">
        <v>184.15</v>
      </c>
      <c r="O725" s="7">
        <f t="shared" si="56"/>
        <v>72</v>
      </c>
      <c r="P725" s="7">
        <f t="shared" si="57"/>
        <v>3.5000000000000004</v>
      </c>
      <c r="Q725" s="7">
        <f t="shared" si="57"/>
        <v>7.2500000000000009</v>
      </c>
      <c r="R725" s="6">
        <f t="shared" si="58"/>
        <v>200.40600000000001</v>
      </c>
      <c r="S725" s="6">
        <f t="shared" si="60"/>
        <v>2.9939165928E-2</v>
      </c>
      <c r="T725" t="str">
        <f t="shared" si="59"/>
        <v>Cumaru S4S E4E 4x8 Short</v>
      </c>
    </row>
    <row r="726" spans="1:20" x14ac:dyDescent="0.25">
      <c r="A726" t="s">
        <v>531</v>
      </c>
      <c r="B726" t="s">
        <v>1030</v>
      </c>
      <c r="C726" t="s">
        <v>524</v>
      </c>
      <c r="D726" t="s">
        <v>438</v>
      </c>
      <c r="E726" t="s">
        <v>1052</v>
      </c>
      <c r="F726" t="s">
        <v>1032</v>
      </c>
      <c r="G726" t="s">
        <v>531</v>
      </c>
      <c r="H726" t="s">
        <v>373</v>
      </c>
      <c r="I726" t="s">
        <v>289</v>
      </c>
      <c r="J726" t="s">
        <v>1033</v>
      </c>
      <c r="K726">
        <v>7</v>
      </c>
      <c r="L726" s="6">
        <v>2.1335999999999999</v>
      </c>
      <c r="M726" s="7">
        <v>88.9</v>
      </c>
      <c r="N726" s="7">
        <v>184.15</v>
      </c>
      <c r="O726" s="7">
        <f t="shared" si="56"/>
        <v>84</v>
      </c>
      <c r="P726" s="7">
        <f t="shared" si="57"/>
        <v>3.5000000000000004</v>
      </c>
      <c r="Q726" s="7">
        <f t="shared" si="57"/>
        <v>7.2500000000000009</v>
      </c>
      <c r="R726" s="6">
        <f t="shared" si="58"/>
        <v>200.40600000000001</v>
      </c>
      <c r="S726" s="6">
        <f t="shared" si="60"/>
        <v>3.4929026916000007E-2</v>
      </c>
      <c r="T726" t="str">
        <f t="shared" si="59"/>
        <v>Cumaru S4S E4E 4x8 Short</v>
      </c>
    </row>
    <row r="727" spans="1:20" x14ac:dyDescent="0.25">
      <c r="A727" t="s">
        <v>531</v>
      </c>
      <c r="B727" t="s">
        <v>1030</v>
      </c>
      <c r="C727" t="s">
        <v>283</v>
      </c>
      <c r="D727" t="s">
        <v>438</v>
      </c>
      <c r="E727" t="s">
        <v>1053</v>
      </c>
      <c r="F727" t="s">
        <v>1032</v>
      </c>
      <c r="G727" t="s">
        <v>531</v>
      </c>
      <c r="H727" t="s">
        <v>373</v>
      </c>
      <c r="I727" t="s">
        <v>289</v>
      </c>
      <c r="J727" t="s">
        <v>1033</v>
      </c>
      <c r="K727">
        <v>8</v>
      </c>
      <c r="L727" s="6">
        <v>2.4384000000000001</v>
      </c>
      <c r="M727" s="7">
        <v>88.9</v>
      </c>
      <c r="N727" s="7">
        <v>184.15</v>
      </c>
      <c r="O727" s="7">
        <f t="shared" si="56"/>
        <v>96.000000000000014</v>
      </c>
      <c r="P727" s="7">
        <f t="shared" si="57"/>
        <v>3.5000000000000004</v>
      </c>
      <c r="Q727" s="7">
        <f t="shared" si="57"/>
        <v>7.2500000000000009</v>
      </c>
      <c r="R727" s="6">
        <f t="shared" si="58"/>
        <v>200.40600000000001</v>
      </c>
      <c r="S727" s="6">
        <f t="shared" si="60"/>
        <v>3.9918887904000007E-2</v>
      </c>
      <c r="T727" t="str">
        <f t="shared" si="59"/>
        <v>Cumaru S4S E4E 4x8 Long</v>
      </c>
    </row>
    <row r="728" spans="1:20" x14ac:dyDescent="0.25">
      <c r="A728" t="s">
        <v>531</v>
      </c>
      <c r="B728" t="s">
        <v>1030</v>
      </c>
      <c r="C728" t="s">
        <v>283</v>
      </c>
      <c r="D728" t="s">
        <v>438</v>
      </c>
      <c r="E728" t="s">
        <v>1054</v>
      </c>
      <c r="F728" t="s">
        <v>1032</v>
      </c>
      <c r="G728" t="s">
        <v>531</v>
      </c>
      <c r="H728" t="s">
        <v>373</v>
      </c>
      <c r="I728" t="s">
        <v>289</v>
      </c>
      <c r="J728" t="s">
        <v>1033</v>
      </c>
      <c r="K728">
        <v>9</v>
      </c>
      <c r="L728" s="6">
        <v>2.7431999999999999</v>
      </c>
      <c r="M728" s="7">
        <v>88.9</v>
      </c>
      <c r="N728" s="7">
        <v>184.15</v>
      </c>
      <c r="O728" s="7">
        <f t="shared" si="56"/>
        <v>108</v>
      </c>
      <c r="P728" s="7">
        <f t="shared" si="57"/>
        <v>3.5000000000000004</v>
      </c>
      <c r="Q728" s="7">
        <f t="shared" si="57"/>
        <v>7.2500000000000009</v>
      </c>
      <c r="R728" s="6">
        <f t="shared" si="58"/>
        <v>200.40600000000001</v>
      </c>
      <c r="S728" s="6">
        <f t="shared" si="60"/>
        <v>4.4908748892000007E-2</v>
      </c>
      <c r="T728" t="str">
        <f t="shared" si="59"/>
        <v>Cumaru S4S E4E 4x8 Long</v>
      </c>
    </row>
    <row r="729" spans="1:20" x14ac:dyDescent="0.25">
      <c r="A729" t="s">
        <v>531</v>
      </c>
      <c r="B729" t="s">
        <v>1055</v>
      </c>
      <c r="C729" t="s">
        <v>283</v>
      </c>
      <c r="D729" t="s">
        <v>438</v>
      </c>
      <c r="E729" t="s">
        <v>1056</v>
      </c>
      <c r="F729" t="s">
        <v>1057</v>
      </c>
      <c r="G729" t="s">
        <v>531</v>
      </c>
      <c r="H729" t="s">
        <v>373</v>
      </c>
      <c r="I729" t="s">
        <v>289</v>
      </c>
      <c r="J729" t="s">
        <v>1058</v>
      </c>
      <c r="K729">
        <v>10</v>
      </c>
      <c r="L729" s="6">
        <v>3.048</v>
      </c>
      <c r="M729" s="7">
        <v>25.4</v>
      </c>
      <c r="N729" s="7">
        <v>234.95</v>
      </c>
      <c r="O729" s="7">
        <f t="shared" si="56"/>
        <v>120</v>
      </c>
      <c r="P729" s="7">
        <f t="shared" si="57"/>
        <v>1</v>
      </c>
      <c r="Q729" s="7">
        <f t="shared" si="57"/>
        <v>9.25</v>
      </c>
      <c r="R729" s="6">
        <f t="shared" si="58"/>
        <v>549.76300000000003</v>
      </c>
      <c r="S729" s="6">
        <f t="shared" si="60"/>
        <v>1.8189641040000003E-2</v>
      </c>
      <c r="T729" t="str">
        <f t="shared" si="59"/>
        <v>Cumaru S4S E4E 5/4x10 Long</v>
      </c>
    </row>
    <row r="730" spans="1:20" x14ac:dyDescent="0.25">
      <c r="A730" t="s">
        <v>531</v>
      </c>
      <c r="B730" t="s">
        <v>1055</v>
      </c>
      <c r="C730" t="s">
        <v>283</v>
      </c>
      <c r="D730" t="s">
        <v>438</v>
      </c>
      <c r="E730" t="s">
        <v>1059</v>
      </c>
      <c r="F730" t="s">
        <v>1057</v>
      </c>
      <c r="G730" t="s">
        <v>531</v>
      </c>
      <c r="H730" t="s">
        <v>373</v>
      </c>
      <c r="I730" t="s">
        <v>289</v>
      </c>
      <c r="J730" t="s">
        <v>1058</v>
      </c>
      <c r="K730">
        <v>11</v>
      </c>
      <c r="L730" s="6">
        <v>3.3527999999999998</v>
      </c>
      <c r="M730" s="7">
        <v>25.4</v>
      </c>
      <c r="N730" s="7">
        <v>234.95</v>
      </c>
      <c r="O730" s="7">
        <f t="shared" si="56"/>
        <v>132</v>
      </c>
      <c r="P730" s="7">
        <f t="shared" si="57"/>
        <v>1</v>
      </c>
      <c r="Q730" s="7">
        <f t="shared" si="57"/>
        <v>9.25</v>
      </c>
      <c r="R730" s="6">
        <f t="shared" si="58"/>
        <v>549.76300000000003</v>
      </c>
      <c r="S730" s="6">
        <f t="shared" si="60"/>
        <v>2.0008605143999995E-2</v>
      </c>
      <c r="T730" t="str">
        <f t="shared" si="59"/>
        <v>Cumaru S4S E4E 5/4x10 Long</v>
      </c>
    </row>
    <row r="731" spans="1:20" x14ac:dyDescent="0.25">
      <c r="A731" t="s">
        <v>531</v>
      </c>
      <c r="B731" t="s">
        <v>1055</v>
      </c>
      <c r="C731" t="s">
        <v>283</v>
      </c>
      <c r="D731" t="s">
        <v>438</v>
      </c>
      <c r="E731" t="s">
        <v>1060</v>
      </c>
      <c r="F731" t="s">
        <v>1057</v>
      </c>
      <c r="G731" t="s">
        <v>531</v>
      </c>
      <c r="H731" t="s">
        <v>373</v>
      </c>
      <c r="I731" t="s">
        <v>289</v>
      </c>
      <c r="J731" t="s">
        <v>1058</v>
      </c>
      <c r="K731">
        <v>12</v>
      </c>
      <c r="L731" s="6">
        <v>3.6576</v>
      </c>
      <c r="M731" s="7">
        <v>25.4</v>
      </c>
      <c r="N731" s="7">
        <v>234.95</v>
      </c>
      <c r="O731" s="7">
        <f t="shared" si="56"/>
        <v>144</v>
      </c>
      <c r="P731" s="7">
        <f t="shared" si="57"/>
        <v>1</v>
      </c>
      <c r="Q731" s="7">
        <f t="shared" si="57"/>
        <v>9.25</v>
      </c>
      <c r="R731" s="6">
        <f t="shared" si="58"/>
        <v>549.76300000000003</v>
      </c>
      <c r="S731" s="6">
        <f t="shared" si="60"/>
        <v>2.1827569247999997E-2</v>
      </c>
      <c r="T731" t="str">
        <f t="shared" si="59"/>
        <v>Cumaru S4S E4E 5/4x10 Long</v>
      </c>
    </row>
    <row r="732" spans="1:20" x14ac:dyDescent="0.25">
      <c r="A732" t="s">
        <v>531</v>
      </c>
      <c r="B732" t="s">
        <v>1055</v>
      </c>
      <c r="C732" t="s">
        <v>283</v>
      </c>
      <c r="D732" t="s">
        <v>438</v>
      </c>
      <c r="E732" t="s">
        <v>1061</v>
      </c>
      <c r="F732" t="s">
        <v>1057</v>
      </c>
      <c r="G732" t="s">
        <v>531</v>
      </c>
      <c r="H732" t="s">
        <v>373</v>
      </c>
      <c r="I732" t="s">
        <v>289</v>
      </c>
      <c r="J732" t="s">
        <v>1058</v>
      </c>
      <c r="K732">
        <v>13</v>
      </c>
      <c r="L732" s="6">
        <v>3.9624000000000001</v>
      </c>
      <c r="M732" s="7">
        <v>25.4</v>
      </c>
      <c r="N732" s="7">
        <v>234.95</v>
      </c>
      <c r="O732" s="7">
        <f t="shared" si="56"/>
        <v>156</v>
      </c>
      <c r="P732" s="7">
        <f t="shared" si="57"/>
        <v>1</v>
      </c>
      <c r="Q732" s="7">
        <f t="shared" si="57"/>
        <v>9.25</v>
      </c>
      <c r="R732" s="6">
        <f t="shared" si="58"/>
        <v>549.76300000000003</v>
      </c>
      <c r="S732" s="6">
        <f t="shared" si="60"/>
        <v>2.3646533351999996E-2</v>
      </c>
      <c r="T732" t="str">
        <f t="shared" si="59"/>
        <v>Cumaru S4S E4E 5/4x10 Long</v>
      </c>
    </row>
    <row r="733" spans="1:20" x14ac:dyDescent="0.25">
      <c r="A733" t="s">
        <v>531</v>
      </c>
      <c r="B733" t="s">
        <v>1055</v>
      </c>
      <c r="C733" t="s">
        <v>283</v>
      </c>
      <c r="D733" t="s">
        <v>438</v>
      </c>
      <c r="E733" t="s">
        <v>1062</v>
      </c>
      <c r="F733" t="s">
        <v>1057</v>
      </c>
      <c r="G733" t="s">
        <v>531</v>
      </c>
      <c r="H733" t="s">
        <v>373</v>
      </c>
      <c r="I733" t="s">
        <v>289</v>
      </c>
      <c r="J733" t="s">
        <v>1058</v>
      </c>
      <c r="K733">
        <v>14</v>
      </c>
      <c r="L733" s="6">
        <v>4.2671999999999999</v>
      </c>
      <c r="M733" s="7">
        <v>25.4</v>
      </c>
      <c r="N733" s="7">
        <v>234.95</v>
      </c>
      <c r="O733" s="7">
        <f t="shared" si="56"/>
        <v>168</v>
      </c>
      <c r="P733" s="7">
        <f t="shared" si="57"/>
        <v>1</v>
      </c>
      <c r="Q733" s="7">
        <f t="shared" si="57"/>
        <v>9.25</v>
      </c>
      <c r="R733" s="6">
        <f t="shared" si="58"/>
        <v>549.76300000000003</v>
      </c>
      <c r="S733" s="6">
        <f t="shared" si="60"/>
        <v>2.5465497455999998E-2</v>
      </c>
      <c r="T733" t="str">
        <f t="shared" si="59"/>
        <v>Cumaru S4S E4E 5/4x10 Long</v>
      </c>
    </row>
    <row r="734" spans="1:20" x14ac:dyDescent="0.25">
      <c r="A734" t="s">
        <v>531</v>
      </c>
      <c r="B734" t="s">
        <v>1055</v>
      </c>
      <c r="C734" t="s">
        <v>283</v>
      </c>
      <c r="D734" t="s">
        <v>438</v>
      </c>
      <c r="E734" t="s">
        <v>1063</v>
      </c>
      <c r="F734" t="s">
        <v>1057</v>
      </c>
      <c r="G734" t="s">
        <v>531</v>
      </c>
      <c r="H734" t="s">
        <v>373</v>
      </c>
      <c r="I734" t="s">
        <v>289</v>
      </c>
      <c r="J734" t="s">
        <v>1058</v>
      </c>
      <c r="K734">
        <v>15</v>
      </c>
      <c r="L734" s="6">
        <v>4.5720000000000001</v>
      </c>
      <c r="M734" s="7">
        <v>25.4</v>
      </c>
      <c r="N734" s="7">
        <v>234.95</v>
      </c>
      <c r="O734" s="7">
        <f t="shared" si="56"/>
        <v>180</v>
      </c>
      <c r="P734" s="7">
        <f t="shared" si="57"/>
        <v>1</v>
      </c>
      <c r="Q734" s="7">
        <f t="shared" si="57"/>
        <v>9.25</v>
      </c>
      <c r="R734" s="6">
        <f t="shared" si="58"/>
        <v>549.76300000000003</v>
      </c>
      <c r="S734" s="6">
        <f t="shared" si="60"/>
        <v>2.7284461560000001E-2</v>
      </c>
      <c r="T734" t="str">
        <f t="shared" si="59"/>
        <v>Cumaru S4S E4E 5/4x10 Long</v>
      </c>
    </row>
    <row r="735" spans="1:20" x14ac:dyDescent="0.25">
      <c r="A735" t="s">
        <v>531</v>
      </c>
      <c r="B735" t="s">
        <v>1055</v>
      </c>
      <c r="C735" t="s">
        <v>283</v>
      </c>
      <c r="D735" t="s">
        <v>438</v>
      </c>
      <c r="E735" t="s">
        <v>1064</v>
      </c>
      <c r="F735" t="s">
        <v>1057</v>
      </c>
      <c r="G735" t="s">
        <v>531</v>
      </c>
      <c r="H735" t="s">
        <v>373</v>
      </c>
      <c r="I735" t="s">
        <v>289</v>
      </c>
      <c r="J735" t="s">
        <v>1058</v>
      </c>
      <c r="K735">
        <v>16</v>
      </c>
      <c r="L735" s="6">
        <v>4.8768000000000002</v>
      </c>
      <c r="M735" s="7">
        <v>25.4</v>
      </c>
      <c r="N735" s="7">
        <v>234.95</v>
      </c>
      <c r="O735" s="7">
        <f t="shared" si="56"/>
        <v>192.00000000000003</v>
      </c>
      <c r="P735" s="7">
        <f t="shared" si="57"/>
        <v>1</v>
      </c>
      <c r="Q735" s="7">
        <f t="shared" si="57"/>
        <v>9.25</v>
      </c>
      <c r="R735" s="6">
        <f t="shared" si="58"/>
        <v>549.76300000000003</v>
      </c>
      <c r="S735" s="6">
        <f t="shared" si="60"/>
        <v>2.9103425664E-2</v>
      </c>
      <c r="T735" t="str">
        <f t="shared" si="59"/>
        <v>Cumaru S4S E4E 5/4x10 Long</v>
      </c>
    </row>
    <row r="736" spans="1:20" x14ac:dyDescent="0.25">
      <c r="A736" t="s">
        <v>531</v>
      </c>
      <c r="B736" t="s">
        <v>1055</v>
      </c>
      <c r="C736" t="s">
        <v>283</v>
      </c>
      <c r="D736" t="s">
        <v>438</v>
      </c>
      <c r="E736" t="s">
        <v>1065</v>
      </c>
      <c r="F736" t="s">
        <v>1057</v>
      </c>
      <c r="G736" t="s">
        <v>531</v>
      </c>
      <c r="H736" t="s">
        <v>373</v>
      </c>
      <c r="I736" t="s">
        <v>289</v>
      </c>
      <c r="J736" t="s">
        <v>1058</v>
      </c>
      <c r="K736">
        <v>17</v>
      </c>
      <c r="L736" s="6">
        <v>5.1816000000000004</v>
      </c>
      <c r="M736" s="7">
        <v>25.4</v>
      </c>
      <c r="N736" s="7">
        <v>234.95</v>
      </c>
      <c r="O736" s="7">
        <f t="shared" si="56"/>
        <v>204.00000000000003</v>
      </c>
      <c r="P736" s="7">
        <f t="shared" si="57"/>
        <v>1</v>
      </c>
      <c r="Q736" s="7">
        <f t="shared" si="57"/>
        <v>9.25</v>
      </c>
      <c r="R736" s="6">
        <f t="shared" si="58"/>
        <v>549.76300000000003</v>
      </c>
      <c r="S736" s="6">
        <f t="shared" si="60"/>
        <v>3.0922389767999998E-2</v>
      </c>
      <c r="T736" t="str">
        <f t="shared" si="59"/>
        <v>Cumaru S4S E4E 5/4x10 Long</v>
      </c>
    </row>
    <row r="737" spans="1:20" x14ac:dyDescent="0.25">
      <c r="A737" t="s">
        <v>531</v>
      </c>
      <c r="B737" t="s">
        <v>1055</v>
      </c>
      <c r="C737" t="s">
        <v>283</v>
      </c>
      <c r="D737" t="s">
        <v>438</v>
      </c>
      <c r="E737" t="s">
        <v>1066</v>
      </c>
      <c r="F737" t="s">
        <v>1057</v>
      </c>
      <c r="G737" t="s">
        <v>531</v>
      </c>
      <c r="H737" t="s">
        <v>373</v>
      </c>
      <c r="I737" t="s">
        <v>289</v>
      </c>
      <c r="J737" t="s">
        <v>1058</v>
      </c>
      <c r="K737">
        <v>18</v>
      </c>
      <c r="L737" s="6">
        <v>5.4863999999999997</v>
      </c>
      <c r="M737" s="7">
        <v>25.4</v>
      </c>
      <c r="N737" s="7">
        <v>234.95</v>
      </c>
      <c r="O737" s="7">
        <f t="shared" si="56"/>
        <v>216</v>
      </c>
      <c r="P737" s="7">
        <f t="shared" si="57"/>
        <v>1</v>
      </c>
      <c r="Q737" s="7">
        <f t="shared" si="57"/>
        <v>9.25</v>
      </c>
      <c r="R737" s="6">
        <f t="shared" si="58"/>
        <v>549.76300000000003</v>
      </c>
      <c r="S737" s="6">
        <f t="shared" si="60"/>
        <v>3.2741353872000001E-2</v>
      </c>
      <c r="T737" t="str">
        <f t="shared" si="59"/>
        <v>Cumaru S4S E4E 5/4x10 Long</v>
      </c>
    </row>
    <row r="738" spans="1:20" x14ac:dyDescent="0.25">
      <c r="A738" t="s">
        <v>531</v>
      </c>
      <c r="B738" t="s">
        <v>1055</v>
      </c>
      <c r="C738" t="s">
        <v>283</v>
      </c>
      <c r="D738" t="s">
        <v>438</v>
      </c>
      <c r="E738" t="s">
        <v>1067</v>
      </c>
      <c r="F738" t="s">
        <v>1057</v>
      </c>
      <c r="G738" t="s">
        <v>531</v>
      </c>
      <c r="H738" t="s">
        <v>373</v>
      </c>
      <c r="I738" t="s">
        <v>289</v>
      </c>
      <c r="J738" t="s">
        <v>1058</v>
      </c>
      <c r="K738">
        <v>19</v>
      </c>
      <c r="L738" s="6">
        <v>5.7911999999999999</v>
      </c>
      <c r="M738" s="7">
        <v>25.4</v>
      </c>
      <c r="N738" s="7">
        <v>234.95</v>
      </c>
      <c r="O738" s="7">
        <f t="shared" si="56"/>
        <v>228</v>
      </c>
      <c r="P738" s="7">
        <f t="shared" si="57"/>
        <v>1</v>
      </c>
      <c r="Q738" s="7">
        <f t="shared" si="57"/>
        <v>9.25</v>
      </c>
      <c r="R738" s="6">
        <f t="shared" si="58"/>
        <v>549.76300000000003</v>
      </c>
      <c r="S738" s="6">
        <f t="shared" si="60"/>
        <v>3.4560317975999996E-2</v>
      </c>
      <c r="T738" t="str">
        <f t="shared" si="59"/>
        <v>Cumaru S4S E4E 5/4x10 Long</v>
      </c>
    </row>
    <row r="739" spans="1:20" x14ac:dyDescent="0.25">
      <c r="A739" t="s">
        <v>531</v>
      </c>
      <c r="B739" t="s">
        <v>1055</v>
      </c>
      <c r="C739" t="s">
        <v>283</v>
      </c>
      <c r="D739" t="s">
        <v>438</v>
      </c>
      <c r="E739" t="s">
        <v>1068</v>
      </c>
      <c r="F739" t="s">
        <v>1057</v>
      </c>
      <c r="G739" t="s">
        <v>531</v>
      </c>
      <c r="H739" t="s">
        <v>373</v>
      </c>
      <c r="I739" t="s">
        <v>289</v>
      </c>
      <c r="J739" t="s">
        <v>1058</v>
      </c>
      <c r="K739">
        <v>20</v>
      </c>
      <c r="L739" s="6">
        <v>6.0960000000000001</v>
      </c>
      <c r="M739" s="7">
        <v>25.4</v>
      </c>
      <c r="N739" s="7">
        <v>234.95</v>
      </c>
      <c r="O739" s="7">
        <f t="shared" si="56"/>
        <v>240</v>
      </c>
      <c r="P739" s="7">
        <f t="shared" si="57"/>
        <v>1</v>
      </c>
      <c r="Q739" s="7">
        <f t="shared" si="57"/>
        <v>9.25</v>
      </c>
      <c r="R739" s="6">
        <f t="shared" si="58"/>
        <v>549.76300000000003</v>
      </c>
      <c r="S739" s="6">
        <f t="shared" si="60"/>
        <v>3.6379282080000006E-2</v>
      </c>
      <c r="T739" t="str">
        <f t="shared" si="59"/>
        <v>Cumaru S4S E4E 5/4x10 Long</v>
      </c>
    </row>
    <row r="740" spans="1:20" x14ac:dyDescent="0.25">
      <c r="A740" t="s">
        <v>531</v>
      </c>
      <c r="B740" t="s">
        <v>1055</v>
      </c>
      <c r="C740" t="s">
        <v>283</v>
      </c>
      <c r="D740" t="s">
        <v>438</v>
      </c>
      <c r="E740" t="s">
        <v>1069</v>
      </c>
      <c r="F740" t="s">
        <v>1057</v>
      </c>
      <c r="G740" t="s">
        <v>531</v>
      </c>
      <c r="H740" t="s">
        <v>373</v>
      </c>
      <c r="I740" t="s">
        <v>289</v>
      </c>
      <c r="J740" t="s">
        <v>1058</v>
      </c>
      <c r="K740">
        <v>21</v>
      </c>
      <c r="L740" s="6">
        <v>6.4008000000000003</v>
      </c>
      <c r="M740" s="7">
        <v>25.4</v>
      </c>
      <c r="N740" s="7">
        <v>234.95</v>
      </c>
      <c r="O740" s="7">
        <f t="shared" si="56"/>
        <v>252.00000000000003</v>
      </c>
      <c r="P740" s="7">
        <f t="shared" si="57"/>
        <v>1</v>
      </c>
      <c r="Q740" s="7">
        <f t="shared" si="57"/>
        <v>9.25</v>
      </c>
      <c r="R740" s="6">
        <f t="shared" si="58"/>
        <v>549.76300000000003</v>
      </c>
      <c r="S740" s="6">
        <f t="shared" si="60"/>
        <v>3.8198246184000001E-2</v>
      </c>
      <c r="T740" t="str">
        <f t="shared" si="59"/>
        <v>Cumaru S4S E4E 5/4x10 Long</v>
      </c>
    </row>
    <row r="741" spans="1:20" x14ac:dyDescent="0.25">
      <c r="A741" t="s">
        <v>531</v>
      </c>
      <c r="B741" t="s">
        <v>1055</v>
      </c>
      <c r="C741" t="s">
        <v>283</v>
      </c>
      <c r="D741" t="s">
        <v>438</v>
      </c>
      <c r="E741" t="s">
        <v>1070</v>
      </c>
      <c r="F741" t="s">
        <v>1057</v>
      </c>
      <c r="G741" t="s">
        <v>531</v>
      </c>
      <c r="H741" t="s">
        <v>373</v>
      </c>
      <c r="I741" t="s">
        <v>289</v>
      </c>
      <c r="J741" t="s">
        <v>1058</v>
      </c>
      <c r="K741">
        <v>22</v>
      </c>
      <c r="L741" s="6">
        <v>6.7055999999999996</v>
      </c>
      <c r="M741" s="7">
        <v>25.4</v>
      </c>
      <c r="N741" s="7">
        <v>234.95</v>
      </c>
      <c r="O741" s="7">
        <f t="shared" si="56"/>
        <v>264</v>
      </c>
      <c r="P741" s="7">
        <f t="shared" si="57"/>
        <v>1</v>
      </c>
      <c r="Q741" s="7">
        <f t="shared" si="57"/>
        <v>9.25</v>
      </c>
      <c r="R741" s="6">
        <f t="shared" si="58"/>
        <v>549.76300000000003</v>
      </c>
      <c r="S741" s="6">
        <f t="shared" si="60"/>
        <v>4.0017210287999989E-2</v>
      </c>
      <c r="T741" t="str">
        <f t="shared" si="59"/>
        <v>Cumaru S4S E4E 5/4x10 Long</v>
      </c>
    </row>
    <row r="742" spans="1:20" x14ac:dyDescent="0.25">
      <c r="A742" t="s">
        <v>531</v>
      </c>
      <c r="B742" t="s">
        <v>1055</v>
      </c>
      <c r="C742" t="s">
        <v>283</v>
      </c>
      <c r="D742" t="s">
        <v>438</v>
      </c>
      <c r="E742" t="s">
        <v>1071</v>
      </c>
      <c r="F742" t="s">
        <v>1057</v>
      </c>
      <c r="G742" t="s">
        <v>531</v>
      </c>
      <c r="H742" t="s">
        <v>373</v>
      </c>
      <c r="I742" t="s">
        <v>289</v>
      </c>
      <c r="J742" t="s">
        <v>1058</v>
      </c>
      <c r="K742">
        <v>23</v>
      </c>
      <c r="L742" s="6">
        <v>7.0103999999999997</v>
      </c>
      <c r="M742" s="7">
        <v>25.4</v>
      </c>
      <c r="N742" s="7">
        <v>234.95</v>
      </c>
      <c r="O742" s="7">
        <f t="shared" si="56"/>
        <v>276</v>
      </c>
      <c r="P742" s="7">
        <f t="shared" si="57"/>
        <v>1</v>
      </c>
      <c r="Q742" s="7">
        <f t="shared" si="57"/>
        <v>9.25</v>
      </c>
      <c r="R742" s="6">
        <f t="shared" si="58"/>
        <v>549.76300000000003</v>
      </c>
      <c r="S742" s="6">
        <f t="shared" si="60"/>
        <v>4.1836174391999999E-2</v>
      </c>
      <c r="T742" t="str">
        <f t="shared" si="59"/>
        <v>Cumaru S4S E4E 5/4x10 Long</v>
      </c>
    </row>
    <row r="743" spans="1:20" x14ac:dyDescent="0.25">
      <c r="A743" t="s">
        <v>531</v>
      </c>
      <c r="B743" t="s">
        <v>1055</v>
      </c>
      <c r="C743" t="s">
        <v>283</v>
      </c>
      <c r="D743" t="s">
        <v>438</v>
      </c>
      <c r="E743" t="s">
        <v>1072</v>
      </c>
      <c r="F743" t="s">
        <v>1057</v>
      </c>
      <c r="G743" t="s">
        <v>531</v>
      </c>
      <c r="H743" t="s">
        <v>373</v>
      </c>
      <c r="I743" t="s">
        <v>289</v>
      </c>
      <c r="J743" t="s">
        <v>1058</v>
      </c>
      <c r="K743">
        <v>24</v>
      </c>
      <c r="L743" s="6">
        <v>7.3152000000000008</v>
      </c>
      <c r="M743" s="7">
        <v>25.4</v>
      </c>
      <c r="N743" s="7">
        <v>234.95</v>
      </c>
      <c r="O743" s="7">
        <f t="shared" si="56"/>
        <v>288.00000000000006</v>
      </c>
      <c r="P743" s="7">
        <f t="shared" si="57"/>
        <v>1</v>
      </c>
      <c r="Q743" s="7">
        <f t="shared" si="57"/>
        <v>9.25</v>
      </c>
      <c r="R743" s="6">
        <f t="shared" si="58"/>
        <v>549.76300000000003</v>
      </c>
      <c r="S743" s="6">
        <f t="shared" si="60"/>
        <v>4.3655138496000001E-2</v>
      </c>
      <c r="T743" t="str">
        <f t="shared" si="59"/>
        <v>Cumaru S4S E4E 5/4x10 Long</v>
      </c>
    </row>
    <row r="744" spans="1:20" x14ac:dyDescent="0.25">
      <c r="A744" t="s">
        <v>531</v>
      </c>
      <c r="B744" t="s">
        <v>1055</v>
      </c>
      <c r="C744" t="s">
        <v>524</v>
      </c>
      <c r="D744" t="s">
        <v>438</v>
      </c>
      <c r="E744" t="s">
        <v>1073</v>
      </c>
      <c r="F744" t="s">
        <v>1057</v>
      </c>
      <c r="G744" t="s">
        <v>531</v>
      </c>
      <c r="H744" t="s">
        <v>373</v>
      </c>
      <c r="I744" t="s">
        <v>289</v>
      </c>
      <c r="J744" t="s">
        <v>1058</v>
      </c>
      <c r="K744">
        <v>3</v>
      </c>
      <c r="L744" s="6">
        <v>0.91439999999999999</v>
      </c>
      <c r="M744" s="7">
        <v>25.4</v>
      </c>
      <c r="N744" s="7">
        <v>234.95</v>
      </c>
      <c r="O744" s="7">
        <f t="shared" si="56"/>
        <v>36</v>
      </c>
      <c r="P744" s="7">
        <f t="shared" si="57"/>
        <v>1</v>
      </c>
      <c r="Q744" s="7">
        <f t="shared" si="57"/>
        <v>9.25</v>
      </c>
      <c r="R744" s="6">
        <f t="shared" si="58"/>
        <v>549.76300000000003</v>
      </c>
      <c r="S744" s="6">
        <f t="shared" si="60"/>
        <v>5.4568923119999993E-3</v>
      </c>
      <c r="T744" t="str">
        <f t="shared" si="59"/>
        <v>Cumaru S4S E4E 5/4x10 Short</v>
      </c>
    </row>
    <row r="745" spans="1:20" x14ac:dyDescent="0.25">
      <c r="A745" t="s">
        <v>531</v>
      </c>
      <c r="B745" t="s">
        <v>1055</v>
      </c>
      <c r="C745" t="s">
        <v>524</v>
      </c>
      <c r="D745" t="s">
        <v>438</v>
      </c>
      <c r="E745" t="s">
        <v>1074</v>
      </c>
      <c r="F745" t="s">
        <v>1057</v>
      </c>
      <c r="G745" t="s">
        <v>531</v>
      </c>
      <c r="H745" t="s">
        <v>373</v>
      </c>
      <c r="I745" t="s">
        <v>289</v>
      </c>
      <c r="J745" t="s">
        <v>1058</v>
      </c>
      <c r="K745">
        <v>4</v>
      </c>
      <c r="L745" s="6">
        <v>1.2192000000000001</v>
      </c>
      <c r="M745" s="7">
        <v>25.4</v>
      </c>
      <c r="N745" s="7">
        <v>234.95</v>
      </c>
      <c r="O745" s="7">
        <f t="shared" si="56"/>
        <v>48.000000000000007</v>
      </c>
      <c r="P745" s="7">
        <f t="shared" si="57"/>
        <v>1</v>
      </c>
      <c r="Q745" s="7">
        <f t="shared" si="57"/>
        <v>9.25</v>
      </c>
      <c r="R745" s="6">
        <f t="shared" si="58"/>
        <v>549.76300000000003</v>
      </c>
      <c r="S745" s="6">
        <f t="shared" si="60"/>
        <v>7.2758564159999999E-3</v>
      </c>
      <c r="T745" t="str">
        <f t="shared" si="59"/>
        <v>Cumaru S4S E4E 5/4x10 Short</v>
      </c>
    </row>
    <row r="746" spans="1:20" x14ac:dyDescent="0.25">
      <c r="A746" t="s">
        <v>531</v>
      </c>
      <c r="B746" t="s">
        <v>1055</v>
      </c>
      <c r="C746" t="s">
        <v>524</v>
      </c>
      <c r="D746" t="s">
        <v>438</v>
      </c>
      <c r="E746" t="s">
        <v>1075</v>
      </c>
      <c r="F746" t="s">
        <v>1057</v>
      </c>
      <c r="G746" t="s">
        <v>531</v>
      </c>
      <c r="H746" t="s">
        <v>373</v>
      </c>
      <c r="I746" t="s">
        <v>289</v>
      </c>
      <c r="J746" t="s">
        <v>1058</v>
      </c>
      <c r="K746">
        <v>5</v>
      </c>
      <c r="L746" s="6">
        <v>1.524</v>
      </c>
      <c r="M746" s="7">
        <v>25.4</v>
      </c>
      <c r="N746" s="7">
        <v>234.95</v>
      </c>
      <c r="O746" s="7">
        <f t="shared" si="56"/>
        <v>60</v>
      </c>
      <c r="P746" s="7">
        <f t="shared" si="57"/>
        <v>1</v>
      </c>
      <c r="Q746" s="7">
        <f t="shared" si="57"/>
        <v>9.25</v>
      </c>
      <c r="R746" s="6">
        <f t="shared" si="58"/>
        <v>549.76300000000003</v>
      </c>
      <c r="S746" s="6">
        <f t="shared" si="60"/>
        <v>9.0948205200000014E-3</v>
      </c>
      <c r="T746" t="str">
        <f t="shared" si="59"/>
        <v>Cumaru S4S E4E 5/4x10 Short</v>
      </c>
    </row>
    <row r="747" spans="1:20" x14ac:dyDescent="0.25">
      <c r="A747" t="s">
        <v>531</v>
      </c>
      <c r="B747" t="s">
        <v>1055</v>
      </c>
      <c r="C747" t="s">
        <v>524</v>
      </c>
      <c r="D747" t="s">
        <v>438</v>
      </c>
      <c r="E747" t="s">
        <v>1076</v>
      </c>
      <c r="F747" t="s">
        <v>1057</v>
      </c>
      <c r="G747" t="s">
        <v>531</v>
      </c>
      <c r="H747" t="s">
        <v>373</v>
      </c>
      <c r="I747" t="s">
        <v>289</v>
      </c>
      <c r="J747" t="s">
        <v>1058</v>
      </c>
      <c r="K747">
        <v>6</v>
      </c>
      <c r="L747" s="6">
        <v>1.8288</v>
      </c>
      <c r="M747" s="7">
        <v>25.4</v>
      </c>
      <c r="N747" s="7">
        <v>234.95</v>
      </c>
      <c r="O747" s="7">
        <f t="shared" si="56"/>
        <v>72</v>
      </c>
      <c r="P747" s="7">
        <f t="shared" si="57"/>
        <v>1</v>
      </c>
      <c r="Q747" s="7">
        <f t="shared" si="57"/>
        <v>9.25</v>
      </c>
      <c r="R747" s="6">
        <f t="shared" si="58"/>
        <v>549.76300000000003</v>
      </c>
      <c r="S747" s="6">
        <f t="shared" si="60"/>
        <v>1.0913784623999999E-2</v>
      </c>
      <c r="T747" t="str">
        <f t="shared" si="59"/>
        <v>Cumaru S4S E4E 5/4x10 Short</v>
      </c>
    </row>
    <row r="748" spans="1:20" x14ac:dyDescent="0.25">
      <c r="A748" t="s">
        <v>531</v>
      </c>
      <c r="B748" t="s">
        <v>1055</v>
      </c>
      <c r="C748" t="s">
        <v>524</v>
      </c>
      <c r="D748" t="s">
        <v>438</v>
      </c>
      <c r="E748" t="s">
        <v>1077</v>
      </c>
      <c r="F748" t="s">
        <v>1057</v>
      </c>
      <c r="G748" t="s">
        <v>531</v>
      </c>
      <c r="H748" t="s">
        <v>373</v>
      </c>
      <c r="I748" t="s">
        <v>289</v>
      </c>
      <c r="J748" t="s">
        <v>1058</v>
      </c>
      <c r="K748">
        <v>7</v>
      </c>
      <c r="L748" s="6">
        <v>2.1335999999999999</v>
      </c>
      <c r="M748" s="7">
        <v>25.4</v>
      </c>
      <c r="N748" s="7">
        <v>234.95</v>
      </c>
      <c r="O748" s="7">
        <f t="shared" si="56"/>
        <v>84</v>
      </c>
      <c r="P748" s="7">
        <f t="shared" si="57"/>
        <v>1</v>
      </c>
      <c r="Q748" s="7">
        <f t="shared" si="57"/>
        <v>9.25</v>
      </c>
      <c r="R748" s="6">
        <f t="shared" si="58"/>
        <v>549.76300000000003</v>
      </c>
      <c r="S748" s="6">
        <f t="shared" si="60"/>
        <v>1.2732748727999999E-2</v>
      </c>
      <c r="T748" t="str">
        <f t="shared" si="59"/>
        <v>Cumaru S4S E4E 5/4x10 Short</v>
      </c>
    </row>
    <row r="749" spans="1:20" x14ac:dyDescent="0.25">
      <c r="A749" t="s">
        <v>531</v>
      </c>
      <c r="B749" t="s">
        <v>1055</v>
      </c>
      <c r="C749" t="s">
        <v>283</v>
      </c>
      <c r="D749" t="s">
        <v>438</v>
      </c>
      <c r="E749" t="s">
        <v>1078</v>
      </c>
      <c r="F749" t="s">
        <v>1057</v>
      </c>
      <c r="G749" t="s">
        <v>531</v>
      </c>
      <c r="H749" t="s">
        <v>373</v>
      </c>
      <c r="I749" t="s">
        <v>289</v>
      </c>
      <c r="J749" t="s">
        <v>1058</v>
      </c>
      <c r="K749">
        <v>8</v>
      </c>
      <c r="L749" s="6">
        <v>2.4384000000000001</v>
      </c>
      <c r="M749" s="7">
        <v>25.4</v>
      </c>
      <c r="N749" s="7">
        <v>234.95</v>
      </c>
      <c r="O749" s="7">
        <f t="shared" si="56"/>
        <v>96.000000000000014</v>
      </c>
      <c r="P749" s="7">
        <f t="shared" si="57"/>
        <v>1</v>
      </c>
      <c r="Q749" s="7">
        <f t="shared" si="57"/>
        <v>9.25</v>
      </c>
      <c r="R749" s="6">
        <f t="shared" si="58"/>
        <v>549.76300000000003</v>
      </c>
      <c r="S749" s="6">
        <f t="shared" si="60"/>
        <v>1.4551712832E-2</v>
      </c>
      <c r="T749" t="str">
        <f t="shared" si="59"/>
        <v>Cumaru S4S E4E 5/4x10 Long</v>
      </c>
    </row>
    <row r="750" spans="1:20" x14ac:dyDescent="0.25">
      <c r="A750" t="s">
        <v>531</v>
      </c>
      <c r="B750" t="s">
        <v>1055</v>
      </c>
      <c r="C750" t="s">
        <v>283</v>
      </c>
      <c r="D750" t="s">
        <v>438</v>
      </c>
      <c r="E750" t="s">
        <v>1079</v>
      </c>
      <c r="F750" t="s">
        <v>1057</v>
      </c>
      <c r="G750" t="s">
        <v>531</v>
      </c>
      <c r="H750" t="s">
        <v>373</v>
      </c>
      <c r="I750" t="s">
        <v>289</v>
      </c>
      <c r="J750" t="s">
        <v>1058</v>
      </c>
      <c r="K750">
        <v>9</v>
      </c>
      <c r="L750" s="6">
        <v>2.7431999999999999</v>
      </c>
      <c r="M750" s="7">
        <v>25.4</v>
      </c>
      <c r="N750" s="7">
        <v>234.95</v>
      </c>
      <c r="O750" s="7">
        <f t="shared" si="56"/>
        <v>108</v>
      </c>
      <c r="P750" s="7">
        <f t="shared" si="57"/>
        <v>1</v>
      </c>
      <c r="Q750" s="7">
        <f t="shared" si="57"/>
        <v>9.25</v>
      </c>
      <c r="R750" s="6">
        <f t="shared" si="58"/>
        <v>549.76300000000003</v>
      </c>
      <c r="S750" s="6">
        <f t="shared" si="60"/>
        <v>1.6370676936E-2</v>
      </c>
      <c r="T750" t="str">
        <f t="shared" si="59"/>
        <v>Cumaru S4S E4E 5/4x10 Long</v>
      </c>
    </row>
    <row r="751" spans="1:20" x14ac:dyDescent="0.25">
      <c r="A751" t="s">
        <v>531</v>
      </c>
      <c r="B751" t="s">
        <v>1080</v>
      </c>
      <c r="C751" t="s">
        <v>283</v>
      </c>
      <c r="D751" t="s">
        <v>438</v>
      </c>
      <c r="E751" t="s">
        <v>1081</v>
      </c>
      <c r="F751" t="s">
        <v>1082</v>
      </c>
      <c r="G751" t="s">
        <v>531</v>
      </c>
      <c r="H751" t="s">
        <v>373</v>
      </c>
      <c r="I751" t="s">
        <v>289</v>
      </c>
      <c r="J751" t="s">
        <v>1083</v>
      </c>
      <c r="K751">
        <v>10</v>
      </c>
      <c r="L751" s="6">
        <v>3.048</v>
      </c>
      <c r="M751" s="7">
        <v>25.4</v>
      </c>
      <c r="N751" s="7">
        <v>285.75</v>
      </c>
      <c r="O751" s="7">
        <f t="shared" si="56"/>
        <v>120</v>
      </c>
      <c r="P751" s="7">
        <f t="shared" si="57"/>
        <v>1</v>
      </c>
      <c r="Q751" s="7">
        <f t="shared" si="57"/>
        <v>11.25</v>
      </c>
      <c r="R751" s="6">
        <f t="shared" si="58"/>
        <v>452.02800000000002</v>
      </c>
      <c r="S751" s="6">
        <f t="shared" si="60"/>
        <v>2.21225364E-2</v>
      </c>
      <c r="T751" t="str">
        <f t="shared" si="59"/>
        <v>Cumaru S4S E4E 5/4x12 Long</v>
      </c>
    </row>
    <row r="752" spans="1:20" x14ac:dyDescent="0.25">
      <c r="A752" t="s">
        <v>531</v>
      </c>
      <c r="B752" t="s">
        <v>1080</v>
      </c>
      <c r="C752" t="s">
        <v>283</v>
      </c>
      <c r="D752" t="s">
        <v>438</v>
      </c>
      <c r="E752" t="s">
        <v>1084</v>
      </c>
      <c r="F752" t="s">
        <v>1082</v>
      </c>
      <c r="G752" t="s">
        <v>531</v>
      </c>
      <c r="H752" t="s">
        <v>373</v>
      </c>
      <c r="I752" t="s">
        <v>289</v>
      </c>
      <c r="J752" t="s">
        <v>1083</v>
      </c>
      <c r="K752">
        <v>11</v>
      </c>
      <c r="L752" s="6">
        <v>3.3527999999999998</v>
      </c>
      <c r="M752" s="7">
        <v>25.4</v>
      </c>
      <c r="N752" s="7">
        <v>285.75</v>
      </c>
      <c r="O752" s="7">
        <f t="shared" si="56"/>
        <v>132</v>
      </c>
      <c r="P752" s="7">
        <f t="shared" si="57"/>
        <v>1</v>
      </c>
      <c r="Q752" s="7">
        <f t="shared" si="57"/>
        <v>11.25</v>
      </c>
      <c r="R752" s="6">
        <f t="shared" si="58"/>
        <v>452.02800000000002</v>
      </c>
      <c r="S752" s="6">
        <f t="shared" si="60"/>
        <v>2.4334790039999995E-2</v>
      </c>
      <c r="T752" t="str">
        <f t="shared" si="59"/>
        <v>Cumaru S4S E4E 5/4x12 Long</v>
      </c>
    </row>
    <row r="753" spans="1:20" x14ac:dyDescent="0.25">
      <c r="A753" t="s">
        <v>531</v>
      </c>
      <c r="B753" t="s">
        <v>1080</v>
      </c>
      <c r="C753" t="s">
        <v>283</v>
      </c>
      <c r="D753" t="s">
        <v>438</v>
      </c>
      <c r="E753" t="s">
        <v>1085</v>
      </c>
      <c r="F753" t="s">
        <v>1082</v>
      </c>
      <c r="G753" t="s">
        <v>531</v>
      </c>
      <c r="H753" t="s">
        <v>373</v>
      </c>
      <c r="I753" t="s">
        <v>289</v>
      </c>
      <c r="J753" t="s">
        <v>1083</v>
      </c>
      <c r="K753">
        <v>12</v>
      </c>
      <c r="L753" s="6">
        <v>3.6576</v>
      </c>
      <c r="M753" s="7">
        <v>25.4</v>
      </c>
      <c r="N753" s="7">
        <v>285.75</v>
      </c>
      <c r="O753" s="7">
        <f t="shared" si="56"/>
        <v>144</v>
      </c>
      <c r="P753" s="7">
        <f t="shared" si="57"/>
        <v>1</v>
      </c>
      <c r="Q753" s="7">
        <f t="shared" si="57"/>
        <v>11.25</v>
      </c>
      <c r="R753" s="6">
        <f t="shared" si="58"/>
        <v>452.02800000000002</v>
      </c>
      <c r="S753" s="6">
        <f t="shared" si="60"/>
        <v>2.6547043679999997E-2</v>
      </c>
      <c r="T753" t="str">
        <f t="shared" si="59"/>
        <v>Cumaru S4S E4E 5/4x12 Long</v>
      </c>
    </row>
    <row r="754" spans="1:20" x14ac:dyDescent="0.25">
      <c r="A754" t="s">
        <v>531</v>
      </c>
      <c r="B754" t="s">
        <v>1080</v>
      </c>
      <c r="C754" t="s">
        <v>283</v>
      </c>
      <c r="D754" t="s">
        <v>438</v>
      </c>
      <c r="E754" t="s">
        <v>1086</v>
      </c>
      <c r="F754" t="s">
        <v>1082</v>
      </c>
      <c r="G754" t="s">
        <v>531</v>
      </c>
      <c r="H754" t="s">
        <v>373</v>
      </c>
      <c r="I754" t="s">
        <v>289</v>
      </c>
      <c r="J754" t="s">
        <v>1083</v>
      </c>
      <c r="K754">
        <v>13</v>
      </c>
      <c r="L754" s="6">
        <v>3.9624000000000001</v>
      </c>
      <c r="M754" s="7">
        <v>25.4</v>
      </c>
      <c r="N754" s="7">
        <v>285.75</v>
      </c>
      <c r="O754" s="7">
        <f t="shared" si="56"/>
        <v>156</v>
      </c>
      <c r="P754" s="7">
        <f t="shared" si="57"/>
        <v>1</v>
      </c>
      <c r="Q754" s="7">
        <f t="shared" si="57"/>
        <v>11.25</v>
      </c>
      <c r="R754" s="6">
        <f t="shared" si="58"/>
        <v>452.02800000000002</v>
      </c>
      <c r="S754" s="6">
        <f t="shared" si="60"/>
        <v>2.8759297319999998E-2</v>
      </c>
      <c r="T754" t="str">
        <f t="shared" si="59"/>
        <v>Cumaru S4S E4E 5/4x12 Long</v>
      </c>
    </row>
    <row r="755" spans="1:20" x14ac:dyDescent="0.25">
      <c r="A755" t="s">
        <v>531</v>
      </c>
      <c r="B755" t="s">
        <v>1080</v>
      </c>
      <c r="C755" t="s">
        <v>283</v>
      </c>
      <c r="D755" t="s">
        <v>438</v>
      </c>
      <c r="E755" t="s">
        <v>1087</v>
      </c>
      <c r="F755" t="s">
        <v>1082</v>
      </c>
      <c r="G755" t="s">
        <v>531</v>
      </c>
      <c r="H755" t="s">
        <v>373</v>
      </c>
      <c r="I755" t="s">
        <v>289</v>
      </c>
      <c r="J755" t="s">
        <v>1083</v>
      </c>
      <c r="K755">
        <v>14</v>
      </c>
      <c r="L755" s="6">
        <v>4.2671999999999999</v>
      </c>
      <c r="M755" s="7">
        <v>25.4</v>
      </c>
      <c r="N755" s="7">
        <v>285.75</v>
      </c>
      <c r="O755" s="7">
        <f t="shared" si="56"/>
        <v>168</v>
      </c>
      <c r="P755" s="7">
        <f t="shared" si="57"/>
        <v>1</v>
      </c>
      <c r="Q755" s="7">
        <f t="shared" si="57"/>
        <v>11.25</v>
      </c>
      <c r="R755" s="6">
        <f t="shared" si="58"/>
        <v>452.02800000000002</v>
      </c>
      <c r="S755" s="6">
        <f t="shared" si="60"/>
        <v>3.0971550959999997E-2</v>
      </c>
      <c r="T755" t="str">
        <f t="shared" si="59"/>
        <v>Cumaru S4S E4E 5/4x12 Long</v>
      </c>
    </row>
    <row r="756" spans="1:20" x14ac:dyDescent="0.25">
      <c r="A756" t="s">
        <v>531</v>
      </c>
      <c r="B756" t="s">
        <v>1080</v>
      </c>
      <c r="C756" t="s">
        <v>283</v>
      </c>
      <c r="D756" t="s">
        <v>438</v>
      </c>
      <c r="E756" t="s">
        <v>1088</v>
      </c>
      <c r="F756" t="s">
        <v>1082</v>
      </c>
      <c r="G756" t="s">
        <v>531</v>
      </c>
      <c r="H756" t="s">
        <v>373</v>
      </c>
      <c r="I756" t="s">
        <v>289</v>
      </c>
      <c r="J756" t="s">
        <v>1083</v>
      </c>
      <c r="K756">
        <v>15</v>
      </c>
      <c r="L756" s="6">
        <v>4.5720000000000001</v>
      </c>
      <c r="M756" s="7">
        <v>25.4</v>
      </c>
      <c r="N756" s="7">
        <v>285.75</v>
      </c>
      <c r="O756" s="7">
        <f t="shared" si="56"/>
        <v>180</v>
      </c>
      <c r="P756" s="7">
        <f t="shared" si="57"/>
        <v>1</v>
      </c>
      <c r="Q756" s="7">
        <f t="shared" si="57"/>
        <v>11.25</v>
      </c>
      <c r="R756" s="6">
        <f t="shared" si="58"/>
        <v>452.02800000000002</v>
      </c>
      <c r="S756" s="6">
        <f t="shared" si="60"/>
        <v>3.3183804600000005E-2</v>
      </c>
      <c r="T756" t="str">
        <f t="shared" si="59"/>
        <v>Cumaru S4S E4E 5/4x12 Long</v>
      </c>
    </row>
    <row r="757" spans="1:20" x14ac:dyDescent="0.25">
      <c r="A757" t="s">
        <v>531</v>
      </c>
      <c r="B757" t="s">
        <v>1080</v>
      </c>
      <c r="C757" t="s">
        <v>283</v>
      </c>
      <c r="D757" t="s">
        <v>438</v>
      </c>
      <c r="E757" t="s">
        <v>1089</v>
      </c>
      <c r="F757" t="s">
        <v>1082</v>
      </c>
      <c r="G757" t="s">
        <v>531</v>
      </c>
      <c r="H757" t="s">
        <v>373</v>
      </c>
      <c r="I757" t="s">
        <v>289</v>
      </c>
      <c r="J757" t="s">
        <v>1083</v>
      </c>
      <c r="K757">
        <v>16</v>
      </c>
      <c r="L757" s="6">
        <v>4.8768000000000002</v>
      </c>
      <c r="M757" s="7">
        <v>25.4</v>
      </c>
      <c r="N757" s="7">
        <v>285.75</v>
      </c>
      <c r="O757" s="7">
        <f t="shared" si="56"/>
        <v>192.00000000000003</v>
      </c>
      <c r="P757" s="7">
        <f t="shared" si="57"/>
        <v>1</v>
      </c>
      <c r="Q757" s="7">
        <f t="shared" si="57"/>
        <v>11.25</v>
      </c>
      <c r="R757" s="6">
        <f t="shared" si="58"/>
        <v>452.02800000000002</v>
      </c>
      <c r="S757" s="6">
        <f t="shared" si="60"/>
        <v>3.539605824E-2</v>
      </c>
      <c r="T757" t="str">
        <f t="shared" si="59"/>
        <v>Cumaru S4S E4E 5/4x12 Long</v>
      </c>
    </row>
    <row r="758" spans="1:20" x14ac:dyDescent="0.25">
      <c r="A758" t="s">
        <v>531</v>
      </c>
      <c r="B758" t="s">
        <v>1080</v>
      </c>
      <c r="C758" t="s">
        <v>283</v>
      </c>
      <c r="D758" t="s">
        <v>438</v>
      </c>
      <c r="E758" t="s">
        <v>1090</v>
      </c>
      <c r="F758" t="s">
        <v>1082</v>
      </c>
      <c r="G758" t="s">
        <v>531</v>
      </c>
      <c r="H758" t="s">
        <v>373</v>
      </c>
      <c r="I758" t="s">
        <v>289</v>
      </c>
      <c r="J758" t="s">
        <v>1083</v>
      </c>
      <c r="K758">
        <v>17</v>
      </c>
      <c r="L758" s="6">
        <v>5.1816000000000004</v>
      </c>
      <c r="M758" s="7">
        <v>25.4</v>
      </c>
      <c r="N758" s="7">
        <v>285.75</v>
      </c>
      <c r="O758" s="7">
        <f t="shared" si="56"/>
        <v>204.00000000000003</v>
      </c>
      <c r="P758" s="7">
        <f t="shared" si="57"/>
        <v>1</v>
      </c>
      <c r="Q758" s="7">
        <f t="shared" si="57"/>
        <v>11.25</v>
      </c>
      <c r="R758" s="6">
        <f t="shared" si="58"/>
        <v>452.02800000000002</v>
      </c>
      <c r="S758" s="6">
        <f t="shared" si="60"/>
        <v>3.7608311880000002E-2</v>
      </c>
      <c r="T758" t="str">
        <f t="shared" si="59"/>
        <v>Cumaru S4S E4E 5/4x12 Long</v>
      </c>
    </row>
    <row r="759" spans="1:20" x14ac:dyDescent="0.25">
      <c r="A759" t="s">
        <v>531</v>
      </c>
      <c r="B759" t="s">
        <v>1080</v>
      </c>
      <c r="C759" t="s">
        <v>283</v>
      </c>
      <c r="D759" t="s">
        <v>438</v>
      </c>
      <c r="E759" t="s">
        <v>1091</v>
      </c>
      <c r="F759" t="s">
        <v>1082</v>
      </c>
      <c r="G759" t="s">
        <v>531</v>
      </c>
      <c r="H759" t="s">
        <v>373</v>
      </c>
      <c r="I759" t="s">
        <v>289</v>
      </c>
      <c r="J759" t="s">
        <v>1083</v>
      </c>
      <c r="K759">
        <v>18</v>
      </c>
      <c r="L759" s="6">
        <v>5.4863999999999997</v>
      </c>
      <c r="M759" s="7">
        <v>25.4</v>
      </c>
      <c r="N759" s="7">
        <v>285.75</v>
      </c>
      <c r="O759" s="7">
        <f t="shared" si="56"/>
        <v>216</v>
      </c>
      <c r="P759" s="7">
        <f t="shared" si="57"/>
        <v>1</v>
      </c>
      <c r="Q759" s="7">
        <f t="shared" si="57"/>
        <v>11.25</v>
      </c>
      <c r="R759" s="6">
        <f t="shared" si="58"/>
        <v>452.02800000000002</v>
      </c>
      <c r="S759" s="6">
        <f t="shared" si="60"/>
        <v>3.9820565519999997E-2</v>
      </c>
      <c r="T759" t="str">
        <f t="shared" si="59"/>
        <v>Cumaru S4S E4E 5/4x12 Long</v>
      </c>
    </row>
    <row r="760" spans="1:20" x14ac:dyDescent="0.25">
      <c r="A760" t="s">
        <v>531</v>
      </c>
      <c r="B760" t="s">
        <v>1080</v>
      </c>
      <c r="C760" t="s">
        <v>283</v>
      </c>
      <c r="D760" t="s">
        <v>438</v>
      </c>
      <c r="E760" t="s">
        <v>1092</v>
      </c>
      <c r="F760" t="s">
        <v>1082</v>
      </c>
      <c r="G760" t="s">
        <v>531</v>
      </c>
      <c r="H760" t="s">
        <v>373</v>
      </c>
      <c r="I760" t="s">
        <v>289</v>
      </c>
      <c r="J760" t="s">
        <v>1083</v>
      </c>
      <c r="K760">
        <v>19</v>
      </c>
      <c r="L760" s="6">
        <v>5.7911999999999999</v>
      </c>
      <c r="M760" s="7">
        <v>25.4</v>
      </c>
      <c r="N760" s="7">
        <v>285.75</v>
      </c>
      <c r="O760" s="7">
        <f t="shared" si="56"/>
        <v>228</v>
      </c>
      <c r="P760" s="7">
        <f t="shared" si="57"/>
        <v>1</v>
      </c>
      <c r="Q760" s="7">
        <f t="shared" si="57"/>
        <v>11.25</v>
      </c>
      <c r="R760" s="6">
        <f t="shared" si="58"/>
        <v>452.02800000000002</v>
      </c>
      <c r="S760" s="6">
        <f t="shared" si="60"/>
        <v>4.2032819159999998E-2</v>
      </c>
      <c r="T760" t="str">
        <f t="shared" si="59"/>
        <v>Cumaru S4S E4E 5/4x12 Long</v>
      </c>
    </row>
    <row r="761" spans="1:20" x14ac:dyDescent="0.25">
      <c r="A761" t="s">
        <v>531</v>
      </c>
      <c r="B761" t="s">
        <v>1080</v>
      </c>
      <c r="C761" t="s">
        <v>283</v>
      </c>
      <c r="D761" t="s">
        <v>438</v>
      </c>
      <c r="E761" t="s">
        <v>1093</v>
      </c>
      <c r="F761" t="s">
        <v>1082</v>
      </c>
      <c r="G761" t="s">
        <v>531</v>
      </c>
      <c r="H761" t="s">
        <v>373</v>
      </c>
      <c r="I761" t="s">
        <v>289</v>
      </c>
      <c r="J761" t="s">
        <v>1083</v>
      </c>
      <c r="K761">
        <v>20</v>
      </c>
      <c r="L761" s="6">
        <v>6.0960000000000001</v>
      </c>
      <c r="M761" s="7">
        <v>25.4</v>
      </c>
      <c r="N761" s="7">
        <v>285.75</v>
      </c>
      <c r="O761" s="7">
        <f t="shared" si="56"/>
        <v>240</v>
      </c>
      <c r="P761" s="7">
        <f t="shared" si="57"/>
        <v>1</v>
      </c>
      <c r="Q761" s="7">
        <f t="shared" si="57"/>
        <v>11.25</v>
      </c>
      <c r="R761" s="6">
        <f t="shared" si="58"/>
        <v>452.02800000000002</v>
      </c>
      <c r="S761" s="6">
        <f t="shared" si="60"/>
        <v>4.42450728E-2</v>
      </c>
      <c r="T761" t="str">
        <f t="shared" si="59"/>
        <v>Cumaru S4S E4E 5/4x12 Long</v>
      </c>
    </row>
    <row r="762" spans="1:20" x14ac:dyDescent="0.25">
      <c r="A762" t="s">
        <v>531</v>
      </c>
      <c r="B762" t="s">
        <v>1080</v>
      </c>
      <c r="C762" t="s">
        <v>283</v>
      </c>
      <c r="D762" t="s">
        <v>438</v>
      </c>
      <c r="E762" t="s">
        <v>1094</v>
      </c>
      <c r="F762" t="s">
        <v>1082</v>
      </c>
      <c r="G762" t="s">
        <v>531</v>
      </c>
      <c r="H762" t="s">
        <v>373</v>
      </c>
      <c r="I762" t="s">
        <v>289</v>
      </c>
      <c r="J762" t="s">
        <v>1083</v>
      </c>
      <c r="K762">
        <v>21</v>
      </c>
      <c r="L762" s="6">
        <v>6.4008000000000003</v>
      </c>
      <c r="M762" s="7">
        <v>25.4</v>
      </c>
      <c r="N762" s="7">
        <v>285.75</v>
      </c>
      <c r="O762" s="7">
        <f t="shared" si="56"/>
        <v>252.00000000000003</v>
      </c>
      <c r="P762" s="7">
        <f t="shared" si="57"/>
        <v>1</v>
      </c>
      <c r="Q762" s="7">
        <f t="shared" si="57"/>
        <v>11.25</v>
      </c>
      <c r="R762" s="6">
        <f t="shared" si="58"/>
        <v>452.02800000000002</v>
      </c>
      <c r="S762" s="6">
        <f t="shared" si="60"/>
        <v>4.6457326440000002E-2</v>
      </c>
      <c r="T762" t="str">
        <f t="shared" si="59"/>
        <v>Cumaru S4S E4E 5/4x12 Long</v>
      </c>
    </row>
    <row r="763" spans="1:20" x14ac:dyDescent="0.25">
      <c r="A763" t="s">
        <v>531</v>
      </c>
      <c r="B763" t="s">
        <v>1080</v>
      </c>
      <c r="C763" t="s">
        <v>283</v>
      </c>
      <c r="D763" t="s">
        <v>438</v>
      </c>
      <c r="E763" t="s">
        <v>1095</v>
      </c>
      <c r="F763" t="s">
        <v>1082</v>
      </c>
      <c r="G763" t="s">
        <v>531</v>
      </c>
      <c r="H763" t="s">
        <v>373</v>
      </c>
      <c r="I763" t="s">
        <v>289</v>
      </c>
      <c r="J763" t="s">
        <v>1083</v>
      </c>
      <c r="K763">
        <v>22</v>
      </c>
      <c r="L763" s="6">
        <v>6.7055999999999996</v>
      </c>
      <c r="M763" s="7">
        <v>25.4</v>
      </c>
      <c r="N763" s="7">
        <v>285.75</v>
      </c>
      <c r="O763" s="7">
        <f t="shared" si="56"/>
        <v>264</v>
      </c>
      <c r="P763" s="7">
        <f t="shared" si="57"/>
        <v>1</v>
      </c>
      <c r="Q763" s="7">
        <f t="shared" si="57"/>
        <v>11.25</v>
      </c>
      <c r="R763" s="6">
        <f t="shared" si="58"/>
        <v>452.02800000000002</v>
      </c>
      <c r="S763" s="6">
        <f t="shared" si="60"/>
        <v>4.866958007999999E-2</v>
      </c>
      <c r="T763" t="str">
        <f t="shared" si="59"/>
        <v>Cumaru S4S E4E 5/4x12 Long</v>
      </c>
    </row>
    <row r="764" spans="1:20" x14ac:dyDescent="0.25">
      <c r="A764" t="s">
        <v>531</v>
      </c>
      <c r="B764" t="s">
        <v>1080</v>
      </c>
      <c r="C764" t="s">
        <v>283</v>
      </c>
      <c r="D764" t="s">
        <v>438</v>
      </c>
      <c r="E764" t="s">
        <v>1096</v>
      </c>
      <c r="F764" t="s">
        <v>1082</v>
      </c>
      <c r="G764" t="s">
        <v>531</v>
      </c>
      <c r="H764" t="s">
        <v>373</v>
      </c>
      <c r="I764" t="s">
        <v>289</v>
      </c>
      <c r="J764" t="s">
        <v>1083</v>
      </c>
      <c r="K764">
        <v>23</v>
      </c>
      <c r="L764" s="6">
        <v>7.0103999999999997</v>
      </c>
      <c r="M764" s="7">
        <v>25.4</v>
      </c>
      <c r="N764" s="7">
        <v>285.75</v>
      </c>
      <c r="O764" s="7">
        <f t="shared" si="56"/>
        <v>276</v>
      </c>
      <c r="P764" s="7">
        <f t="shared" si="57"/>
        <v>1</v>
      </c>
      <c r="Q764" s="7">
        <f t="shared" si="57"/>
        <v>11.25</v>
      </c>
      <c r="R764" s="6">
        <f t="shared" si="58"/>
        <v>452.02800000000002</v>
      </c>
      <c r="S764" s="6">
        <f t="shared" si="60"/>
        <v>5.0881833720000005E-2</v>
      </c>
      <c r="T764" t="str">
        <f t="shared" si="59"/>
        <v>Cumaru S4S E4E 5/4x12 Long</v>
      </c>
    </row>
    <row r="765" spans="1:20" x14ac:dyDescent="0.25">
      <c r="A765" t="s">
        <v>531</v>
      </c>
      <c r="B765" t="s">
        <v>1080</v>
      </c>
      <c r="C765" t="s">
        <v>283</v>
      </c>
      <c r="D765" t="s">
        <v>438</v>
      </c>
      <c r="E765" t="s">
        <v>1097</v>
      </c>
      <c r="F765" t="s">
        <v>1082</v>
      </c>
      <c r="G765" t="s">
        <v>531</v>
      </c>
      <c r="H765" t="s">
        <v>373</v>
      </c>
      <c r="I765" t="s">
        <v>289</v>
      </c>
      <c r="J765" t="s">
        <v>1083</v>
      </c>
      <c r="K765">
        <v>24</v>
      </c>
      <c r="L765" s="6">
        <v>7.3152000000000008</v>
      </c>
      <c r="M765" s="7">
        <v>25.4</v>
      </c>
      <c r="N765" s="7">
        <v>285.75</v>
      </c>
      <c r="O765" s="7">
        <f t="shared" si="56"/>
        <v>288.00000000000006</v>
      </c>
      <c r="P765" s="7">
        <f t="shared" si="57"/>
        <v>1</v>
      </c>
      <c r="Q765" s="7">
        <f t="shared" si="57"/>
        <v>11.25</v>
      </c>
      <c r="R765" s="6">
        <f t="shared" si="58"/>
        <v>452.02800000000002</v>
      </c>
      <c r="S765" s="6">
        <f t="shared" si="60"/>
        <v>5.309408736E-2</v>
      </c>
      <c r="T765" t="str">
        <f t="shared" si="59"/>
        <v>Cumaru S4S E4E 5/4x12 Long</v>
      </c>
    </row>
    <row r="766" spans="1:20" x14ac:dyDescent="0.25">
      <c r="A766" t="s">
        <v>531</v>
      </c>
      <c r="B766" t="s">
        <v>1080</v>
      </c>
      <c r="C766" t="s">
        <v>524</v>
      </c>
      <c r="D766" t="s">
        <v>438</v>
      </c>
      <c r="E766" t="s">
        <v>1098</v>
      </c>
      <c r="F766" t="s">
        <v>1082</v>
      </c>
      <c r="G766" t="s">
        <v>531</v>
      </c>
      <c r="H766" t="s">
        <v>373</v>
      </c>
      <c r="I766" t="s">
        <v>289</v>
      </c>
      <c r="J766" t="s">
        <v>1083</v>
      </c>
      <c r="K766">
        <v>3</v>
      </c>
      <c r="L766" s="6">
        <v>0.91439999999999999</v>
      </c>
      <c r="M766" s="7">
        <v>25.4</v>
      </c>
      <c r="N766" s="7">
        <v>285.75</v>
      </c>
      <c r="O766" s="7">
        <f t="shared" si="56"/>
        <v>36</v>
      </c>
      <c r="P766" s="7">
        <f t="shared" si="57"/>
        <v>1</v>
      </c>
      <c r="Q766" s="7">
        <f t="shared" si="57"/>
        <v>11.25</v>
      </c>
      <c r="R766" s="6">
        <f t="shared" si="58"/>
        <v>452.02800000000002</v>
      </c>
      <c r="S766" s="6">
        <f t="shared" si="60"/>
        <v>6.6367609199999992E-3</v>
      </c>
      <c r="T766" t="str">
        <f t="shared" si="59"/>
        <v>Cumaru S4S E4E 5/4x12 Short</v>
      </c>
    </row>
    <row r="767" spans="1:20" x14ac:dyDescent="0.25">
      <c r="A767" t="s">
        <v>531</v>
      </c>
      <c r="B767" t="s">
        <v>1080</v>
      </c>
      <c r="C767" t="s">
        <v>524</v>
      </c>
      <c r="D767" t="s">
        <v>438</v>
      </c>
      <c r="E767" t="s">
        <v>1099</v>
      </c>
      <c r="F767" t="s">
        <v>1082</v>
      </c>
      <c r="G767" t="s">
        <v>531</v>
      </c>
      <c r="H767" t="s">
        <v>373</v>
      </c>
      <c r="I767" t="s">
        <v>289</v>
      </c>
      <c r="J767" t="s">
        <v>1083</v>
      </c>
      <c r="K767">
        <v>4</v>
      </c>
      <c r="L767" s="6">
        <v>1.2192000000000001</v>
      </c>
      <c r="M767" s="7">
        <v>25.4</v>
      </c>
      <c r="N767" s="7">
        <v>285.75</v>
      </c>
      <c r="O767" s="7">
        <f t="shared" si="56"/>
        <v>48.000000000000007</v>
      </c>
      <c r="P767" s="7">
        <f t="shared" si="57"/>
        <v>1</v>
      </c>
      <c r="Q767" s="7">
        <f t="shared" si="57"/>
        <v>11.25</v>
      </c>
      <c r="R767" s="6">
        <f t="shared" si="58"/>
        <v>452.02800000000002</v>
      </c>
      <c r="S767" s="6">
        <f t="shared" si="60"/>
        <v>8.84901456E-3</v>
      </c>
      <c r="T767" t="str">
        <f t="shared" si="59"/>
        <v>Cumaru S4S E4E 5/4x12 Short</v>
      </c>
    </row>
    <row r="768" spans="1:20" x14ac:dyDescent="0.25">
      <c r="A768" t="s">
        <v>531</v>
      </c>
      <c r="B768" t="s">
        <v>1080</v>
      </c>
      <c r="C768" t="s">
        <v>524</v>
      </c>
      <c r="D768" t="s">
        <v>438</v>
      </c>
      <c r="E768" t="s">
        <v>1100</v>
      </c>
      <c r="F768" t="s">
        <v>1082</v>
      </c>
      <c r="G768" t="s">
        <v>531</v>
      </c>
      <c r="H768" t="s">
        <v>373</v>
      </c>
      <c r="I768" t="s">
        <v>289</v>
      </c>
      <c r="J768" t="s">
        <v>1083</v>
      </c>
      <c r="K768">
        <v>5</v>
      </c>
      <c r="L768" s="6">
        <v>1.524</v>
      </c>
      <c r="M768" s="7">
        <v>25.4</v>
      </c>
      <c r="N768" s="7">
        <v>285.75</v>
      </c>
      <c r="O768" s="7">
        <f t="shared" si="56"/>
        <v>60</v>
      </c>
      <c r="P768" s="7">
        <f t="shared" si="57"/>
        <v>1</v>
      </c>
      <c r="Q768" s="7">
        <f t="shared" si="57"/>
        <v>11.25</v>
      </c>
      <c r="R768" s="6">
        <f t="shared" si="58"/>
        <v>452.02800000000002</v>
      </c>
      <c r="S768" s="6">
        <f t="shared" si="60"/>
        <v>1.10612682E-2</v>
      </c>
      <c r="T768" t="str">
        <f t="shared" si="59"/>
        <v>Cumaru S4S E4E 5/4x12 Short</v>
      </c>
    </row>
    <row r="769" spans="1:20" x14ac:dyDescent="0.25">
      <c r="A769" t="s">
        <v>531</v>
      </c>
      <c r="B769" t="s">
        <v>1080</v>
      </c>
      <c r="C769" t="s">
        <v>524</v>
      </c>
      <c r="D769" t="s">
        <v>438</v>
      </c>
      <c r="E769" t="s">
        <v>1101</v>
      </c>
      <c r="F769" t="s">
        <v>1082</v>
      </c>
      <c r="G769" t="s">
        <v>531</v>
      </c>
      <c r="H769" t="s">
        <v>373</v>
      </c>
      <c r="I769" t="s">
        <v>289</v>
      </c>
      <c r="J769" t="s">
        <v>1083</v>
      </c>
      <c r="K769">
        <v>6</v>
      </c>
      <c r="L769" s="6">
        <v>1.8288</v>
      </c>
      <c r="M769" s="7">
        <v>25.4</v>
      </c>
      <c r="N769" s="7">
        <v>285.75</v>
      </c>
      <c r="O769" s="7">
        <f t="shared" si="56"/>
        <v>72</v>
      </c>
      <c r="P769" s="7">
        <f t="shared" si="57"/>
        <v>1</v>
      </c>
      <c r="Q769" s="7">
        <f t="shared" si="57"/>
        <v>11.25</v>
      </c>
      <c r="R769" s="6">
        <f t="shared" si="58"/>
        <v>452.02800000000002</v>
      </c>
      <c r="S769" s="6">
        <f t="shared" si="60"/>
        <v>1.3273521839999998E-2</v>
      </c>
      <c r="T769" t="str">
        <f t="shared" si="59"/>
        <v>Cumaru S4S E4E 5/4x12 Short</v>
      </c>
    </row>
    <row r="770" spans="1:20" x14ac:dyDescent="0.25">
      <c r="A770" t="s">
        <v>531</v>
      </c>
      <c r="B770" t="s">
        <v>1080</v>
      </c>
      <c r="C770" t="s">
        <v>524</v>
      </c>
      <c r="D770" t="s">
        <v>438</v>
      </c>
      <c r="E770" t="s">
        <v>1102</v>
      </c>
      <c r="F770" t="s">
        <v>1082</v>
      </c>
      <c r="G770" t="s">
        <v>531</v>
      </c>
      <c r="H770" t="s">
        <v>373</v>
      </c>
      <c r="I770" t="s">
        <v>289</v>
      </c>
      <c r="J770" t="s">
        <v>1083</v>
      </c>
      <c r="K770">
        <v>7</v>
      </c>
      <c r="L770" s="6">
        <v>2.1335999999999999</v>
      </c>
      <c r="M770" s="7">
        <v>25.4</v>
      </c>
      <c r="N770" s="7">
        <v>285.75</v>
      </c>
      <c r="O770" s="7">
        <f t="shared" ref="O770:O833" si="61">L770/0.0254</f>
        <v>84</v>
      </c>
      <c r="P770" s="7">
        <f t="shared" ref="P770:Q833" si="62">M770/25.4</f>
        <v>1</v>
      </c>
      <c r="Q770" s="7">
        <f t="shared" si="62"/>
        <v>11.25</v>
      </c>
      <c r="R770" s="6">
        <f t="shared" ref="R770:R833" si="63">ROUND(IFERROR(1/((M770*N770*0.3048)/1000000),0),3)</f>
        <v>452.02800000000002</v>
      </c>
      <c r="S770" s="6">
        <f t="shared" si="60"/>
        <v>1.5485775479999998E-2</v>
      </c>
      <c r="T770" t="str">
        <f t="shared" ref="T770:T833" si="64">F770&amp;" "&amp;C770</f>
        <v>Cumaru S4S E4E 5/4x12 Short</v>
      </c>
    </row>
    <row r="771" spans="1:20" x14ac:dyDescent="0.25">
      <c r="A771" t="s">
        <v>531</v>
      </c>
      <c r="B771" t="s">
        <v>1080</v>
      </c>
      <c r="C771" t="s">
        <v>283</v>
      </c>
      <c r="D771" t="s">
        <v>438</v>
      </c>
      <c r="E771" t="s">
        <v>1103</v>
      </c>
      <c r="F771" t="s">
        <v>1082</v>
      </c>
      <c r="G771" t="s">
        <v>531</v>
      </c>
      <c r="H771" t="s">
        <v>373</v>
      </c>
      <c r="I771" t="s">
        <v>289</v>
      </c>
      <c r="J771" t="s">
        <v>1083</v>
      </c>
      <c r="K771">
        <v>8</v>
      </c>
      <c r="L771" s="6">
        <v>2.4384000000000001</v>
      </c>
      <c r="M771" s="7">
        <v>25.4</v>
      </c>
      <c r="N771" s="7">
        <v>285.75</v>
      </c>
      <c r="O771" s="7">
        <f t="shared" si="61"/>
        <v>96.000000000000014</v>
      </c>
      <c r="P771" s="7">
        <f t="shared" si="62"/>
        <v>1</v>
      </c>
      <c r="Q771" s="7">
        <f t="shared" si="62"/>
        <v>11.25</v>
      </c>
      <c r="R771" s="6">
        <f t="shared" si="63"/>
        <v>452.02800000000002</v>
      </c>
      <c r="S771" s="6">
        <f t="shared" si="60"/>
        <v>1.769802912E-2</v>
      </c>
      <c r="T771" t="str">
        <f t="shared" si="64"/>
        <v>Cumaru S4S E4E 5/4x12 Long</v>
      </c>
    </row>
    <row r="772" spans="1:20" x14ac:dyDescent="0.25">
      <c r="A772" t="s">
        <v>531</v>
      </c>
      <c r="B772" t="s">
        <v>1080</v>
      </c>
      <c r="C772" t="s">
        <v>283</v>
      </c>
      <c r="D772" t="s">
        <v>438</v>
      </c>
      <c r="E772" t="s">
        <v>1104</v>
      </c>
      <c r="F772" t="s">
        <v>1082</v>
      </c>
      <c r="G772" t="s">
        <v>531</v>
      </c>
      <c r="H772" t="s">
        <v>373</v>
      </c>
      <c r="I772" t="s">
        <v>289</v>
      </c>
      <c r="J772" t="s">
        <v>1083</v>
      </c>
      <c r="K772">
        <v>9</v>
      </c>
      <c r="L772" s="6">
        <v>2.7431999999999999</v>
      </c>
      <c r="M772" s="7">
        <v>25.4</v>
      </c>
      <c r="N772" s="7">
        <v>285.75</v>
      </c>
      <c r="O772" s="7">
        <f t="shared" si="61"/>
        <v>108</v>
      </c>
      <c r="P772" s="7">
        <f t="shared" si="62"/>
        <v>1</v>
      </c>
      <c r="Q772" s="7">
        <f t="shared" si="62"/>
        <v>11.25</v>
      </c>
      <c r="R772" s="6">
        <f t="shared" si="63"/>
        <v>452.02800000000002</v>
      </c>
      <c r="S772" s="6">
        <f t="shared" ref="S772:S835" si="65">L772*M772/1000*N772/1000</f>
        <v>1.9910282759999998E-2</v>
      </c>
      <c r="T772" t="str">
        <f t="shared" si="64"/>
        <v>Cumaru S4S E4E 5/4x12 Long</v>
      </c>
    </row>
    <row r="773" spans="1:20" x14ac:dyDescent="0.25">
      <c r="A773" t="s">
        <v>531</v>
      </c>
      <c r="B773" t="s">
        <v>532</v>
      </c>
      <c r="C773" t="s">
        <v>283</v>
      </c>
      <c r="D773" t="s">
        <v>438</v>
      </c>
      <c r="E773" t="s">
        <v>59</v>
      </c>
      <c r="F773" t="s">
        <v>1105</v>
      </c>
      <c r="G773" t="s">
        <v>531</v>
      </c>
      <c r="H773" t="s">
        <v>373</v>
      </c>
      <c r="I773" t="s">
        <v>289</v>
      </c>
      <c r="J773" t="s">
        <v>301</v>
      </c>
      <c r="K773">
        <v>10</v>
      </c>
      <c r="L773" s="6">
        <v>3.048</v>
      </c>
      <c r="M773" s="7">
        <v>25.4</v>
      </c>
      <c r="N773" s="7">
        <v>139.69999999999999</v>
      </c>
      <c r="O773" s="7">
        <f t="shared" si="61"/>
        <v>120</v>
      </c>
      <c r="P773" s="7">
        <f t="shared" si="62"/>
        <v>1</v>
      </c>
      <c r="Q773" s="7">
        <f t="shared" si="62"/>
        <v>5.5</v>
      </c>
      <c r="R773" s="6">
        <f t="shared" si="63"/>
        <v>924.60199999999998</v>
      </c>
      <c r="S773" s="6">
        <f t="shared" si="65"/>
        <v>1.081546224E-2</v>
      </c>
      <c r="T773" t="str">
        <f t="shared" si="64"/>
        <v>Cumaru S4S E4E 5/4x6 Long</v>
      </c>
    </row>
    <row r="774" spans="1:20" x14ac:dyDescent="0.25">
      <c r="A774" t="s">
        <v>531</v>
      </c>
      <c r="B774" t="s">
        <v>532</v>
      </c>
      <c r="C774" t="s">
        <v>283</v>
      </c>
      <c r="D774" t="s">
        <v>438</v>
      </c>
      <c r="E774" t="s">
        <v>1106</v>
      </c>
      <c r="F774" t="s">
        <v>1105</v>
      </c>
      <c r="G774" t="s">
        <v>531</v>
      </c>
      <c r="H774" t="s">
        <v>373</v>
      </c>
      <c r="I774" t="s">
        <v>289</v>
      </c>
      <c r="J774" t="s">
        <v>301</v>
      </c>
      <c r="K774">
        <v>11</v>
      </c>
      <c r="L774" s="6">
        <v>3.3527999999999998</v>
      </c>
      <c r="M774" s="7">
        <v>25.4</v>
      </c>
      <c r="N774" s="7">
        <v>139.69999999999999</v>
      </c>
      <c r="O774" s="7">
        <f t="shared" si="61"/>
        <v>132</v>
      </c>
      <c r="P774" s="7">
        <f t="shared" si="62"/>
        <v>1</v>
      </c>
      <c r="Q774" s="7">
        <f t="shared" si="62"/>
        <v>5.5</v>
      </c>
      <c r="R774" s="6">
        <f t="shared" si="63"/>
        <v>924.60199999999998</v>
      </c>
      <c r="S774" s="6">
        <f t="shared" si="65"/>
        <v>1.1897008463999995E-2</v>
      </c>
      <c r="T774" t="str">
        <f t="shared" si="64"/>
        <v>Cumaru S4S E4E 5/4x6 Long</v>
      </c>
    </row>
    <row r="775" spans="1:20" x14ac:dyDescent="0.25">
      <c r="A775" t="s">
        <v>531</v>
      </c>
      <c r="B775" t="s">
        <v>532</v>
      </c>
      <c r="C775" t="s">
        <v>283</v>
      </c>
      <c r="D775" t="s">
        <v>438</v>
      </c>
      <c r="E775" t="s">
        <v>60</v>
      </c>
      <c r="F775" t="s">
        <v>1105</v>
      </c>
      <c r="G775" t="s">
        <v>531</v>
      </c>
      <c r="H775" t="s">
        <v>373</v>
      </c>
      <c r="I775" t="s">
        <v>289</v>
      </c>
      <c r="J775" t="s">
        <v>301</v>
      </c>
      <c r="K775">
        <v>12</v>
      </c>
      <c r="L775" s="6">
        <v>3.6576</v>
      </c>
      <c r="M775" s="7">
        <v>25.4</v>
      </c>
      <c r="N775" s="7">
        <v>139.69999999999999</v>
      </c>
      <c r="O775" s="7">
        <f t="shared" si="61"/>
        <v>144</v>
      </c>
      <c r="P775" s="7">
        <f t="shared" si="62"/>
        <v>1</v>
      </c>
      <c r="Q775" s="7">
        <f t="shared" si="62"/>
        <v>5.5</v>
      </c>
      <c r="R775" s="6">
        <f t="shared" si="63"/>
        <v>924.60199999999998</v>
      </c>
      <c r="S775" s="6">
        <f t="shared" si="65"/>
        <v>1.2978554687999997E-2</v>
      </c>
      <c r="T775" t="str">
        <f t="shared" si="64"/>
        <v>Cumaru S4S E4E 5/4x6 Long</v>
      </c>
    </row>
    <row r="776" spans="1:20" x14ac:dyDescent="0.25">
      <c r="A776" t="s">
        <v>531</v>
      </c>
      <c r="B776" t="s">
        <v>532</v>
      </c>
      <c r="C776" t="s">
        <v>283</v>
      </c>
      <c r="D776" t="s">
        <v>438</v>
      </c>
      <c r="E776" t="s">
        <v>1107</v>
      </c>
      <c r="F776" t="s">
        <v>1105</v>
      </c>
      <c r="G776" t="s">
        <v>531</v>
      </c>
      <c r="H776" t="s">
        <v>373</v>
      </c>
      <c r="I776" t="s">
        <v>289</v>
      </c>
      <c r="J776" t="s">
        <v>301</v>
      </c>
      <c r="K776">
        <v>13</v>
      </c>
      <c r="L776" s="6">
        <v>3.9624000000000001</v>
      </c>
      <c r="M776" s="7">
        <v>25.4</v>
      </c>
      <c r="N776" s="7">
        <v>139.69999999999999</v>
      </c>
      <c r="O776" s="7">
        <f t="shared" si="61"/>
        <v>156</v>
      </c>
      <c r="P776" s="7">
        <f t="shared" si="62"/>
        <v>1</v>
      </c>
      <c r="Q776" s="7">
        <f t="shared" si="62"/>
        <v>5.5</v>
      </c>
      <c r="R776" s="6">
        <f t="shared" si="63"/>
        <v>924.60199999999998</v>
      </c>
      <c r="S776" s="6">
        <f t="shared" si="65"/>
        <v>1.4060100911999997E-2</v>
      </c>
      <c r="T776" t="str">
        <f t="shared" si="64"/>
        <v>Cumaru S4S E4E 5/4x6 Long</v>
      </c>
    </row>
    <row r="777" spans="1:20" x14ac:dyDescent="0.25">
      <c r="A777" t="s">
        <v>531</v>
      </c>
      <c r="B777" t="s">
        <v>532</v>
      </c>
      <c r="C777" t="s">
        <v>283</v>
      </c>
      <c r="D777" t="s">
        <v>438</v>
      </c>
      <c r="E777" t="s">
        <v>61</v>
      </c>
      <c r="F777" t="s">
        <v>1105</v>
      </c>
      <c r="G777" t="s">
        <v>531</v>
      </c>
      <c r="H777" t="s">
        <v>373</v>
      </c>
      <c r="I777" t="s">
        <v>289</v>
      </c>
      <c r="J777" t="s">
        <v>301</v>
      </c>
      <c r="K777">
        <v>14</v>
      </c>
      <c r="L777" s="6">
        <v>4.2671999999999999</v>
      </c>
      <c r="M777" s="7">
        <v>25.4</v>
      </c>
      <c r="N777" s="7">
        <v>139.69999999999999</v>
      </c>
      <c r="O777" s="7">
        <f t="shared" si="61"/>
        <v>168</v>
      </c>
      <c r="P777" s="7">
        <f t="shared" si="62"/>
        <v>1</v>
      </c>
      <c r="Q777" s="7">
        <f t="shared" si="62"/>
        <v>5.5</v>
      </c>
      <c r="R777" s="6">
        <f t="shared" si="63"/>
        <v>924.60199999999998</v>
      </c>
      <c r="S777" s="6">
        <f t="shared" si="65"/>
        <v>1.5141647135999997E-2</v>
      </c>
      <c r="T777" t="str">
        <f t="shared" si="64"/>
        <v>Cumaru S4S E4E 5/4x6 Long</v>
      </c>
    </row>
    <row r="778" spans="1:20" x14ac:dyDescent="0.25">
      <c r="A778" t="s">
        <v>531</v>
      </c>
      <c r="B778" t="s">
        <v>532</v>
      </c>
      <c r="C778" t="s">
        <v>283</v>
      </c>
      <c r="D778" t="s">
        <v>438</v>
      </c>
      <c r="E778" t="s">
        <v>1108</v>
      </c>
      <c r="F778" t="s">
        <v>1105</v>
      </c>
      <c r="G778" t="s">
        <v>531</v>
      </c>
      <c r="H778" t="s">
        <v>373</v>
      </c>
      <c r="I778" t="s">
        <v>289</v>
      </c>
      <c r="J778" t="s">
        <v>301</v>
      </c>
      <c r="K778">
        <v>15</v>
      </c>
      <c r="L778" s="6">
        <v>4.5720000000000001</v>
      </c>
      <c r="M778" s="7">
        <v>25.4</v>
      </c>
      <c r="N778" s="7">
        <v>139.69999999999999</v>
      </c>
      <c r="O778" s="7">
        <f t="shared" si="61"/>
        <v>180</v>
      </c>
      <c r="P778" s="7">
        <f t="shared" si="62"/>
        <v>1</v>
      </c>
      <c r="Q778" s="7">
        <f t="shared" si="62"/>
        <v>5.5</v>
      </c>
      <c r="R778" s="6">
        <f t="shared" si="63"/>
        <v>924.60199999999998</v>
      </c>
      <c r="S778" s="6">
        <f t="shared" si="65"/>
        <v>1.6223193359999999E-2</v>
      </c>
      <c r="T778" t="str">
        <f t="shared" si="64"/>
        <v>Cumaru S4S E4E 5/4x6 Long</v>
      </c>
    </row>
    <row r="779" spans="1:20" x14ac:dyDescent="0.25">
      <c r="A779" t="s">
        <v>531</v>
      </c>
      <c r="B779" t="s">
        <v>532</v>
      </c>
      <c r="C779" t="s">
        <v>283</v>
      </c>
      <c r="D779" t="s">
        <v>438</v>
      </c>
      <c r="E779" t="s">
        <v>1109</v>
      </c>
      <c r="F779" t="s">
        <v>1105</v>
      </c>
      <c r="G779" t="s">
        <v>531</v>
      </c>
      <c r="H779" t="s">
        <v>373</v>
      </c>
      <c r="I779" t="s">
        <v>289</v>
      </c>
      <c r="J779" t="s">
        <v>301</v>
      </c>
      <c r="K779">
        <v>16</v>
      </c>
      <c r="L779" s="6">
        <v>4.8768000000000002</v>
      </c>
      <c r="M779" s="7">
        <v>25.4</v>
      </c>
      <c r="N779" s="7">
        <v>139.69999999999999</v>
      </c>
      <c r="O779" s="7">
        <f t="shared" si="61"/>
        <v>192.00000000000003</v>
      </c>
      <c r="P779" s="7">
        <f t="shared" si="62"/>
        <v>1</v>
      </c>
      <c r="Q779" s="7">
        <f t="shared" si="62"/>
        <v>5.5</v>
      </c>
      <c r="R779" s="6">
        <f t="shared" si="63"/>
        <v>924.60199999999998</v>
      </c>
      <c r="S779" s="6">
        <f t="shared" si="65"/>
        <v>1.7304739584000001E-2</v>
      </c>
      <c r="T779" t="str">
        <f t="shared" si="64"/>
        <v>Cumaru S4S E4E 5/4x6 Long</v>
      </c>
    </row>
    <row r="780" spans="1:20" x14ac:dyDescent="0.25">
      <c r="A780" t="s">
        <v>531</v>
      </c>
      <c r="B780" t="s">
        <v>532</v>
      </c>
      <c r="C780" t="s">
        <v>283</v>
      </c>
      <c r="D780" t="s">
        <v>438</v>
      </c>
      <c r="E780" t="s">
        <v>1110</v>
      </c>
      <c r="F780" t="s">
        <v>1105</v>
      </c>
      <c r="G780" t="s">
        <v>531</v>
      </c>
      <c r="H780" t="s">
        <v>373</v>
      </c>
      <c r="I780" t="s">
        <v>289</v>
      </c>
      <c r="J780" t="s">
        <v>301</v>
      </c>
      <c r="K780">
        <v>17</v>
      </c>
      <c r="L780" s="6">
        <v>5.1816000000000004</v>
      </c>
      <c r="M780" s="7">
        <v>25.4</v>
      </c>
      <c r="N780" s="7">
        <v>139.69999999999999</v>
      </c>
      <c r="O780" s="7">
        <f t="shared" si="61"/>
        <v>204.00000000000003</v>
      </c>
      <c r="P780" s="7">
        <f t="shared" si="62"/>
        <v>1</v>
      </c>
      <c r="Q780" s="7">
        <f t="shared" si="62"/>
        <v>5.5</v>
      </c>
      <c r="R780" s="6">
        <f t="shared" si="63"/>
        <v>924.60199999999998</v>
      </c>
      <c r="S780" s="6">
        <f t="shared" si="65"/>
        <v>1.8386285807999999E-2</v>
      </c>
      <c r="T780" t="str">
        <f t="shared" si="64"/>
        <v>Cumaru S4S E4E 5/4x6 Long</v>
      </c>
    </row>
    <row r="781" spans="1:20" x14ac:dyDescent="0.25">
      <c r="A781" t="s">
        <v>531</v>
      </c>
      <c r="B781" t="s">
        <v>532</v>
      </c>
      <c r="C781" t="s">
        <v>283</v>
      </c>
      <c r="D781" t="s">
        <v>438</v>
      </c>
      <c r="E781" t="s">
        <v>62</v>
      </c>
      <c r="F781" t="s">
        <v>1105</v>
      </c>
      <c r="G781" t="s">
        <v>531</v>
      </c>
      <c r="H781" t="s">
        <v>373</v>
      </c>
      <c r="I781" t="s">
        <v>289</v>
      </c>
      <c r="J781" t="s">
        <v>301</v>
      </c>
      <c r="K781">
        <v>18</v>
      </c>
      <c r="L781" s="6">
        <v>5.4863999999999997</v>
      </c>
      <c r="M781" s="7">
        <v>25.4</v>
      </c>
      <c r="N781" s="7">
        <v>139.69999999999999</v>
      </c>
      <c r="O781" s="7">
        <f t="shared" si="61"/>
        <v>216</v>
      </c>
      <c r="P781" s="7">
        <f t="shared" si="62"/>
        <v>1</v>
      </c>
      <c r="Q781" s="7">
        <f t="shared" si="62"/>
        <v>5.5</v>
      </c>
      <c r="R781" s="6">
        <f t="shared" si="63"/>
        <v>924.60199999999998</v>
      </c>
      <c r="S781" s="6">
        <f t="shared" si="65"/>
        <v>1.9467832031999997E-2</v>
      </c>
      <c r="T781" t="str">
        <f t="shared" si="64"/>
        <v>Cumaru S4S E4E 5/4x6 Long</v>
      </c>
    </row>
    <row r="782" spans="1:20" x14ac:dyDescent="0.25">
      <c r="A782" t="s">
        <v>531</v>
      </c>
      <c r="B782" t="s">
        <v>532</v>
      </c>
      <c r="C782" t="s">
        <v>283</v>
      </c>
      <c r="D782" t="s">
        <v>438</v>
      </c>
      <c r="E782" t="s">
        <v>1111</v>
      </c>
      <c r="F782" t="s">
        <v>1105</v>
      </c>
      <c r="G782" t="s">
        <v>531</v>
      </c>
      <c r="H782" t="s">
        <v>373</v>
      </c>
      <c r="I782" t="s">
        <v>289</v>
      </c>
      <c r="J782" t="s">
        <v>301</v>
      </c>
      <c r="K782">
        <v>19</v>
      </c>
      <c r="L782" s="6">
        <v>5.7911999999999999</v>
      </c>
      <c r="M782" s="7">
        <v>25.4</v>
      </c>
      <c r="N782" s="7">
        <v>139.69999999999999</v>
      </c>
      <c r="O782" s="7">
        <f t="shared" si="61"/>
        <v>228</v>
      </c>
      <c r="P782" s="7">
        <f t="shared" si="62"/>
        <v>1</v>
      </c>
      <c r="Q782" s="7">
        <f t="shared" si="62"/>
        <v>5.5</v>
      </c>
      <c r="R782" s="6">
        <f t="shared" si="63"/>
        <v>924.60199999999998</v>
      </c>
      <c r="S782" s="6">
        <f t="shared" si="65"/>
        <v>2.0549378255999992E-2</v>
      </c>
      <c r="T782" t="str">
        <f t="shared" si="64"/>
        <v>Cumaru S4S E4E 5/4x6 Long</v>
      </c>
    </row>
    <row r="783" spans="1:20" x14ac:dyDescent="0.25">
      <c r="A783" t="s">
        <v>531</v>
      </c>
      <c r="B783" t="s">
        <v>532</v>
      </c>
      <c r="C783" t="s">
        <v>283</v>
      </c>
      <c r="D783" t="s">
        <v>438</v>
      </c>
      <c r="E783" t="s">
        <v>1112</v>
      </c>
      <c r="F783" t="s">
        <v>1105</v>
      </c>
      <c r="G783" t="s">
        <v>531</v>
      </c>
      <c r="H783" t="s">
        <v>373</v>
      </c>
      <c r="I783" t="s">
        <v>289</v>
      </c>
      <c r="J783" t="s">
        <v>301</v>
      </c>
      <c r="K783">
        <v>20</v>
      </c>
      <c r="L783" s="6">
        <v>6.0960000000000001</v>
      </c>
      <c r="M783" s="7">
        <v>25.4</v>
      </c>
      <c r="N783" s="7">
        <v>139.69999999999999</v>
      </c>
      <c r="O783" s="7">
        <f t="shared" si="61"/>
        <v>240</v>
      </c>
      <c r="P783" s="7">
        <f t="shared" si="62"/>
        <v>1</v>
      </c>
      <c r="Q783" s="7">
        <f t="shared" si="62"/>
        <v>5.5</v>
      </c>
      <c r="R783" s="6">
        <f t="shared" si="63"/>
        <v>924.60199999999998</v>
      </c>
      <c r="S783" s="6">
        <f t="shared" si="65"/>
        <v>2.1630924480000001E-2</v>
      </c>
      <c r="T783" t="str">
        <f t="shared" si="64"/>
        <v>Cumaru S4S E4E 5/4x6 Long</v>
      </c>
    </row>
    <row r="784" spans="1:20" x14ac:dyDescent="0.25">
      <c r="A784" t="s">
        <v>531</v>
      </c>
      <c r="B784" t="s">
        <v>532</v>
      </c>
      <c r="C784" t="s">
        <v>283</v>
      </c>
      <c r="D784" t="s">
        <v>438</v>
      </c>
      <c r="E784" t="s">
        <v>1113</v>
      </c>
      <c r="F784" t="s">
        <v>1105</v>
      </c>
      <c r="G784" t="s">
        <v>531</v>
      </c>
      <c r="H784" t="s">
        <v>373</v>
      </c>
      <c r="I784" t="s">
        <v>289</v>
      </c>
      <c r="J784" t="s">
        <v>301</v>
      </c>
      <c r="K784">
        <v>21</v>
      </c>
      <c r="L784" s="6">
        <v>6.4008000000000003</v>
      </c>
      <c r="M784" s="7">
        <v>25.4</v>
      </c>
      <c r="N784" s="7">
        <v>139.69999999999999</v>
      </c>
      <c r="O784" s="7">
        <f t="shared" si="61"/>
        <v>252.00000000000003</v>
      </c>
      <c r="P784" s="7">
        <f t="shared" si="62"/>
        <v>1</v>
      </c>
      <c r="Q784" s="7">
        <f t="shared" si="62"/>
        <v>5.5</v>
      </c>
      <c r="R784" s="6">
        <f t="shared" si="63"/>
        <v>924.60199999999998</v>
      </c>
      <c r="S784" s="6">
        <f t="shared" si="65"/>
        <v>2.2712470703999999E-2</v>
      </c>
      <c r="T784" t="str">
        <f t="shared" si="64"/>
        <v>Cumaru S4S E4E 5/4x6 Long</v>
      </c>
    </row>
    <row r="785" spans="1:20" x14ac:dyDescent="0.25">
      <c r="A785" t="s">
        <v>531</v>
      </c>
      <c r="B785" t="s">
        <v>532</v>
      </c>
      <c r="C785" t="s">
        <v>283</v>
      </c>
      <c r="D785" t="s">
        <v>438</v>
      </c>
      <c r="E785" t="s">
        <v>1114</v>
      </c>
      <c r="F785" t="s">
        <v>1105</v>
      </c>
      <c r="G785" t="s">
        <v>531</v>
      </c>
      <c r="H785" t="s">
        <v>373</v>
      </c>
      <c r="I785" t="s">
        <v>289</v>
      </c>
      <c r="J785" t="s">
        <v>301</v>
      </c>
      <c r="K785">
        <v>22</v>
      </c>
      <c r="L785" s="6">
        <v>6.7055999999999996</v>
      </c>
      <c r="M785" s="7">
        <v>25.4</v>
      </c>
      <c r="N785" s="7">
        <v>139.69999999999999</v>
      </c>
      <c r="O785" s="7">
        <f t="shared" si="61"/>
        <v>264</v>
      </c>
      <c r="P785" s="7">
        <f t="shared" si="62"/>
        <v>1</v>
      </c>
      <c r="Q785" s="7">
        <f t="shared" si="62"/>
        <v>5.5</v>
      </c>
      <c r="R785" s="6">
        <f t="shared" si="63"/>
        <v>924.60199999999998</v>
      </c>
      <c r="S785" s="6">
        <f t="shared" si="65"/>
        <v>2.3794016927999991E-2</v>
      </c>
      <c r="T785" t="str">
        <f t="shared" si="64"/>
        <v>Cumaru S4S E4E 5/4x6 Long</v>
      </c>
    </row>
    <row r="786" spans="1:20" x14ac:dyDescent="0.25">
      <c r="A786" t="s">
        <v>531</v>
      </c>
      <c r="B786" t="s">
        <v>532</v>
      </c>
      <c r="C786" t="s">
        <v>283</v>
      </c>
      <c r="D786" t="s">
        <v>438</v>
      </c>
      <c r="E786" t="s">
        <v>1115</v>
      </c>
      <c r="F786" t="s">
        <v>1105</v>
      </c>
      <c r="G786" t="s">
        <v>531</v>
      </c>
      <c r="H786" t="s">
        <v>373</v>
      </c>
      <c r="I786" t="s">
        <v>289</v>
      </c>
      <c r="J786" t="s">
        <v>301</v>
      </c>
      <c r="K786">
        <v>23</v>
      </c>
      <c r="L786" s="6">
        <v>7.0103999999999997</v>
      </c>
      <c r="M786" s="7">
        <v>25.4</v>
      </c>
      <c r="N786" s="7">
        <v>139.69999999999999</v>
      </c>
      <c r="O786" s="7">
        <f t="shared" si="61"/>
        <v>276</v>
      </c>
      <c r="P786" s="7">
        <f t="shared" si="62"/>
        <v>1</v>
      </c>
      <c r="Q786" s="7">
        <f t="shared" si="62"/>
        <v>5.5</v>
      </c>
      <c r="R786" s="6">
        <f t="shared" si="63"/>
        <v>924.60199999999998</v>
      </c>
      <c r="S786" s="6">
        <f t="shared" si="65"/>
        <v>2.4875563151999999E-2</v>
      </c>
      <c r="T786" t="str">
        <f t="shared" si="64"/>
        <v>Cumaru S4S E4E 5/4x6 Long</v>
      </c>
    </row>
    <row r="787" spans="1:20" x14ac:dyDescent="0.25">
      <c r="A787" t="s">
        <v>531</v>
      </c>
      <c r="B787" t="s">
        <v>532</v>
      </c>
      <c r="C787" t="s">
        <v>283</v>
      </c>
      <c r="D787" t="s">
        <v>438</v>
      </c>
      <c r="E787" t="s">
        <v>1116</v>
      </c>
      <c r="F787" t="s">
        <v>1105</v>
      </c>
      <c r="G787" t="s">
        <v>531</v>
      </c>
      <c r="H787" t="s">
        <v>373</v>
      </c>
      <c r="I787" t="s">
        <v>289</v>
      </c>
      <c r="J787" t="s">
        <v>301</v>
      </c>
      <c r="K787">
        <v>24</v>
      </c>
      <c r="L787" s="6">
        <v>7.3152000000000008</v>
      </c>
      <c r="M787" s="7">
        <v>25.4</v>
      </c>
      <c r="N787" s="7">
        <v>139.69999999999999</v>
      </c>
      <c r="O787" s="7">
        <f t="shared" si="61"/>
        <v>288.00000000000006</v>
      </c>
      <c r="P787" s="7">
        <f t="shared" si="62"/>
        <v>1</v>
      </c>
      <c r="Q787" s="7">
        <f t="shared" si="62"/>
        <v>5.5</v>
      </c>
      <c r="R787" s="6">
        <f t="shared" si="63"/>
        <v>924.60199999999998</v>
      </c>
      <c r="S787" s="6">
        <f t="shared" si="65"/>
        <v>2.5957109375999998E-2</v>
      </c>
      <c r="T787" t="str">
        <f t="shared" si="64"/>
        <v>Cumaru S4S E4E 5/4x6 Long</v>
      </c>
    </row>
    <row r="788" spans="1:20" x14ac:dyDescent="0.25">
      <c r="A788" t="s">
        <v>531</v>
      </c>
      <c r="B788" t="s">
        <v>532</v>
      </c>
      <c r="C788" t="s">
        <v>524</v>
      </c>
      <c r="D788" t="s">
        <v>438</v>
      </c>
      <c r="E788" t="s">
        <v>1117</v>
      </c>
      <c r="F788" t="s">
        <v>1105</v>
      </c>
      <c r="G788" t="s">
        <v>531</v>
      </c>
      <c r="H788" t="s">
        <v>373</v>
      </c>
      <c r="I788" t="s">
        <v>289</v>
      </c>
      <c r="J788" t="s">
        <v>301</v>
      </c>
      <c r="K788">
        <v>3</v>
      </c>
      <c r="L788" s="6">
        <v>0.91439999999999999</v>
      </c>
      <c r="M788" s="7">
        <v>25.4</v>
      </c>
      <c r="N788" s="7">
        <v>139.69999999999999</v>
      </c>
      <c r="O788" s="7">
        <f t="shared" si="61"/>
        <v>36</v>
      </c>
      <c r="P788" s="7">
        <f t="shared" si="62"/>
        <v>1</v>
      </c>
      <c r="Q788" s="7">
        <f t="shared" si="62"/>
        <v>5.5</v>
      </c>
      <c r="R788" s="6">
        <f t="shared" si="63"/>
        <v>924.60199999999998</v>
      </c>
      <c r="S788" s="6">
        <f t="shared" si="65"/>
        <v>3.2446386719999993E-3</v>
      </c>
      <c r="T788" t="str">
        <f t="shared" si="64"/>
        <v>Cumaru S4S E4E 5/4x6 Short</v>
      </c>
    </row>
    <row r="789" spans="1:20" x14ac:dyDescent="0.25">
      <c r="A789" t="s">
        <v>531</v>
      </c>
      <c r="B789" t="s">
        <v>532</v>
      </c>
      <c r="C789" t="s">
        <v>524</v>
      </c>
      <c r="D789" t="s">
        <v>438</v>
      </c>
      <c r="E789" t="s">
        <v>1118</v>
      </c>
      <c r="F789" t="s">
        <v>1105</v>
      </c>
      <c r="G789" t="s">
        <v>531</v>
      </c>
      <c r="H789" t="s">
        <v>373</v>
      </c>
      <c r="I789" t="s">
        <v>289</v>
      </c>
      <c r="J789" t="s">
        <v>301</v>
      </c>
      <c r="K789">
        <v>4</v>
      </c>
      <c r="L789" s="6">
        <v>1.2192000000000001</v>
      </c>
      <c r="M789" s="7">
        <v>25.4</v>
      </c>
      <c r="N789" s="7">
        <v>139.69999999999999</v>
      </c>
      <c r="O789" s="7">
        <f t="shared" si="61"/>
        <v>48.000000000000007</v>
      </c>
      <c r="P789" s="7">
        <f t="shared" si="62"/>
        <v>1</v>
      </c>
      <c r="Q789" s="7">
        <f t="shared" si="62"/>
        <v>5.5</v>
      </c>
      <c r="R789" s="6">
        <f t="shared" si="63"/>
        <v>924.60199999999998</v>
      </c>
      <c r="S789" s="6">
        <f t="shared" si="65"/>
        <v>4.3261848960000002E-3</v>
      </c>
      <c r="T789" t="str">
        <f t="shared" si="64"/>
        <v>Cumaru S4S E4E 5/4x6 Short</v>
      </c>
    </row>
    <row r="790" spans="1:20" x14ac:dyDescent="0.25">
      <c r="A790" t="s">
        <v>531</v>
      </c>
      <c r="B790" t="s">
        <v>532</v>
      </c>
      <c r="C790" t="s">
        <v>524</v>
      </c>
      <c r="D790" t="s">
        <v>438</v>
      </c>
      <c r="E790" t="s">
        <v>1119</v>
      </c>
      <c r="F790" t="s">
        <v>1105</v>
      </c>
      <c r="G790" t="s">
        <v>531</v>
      </c>
      <c r="H790" t="s">
        <v>373</v>
      </c>
      <c r="I790" t="s">
        <v>289</v>
      </c>
      <c r="J790" t="s">
        <v>301</v>
      </c>
      <c r="K790">
        <v>5</v>
      </c>
      <c r="L790" s="6">
        <v>1.524</v>
      </c>
      <c r="M790" s="7">
        <v>25.4</v>
      </c>
      <c r="N790" s="7">
        <v>139.69999999999999</v>
      </c>
      <c r="O790" s="7">
        <f t="shared" si="61"/>
        <v>60</v>
      </c>
      <c r="P790" s="7">
        <f t="shared" si="62"/>
        <v>1</v>
      </c>
      <c r="Q790" s="7">
        <f t="shared" si="62"/>
        <v>5.5</v>
      </c>
      <c r="R790" s="6">
        <f t="shared" si="63"/>
        <v>924.60199999999998</v>
      </c>
      <c r="S790" s="6">
        <f t="shared" si="65"/>
        <v>5.4077311200000002E-3</v>
      </c>
      <c r="T790" t="str">
        <f t="shared" si="64"/>
        <v>Cumaru S4S E4E 5/4x6 Short</v>
      </c>
    </row>
    <row r="791" spans="1:20" x14ac:dyDescent="0.25">
      <c r="A791" t="s">
        <v>531</v>
      </c>
      <c r="B791" t="s">
        <v>532</v>
      </c>
      <c r="C791" t="s">
        <v>524</v>
      </c>
      <c r="D791" t="s">
        <v>438</v>
      </c>
      <c r="E791" t="s">
        <v>1120</v>
      </c>
      <c r="F791" t="s">
        <v>1105</v>
      </c>
      <c r="G791" t="s">
        <v>531</v>
      </c>
      <c r="H791" t="s">
        <v>373</v>
      </c>
      <c r="I791" t="s">
        <v>289</v>
      </c>
      <c r="J791" t="s">
        <v>301</v>
      </c>
      <c r="K791">
        <v>6</v>
      </c>
      <c r="L791" s="6">
        <v>1.8288</v>
      </c>
      <c r="M791" s="7">
        <v>25.4</v>
      </c>
      <c r="N791" s="7">
        <v>139.69999999999999</v>
      </c>
      <c r="O791" s="7">
        <f t="shared" si="61"/>
        <v>72</v>
      </c>
      <c r="P791" s="7">
        <f t="shared" si="62"/>
        <v>1</v>
      </c>
      <c r="Q791" s="7">
        <f t="shared" si="62"/>
        <v>5.5</v>
      </c>
      <c r="R791" s="6">
        <f t="shared" si="63"/>
        <v>924.60199999999998</v>
      </c>
      <c r="S791" s="6">
        <f t="shared" si="65"/>
        <v>6.4892773439999985E-3</v>
      </c>
      <c r="T791" t="str">
        <f t="shared" si="64"/>
        <v>Cumaru S4S E4E 5/4x6 Short</v>
      </c>
    </row>
    <row r="792" spans="1:20" x14ac:dyDescent="0.25">
      <c r="A792" t="s">
        <v>531</v>
      </c>
      <c r="B792" t="s">
        <v>532</v>
      </c>
      <c r="C792" t="s">
        <v>524</v>
      </c>
      <c r="D792" t="s">
        <v>438</v>
      </c>
      <c r="E792" t="s">
        <v>1121</v>
      </c>
      <c r="F792" t="s">
        <v>1105</v>
      </c>
      <c r="G792" t="s">
        <v>531</v>
      </c>
      <c r="H792" t="s">
        <v>373</v>
      </c>
      <c r="I792" t="s">
        <v>289</v>
      </c>
      <c r="J792" t="s">
        <v>301</v>
      </c>
      <c r="K792">
        <v>7</v>
      </c>
      <c r="L792" s="6">
        <v>2.1335999999999999</v>
      </c>
      <c r="M792" s="7">
        <v>25.4</v>
      </c>
      <c r="N792" s="7">
        <v>139.69999999999999</v>
      </c>
      <c r="O792" s="7">
        <f t="shared" si="61"/>
        <v>84</v>
      </c>
      <c r="P792" s="7">
        <f t="shared" si="62"/>
        <v>1</v>
      </c>
      <c r="Q792" s="7">
        <f t="shared" si="62"/>
        <v>5.5</v>
      </c>
      <c r="R792" s="6">
        <f t="shared" si="63"/>
        <v>924.60199999999998</v>
      </c>
      <c r="S792" s="6">
        <f t="shared" si="65"/>
        <v>7.5708235679999986E-3</v>
      </c>
      <c r="T792" t="str">
        <f t="shared" si="64"/>
        <v>Cumaru S4S E4E 5/4x6 Short</v>
      </c>
    </row>
    <row r="793" spans="1:20" x14ac:dyDescent="0.25">
      <c r="A793" t="s">
        <v>531</v>
      </c>
      <c r="B793" t="s">
        <v>532</v>
      </c>
      <c r="C793" t="s">
        <v>283</v>
      </c>
      <c r="D793" t="s">
        <v>438</v>
      </c>
      <c r="E793" t="s">
        <v>58</v>
      </c>
      <c r="F793" t="s">
        <v>1105</v>
      </c>
      <c r="G793" t="s">
        <v>531</v>
      </c>
      <c r="H793" t="s">
        <v>373</v>
      </c>
      <c r="I793" t="s">
        <v>289</v>
      </c>
      <c r="J793" t="s">
        <v>301</v>
      </c>
      <c r="K793">
        <v>8</v>
      </c>
      <c r="L793" s="6">
        <v>2.4384000000000001</v>
      </c>
      <c r="M793" s="7">
        <v>25.4</v>
      </c>
      <c r="N793" s="7">
        <v>139.69999999999999</v>
      </c>
      <c r="O793" s="7">
        <f t="shared" si="61"/>
        <v>96.000000000000014</v>
      </c>
      <c r="P793" s="7">
        <f t="shared" si="62"/>
        <v>1</v>
      </c>
      <c r="Q793" s="7">
        <f t="shared" si="62"/>
        <v>5.5</v>
      </c>
      <c r="R793" s="6">
        <f t="shared" si="63"/>
        <v>924.60199999999998</v>
      </c>
      <c r="S793" s="6">
        <f t="shared" si="65"/>
        <v>8.6523697920000003E-3</v>
      </c>
      <c r="T793" t="str">
        <f t="shared" si="64"/>
        <v>Cumaru S4S E4E 5/4x6 Long</v>
      </c>
    </row>
    <row r="794" spans="1:20" x14ac:dyDescent="0.25">
      <c r="A794" t="s">
        <v>531</v>
      </c>
      <c r="B794" t="s">
        <v>532</v>
      </c>
      <c r="C794" t="s">
        <v>283</v>
      </c>
      <c r="D794" t="s">
        <v>438</v>
      </c>
      <c r="E794" t="s">
        <v>1122</v>
      </c>
      <c r="F794" t="s">
        <v>1105</v>
      </c>
      <c r="G794" t="s">
        <v>531</v>
      </c>
      <c r="H794" t="s">
        <v>373</v>
      </c>
      <c r="I794" t="s">
        <v>289</v>
      </c>
      <c r="J794" t="s">
        <v>301</v>
      </c>
      <c r="K794">
        <v>9</v>
      </c>
      <c r="L794" s="6">
        <v>2.7431999999999999</v>
      </c>
      <c r="M794" s="7">
        <v>25.4</v>
      </c>
      <c r="N794" s="7">
        <v>139.69999999999999</v>
      </c>
      <c r="O794" s="7">
        <f t="shared" si="61"/>
        <v>108</v>
      </c>
      <c r="P794" s="7">
        <f t="shared" si="62"/>
        <v>1</v>
      </c>
      <c r="Q794" s="7">
        <f t="shared" si="62"/>
        <v>5.5</v>
      </c>
      <c r="R794" s="6">
        <f t="shared" si="63"/>
        <v>924.60199999999998</v>
      </c>
      <c r="S794" s="6">
        <f t="shared" si="65"/>
        <v>9.7339160159999986E-3</v>
      </c>
      <c r="T794" t="str">
        <f t="shared" si="64"/>
        <v>Cumaru S4S E4E 5/4x6 Long</v>
      </c>
    </row>
    <row r="795" spans="1:20" x14ac:dyDescent="0.25">
      <c r="A795" t="s">
        <v>531</v>
      </c>
      <c r="B795" t="s">
        <v>1123</v>
      </c>
      <c r="C795" t="s">
        <v>283</v>
      </c>
      <c r="D795" t="s">
        <v>438</v>
      </c>
      <c r="E795" t="s">
        <v>1124</v>
      </c>
      <c r="F795" t="s">
        <v>1125</v>
      </c>
      <c r="G795" t="s">
        <v>531</v>
      </c>
      <c r="H795" t="s">
        <v>373</v>
      </c>
      <c r="I795" t="s">
        <v>289</v>
      </c>
      <c r="J795" t="s">
        <v>1126</v>
      </c>
      <c r="K795">
        <v>10</v>
      </c>
      <c r="L795" s="6">
        <v>3.048</v>
      </c>
      <c r="M795" s="7">
        <v>25.4</v>
      </c>
      <c r="N795" s="7">
        <v>184.15</v>
      </c>
      <c r="O795" s="7">
        <f t="shared" si="61"/>
        <v>120</v>
      </c>
      <c r="P795" s="7">
        <f t="shared" si="62"/>
        <v>1</v>
      </c>
      <c r="Q795" s="7">
        <f t="shared" si="62"/>
        <v>7.2500000000000009</v>
      </c>
      <c r="R795" s="6">
        <f t="shared" si="63"/>
        <v>701.42200000000003</v>
      </c>
      <c r="S795" s="6">
        <f t="shared" si="65"/>
        <v>1.4256745680000002E-2</v>
      </c>
      <c r="T795" t="str">
        <f t="shared" si="64"/>
        <v>Cumaru S4S E4E 5/4x8 Long</v>
      </c>
    </row>
    <row r="796" spans="1:20" x14ac:dyDescent="0.25">
      <c r="A796" t="s">
        <v>531</v>
      </c>
      <c r="B796" t="s">
        <v>1123</v>
      </c>
      <c r="C796" t="s">
        <v>283</v>
      </c>
      <c r="D796" t="s">
        <v>438</v>
      </c>
      <c r="E796" t="s">
        <v>1127</v>
      </c>
      <c r="F796" t="s">
        <v>1125</v>
      </c>
      <c r="G796" t="s">
        <v>531</v>
      </c>
      <c r="H796" t="s">
        <v>373</v>
      </c>
      <c r="I796" t="s">
        <v>289</v>
      </c>
      <c r="J796" t="s">
        <v>1126</v>
      </c>
      <c r="K796">
        <v>11</v>
      </c>
      <c r="L796" s="6">
        <v>3.3527999999999998</v>
      </c>
      <c r="M796" s="7">
        <v>25.4</v>
      </c>
      <c r="N796" s="7">
        <v>184.15</v>
      </c>
      <c r="O796" s="7">
        <f t="shared" si="61"/>
        <v>132</v>
      </c>
      <c r="P796" s="7">
        <f t="shared" si="62"/>
        <v>1</v>
      </c>
      <c r="Q796" s="7">
        <f t="shared" si="62"/>
        <v>7.2500000000000009</v>
      </c>
      <c r="R796" s="6">
        <f t="shared" si="63"/>
        <v>701.42200000000003</v>
      </c>
      <c r="S796" s="6">
        <f t="shared" si="65"/>
        <v>1.5682420247999995E-2</v>
      </c>
      <c r="T796" t="str">
        <f t="shared" si="64"/>
        <v>Cumaru S4S E4E 5/4x8 Long</v>
      </c>
    </row>
    <row r="797" spans="1:20" x14ac:dyDescent="0.25">
      <c r="A797" t="s">
        <v>531</v>
      </c>
      <c r="B797" t="s">
        <v>1123</v>
      </c>
      <c r="C797" t="s">
        <v>283</v>
      </c>
      <c r="D797" t="s">
        <v>438</v>
      </c>
      <c r="E797" t="s">
        <v>1128</v>
      </c>
      <c r="F797" t="s">
        <v>1125</v>
      </c>
      <c r="G797" t="s">
        <v>531</v>
      </c>
      <c r="H797" t="s">
        <v>373</v>
      </c>
      <c r="I797" t="s">
        <v>289</v>
      </c>
      <c r="J797" t="s">
        <v>1126</v>
      </c>
      <c r="K797">
        <v>12</v>
      </c>
      <c r="L797" s="6">
        <v>3.6576</v>
      </c>
      <c r="M797" s="7">
        <v>25.4</v>
      </c>
      <c r="N797" s="7">
        <v>184.15</v>
      </c>
      <c r="O797" s="7">
        <f t="shared" si="61"/>
        <v>144</v>
      </c>
      <c r="P797" s="7">
        <f t="shared" si="62"/>
        <v>1</v>
      </c>
      <c r="Q797" s="7">
        <f t="shared" si="62"/>
        <v>7.2500000000000009</v>
      </c>
      <c r="R797" s="6">
        <f t="shared" si="63"/>
        <v>701.42200000000003</v>
      </c>
      <c r="S797" s="6">
        <f t="shared" si="65"/>
        <v>1.7108094815999998E-2</v>
      </c>
      <c r="T797" t="str">
        <f t="shared" si="64"/>
        <v>Cumaru S4S E4E 5/4x8 Long</v>
      </c>
    </row>
    <row r="798" spans="1:20" x14ac:dyDescent="0.25">
      <c r="A798" t="s">
        <v>531</v>
      </c>
      <c r="B798" t="s">
        <v>1123</v>
      </c>
      <c r="C798" t="s">
        <v>283</v>
      </c>
      <c r="D798" t="s">
        <v>438</v>
      </c>
      <c r="E798" t="s">
        <v>1129</v>
      </c>
      <c r="F798" t="s">
        <v>1125</v>
      </c>
      <c r="G798" t="s">
        <v>531</v>
      </c>
      <c r="H798" t="s">
        <v>373</v>
      </c>
      <c r="I798" t="s">
        <v>289</v>
      </c>
      <c r="J798" t="s">
        <v>1126</v>
      </c>
      <c r="K798">
        <v>13</v>
      </c>
      <c r="L798" s="6">
        <v>3.9624000000000001</v>
      </c>
      <c r="M798" s="7">
        <v>25.4</v>
      </c>
      <c r="N798" s="7">
        <v>184.15</v>
      </c>
      <c r="O798" s="7">
        <f t="shared" si="61"/>
        <v>156</v>
      </c>
      <c r="P798" s="7">
        <f t="shared" si="62"/>
        <v>1</v>
      </c>
      <c r="Q798" s="7">
        <f t="shared" si="62"/>
        <v>7.2500000000000009</v>
      </c>
      <c r="R798" s="6">
        <f t="shared" si="63"/>
        <v>701.42200000000003</v>
      </c>
      <c r="S798" s="6">
        <f t="shared" si="65"/>
        <v>1.8533769384E-2</v>
      </c>
      <c r="T798" t="str">
        <f t="shared" si="64"/>
        <v>Cumaru S4S E4E 5/4x8 Long</v>
      </c>
    </row>
    <row r="799" spans="1:20" x14ac:dyDescent="0.25">
      <c r="A799" t="s">
        <v>531</v>
      </c>
      <c r="B799" t="s">
        <v>1123</v>
      </c>
      <c r="C799" t="s">
        <v>283</v>
      </c>
      <c r="D799" t="s">
        <v>438</v>
      </c>
      <c r="E799" t="s">
        <v>1130</v>
      </c>
      <c r="F799" t="s">
        <v>1125</v>
      </c>
      <c r="G799" t="s">
        <v>531</v>
      </c>
      <c r="H799" t="s">
        <v>373</v>
      </c>
      <c r="I799" t="s">
        <v>289</v>
      </c>
      <c r="J799" t="s">
        <v>1126</v>
      </c>
      <c r="K799">
        <v>14</v>
      </c>
      <c r="L799" s="6">
        <v>4.2671999999999999</v>
      </c>
      <c r="M799" s="7">
        <v>25.4</v>
      </c>
      <c r="N799" s="7">
        <v>184.15</v>
      </c>
      <c r="O799" s="7">
        <f t="shared" si="61"/>
        <v>168</v>
      </c>
      <c r="P799" s="7">
        <f t="shared" si="62"/>
        <v>1</v>
      </c>
      <c r="Q799" s="7">
        <f t="shared" si="62"/>
        <v>7.2500000000000009</v>
      </c>
      <c r="R799" s="6">
        <f t="shared" si="63"/>
        <v>701.42200000000003</v>
      </c>
      <c r="S799" s="6">
        <f t="shared" si="65"/>
        <v>1.9959443951999997E-2</v>
      </c>
      <c r="T799" t="str">
        <f t="shared" si="64"/>
        <v>Cumaru S4S E4E 5/4x8 Long</v>
      </c>
    </row>
    <row r="800" spans="1:20" x14ac:dyDescent="0.25">
      <c r="A800" t="s">
        <v>531</v>
      </c>
      <c r="B800" t="s">
        <v>1123</v>
      </c>
      <c r="C800" t="s">
        <v>283</v>
      </c>
      <c r="D800" t="s">
        <v>438</v>
      </c>
      <c r="E800" t="s">
        <v>1131</v>
      </c>
      <c r="F800" t="s">
        <v>1125</v>
      </c>
      <c r="G800" t="s">
        <v>531</v>
      </c>
      <c r="H800" t="s">
        <v>373</v>
      </c>
      <c r="I800" t="s">
        <v>289</v>
      </c>
      <c r="J800" t="s">
        <v>1126</v>
      </c>
      <c r="K800">
        <v>15</v>
      </c>
      <c r="L800" s="6">
        <v>4.5720000000000001</v>
      </c>
      <c r="M800" s="7">
        <v>25.4</v>
      </c>
      <c r="N800" s="7">
        <v>184.15</v>
      </c>
      <c r="O800" s="7">
        <f t="shared" si="61"/>
        <v>180</v>
      </c>
      <c r="P800" s="7">
        <f t="shared" si="62"/>
        <v>1</v>
      </c>
      <c r="Q800" s="7">
        <f t="shared" si="62"/>
        <v>7.2500000000000009</v>
      </c>
      <c r="R800" s="6">
        <f t="shared" si="63"/>
        <v>701.42200000000003</v>
      </c>
      <c r="S800" s="6">
        <f t="shared" si="65"/>
        <v>2.1385118520000003E-2</v>
      </c>
      <c r="T800" t="str">
        <f t="shared" si="64"/>
        <v>Cumaru S4S E4E 5/4x8 Long</v>
      </c>
    </row>
    <row r="801" spans="1:20" x14ac:dyDescent="0.25">
      <c r="A801" t="s">
        <v>531</v>
      </c>
      <c r="B801" t="s">
        <v>1123</v>
      </c>
      <c r="C801" t="s">
        <v>283</v>
      </c>
      <c r="D801" t="s">
        <v>438</v>
      </c>
      <c r="E801" t="s">
        <v>1132</v>
      </c>
      <c r="F801" t="s">
        <v>1125</v>
      </c>
      <c r="G801" t="s">
        <v>531</v>
      </c>
      <c r="H801" t="s">
        <v>373</v>
      </c>
      <c r="I801" t="s">
        <v>289</v>
      </c>
      <c r="J801" t="s">
        <v>1126</v>
      </c>
      <c r="K801">
        <v>16</v>
      </c>
      <c r="L801" s="6">
        <v>4.8768000000000002</v>
      </c>
      <c r="M801" s="7">
        <v>25.4</v>
      </c>
      <c r="N801" s="7">
        <v>184.15</v>
      </c>
      <c r="O801" s="7">
        <f t="shared" si="61"/>
        <v>192.00000000000003</v>
      </c>
      <c r="P801" s="7">
        <f t="shared" si="62"/>
        <v>1</v>
      </c>
      <c r="Q801" s="7">
        <f t="shared" si="62"/>
        <v>7.2500000000000009</v>
      </c>
      <c r="R801" s="6">
        <f t="shared" si="63"/>
        <v>701.42200000000003</v>
      </c>
      <c r="S801" s="6">
        <f t="shared" si="65"/>
        <v>2.2810793087999999E-2</v>
      </c>
      <c r="T801" t="str">
        <f t="shared" si="64"/>
        <v>Cumaru S4S E4E 5/4x8 Long</v>
      </c>
    </row>
    <row r="802" spans="1:20" x14ac:dyDescent="0.25">
      <c r="A802" t="s">
        <v>531</v>
      </c>
      <c r="B802" t="s">
        <v>1123</v>
      </c>
      <c r="C802" t="s">
        <v>283</v>
      </c>
      <c r="D802" t="s">
        <v>438</v>
      </c>
      <c r="E802" t="s">
        <v>1133</v>
      </c>
      <c r="F802" t="s">
        <v>1125</v>
      </c>
      <c r="G802" t="s">
        <v>531</v>
      </c>
      <c r="H802" t="s">
        <v>373</v>
      </c>
      <c r="I802" t="s">
        <v>289</v>
      </c>
      <c r="J802" t="s">
        <v>1126</v>
      </c>
      <c r="K802">
        <v>17</v>
      </c>
      <c r="L802" s="6">
        <v>5.1816000000000004</v>
      </c>
      <c r="M802" s="7">
        <v>25.4</v>
      </c>
      <c r="N802" s="7">
        <v>184.15</v>
      </c>
      <c r="O802" s="7">
        <f t="shared" si="61"/>
        <v>204.00000000000003</v>
      </c>
      <c r="P802" s="7">
        <f t="shared" si="62"/>
        <v>1</v>
      </c>
      <c r="Q802" s="7">
        <f t="shared" si="62"/>
        <v>7.2500000000000009</v>
      </c>
      <c r="R802" s="6">
        <f t="shared" si="63"/>
        <v>701.42200000000003</v>
      </c>
      <c r="S802" s="6">
        <f t="shared" si="65"/>
        <v>2.4236467656000002E-2</v>
      </c>
      <c r="T802" t="str">
        <f t="shared" si="64"/>
        <v>Cumaru S4S E4E 5/4x8 Long</v>
      </c>
    </row>
    <row r="803" spans="1:20" x14ac:dyDescent="0.25">
      <c r="A803" t="s">
        <v>531</v>
      </c>
      <c r="B803" t="s">
        <v>1123</v>
      </c>
      <c r="C803" t="s">
        <v>283</v>
      </c>
      <c r="D803" t="s">
        <v>438</v>
      </c>
      <c r="E803" t="s">
        <v>1134</v>
      </c>
      <c r="F803" t="s">
        <v>1125</v>
      </c>
      <c r="G803" t="s">
        <v>531</v>
      </c>
      <c r="H803" t="s">
        <v>373</v>
      </c>
      <c r="I803" t="s">
        <v>289</v>
      </c>
      <c r="J803" t="s">
        <v>1126</v>
      </c>
      <c r="K803">
        <v>18</v>
      </c>
      <c r="L803" s="6">
        <v>5.4863999999999997</v>
      </c>
      <c r="M803" s="7">
        <v>25.4</v>
      </c>
      <c r="N803" s="7">
        <v>184.15</v>
      </c>
      <c r="O803" s="7">
        <f t="shared" si="61"/>
        <v>216</v>
      </c>
      <c r="P803" s="7">
        <f t="shared" si="62"/>
        <v>1</v>
      </c>
      <c r="Q803" s="7">
        <f t="shared" si="62"/>
        <v>7.2500000000000009</v>
      </c>
      <c r="R803" s="6">
        <f t="shared" si="63"/>
        <v>701.42200000000003</v>
      </c>
      <c r="S803" s="6">
        <f t="shared" si="65"/>
        <v>2.5662142224000001E-2</v>
      </c>
      <c r="T803" t="str">
        <f t="shared" si="64"/>
        <v>Cumaru S4S E4E 5/4x8 Long</v>
      </c>
    </row>
    <row r="804" spans="1:20" x14ac:dyDescent="0.25">
      <c r="A804" t="s">
        <v>531</v>
      </c>
      <c r="B804" t="s">
        <v>1123</v>
      </c>
      <c r="C804" t="s">
        <v>283</v>
      </c>
      <c r="D804" t="s">
        <v>438</v>
      </c>
      <c r="E804" t="s">
        <v>1135</v>
      </c>
      <c r="F804" t="s">
        <v>1125</v>
      </c>
      <c r="G804" t="s">
        <v>531</v>
      </c>
      <c r="H804" t="s">
        <v>373</v>
      </c>
      <c r="I804" t="s">
        <v>289</v>
      </c>
      <c r="J804" t="s">
        <v>1126</v>
      </c>
      <c r="K804">
        <v>19</v>
      </c>
      <c r="L804" s="6">
        <v>5.7911999999999999</v>
      </c>
      <c r="M804" s="7">
        <v>25.4</v>
      </c>
      <c r="N804" s="7">
        <v>184.15</v>
      </c>
      <c r="O804" s="7">
        <f t="shared" si="61"/>
        <v>228</v>
      </c>
      <c r="P804" s="7">
        <f t="shared" si="62"/>
        <v>1</v>
      </c>
      <c r="Q804" s="7">
        <f t="shared" si="62"/>
        <v>7.2500000000000009</v>
      </c>
      <c r="R804" s="6">
        <f t="shared" si="63"/>
        <v>701.42200000000003</v>
      </c>
      <c r="S804" s="6">
        <f t="shared" si="65"/>
        <v>2.7087816791999994E-2</v>
      </c>
      <c r="T804" t="str">
        <f t="shared" si="64"/>
        <v>Cumaru S4S E4E 5/4x8 Long</v>
      </c>
    </row>
    <row r="805" spans="1:20" x14ac:dyDescent="0.25">
      <c r="A805" t="s">
        <v>531</v>
      </c>
      <c r="B805" t="s">
        <v>1123</v>
      </c>
      <c r="C805" t="s">
        <v>283</v>
      </c>
      <c r="D805" t="s">
        <v>438</v>
      </c>
      <c r="E805" t="s">
        <v>1136</v>
      </c>
      <c r="F805" t="s">
        <v>1125</v>
      </c>
      <c r="G805" t="s">
        <v>531</v>
      </c>
      <c r="H805" t="s">
        <v>373</v>
      </c>
      <c r="I805" t="s">
        <v>289</v>
      </c>
      <c r="J805" t="s">
        <v>1126</v>
      </c>
      <c r="K805">
        <v>20</v>
      </c>
      <c r="L805" s="6">
        <v>6.0960000000000001</v>
      </c>
      <c r="M805" s="7">
        <v>25.4</v>
      </c>
      <c r="N805" s="7">
        <v>184.15</v>
      </c>
      <c r="O805" s="7">
        <f t="shared" si="61"/>
        <v>240</v>
      </c>
      <c r="P805" s="7">
        <f t="shared" si="62"/>
        <v>1</v>
      </c>
      <c r="Q805" s="7">
        <f t="shared" si="62"/>
        <v>7.2500000000000009</v>
      </c>
      <c r="R805" s="6">
        <f t="shared" si="63"/>
        <v>701.42200000000003</v>
      </c>
      <c r="S805" s="6">
        <f t="shared" si="65"/>
        <v>2.8513491360000004E-2</v>
      </c>
      <c r="T805" t="str">
        <f t="shared" si="64"/>
        <v>Cumaru S4S E4E 5/4x8 Long</v>
      </c>
    </row>
    <row r="806" spans="1:20" x14ac:dyDescent="0.25">
      <c r="A806" t="s">
        <v>531</v>
      </c>
      <c r="B806" t="s">
        <v>1123</v>
      </c>
      <c r="C806" t="s">
        <v>283</v>
      </c>
      <c r="D806" t="s">
        <v>438</v>
      </c>
      <c r="E806" t="s">
        <v>1137</v>
      </c>
      <c r="F806" t="s">
        <v>1125</v>
      </c>
      <c r="G806" t="s">
        <v>531</v>
      </c>
      <c r="H806" t="s">
        <v>373</v>
      </c>
      <c r="I806" t="s">
        <v>289</v>
      </c>
      <c r="J806" t="s">
        <v>1126</v>
      </c>
      <c r="K806">
        <v>21</v>
      </c>
      <c r="L806" s="6">
        <v>6.4008000000000003</v>
      </c>
      <c r="M806" s="7">
        <v>25.4</v>
      </c>
      <c r="N806" s="7">
        <v>184.15</v>
      </c>
      <c r="O806" s="7">
        <f t="shared" si="61"/>
        <v>252.00000000000003</v>
      </c>
      <c r="P806" s="7">
        <f t="shared" si="62"/>
        <v>1</v>
      </c>
      <c r="Q806" s="7">
        <f t="shared" si="62"/>
        <v>7.2500000000000009</v>
      </c>
      <c r="R806" s="6">
        <f t="shared" si="63"/>
        <v>701.42200000000003</v>
      </c>
      <c r="S806" s="6">
        <f t="shared" si="65"/>
        <v>2.9939165928E-2</v>
      </c>
      <c r="T806" t="str">
        <f t="shared" si="64"/>
        <v>Cumaru S4S E4E 5/4x8 Long</v>
      </c>
    </row>
    <row r="807" spans="1:20" x14ac:dyDescent="0.25">
      <c r="A807" t="s">
        <v>531</v>
      </c>
      <c r="B807" t="s">
        <v>1123</v>
      </c>
      <c r="C807" t="s">
        <v>283</v>
      </c>
      <c r="D807" t="s">
        <v>438</v>
      </c>
      <c r="E807" t="s">
        <v>1138</v>
      </c>
      <c r="F807" t="s">
        <v>1125</v>
      </c>
      <c r="G807" t="s">
        <v>531</v>
      </c>
      <c r="H807" t="s">
        <v>373</v>
      </c>
      <c r="I807" t="s">
        <v>289</v>
      </c>
      <c r="J807" t="s">
        <v>1126</v>
      </c>
      <c r="K807">
        <v>22</v>
      </c>
      <c r="L807" s="6">
        <v>6.7055999999999996</v>
      </c>
      <c r="M807" s="7">
        <v>25.4</v>
      </c>
      <c r="N807" s="7">
        <v>184.15</v>
      </c>
      <c r="O807" s="7">
        <f t="shared" si="61"/>
        <v>264</v>
      </c>
      <c r="P807" s="7">
        <f t="shared" si="62"/>
        <v>1</v>
      </c>
      <c r="Q807" s="7">
        <f t="shared" si="62"/>
        <v>7.2500000000000009</v>
      </c>
      <c r="R807" s="6">
        <f t="shared" si="63"/>
        <v>701.42200000000003</v>
      </c>
      <c r="S807" s="6">
        <f t="shared" si="65"/>
        <v>3.1364840495999989E-2</v>
      </c>
      <c r="T807" t="str">
        <f t="shared" si="64"/>
        <v>Cumaru S4S E4E 5/4x8 Long</v>
      </c>
    </row>
    <row r="808" spans="1:20" x14ac:dyDescent="0.25">
      <c r="A808" t="s">
        <v>531</v>
      </c>
      <c r="B808" t="s">
        <v>1123</v>
      </c>
      <c r="C808" t="s">
        <v>283</v>
      </c>
      <c r="D808" t="s">
        <v>438</v>
      </c>
      <c r="E808" t="s">
        <v>1139</v>
      </c>
      <c r="F808" t="s">
        <v>1125</v>
      </c>
      <c r="G808" t="s">
        <v>531</v>
      </c>
      <c r="H808" t="s">
        <v>373</v>
      </c>
      <c r="I808" t="s">
        <v>289</v>
      </c>
      <c r="J808" t="s">
        <v>1126</v>
      </c>
      <c r="K808">
        <v>23</v>
      </c>
      <c r="L808" s="6">
        <v>7.0103999999999997</v>
      </c>
      <c r="M808" s="7">
        <v>25.4</v>
      </c>
      <c r="N808" s="7">
        <v>184.15</v>
      </c>
      <c r="O808" s="7">
        <f t="shared" si="61"/>
        <v>276</v>
      </c>
      <c r="P808" s="7">
        <f t="shared" si="62"/>
        <v>1</v>
      </c>
      <c r="Q808" s="7">
        <f t="shared" si="62"/>
        <v>7.2500000000000009</v>
      </c>
      <c r="R808" s="6">
        <f t="shared" si="63"/>
        <v>701.42200000000003</v>
      </c>
      <c r="S808" s="6">
        <f t="shared" si="65"/>
        <v>3.2790515063999999E-2</v>
      </c>
      <c r="T808" t="str">
        <f t="shared" si="64"/>
        <v>Cumaru S4S E4E 5/4x8 Long</v>
      </c>
    </row>
    <row r="809" spans="1:20" x14ac:dyDescent="0.25">
      <c r="A809" t="s">
        <v>531</v>
      </c>
      <c r="B809" t="s">
        <v>1123</v>
      </c>
      <c r="C809" t="s">
        <v>283</v>
      </c>
      <c r="D809" t="s">
        <v>438</v>
      </c>
      <c r="E809" t="s">
        <v>1140</v>
      </c>
      <c r="F809" t="s">
        <v>1125</v>
      </c>
      <c r="G809" t="s">
        <v>531</v>
      </c>
      <c r="H809" t="s">
        <v>373</v>
      </c>
      <c r="I809" t="s">
        <v>289</v>
      </c>
      <c r="J809" t="s">
        <v>1126</v>
      </c>
      <c r="K809">
        <v>24</v>
      </c>
      <c r="L809" s="6">
        <v>7.3152000000000008</v>
      </c>
      <c r="M809" s="7">
        <v>25.4</v>
      </c>
      <c r="N809" s="7">
        <v>184.15</v>
      </c>
      <c r="O809" s="7">
        <f t="shared" si="61"/>
        <v>288.00000000000006</v>
      </c>
      <c r="P809" s="7">
        <f t="shared" si="62"/>
        <v>1</v>
      </c>
      <c r="Q809" s="7">
        <f t="shared" si="62"/>
        <v>7.2500000000000009</v>
      </c>
      <c r="R809" s="6">
        <f t="shared" si="63"/>
        <v>701.42200000000003</v>
      </c>
      <c r="S809" s="6">
        <f t="shared" si="65"/>
        <v>3.4216189632000002E-2</v>
      </c>
      <c r="T809" t="str">
        <f t="shared" si="64"/>
        <v>Cumaru S4S E4E 5/4x8 Long</v>
      </c>
    </row>
    <row r="810" spans="1:20" x14ac:dyDescent="0.25">
      <c r="A810" t="s">
        <v>531</v>
      </c>
      <c r="B810" t="s">
        <v>1123</v>
      </c>
      <c r="C810" t="s">
        <v>524</v>
      </c>
      <c r="D810" t="s">
        <v>438</v>
      </c>
      <c r="E810" t="s">
        <v>1141</v>
      </c>
      <c r="F810" t="s">
        <v>1125</v>
      </c>
      <c r="G810" t="s">
        <v>531</v>
      </c>
      <c r="H810" t="s">
        <v>373</v>
      </c>
      <c r="I810" t="s">
        <v>289</v>
      </c>
      <c r="J810" t="s">
        <v>1126</v>
      </c>
      <c r="K810">
        <v>3</v>
      </c>
      <c r="L810" s="6">
        <v>0.91439999999999999</v>
      </c>
      <c r="M810" s="7">
        <v>25.4</v>
      </c>
      <c r="N810" s="7">
        <v>184.15</v>
      </c>
      <c r="O810" s="7">
        <f t="shared" si="61"/>
        <v>36</v>
      </c>
      <c r="P810" s="7">
        <f t="shared" si="62"/>
        <v>1</v>
      </c>
      <c r="Q810" s="7">
        <f t="shared" si="62"/>
        <v>7.2500000000000009</v>
      </c>
      <c r="R810" s="6">
        <f t="shared" si="63"/>
        <v>701.42200000000003</v>
      </c>
      <c r="S810" s="6">
        <f t="shared" si="65"/>
        <v>4.2770237039999994E-3</v>
      </c>
      <c r="T810" t="str">
        <f t="shared" si="64"/>
        <v>Cumaru S4S E4E 5/4x8 Short</v>
      </c>
    </row>
    <row r="811" spans="1:20" x14ac:dyDescent="0.25">
      <c r="A811" t="s">
        <v>531</v>
      </c>
      <c r="B811" t="s">
        <v>1123</v>
      </c>
      <c r="C811" t="s">
        <v>524</v>
      </c>
      <c r="D811" t="s">
        <v>438</v>
      </c>
      <c r="E811" t="s">
        <v>1142</v>
      </c>
      <c r="F811" t="s">
        <v>1125</v>
      </c>
      <c r="G811" t="s">
        <v>531</v>
      </c>
      <c r="H811" t="s">
        <v>373</v>
      </c>
      <c r="I811" t="s">
        <v>289</v>
      </c>
      <c r="J811" t="s">
        <v>1126</v>
      </c>
      <c r="K811">
        <v>4</v>
      </c>
      <c r="L811" s="6">
        <v>1.2192000000000001</v>
      </c>
      <c r="M811" s="7">
        <v>25.4</v>
      </c>
      <c r="N811" s="7">
        <v>184.15</v>
      </c>
      <c r="O811" s="7">
        <f t="shared" si="61"/>
        <v>48.000000000000007</v>
      </c>
      <c r="P811" s="7">
        <f t="shared" si="62"/>
        <v>1</v>
      </c>
      <c r="Q811" s="7">
        <f t="shared" si="62"/>
        <v>7.2500000000000009</v>
      </c>
      <c r="R811" s="6">
        <f t="shared" si="63"/>
        <v>701.42200000000003</v>
      </c>
      <c r="S811" s="6">
        <f t="shared" si="65"/>
        <v>5.7026982719999997E-3</v>
      </c>
      <c r="T811" t="str">
        <f t="shared" si="64"/>
        <v>Cumaru S4S E4E 5/4x8 Short</v>
      </c>
    </row>
    <row r="812" spans="1:20" x14ac:dyDescent="0.25">
      <c r="A812" t="s">
        <v>531</v>
      </c>
      <c r="B812" t="s">
        <v>1123</v>
      </c>
      <c r="C812" t="s">
        <v>524</v>
      </c>
      <c r="D812" t="s">
        <v>438</v>
      </c>
      <c r="E812" t="s">
        <v>1143</v>
      </c>
      <c r="F812" t="s">
        <v>1125</v>
      </c>
      <c r="G812" t="s">
        <v>531</v>
      </c>
      <c r="H812" t="s">
        <v>373</v>
      </c>
      <c r="I812" t="s">
        <v>289</v>
      </c>
      <c r="J812" t="s">
        <v>1126</v>
      </c>
      <c r="K812">
        <v>5</v>
      </c>
      <c r="L812" s="6">
        <v>1.524</v>
      </c>
      <c r="M812" s="7">
        <v>25.4</v>
      </c>
      <c r="N812" s="7">
        <v>184.15</v>
      </c>
      <c r="O812" s="7">
        <f t="shared" si="61"/>
        <v>60</v>
      </c>
      <c r="P812" s="7">
        <f t="shared" si="62"/>
        <v>1</v>
      </c>
      <c r="Q812" s="7">
        <f t="shared" si="62"/>
        <v>7.2500000000000009</v>
      </c>
      <c r="R812" s="6">
        <f t="shared" si="63"/>
        <v>701.42200000000003</v>
      </c>
      <c r="S812" s="6">
        <f t="shared" si="65"/>
        <v>7.128372840000001E-3</v>
      </c>
      <c r="T812" t="str">
        <f t="shared" si="64"/>
        <v>Cumaru S4S E4E 5/4x8 Short</v>
      </c>
    </row>
    <row r="813" spans="1:20" x14ac:dyDescent="0.25">
      <c r="A813" t="s">
        <v>531</v>
      </c>
      <c r="B813" t="s">
        <v>1123</v>
      </c>
      <c r="C813" t="s">
        <v>524</v>
      </c>
      <c r="D813" t="s">
        <v>438</v>
      </c>
      <c r="E813" t="s">
        <v>1144</v>
      </c>
      <c r="F813" t="s">
        <v>1125</v>
      </c>
      <c r="G813" t="s">
        <v>531</v>
      </c>
      <c r="H813" t="s">
        <v>373</v>
      </c>
      <c r="I813" t="s">
        <v>289</v>
      </c>
      <c r="J813" t="s">
        <v>1126</v>
      </c>
      <c r="K813">
        <v>6</v>
      </c>
      <c r="L813" s="6">
        <v>1.8288</v>
      </c>
      <c r="M813" s="7">
        <v>25.4</v>
      </c>
      <c r="N813" s="7">
        <v>184.15</v>
      </c>
      <c r="O813" s="7">
        <f t="shared" si="61"/>
        <v>72</v>
      </c>
      <c r="P813" s="7">
        <f t="shared" si="62"/>
        <v>1</v>
      </c>
      <c r="Q813" s="7">
        <f t="shared" si="62"/>
        <v>7.2500000000000009</v>
      </c>
      <c r="R813" s="6">
        <f t="shared" si="63"/>
        <v>701.42200000000003</v>
      </c>
      <c r="S813" s="6">
        <f t="shared" si="65"/>
        <v>8.5540474079999988E-3</v>
      </c>
      <c r="T813" t="str">
        <f t="shared" si="64"/>
        <v>Cumaru S4S E4E 5/4x8 Short</v>
      </c>
    </row>
    <row r="814" spans="1:20" x14ac:dyDescent="0.25">
      <c r="A814" t="s">
        <v>531</v>
      </c>
      <c r="B814" t="s">
        <v>1123</v>
      </c>
      <c r="C814" t="s">
        <v>524</v>
      </c>
      <c r="D814" t="s">
        <v>438</v>
      </c>
      <c r="E814" t="s">
        <v>1145</v>
      </c>
      <c r="F814" t="s">
        <v>1125</v>
      </c>
      <c r="G814" t="s">
        <v>531</v>
      </c>
      <c r="H814" t="s">
        <v>373</v>
      </c>
      <c r="I814" t="s">
        <v>289</v>
      </c>
      <c r="J814" t="s">
        <v>1126</v>
      </c>
      <c r="K814">
        <v>7</v>
      </c>
      <c r="L814" s="6">
        <v>2.1335999999999999</v>
      </c>
      <c r="M814" s="7">
        <v>25.4</v>
      </c>
      <c r="N814" s="7">
        <v>184.15</v>
      </c>
      <c r="O814" s="7">
        <f t="shared" si="61"/>
        <v>84</v>
      </c>
      <c r="P814" s="7">
        <f t="shared" si="62"/>
        <v>1</v>
      </c>
      <c r="Q814" s="7">
        <f t="shared" si="62"/>
        <v>7.2500000000000009</v>
      </c>
      <c r="R814" s="6">
        <f t="shared" si="63"/>
        <v>701.42200000000003</v>
      </c>
      <c r="S814" s="6">
        <f t="shared" si="65"/>
        <v>9.9797219759999983E-3</v>
      </c>
      <c r="T814" t="str">
        <f t="shared" si="64"/>
        <v>Cumaru S4S E4E 5/4x8 Short</v>
      </c>
    </row>
    <row r="815" spans="1:20" x14ac:dyDescent="0.25">
      <c r="A815" t="s">
        <v>531</v>
      </c>
      <c r="B815" t="s">
        <v>1123</v>
      </c>
      <c r="C815" t="s">
        <v>283</v>
      </c>
      <c r="D815" t="s">
        <v>438</v>
      </c>
      <c r="E815" t="s">
        <v>1146</v>
      </c>
      <c r="F815" t="s">
        <v>1125</v>
      </c>
      <c r="G815" t="s">
        <v>531</v>
      </c>
      <c r="H815" t="s">
        <v>373</v>
      </c>
      <c r="I815" t="s">
        <v>289</v>
      </c>
      <c r="J815" t="s">
        <v>1126</v>
      </c>
      <c r="K815">
        <v>8</v>
      </c>
      <c r="L815" s="6">
        <v>2.4384000000000001</v>
      </c>
      <c r="M815" s="7">
        <v>25.4</v>
      </c>
      <c r="N815" s="7">
        <v>184.15</v>
      </c>
      <c r="O815" s="7">
        <f t="shared" si="61"/>
        <v>96.000000000000014</v>
      </c>
      <c r="P815" s="7">
        <f t="shared" si="62"/>
        <v>1</v>
      </c>
      <c r="Q815" s="7">
        <f t="shared" si="62"/>
        <v>7.2500000000000009</v>
      </c>
      <c r="R815" s="6">
        <f t="shared" si="63"/>
        <v>701.42200000000003</v>
      </c>
      <c r="S815" s="6">
        <f t="shared" si="65"/>
        <v>1.1405396543999999E-2</v>
      </c>
      <c r="T815" t="str">
        <f t="shared" si="64"/>
        <v>Cumaru S4S E4E 5/4x8 Long</v>
      </c>
    </row>
    <row r="816" spans="1:20" x14ac:dyDescent="0.25">
      <c r="A816" t="s">
        <v>531</v>
      </c>
      <c r="B816" t="s">
        <v>1123</v>
      </c>
      <c r="C816" t="s">
        <v>283</v>
      </c>
      <c r="D816" t="s">
        <v>438</v>
      </c>
      <c r="E816" t="s">
        <v>1147</v>
      </c>
      <c r="F816" t="s">
        <v>1125</v>
      </c>
      <c r="G816" t="s">
        <v>531</v>
      </c>
      <c r="H816" t="s">
        <v>373</v>
      </c>
      <c r="I816" t="s">
        <v>289</v>
      </c>
      <c r="J816" t="s">
        <v>1126</v>
      </c>
      <c r="K816">
        <v>9</v>
      </c>
      <c r="L816" s="6">
        <v>2.7431999999999999</v>
      </c>
      <c r="M816" s="7">
        <v>25.4</v>
      </c>
      <c r="N816" s="7">
        <v>184.15</v>
      </c>
      <c r="O816" s="7">
        <f t="shared" si="61"/>
        <v>108</v>
      </c>
      <c r="P816" s="7">
        <f t="shared" si="62"/>
        <v>1</v>
      </c>
      <c r="Q816" s="7">
        <f t="shared" si="62"/>
        <v>7.2500000000000009</v>
      </c>
      <c r="R816" s="6">
        <f t="shared" si="63"/>
        <v>701.42200000000003</v>
      </c>
      <c r="S816" s="6">
        <f t="shared" si="65"/>
        <v>1.2831071112000001E-2</v>
      </c>
      <c r="T816" t="str">
        <f t="shared" si="64"/>
        <v>Cumaru S4S E4E 5/4x8 Long</v>
      </c>
    </row>
    <row r="817" spans="1:20" x14ac:dyDescent="0.25">
      <c r="A817" t="s">
        <v>531</v>
      </c>
      <c r="B817" t="s">
        <v>1148</v>
      </c>
      <c r="C817" t="s">
        <v>283</v>
      </c>
      <c r="D817" t="s">
        <v>438</v>
      </c>
      <c r="E817" t="s">
        <v>1149</v>
      </c>
      <c r="F817" t="s">
        <v>1150</v>
      </c>
      <c r="G817" t="s">
        <v>531</v>
      </c>
      <c r="H817" t="s">
        <v>373</v>
      </c>
      <c r="I817" t="s">
        <v>289</v>
      </c>
      <c r="J817" t="s">
        <v>1151</v>
      </c>
      <c r="K817">
        <v>14</v>
      </c>
      <c r="L817" s="6">
        <v>4.2671999999999999</v>
      </c>
      <c r="M817" s="7">
        <v>50</v>
      </c>
      <c r="N817" s="7">
        <v>140</v>
      </c>
      <c r="O817" s="7">
        <f t="shared" si="61"/>
        <v>168</v>
      </c>
      <c r="P817" s="7">
        <f t="shared" si="62"/>
        <v>1.9685039370078741</v>
      </c>
      <c r="Q817" s="7">
        <f t="shared" si="62"/>
        <v>5.5118110236220472</v>
      </c>
      <c r="R817" s="6">
        <f t="shared" si="63"/>
        <v>468.69099999999997</v>
      </c>
      <c r="S817" s="6">
        <f t="shared" si="65"/>
        <v>2.9870399999999998E-2</v>
      </c>
      <c r="T817" t="str">
        <f t="shared" si="64"/>
        <v>Cumaru S4S E4E 50x140 Long</v>
      </c>
    </row>
    <row r="818" spans="1:20" x14ac:dyDescent="0.25">
      <c r="A818" t="s">
        <v>531</v>
      </c>
      <c r="B818" t="s">
        <v>1152</v>
      </c>
      <c r="C818" t="s">
        <v>283</v>
      </c>
      <c r="D818" t="s">
        <v>438</v>
      </c>
      <c r="E818" t="s">
        <v>1153</v>
      </c>
      <c r="F818" t="s">
        <v>1154</v>
      </c>
      <c r="G818" t="s">
        <v>531</v>
      </c>
      <c r="H818" t="s">
        <v>373</v>
      </c>
      <c r="I818" t="s">
        <v>289</v>
      </c>
      <c r="J818" t="s">
        <v>1155</v>
      </c>
      <c r="K818">
        <v>10</v>
      </c>
      <c r="L818" s="6">
        <v>3.048</v>
      </c>
      <c r="M818" s="7">
        <v>139.69999999999999</v>
      </c>
      <c r="N818" s="7">
        <v>285.75</v>
      </c>
      <c r="O818" s="7">
        <f t="shared" si="61"/>
        <v>120</v>
      </c>
      <c r="P818" s="7">
        <f t="shared" si="62"/>
        <v>5.5</v>
      </c>
      <c r="Q818" s="7">
        <f t="shared" si="62"/>
        <v>11.25</v>
      </c>
      <c r="R818" s="6">
        <f t="shared" si="63"/>
        <v>82.186999999999998</v>
      </c>
      <c r="S818" s="6">
        <f t="shared" si="65"/>
        <v>0.12167395019999998</v>
      </c>
      <c r="T818" t="str">
        <f t="shared" si="64"/>
        <v>Cumaru S4S E4E 6x12 Long</v>
      </c>
    </row>
    <row r="819" spans="1:20" x14ac:dyDescent="0.25">
      <c r="A819" t="s">
        <v>531</v>
      </c>
      <c r="B819" t="s">
        <v>1152</v>
      </c>
      <c r="C819" t="s">
        <v>283</v>
      </c>
      <c r="D819" t="s">
        <v>438</v>
      </c>
      <c r="E819" t="s">
        <v>1156</v>
      </c>
      <c r="F819" t="s">
        <v>1154</v>
      </c>
      <c r="G819" t="s">
        <v>531</v>
      </c>
      <c r="H819" t="s">
        <v>373</v>
      </c>
      <c r="I819" t="s">
        <v>289</v>
      </c>
      <c r="J819" t="s">
        <v>1155</v>
      </c>
      <c r="K819">
        <v>11</v>
      </c>
      <c r="L819" s="6">
        <v>3.3527999999999998</v>
      </c>
      <c r="M819" s="7">
        <v>139.69999999999999</v>
      </c>
      <c r="N819" s="7">
        <v>285.75</v>
      </c>
      <c r="O819" s="7">
        <f t="shared" si="61"/>
        <v>132</v>
      </c>
      <c r="P819" s="7">
        <f t="shared" si="62"/>
        <v>5.5</v>
      </c>
      <c r="Q819" s="7">
        <f t="shared" si="62"/>
        <v>11.25</v>
      </c>
      <c r="R819" s="6">
        <f t="shared" si="63"/>
        <v>82.186999999999998</v>
      </c>
      <c r="S819" s="6">
        <f t="shared" si="65"/>
        <v>0.13384134521999996</v>
      </c>
      <c r="T819" t="str">
        <f t="shared" si="64"/>
        <v>Cumaru S4S E4E 6x12 Long</v>
      </c>
    </row>
    <row r="820" spans="1:20" x14ac:dyDescent="0.25">
      <c r="A820" t="s">
        <v>531</v>
      </c>
      <c r="B820" t="s">
        <v>1152</v>
      </c>
      <c r="C820" t="s">
        <v>283</v>
      </c>
      <c r="D820" t="s">
        <v>438</v>
      </c>
      <c r="E820" t="s">
        <v>1157</v>
      </c>
      <c r="F820" t="s">
        <v>1154</v>
      </c>
      <c r="G820" t="s">
        <v>531</v>
      </c>
      <c r="H820" t="s">
        <v>373</v>
      </c>
      <c r="I820" t="s">
        <v>289</v>
      </c>
      <c r="J820" t="s">
        <v>1155</v>
      </c>
      <c r="K820">
        <v>12</v>
      </c>
      <c r="L820" s="6">
        <v>3.6576</v>
      </c>
      <c r="M820" s="7">
        <v>139.69999999999999</v>
      </c>
      <c r="N820" s="7">
        <v>285.75</v>
      </c>
      <c r="O820" s="7">
        <f t="shared" si="61"/>
        <v>144</v>
      </c>
      <c r="P820" s="7">
        <f t="shared" si="62"/>
        <v>5.5</v>
      </c>
      <c r="Q820" s="7">
        <f t="shared" si="62"/>
        <v>11.25</v>
      </c>
      <c r="R820" s="6">
        <f t="shared" si="63"/>
        <v>82.186999999999998</v>
      </c>
      <c r="S820" s="6">
        <f t="shared" si="65"/>
        <v>0.14600874024000002</v>
      </c>
      <c r="T820" t="str">
        <f t="shared" si="64"/>
        <v>Cumaru S4S E4E 6x12 Long</v>
      </c>
    </row>
    <row r="821" spans="1:20" x14ac:dyDescent="0.25">
      <c r="A821" t="s">
        <v>531</v>
      </c>
      <c r="B821" t="s">
        <v>1152</v>
      </c>
      <c r="C821" t="s">
        <v>283</v>
      </c>
      <c r="D821" t="s">
        <v>438</v>
      </c>
      <c r="E821" t="s">
        <v>1158</v>
      </c>
      <c r="F821" t="s">
        <v>1154</v>
      </c>
      <c r="G821" t="s">
        <v>531</v>
      </c>
      <c r="H821" t="s">
        <v>373</v>
      </c>
      <c r="I821" t="s">
        <v>289</v>
      </c>
      <c r="J821" t="s">
        <v>1155</v>
      </c>
      <c r="K821">
        <v>13</v>
      </c>
      <c r="L821" s="6">
        <v>3.9624000000000001</v>
      </c>
      <c r="M821" s="7">
        <v>139.69999999999999</v>
      </c>
      <c r="N821" s="7">
        <v>285.75</v>
      </c>
      <c r="O821" s="7">
        <f t="shared" si="61"/>
        <v>156</v>
      </c>
      <c r="P821" s="7">
        <f t="shared" si="62"/>
        <v>5.5</v>
      </c>
      <c r="Q821" s="7">
        <f t="shared" si="62"/>
        <v>11.25</v>
      </c>
      <c r="R821" s="6">
        <f t="shared" si="63"/>
        <v>82.186999999999998</v>
      </c>
      <c r="S821" s="6">
        <f t="shared" si="65"/>
        <v>0.15817613525999999</v>
      </c>
      <c r="T821" t="str">
        <f t="shared" si="64"/>
        <v>Cumaru S4S E4E 6x12 Long</v>
      </c>
    </row>
    <row r="822" spans="1:20" x14ac:dyDescent="0.25">
      <c r="A822" t="s">
        <v>531</v>
      </c>
      <c r="B822" t="s">
        <v>1152</v>
      </c>
      <c r="C822" t="s">
        <v>283</v>
      </c>
      <c r="D822" t="s">
        <v>438</v>
      </c>
      <c r="E822" t="s">
        <v>1159</v>
      </c>
      <c r="F822" t="s">
        <v>1154</v>
      </c>
      <c r="G822" t="s">
        <v>531</v>
      </c>
      <c r="H822" t="s">
        <v>373</v>
      </c>
      <c r="I822" t="s">
        <v>289</v>
      </c>
      <c r="J822" t="s">
        <v>1155</v>
      </c>
      <c r="K822">
        <v>14</v>
      </c>
      <c r="L822" s="6">
        <v>4.2671999999999999</v>
      </c>
      <c r="M822" s="7">
        <v>139.69999999999999</v>
      </c>
      <c r="N822" s="7">
        <v>285.75</v>
      </c>
      <c r="O822" s="7">
        <f t="shared" si="61"/>
        <v>168</v>
      </c>
      <c r="P822" s="7">
        <f t="shared" si="62"/>
        <v>5.5</v>
      </c>
      <c r="Q822" s="7">
        <f t="shared" si="62"/>
        <v>11.25</v>
      </c>
      <c r="R822" s="6">
        <f t="shared" si="63"/>
        <v>82.186999999999998</v>
      </c>
      <c r="S822" s="6">
        <f t="shared" si="65"/>
        <v>0.17034353027999996</v>
      </c>
      <c r="T822" t="str">
        <f t="shared" si="64"/>
        <v>Cumaru S4S E4E 6x12 Long</v>
      </c>
    </row>
    <row r="823" spans="1:20" x14ac:dyDescent="0.25">
      <c r="A823" t="s">
        <v>531</v>
      </c>
      <c r="B823" t="s">
        <v>1152</v>
      </c>
      <c r="C823" t="s">
        <v>283</v>
      </c>
      <c r="D823" t="s">
        <v>438</v>
      </c>
      <c r="E823" t="s">
        <v>1160</v>
      </c>
      <c r="F823" t="s">
        <v>1154</v>
      </c>
      <c r="G823" t="s">
        <v>531</v>
      </c>
      <c r="H823" t="s">
        <v>373</v>
      </c>
      <c r="I823" t="s">
        <v>289</v>
      </c>
      <c r="J823" t="s">
        <v>1155</v>
      </c>
      <c r="K823">
        <v>15</v>
      </c>
      <c r="L823" s="6">
        <v>4.5720000000000001</v>
      </c>
      <c r="M823" s="7">
        <v>139.69999999999999</v>
      </c>
      <c r="N823" s="7">
        <v>285.75</v>
      </c>
      <c r="O823" s="7">
        <f t="shared" si="61"/>
        <v>180</v>
      </c>
      <c r="P823" s="7">
        <f t="shared" si="62"/>
        <v>5.5</v>
      </c>
      <c r="Q823" s="7">
        <f t="shared" si="62"/>
        <v>11.25</v>
      </c>
      <c r="R823" s="6">
        <f t="shared" si="63"/>
        <v>82.186999999999998</v>
      </c>
      <c r="S823" s="6">
        <f t="shared" si="65"/>
        <v>0.18251092529999999</v>
      </c>
      <c r="T823" t="str">
        <f t="shared" si="64"/>
        <v>Cumaru S4S E4E 6x12 Long</v>
      </c>
    </row>
    <row r="824" spans="1:20" x14ac:dyDescent="0.25">
      <c r="A824" t="s">
        <v>531</v>
      </c>
      <c r="B824" t="s">
        <v>1152</v>
      </c>
      <c r="C824" t="s">
        <v>283</v>
      </c>
      <c r="D824" t="s">
        <v>438</v>
      </c>
      <c r="E824" t="s">
        <v>1161</v>
      </c>
      <c r="F824" t="s">
        <v>1154</v>
      </c>
      <c r="G824" t="s">
        <v>531</v>
      </c>
      <c r="H824" t="s">
        <v>373</v>
      </c>
      <c r="I824" t="s">
        <v>289</v>
      </c>
      <c r="J824" t="s">
        <v>1155</v>
      </c>
      <c r="K824">
        <v>16</v>
      </c>
      <c r="L824" s="6">
        <v>4.8768000000000002</v>
      </c>
      <c r="M824" s="7">
        <v>139.69999999999999</v>
      </c>
      <c r="N824" s="7">
        <v>285.75</v>
      </c>
      <c r="O824" s="7">
        <f t="shared" si="61"/>
        <v>192.00000000000003</v>
      </c>
      <c r="P824" s="7">
        <f t="shared" si="62"/>
        <v>5.5</v>
      </c>
      <c r="Q824" s="7">
        <f t="shared" si="62"/>
        <v>11.25</v>
      </c>
      <c r="R824" s="6">
        <f t="shared" si="63"/>
        <v>82.186999999999998</v>
      </c>
      <c r="S824" s="6">
        <f t="shared" si="65"/>
        <v>0.19467832031999999</v>
      </c>
      <c r="T824" t="str">
        <f t="shared" si="64"/>
        <v>Cumaru S4S E4E 6x12 Long</v>
      </c>
    </row>
    <row r="825" spans="1:20" x14ac:dyDescent="0.25">
      <c r="A825" t="s">
        <v>531</v>
      </c>
      <c r="B825" t="s">
        <v>1152</v>
      </c>
      <c r="C825" t="s">
        <v>283</v>
      </c>
      <c r="D825" t="s">
        <v>438</v>
      </c>
      <c r="E825" t="s">
        <v>1162</v>
      </c>
      <c r="F825" t="s">
        <v>1154</v>
      </c>
      <c r="G825" t="s">
        <v>531</v>
      </c>
      <c r="H825" t="s">
        <v>373</v>
      </c>
      <c r="I825" t="s">
        <v>289</v>
      </c>
      <c r="J825" t="s">
        <v>1155</v>
      </c>
      <c r="K825">
        <v>17</v>
      </c>
      <c r="L825" s="6">
        <v>5.1816000000000004</v>
      </c>
      <c r="M825" s="7">
        <v>139.69999999999999</v>
      </c>
      <c r="N825" s="7">
        <v>285.75</v>
      </c>
      <c r="O825" s="7">
        <f t="shared" si="61"/>
        <v>204.00000000000003</v>
      </c>
      <c r="P825" s="7">
        <f t="shared" si="62"/>
        <v>5.5</v>
      </c>
      <c r="Q825" s="7">
        <f t="shared" si="62"/>
        <v>11.25</v>
      </c>
      <c r="R825" s="6">
        <f t="shared" si="63"/>
        <v>82.186999999999998</v>
      </c>
      <c r="S825" s="6">
        <f t="shared" si="65"/>
        <v>0.20684571533999996</v>
      </c>
      <c r="T825" t="str">
        <f t="shared" si="64"/>
        <v>Cumaru S4S E4E 6x12 Long</v>
      </c>
    </row>
    <row r="826" spans="1:20" x14ac:dyDescent="0.25">
      <c r="A826" t="s">
        <v>531</v>
      </c>
      <c r="B826" t="s">
        <v>1152</v>
      </c>
      <c r="C826" t="s">
        <v>283</v>
      </c>
      <c r="D826" t="s">
        <v>438</v>
      </c>
      <c r="E826" t="s">
        <v>1163</v>
      </c>
      <c r="F826" t="s">
        <v>1154</v>
      </c>
      <c r="G826" t="s">
        <v>531</v>
      </c>
      <c r="H826" t="s">
        <v>373</v>
      </c>
      <c r="I826" t="s">
        <v>289</v>
      </c>
      <c r="J826" t="s">
        <v>1155</v>
      </c>
      <c r="K826">
        <v>18</v>
      </c>
      <c r="L826" s="6">
        <v>5.4863999999999997</v>
      </c>
      <c r="M826" s="7">
        <v>139.69999999999999</v>
      </c>
      <c r="N826" s="7">
        <v>285.75</v>
      </c>
      <c r="O826" s="7">
        <f t="shared" si="61"/>
        <v>216</v>
      </c>
      <c r="P826" s="7">
        <f t="shared" si="62"/>
        <v>5.5</v>
      </c>
      <c r="Q826" s="7">
        <f t="shared" si="62"/>
        <v>11.25</v>
      </c>
      <c r="R826" s="6">
        <f t="shared" si="63"/>
        <v>82.186999999999998</v>
      </c>
      <c r="S826" s="6">
        <f t="shared" si="65"/>
        <v>0.21901311035999996</v>
      </c>
      <c r="T826" t="str">
        <f t="shared" si="64"/>
        <v>Cumaru S4S E4E 6x12 Long</v>
      </c>
    </row>
    <row r="827" spans="1:20" x14ac:dyDescent="0.25">
      <c r="A827" t="s">
        <v>531</v>
      </c>
      <c r="B827" t="s">
        <v>1152</v>
      </c>
      <c r="C827" t="s">
        <v>283</v>
      </c>
      <c r="D827" t="s">
        <v>438</v>
      </c>
      <c r="E827" t="s">
        <v>1164</v>
      </c>
      <c r="F827" t="s">
        <v>1154</v>
      </c>
      <c r="G827" t="s">
        <v>531</v>
      </c>
      <c r="H827" t="s">
        <v>373</v>
      </c>
      <c r="I827" t="s">
        <v>289</v>
      </c>
      <c r="J827" t="s">
        <v>1155</v>
      </c>
      <c r="K827">
        <v>19</v>
      </c>
      <c r="L827" s="6">
        <v>5.7911999999999999</v>
      </c>
      <c r="M827" s="7">
        <v>139.69999999999999</v>
      </c>
      <c r="N827" s="7">
        <v>285.75</v>
      </c>
      <c r="O827" s="7">
        <f t="shared" si="61"/>
        <v>228</v>
      </c>
      <c r="P827" s="7">
        <f t="shared" si="62"/>
        <v>5.5</v>
      </c>
      <c r="Q827" s="7">
        <f t="shared" si="62"/>
        <v>11.25</v>
      </c>
      <c r="R827" s="6">
        <f t="shared" si="63"/>
        <v>82.186999999999998</v>
      </c>
      <c r="S827" s="6">
        <f t="shared" si="65"/>
        <v>0.23118050537999998</v>
      </c>
      <c r="T827" t="str">
        <f t="shared" si="64"/>
        <v>Cumaru S4S E4E 6x12 Long</v>
      </c>
    </row>
    <row r="828" spans="1:20" x14ac:dyDescent="0.25">
      <c r="A828" t="s">
        <v>531</v>
      </c>
      <c r="B828" t="s">
        <v>1152</v>
      </c>
      <c r="C828" t="s">
        <v>283</v>
      </c>
      <c r="D828" t="s">
        <v>438</v>
      </c>
      <c r="E828" t="s">
        <v>1165</v>
      </c>
      <c r="F828" t="s">
        <v>1154</v>
      </c>
      <c r="G828" t="s">
        <v>531</v>
      </c>
      <c r="H828" t="s">
        <v>373</v>
      </c>
      <c r="I828" t="s">
        <v>289</v>
      </c>
      <c r="J828" t="s">
        <v>1155</v>
      </c>
      <c r="K828">
        <v>20</v>
      </c>
      <c r="L828" s="6">
        <v>6.0960000000000001</v>
      </c>
      <c r="M828" s="7">
        <v>139.69999999999999</v>
      </c>
      <c r="N828" s="7">
        <v>285.75</v>
      </c>
      <c r="O828" s="7">
        <f t="shared" si="61"/>
        <v>240</v>
      </c>
      <c r="P828" s="7">
        <f t="shared" si="62"/>
        <v>5.5</v>
      </c>
      <c r="Q828" s="7">
        <f t="shared" si="62"/>
        <v>11.25</v>
      </c>
      <c r="R828" s="6">
        <f t="shared" si="63"/>
        <v>82.186999999999998</v>
      </c>
      <c r="S828" s="6">
        <f t="shared" si="65"/>
        <v>0.24334790039999996</v>
      </c>
      <c r="T828" t="str">
        <f t="shared" si="64"/>
        <v>Cumaru S4S E4E 6x12 Long</v>
      </c>
    </row>
    <row r="829" spans="1:20" x14ac:dyDescent="0.25">
      <c r="A829" t="s">
        <v>531</v>
      </c>
      <c r="B829" t="s">
        <v>1152</v>
      </c>
      <c r="C829" t="s">
        <v>283</v>
      </c>
      <c r="D829" t="s">
        <v>438</v>
      </c>
      <c r="E829" t="s">
        <v>1166</v>
      </c>
      <c r="F829" t="s">
        <v>1154</v>
      </c>
      <c r="G829" t="s">
        <v>531</v>
      </c>
      <c r="H829" t="s">
        <v>373</v>
      </c>
      <c r="I829" t="s">
        <v>289</v>
      </c>
      <c r="J829" t="s">
        <v>1155</v>
      </c>
      <c r="K829">
        <v>21</v>
      </c>
      <c r="L829" s="6">
        <v>6.4008000000000003</v>
      </c>
      <c r="M829" s="7">
        <v>139.69999999999999</v>
      </c>
      <c r="N829" s="7">
        <v>285.75</v>
      </c>
      <c r="O829" s="7">
        <f t="shared" si="61"/>
        <v>252.00000000000003</v>
      </c>
      <c r="P829" s="7">
        <f t="shared" si="62"/>
        <v>5.5</v>
      </c>
      <c r="Q829" s="7">
        <f t="shared" si="62"/>
        <v>11.25</v>
      </c>
      <c r="R829" s="6">
        <f t="shared" si="63"/>
        <v>82.186999999999998</v>
      </c>
      <c r="S829" s="6">
        <f t="shared" si="65"/>
        <v>0.25551529541999995</v>
      </c>
      <c r="T829" t="str">
        <f t="shared" si="64"/>
        <v>Cumaru S4S E4E 6x12 Long</v>
      </c>
    </row>
    <row r="830" spans="1:20" x14ac:dyDescent="0.25">
      <c r="A830" t="s">
        <v>531</v>
      </c>
      <c r="B830" t="s">
        <v>1152</v>
      </c>
      <c r="C830" t="s">
        <v>283</v>
      </c>
      <c r="D830" t="s">
        <v>438</v>
      </c>
      <c r="E830" t="s">
        <v>1167</v>
      </c>
      <c r="F830" t="s">
        <v>1154</v>
      </c>
      <c r="G830" t="s">
        <v>531</v>
      </c>
      <c r="H830" t="s">
        <v>373</v>
      </c>
      <c r="I830" t="s">
        <v>289</v>
      </c>
      <c r="J830" t="s">
        <v>1155</v>
      </c>
      <c r="K830">
        <v>22</v>
      </c>
      <c r="L830" s="6">
        <v>6.7055999999999996</v>
      </c>
      <c r="M830" s="7">
        <v>139.69999999999999</v>
      </c>
      <c r="N830" s="7">
        <v>285.75</v>
      </c>
      <c r="O830" s="7">
        <f t="shared" si="61"/>
        <v>264</v>
      </c>
      <c r="P830" s="7">
        <f t="shared" si="62"/>
        <v>5.5</v>
      </c>
      <c r="Q830" s="7">
        <f t="shared" si="62"/>
        <v>11.25</v>
      </c>
      <c r="R830" s="6">
        <f t="shared" si="63"/>
        <v>82.186999999999998</v>
      </c>
      <c r="S830" s="6">
        <f t="shared" si="65"/>
        <v>0.26768269043999993</v>
      </c>
      <c r="T830" t="str">
        <f t="shared" si="64"/>
        <v>Cumaru S4S E4E 6x12 Long</v>
      </c>
    </row>
    <row r="831" spans="1:20" x14ac:dyDescent="0.25">
      <c r="A831" t="s">
        <v>531</v>
      </c>
      <c r="B831" t="s">
        <v>1152</v>
      </c>
      <c r="C831" t="s">
        <v>283</v>
      </c>
      <c r="D831" t="s">
        <v>438</v>
      </c>
      <c r="E831" t="s">
        <v>1168</v>
      </c>
      <c r="F831" t="s">
        <v>1154</v>
      </c>
      <c r="G831" t="s">
        <v>531</v>
      </c>
      <c r="H831" t="s">
        <v>373</v>
      </c>
      <c r="I831" t="s">
        <v>289</v>
      </c>
      <c r="J831" t="s">
        <v>1155</v>
      </c>
      <c r="K831">
        <v>23</v>
      </c>
      <c r="L831" s="6">
        <v>7.0103999999999997</v>
      </c>
      <c r="M831" s="7">
        <v>139.69999999999999</v>
      </c>
      <c r="N831" s="7">
        <v>285.75</v>
      </c>
      <c r="O831" s="7">
        <f t="shared" si="61"/>
        <v>276</v>
      </c>
      <c r="P831" s="7">
        <f t="shared" si="62"/>
        <v>5.5</v>
      </c>
      <c r="Q831" s="7">
        <f t="shared" si="62"/>
        <v>11.25</v>
      </c>
      <c r="R831" s="6">
        <f t="shared" si="63"/>
        <v>82.186999999999998</v>
      </c>
      <c r="S831" s="6">
        <f t="shared" si="65"/>
        <v>0.27985008545999995</v>
      </c>
      <c r="T831" t="str">
        <f t="shared" si="64"/>
        <v>Cumaru S4S E4E 6x12 Long</v>
      </c>
    </row>
    <row r="832" spans="1:20" x14ac:dyDescent="0.25">
      <c r="A832" t="s">
        <v>531</v>
      </c>
      <c r="B832" t="s">
        <v>1152</v>
      </c>
      <c r="C832" t="s">
        <v>283</v>
      </c>
      <c r="D832" t="s">
        <v>438</v>
      </c>
      <c r="E832" t="s">
        <v>1169</v>
      </c>
      <c r="F832" t="s">
        <v>1154</v>
      </c>
      <c r="G832" t="s">
        <v>531</v>
      </c>
      <c r="H832" t="s">
        <v>373</v>
      </c>
      <c r="I832" t="s">
        <v>289</v>
      </c>
      <c r="J832" t="s">
        <v>1155</v>
      </c>
      <c r="K832">
        <v>24</v>
      </c>
      <c r="L832" s="6">
        <v>7.3152000000000008</v>
      </c>
      <c r="M832" s="7">
        <v>139.69999999999999</v>
      </c>
      <c r="N832" s="7">
        <v>285.75</v>
      </c>
      <c r="O832" s="7">
        <f t="shared" si="61"/>
        <v>288.00000000000006</v>
      </c>
      <c r="P832" s="7">
        <f t="shared" si="62"/>
        <v>5.5</v>
      </c>
      <c r="Q832" s="7">
        <f t="shared" si="62"/>
        <v>11.25</v>
      </c>
      <c r="R832" s="6">
        <f t="shared" si="63"/>
        <v>82.186999999999998</v>
      </c>
      <c r="S832" s="6">
        <f t="shared" si="65"/>
        <v>0.29201748048000004</v>
      </c>
      <c r="T832" t="str">
        <f t="shared" si="64"/>
        <v>Cumaru S4S E4E 6x12 Long</v>
      </c>
    </row>
    <row r="833" spans="1:20" x14ac:dyDescent="0.25">
      <c r="A833" t="s">
        <v>531</v>
      </c>
      <c r="B833" t="s">
        <v>1152</v>
      </c>
      <c r="C833" t="s">
        <v>524</v>
      </c>
      <c r="D833" t="s">
        <v>438</v>
      </c>
      <c r="E833" t="s">
        <v>1170</v>
      </c>
      <c r="F833" t="s">
        <v>1154</v>
      </c>
      <c r="G833" t="s">
        <v>531</v>
      </c>
      <c r="H833" t="s">
        <v>373</v>
      </c>
      <c r="I833" t="s">
        <v>289</v>
      </c>
      <c r="J833" t="s">
        <v>1155</v>
      </c>
      <c r="K833">
        <v>3</v>
      </c>
      <c r="L833" s="6">
        <v>0.91439999999999999</v>
      </c>
      <c r="M833" s="7">
        <v>139.69999999999999</v>
      </c>
      <c r="N833" s="7">
        <v>285.75</v>
      </c>
      <c r="O833" s="7">
        <f t="shared" si="61"/>
        <v>36</v>
      </c>
      <c r="P833" s="7">
        <f t="shared" si="62"/>
        <v>5.5</v>
      </c>
      <c r="Q833" s="7">
        <f t="shared" si="62"/>
        <v>11.25</v>
      </c>
      <c r="R833" s="6">
        <f t="shared" si="63"/>
        <v>82.186999999999998</v>
      </c>
      <c r="S833" s="6">
        <f t="shared" si="65"/>
        <v>3.6502185060000004E-2</v>
      </c>
      <c r="T833" t="str">
        <f t="shared" si="64"/>
        <v>Cumaru S4S E4E 6x12 Short</v>
      </c>
    </row>
    <row r="834" spans="1:20" x14ac:dyDescent="0.25">
      <c r="A834" t="s">
        <v>531</v>
      </c>
      <c r="B834" t="s">
        <v>1152</v>
      </c>
      <c r="C834" t="s">
        <v>524</v>
      </c>
      <c r="D834" t="s">
        <v>438</v>
      </c>
      <c r="E834" t="s">
        <v>1171</v>
      </c>
      <c r="F834" t="s">
        <v>1154</v>
      </c>
      <c r="G834" t="s">
        <v>531</v>
      </c>
      <c r="H834" t="s">
        <v>373</v>
      </c>
      <c r="I834" t="s">
        <v>289</v>
      </c>
      <c r="J834" t="s">
        <v>1155</v>
      </c>
      <c r="K834">
        <v>4</v>
      </c>
      <c r="L834" s="6">
        <v>1.2192000000000001</v>
      </c>
      <c r="M834" s="7">
        <v>139.69999999999999</v>
      </c>
      <c r="N834" s="7">
        <v>285.75</v>
      </c>
      <c r="O834" s="7">
        <f t="shared" ref="O834:O897" si="66">L834/0.0254</f>
        <v>48.000000000000007</v>
      </c>
      <c r="P834" s="7">
        <f t="shared" ref="P834:Q897" si="67">M834/25.4</f>
        <v>5.5</v>
      </c>
      <c r="Q834" s="7">
        <f t="shared" si="67"/>
        <v>11.25</v>
      </c>
      <c r="R834" s="6">
        <f t="shared" ref="R834:R897" si="68">ROUND(IFERROR(1/((M834*N834*0.3048)/1000000),0),3)</f>
        <v>82.186999999999998</v>
      </c>
      <c r="S834" s="6">
        <f t="shared" si="65"/>
        <v>4.8669580079999997E-2</v>
      </c>
      <c r="T834" t="str">
        <f t="shared" ref="T834:T897" si="69">F834&amp;" "&amp;C834</f>
        <v>Cumaru S4S E4E 6x12 Short</v>
      </c>
    </row>
    <row r="835" spans="1:20" x14ac:dyDescent="0.25">
      <c r="A835" t="s">
        <v>531</v>
      </c>
      <c r="B835" t="s">
        <v>1152</v>
      </c>
      <c r="C835" t="s">
        <v>524</v>
      </c>
      <c r="D835" t="s">
        <v>438</v>
      </c>
      <c r="E835" t="s">
        <v>1172</v>
      </c>
      <c r="F835" t="s">
        <v>1154</v>
      </c>
      <c r="G835" t="s">
        <v>531</v>
      </c>
      <c r="H835" t="s">
        <v>373</v>
      </c>
      <c r="I835" t="s">
        <v>289</v>
      </c>
      <c r="J835" t="s">
        <v>1155</v>
      </c>
      <c r="K835">
        <v>5</v>
      </c>
      <c r="L835" s="6">
        <v>1.524</v>
      </c>
      <c r="M835" s="7">
        <v>139.69999999999999</v>
      </c>
      <c r="N835" s="7">
        <v>285.75</v>
      </c>
      <c r="O835" s="7">
        <f t="shared" si="66"/>
        <v>60</v>
      </c>
      <c r="P835" s="7">
        <f t="shared" si="67"/>
        <v>5.5</v>
      </c>
      <c r="Q835" s="7">
        <f t="shared" si="67"/>
        <v>11.25</v>
      </c>
      <c r="R835" s="6">
        <f t="shared" si="68"/>
        <v>82.186999999999998</v>
      </c>
      <c r="S835" s="6">
        <f t="shared" si="65"/>
        <v>6.0836975099999989E-2</v>
      </c>
      <c r="T835" t="str">
        <f t="shared" si="69"/>
        <v>Cumaru S4S E4E 6x12 Short</v>
      </c>
    </row>
    <row r="836" spans="1:20" x14ac:dyDescent="0.25">
      <c r="A836" t="s">
        <v>531</v>
      </c>
      <c r="B836" t="s">
        <v>1152</v>
      </c>
      <c r="C836" t="s">
        <v>524</v>
      </c>
      <c r="D836" t="s">
        <v>438</v>
      </c>
      <c r="E836" t="s">
        <v>1173</v>
      </c>
      <c r="F836" t="s">
        <v>1154</v>
      </c>
      <c r="G836" t="s">
        <v>531</v>
      </c>
      <c r="H836" t="s">
        <v>373</v>
      </c>
      <c r="I836" t="s">
        <v>289</v>
      </c>
      <c r="J836" t="s">
        <v>1155</v>
      </c>
      <c r="K836">
        <v>6</v>
      </c>
      <c r="L836" s="6">
        <v>1.8288</v>
      </c>
      <c r="M836" s="7">
        <v>139.69999999999999</v>
      </c>
      <c r="N836" s="7">
        <v>285.75</v>
      </c>
      <c r="O836" s="7">
        <f t="shared" si="66"/>
        <v>72</v>
      </c>
      <c r="P836" s="7">
        <f t="shared" si="67"/>
        <v>5.5</v>
      </c>
      <c r="Q836" s="7">
        <f t="shared" si="67"/>
        <v>11.25</v>
      </c>
      <c r="R836" s="6">
        <f t="shared" si="68"/>
        <v>82.186999999999998</v>
      </c>
      <c r="S836" s="6">
        <f t="shared" ref="S836:S899" si="70">L836*M836/1000*N836/1000</f>
        <v>7.3004370120000009E-2</v>
      </c>
      <c r="T836" t="str">
        <f t="shared" si="69"/>
        <v>Cumaru S4S E4E 6x12 Short</v>
      </c>
    </row>
    <row r="837" spans="1:20" x14ac:dyDescent="0.25">
      <c r="A837" t="s">
        <v>531</v>
      </c>
      <c r="B837" t="s">
        <v>1152</v>
      </c>
      <c r="C837" t="s">
        <v>524</v>
      </c>
      <c r="D837" t="s">
        <v>438</v>
      </c>
      <c r="E837" t="s">
        <v>1174</v>
      </c>
      <c r="F837" t="s">
        <v>1154</v>
      </c>
      <c r="G837" t="s">
        <v>531</v>
      </c>
      <c r="H837" t="s">
        <v>373</v>
      </c>
      <c r="I837" t="s">
        <v>289</v>
      </c>
      <c r="J837" t="s">
        <v>1155</v>
      </c>
      <c r="K837">
        <v>7</v>
      </c>
      <c r="L837" s="6">
        <v>2.1335999999999999</v>
      </c>
      <c r="M837" s="7">
        <v>139.69999999999999</v>
      </c>
      <c r="N837" s="7">
        <v>285.75</v>
      </c>
      <c r="O837" s="7">
        <f t="shared" si="66"/>
        <v>84</v>
      </c>
      <c r="P837" s="7">
        <f t="shared" si="67"/>
        <v>5.5</v>
      </c>
      <c r="Q837" s="7">
        <f t="shared" si="67"/>
        <v>11.25</v>
      </c>
      <c r="R837" s="6">
        <f t="shared" si="68"/>
        <v>82.186999999999998</v>
      </c>
      <c r="S837" s="6">
        <f t="shared" si="70"/>
        <v>8.517176513999998E-2</v>
      </c>
      <c r="T837" t="str">
        <f t="shared" si="69"/>
        <v>Cumaru S4S E4E 6x12 Short</v>
      </c>
    </row>
    <row r="838" spans="1:20" x14ac:dyDescent="0.25">
      <c r="A838" t="s">
        <v>531</v>
      </c>
      <c r="B838" t="s">
        <v>1152</v>
      </c>
      <c r="C838" t="s">
        <v>283</v>
      </c>
      <c r="D838" t="s">
        <v>438</v>
      </c>
      <c r="E838" t="s">
        <v>1175</v>
      </c>
      <c r="F838" t="s">
        <v>1154</v>
      </c>
      <c r="G838" t="s">
        <v>531</v>
      </c>
      <c r="H838" t="s">
        <v>373</v>
      </c>
      <c r="I838" t="s">
        <v>289</v>
      </c>
      <c r="J838" t="s">
        <v>1155</v>
      </c>
      <c r="K838">
        <v>8</v>
      </c>
      <c r="L838" s="6">
        <v>2.4384000000000001</v>
      </c>
      <c r="M838" s="7">
        <v>139.69999999999999</v>
      </c>
      <c r="N838" s="7">
        <v>285.75</v>
      </c>
      <c r="O838" s="7">
        <f t="shared" si="66"/>
        <v>96.000000000000014</v>
      </c>
      <c r="P838" s="7">
        <f t="shared" si="67"/>
        <v>5.5</v>
      </c>
      <c r="Q838" s="7">
        <f t="shared" si="67"/>
        <v>11.25</v>
      </c>
      <c r="R838" s="6">
        <f t="shared" si="68"/>
        <v>82.186999999999998</v>
      </c>
      <c r="S838" s="6">
        <f t="shared" si="70"/>
        <v>9.7339160159999993E-2</v>
      </c>
      <c r="T838" t="str">
        <f t="shared" si="69"/>
        <v>Cumaru S4S E4E 6x12 Long</v>
      </c>
    </row>
    <row r="839" spans="1:20" x14ac:dyDescent="0.25">
      <c r="A839" t="s">
        <v>531</v>
      </c>
      <c r="B839" t="s">
        <v>1152</v>
      </c>
      <c r="C839" t="s">
        <v>283</v>
      </c>
      <c r="D839" t="s">
        <v>438</v>
      </c>
      <c r="E839" t="s">
        <v>1176</v>
      </c>
      <c r="F839" t="s">
        <v>1154</v>
      </c>
      <c r="G839" t="s">
        <v>531</v>
      </c>
      <c r="H839" t="s">
        <v>373</v>
      </c>
      <c r="I839" t="s">
        <v>289</v>
      </c>
      <c r="J839" t="s">
        <v>1155</v>
      </c>
      <c r="K839">
        <v>9</v>
      </c>
      <c r="L839" s="6">
        <v>2.7431999999999999</v>
      </c>
      <c r="M839" s="7">
        <v>139.69999999999999</v>
      </c>
      <c r="N839" s="7">
        <v>285.75</v>
      </c>
      <c r="O839" s="7">
        <f t="shared" si="66"/>
        <v>108</v>
      </c>
      <c r="P839" s="7">
        <f t="shared" si="67"/>
        <v>5.5</v>
      </c>
      <c r="Q839" s="7">
        <f t="shared" si="67"/>
        <v>11.25</v>
      </c>
      <c r="R839" s="6">
        <f t="shared" si="68"/>
        <v>82.186999999999998</v>
      </c>
      <c r="S839" s="6">
        <f t="shared" si="70"/>
        <v>0.10950655517999998</v>
      </c>
      <c r="T839" t="str">
        <f t="shared" si="69"/>
        <v>Cumaru S4S E4E 6x12 Long</v>
      </c>
    </row>
    <row r="840" spans="1:20" x14ac:dyDescent="0.25">
      <c r="A840" t="s">
        <v>531</v>
      </c>
      <c r="B840" t="s">
        <v>1177</v>
      </c>
      <c r="C840" t="s">
        <v>283</v>
      </c>
      <c r="D840" t="s">
        <v>438</v>
      </c>
      <c r="E840" t="s">
        <v>1178</v>
      </c>
      <c r="F840" t="s">
        <v>1179</v>
      </c>
      <c r="G840" t="s">
        <v>531</v>
      </c>
      <c r="H840" t="s">
        <v>373</v>
      </c>
      <c r="I840" t="s">
        <v>289</v>
      </c>
      <c r="J840" t="s">
        <v>1180</v>
      </c>
      <c r="K840">
        <v>10</v>
      </c>
      <c r="L840" s="6">
        <v>3.048</v>
      </c>
      <c r="M840" s="7">
        <v>139.69999999999999</v>
      </c>
      <c r="N840" s="7">
        <v>139.69999999999999</v>
      </c>
      <c r="O840" s="7">
        <f t="shared" si="66"/>
        <v>120</v>
      </c>
      <c r="P840" s="7">
        <f t="shared" si="67"/>
        <v>5.5</v>
      </c>
      <c r="Q840" s="7">
        <f t="shared" si="67"/>
        <v>5.5</v>
      </c>
      <c r="R840" s="6">
        <f t="shared" si="68"/>
        <v>168.10900000000001</v>
      </c>
      <c r="S840" s="6">
        <f t="shared" si="70"/>
        <v>5.9485042319999994E-2</v>
      </c>
      <c r="T840" t="str">
        <f t="shared" si="69"/>
        <v>Cumaru S4S E4E 6x6 Long</v>
      </c>
    </row>
    <row r="841" spans="1:20" x14ac:dyDescent="0.25">
      <c r="A841" t="s">
        <v>531</v>
      </c>
      <c r="B841" t="s">
        <v>1177</v>
      </c>
      <c r="C841" t="s">
        <v>283</v>
      </c>
      <c r="D841" t="s">
        <v>438</v>
      </c>
      <c r="E841" t="s">
        <v>1181</v>
      </c>
      <c r="F841" t="s">
        <v>1179</v>
      </c>
      <c r="G841" t="s">
        <v>531</v>
      </c>
      <c r="H841" t="s">
        <v>373</v>
      </c>
      <c r="I841" t="s">
        <v>289</v>
      </c>
      <c r="J841" t="s">
        <v>1180</v>
      </c>
      <c r="K841">
        <v>11</v>
      </c>
      <c r="L841" s="6">
        <v>3.3527999999999998</v>
      </c>
      <c r="M841" s="7">
        <v>139.69999999999999</v>
      </c>
      <c r="N841" s="7">
        <v>139.69999999999999</v>
      </c>
      <c r="O841" s="7">
        <f t="shared" si="66"/>
        <v>132</v>
      </c>
      <c r="P841" s="7">
        <f t="shared" si="67"/>
        <v>5.5</v>
      </c>
      <c r="Q841" s="7">
        <f t="shared" si="67"/>
        <v>5.5</v>
      </c>
      <c r="R841" s="6">
        <f t="shared" si="68"/>
        <v>168.10900000000001</v>
      </c>
      <c r="S841" s="6">
        <f t="shared" si="70"/>
        <v>6.5433546551999983E-2</v>
      </c>
      <c r="T841" t="str">
        <f t="shared" si="69"/>
        <v>Cumaru S4S E4E 6x6 Long</v>
      </c>
    </row>
    <row r="842" spans="1:20" x14ac:dyDescent="0.25">
      <c r="A842" t="s">
        <v>531</v>
      </c>
      <c r="B842" t="s">
        <v>1177</v>
      </c>
      <c r="C842" t="s">
        <v>283</v>
      </c>
      <c r="D842" t="s">
        <v>438</v>
      </c>
      <c r="E842" t="s">
        <v>1182</v>
      </c>
      <c r="F842" t="s">
        <v>1179</v>
      </c>
      <c r="G842" t="s">
        <v>531</v>
      </c>
      <c r="H842" t="s">
        <v>373</v>
      </c>
      <c r="I842" t="s">
        <v>289</v>
      </c>
      <c r="J842" t="s">
        <v>1180</v>
      </c>
      <c r="K842">
        <v>12</v>
      </c>
      <c r="L842" s="6">
        <v>3.6576</v>
      </c>
      <c r="M842" s="7">
        <v>139.69999999999999</v>
      </c>
      <c r="N842" s="7">
        <v>139.69999999999999</v>
      </c>
      <c r="O842" s="7">
        <f t="shared" si="66"/>
        <v>144</v>
      </c>
      <c r="P842" s="7">
        <f t="shared" si="67"/>
        <v>5.5</v>
      </c>
      <c r="Q842" s="7">
        <f t="shared" si="67"/>
        <v>5.5</v>
      </c>
      <c r="R842" s="6">
        <f t="shared" si="68"/>
        <v>168.10900000000001</v>
      </c>
      <c r="S842" s="6">
        <f t="shared" si="70"/>
        <v>7.1382050783999992E-2</v>
      </c>
      <c r="T842" t="str">
        <f t="shared" si="69"/>
        <v>Cumaru S4S E4E 6x6 Long</v>
      </c>
    </row>
    <row r="843" spans="1:20" x14ac:dyDescent="0.25">
      <c r="A843" t="s">
        <v>531</v>
      </c>
      <c r="B843" t="s">
        <v>1177</v>
      </c>
      <c r="C843" t="s">
        <v>283</v>
      </c>
      <c r="D843" t="s">
        <v>438</v>
      </c>
      <c r="E843" t="s">
        <v>1183</v>
      </c>
      <c r="F843" t="s">
        <v>1179</v>
      </c>
      <c r="G843" t="s">
        <v>531</v>
      </c>
      <c r="H843" t="s">
        <v>373</v>
      </c>
      <c r="I843" t="s">
        <v>289</v>
      </c>
      <c r="J843" t="s">
        <v>1180</v>
      </c>
      <c r="K843">
        <v>13</v>
      </c>
      <c r="L843" s="6">
        <v>3.9624000000000001</v>
      </c>
      <c r="M843" s="7">
        <v>139.69999999999999</v>
      </c>
      <c r="N843" s="7">
        <v>139.69999999999999</v>
      </c>
      <c r="O843" s="7">
        <f t="shared" si="66"/>
        <v>156</v>
      </c>
      <c r="P843" s="7">
        <f t="shared" si="67"/>
        <v>5.5</v>
      </c>
      <c r="Q843" s="7">
        <f t="shared" si="67"/>
        <v>5.5</v>
      </c>
      <c r="R843" s="6">
        <f t="shared" si="68"/>
        <v>168.10900000000001</v>
      </c>
      <c r="S843" s="6">
        <f t="shared" si="70"/>
        <v>7.7330555015999988E-2</v>
      </c>
      <c r="T843" t="str">
        <f t="shared" si="69"/>
        <v>Cumaru S4S E4E 6x6 Long</v>
      </c>
    </row>
    <row r="844" spans="1:20" x14ac:dyDescent="0.25">
      <c r="A844" t="s">
        <v>531</v>
      </c>
      <c r="B844" t="s">
        <v>1177</v>
      </c>
      <c r="C844" t="s">
        <v>283</v>
      </c>
      <c r="D844" t="s">
        <v>438</v>
      </c>
      <c r="E844" t="s">
        <v>1184</v>
      </c>
      <c r="F844" t="s">
        <v>1179</v>
      </c>
      <c r="G844" t="s">
        <v>531</v>
      </c>
      <c r="H844" t="s">
        <v>373</v>
      </c>
      <c r="I844" t="s">
        <v>289</v>
      </c>
      <c r="J844" t="s">
        <v>1180</v>
      </c>
      <c r="K844">
        <v>14</v>
      </c>
      <c r="L844" s="6">
        <v>4.2671999999999999</v>
      </c>
      <c r="M844" s="7">
        <v>139.69999999999999</v>
      </c>
      <c r="N844" s="7">
        <v>139.69999999999999</v>
      </c>
      <c r="O844" s="7">
        <f t="shared" si="66"/>
        <v>168</v>
      </c>
      <c r="P844" s="7">
        <f t="shared" si="67"/>
        <v>5.5</v>
      </c>
      <c r="Q844" s="7">
        <f t="shared" si="67"/>
        <v>5.5</v>
      </c>
      <c r="R844" s="6">
        <f t="shared" si="68"/>
        <v>168.10900000000001</v>
      </c>
      <c r="S844" s="6">
        <f t="shared" si="70"/>
        <v>8.327905924799997E-2</v>
      </c>
      <c r="T844" t="str">
        <f t="shared" si="69"/>
        <v>Cumaru S4S E4E 6x6 Long</v>
      </c>
    </row>
    <row r="845" spans="1:20" x14ac:dyDescent="0.25">
      <c r="A845" t="s">
        <v>531</v>
      </c>
      <c r="B845" t="s">
        <v>1177</v>
      </c>
      <c r="C845" t="s">
        <v>283</v>
      </c>
      <c r="D845" t="s">
        <v>438</v>
      </c>
      <c r="E845" t="s">
        <v>1185</v>
      </c>
      <c r="F845" t="s">
        <v>1179</v>
      </c>
      <c r="G845" t="s">
        <v>531</v>
      </c>
      <c r="H845" t="s">
        <v>373</v>
      </c>
      <c r="I845" t="s">
        <v>289</v>
      </c>
      <c r="J845" t="s">
        <v>1180</v>
      </c>
      <c r="K845">
        <v>15</v>
      </c>
      <c r="L845" s="6">
        <v>4.5720000000000001</v>
      </c>
      <c r="M845" s="7">
        <v>139.69999999999999</v>
      </c>
      <c r="N845" s="7">
        <v>139.69999999999999</v>
      </c>
      <c r="O845" s="7">
        <f t="shared" si="66"/>
        <v>180</v>
      </c>
      <c r="P845" s="7">
        <f t="shared" si="67"/>
        <v>5.5</v>
      </c>
      <c r="Q845" s="7">
        <f t="shared" si="67"/>
        <v>5.5</v>
      </c>
      <c r="R845" s="6">
        <f t="shared" si="68"/>
        <v>168.10900000000001</v>
      </c>
      <c r="S845" s="6">
        <f t="shared" si="70"/>
        <v>8.922756347999998E-2</v>
      </c>
      <c r="T845" t="str">
        <f t="shared" si="69"/>
        <v>Cumaru S4S E4E 6x6 Long</v>
      </c>
    </row>
    <row r="846" spans="1:20" x14ac:dyDescent="0.25">
      <c r="A846" t="s">
        <v>531</v>
      </c>
      <c r="B846" t="s">
        <v>1177</v>
      </c>
      <c r="C846" t="s">
        <v>283</v>
      </c>
      <c r="D846" t="s">
        <v>438</v>
      </c>
      <c r="E846" t="s">
        <v>1186</v>
      </c>
      <c r="F846" t="s">
        <v>1179</v>
      </c>
      <c r="G846" t="s">
        <v>531</v>
      </c>
      <c r="H846" t="s">
        <v>373</v>
      </c>
      <c r="I846" t="s">
        <v>289</v>
      </c>
      <c r="J846" t="s">
        <v>1180</v>
      </c>
      <c r="K846">
        <v>16</v>
      </c>
      <c r="L846" s="6">
        <v>4.8768000000000002</v>
      </c>
      <c r="M846" s="7">
        <v>139.69999999999999</v>
      </c>
      <c r="N846" s="7">
        <v>139.69999999999999</v>
      </c>
      <c r="O846" s="7">
        <f t="shared" si="66"/>
        <v>192.00000000000003</v>
      </c>
      <c r="P846" s="7">
        <f t="shared" si="67"/>
        <v>5.5</v>
      </c>
      <c r="Q846" s="7">
        <f t="shared" si="67"/>
        <v>5.5</v>
      </c>
      <c r="R846" s="6">
        <f t="shared" si="68"/>
        <v>168.10900000000001</v>
      </c>
      <c r="S846" s="6">
        <f t="shared" si="70"/>
        <v>9.517606771199999E-2</v>
      </c>
      <c r="T846" t="str">
        <f t="shared" si="69"/>
        <v>Cumaru S4S E4E 6x6 Long</v>
      </c>
    </row>
    <row r="847" spans="1:20" x14ac:dyDescent="0.25">
      <c r="A847" t="s">
        <v>531</v>
      </c>
      <c r="B847" t="s">
        <v>1177</v>
      </c>
      <c r="C847" t="s">
        <v>283</v>
      </c>
      <c r="D847" t="s">
        <v>438</v>
      </c>
      <c r="E847" t="s">
        <v>1187</v>
      </c>
      <c r="F847" t="s">
        <v>1179</v>
      </c>
      <c r="G847" t="s">
        <v>531</v>
      </c>
      <c r="H847" t="s">
        <v>373</v>
      </c>
      <c r="I847" t="s">
        <v>289</v>
      </c>
      <c r="J847" t="s">
        <v>1180</v>
      </c>
      <c r="K847">
        <v>17</v>
      </c>
      <c r="L847" s="6">
        <v>5.1816000000000004</v>
      </c>
      <c r="M847" s="7">
        <v>139.69999999999999</v>
      </c>
      <c r="N847" s="7">
        <v>139.69999999999999</v>
      </c>
      <c r="O847" s="7">
        <f t="shared" si="66"/>
        <v>204.00000000000003</v>
      </c>
      <c r="P847" s="7">
        <f t="shared" si="67"/>
        <v>5.5</v>
      </c>
      <c r="Q847" s="7">
        <f t="shared" si="67"/>
        <v>5.5</v>
      </c>
      <c r="R847" s="6">
        <f t="shared" si="68"/>
        <v>168.10900000000001</v>
      </c>
      <c r="S847" s="6">
        <f t="shared" si="70"/>
        <v>0.10112457194399999</v>
      </c>
      <c r="T847" t="str">
        <f t="shared" si="69"/>
        <v>Cumaru S4S E4E 6x6 Long</v>
      </c>
    </row>
    <row r="848" spans="1:20" x14ac:dyDescent="0.25">
      <c r="A848" t="s">
        <v>531</v>
      </c>
      <c r="B848" t="s">
        <v>1177</v>
      </c>
      <c r="C848" t="s">
        <v>283</v>
      </c>
      <c r="D848" t="s">
        <v>438</v>
      </c>
      <c r="E848" t="s">
        <v>1188</v>
      </c>
      <c r="F848" t="s">
        <v>1179</v>
      </c>
      <c r="G848" t="s">
        <v>531</v>
      </c>
      <c r="H848" t="s">
        <v>373</v>
      </c>
      <c r="I848" t="s">
        <v>289</v>
      </c>
      <c r="J848" t="s">
        <v>1180</v>
      </c>
      <c r="K848">
        <v>18</v>
      </c>
      <c r="L848" s="6">
        <v>5.4863999999999997</v>
      </c>
      <c r="M848" s="7">
        <v>139.69999999999999</v>
      </c>
      <c r="N848" s="7">
        <v>139.69999999999999</v>
      </c>
      <c r="O848" s="7">
        <f t="shared" si="66"/>
        <v>216</v>
      </c>
      <c r="P848" s="7">
        <f t="shared" si="67"/>
        <v>5.5</v>
      </c>
      <c r="Q848" s="7">
        <f t="shared" si="67"/>
        <v>5.5</v>
      </c>
      <c r="R848" s="6">
        <f t="shared" si="68"/>
        <v>168.10900000000001</v>
      </c>
      <c r="S848" s="6">
        <f t="shared" si="70"/>
        <v>0.10707307617599995</v>
      </c>
      <c r="T848" t="str">
        <f t="shared" si="69"/>
        <v>Cumaru S4S E4E 6x6 Long</v>
      </c>
    </row>
    <row r="849" spans="1:20" x14ac:dyDescent="0.25">
      <c r="A849" t="s">
        <v>531</v>
      </c>
      <c r="B849" t="s">
        <v>1177</v>
      </c>
      <c r="C849" t="s">
        <v>283</v>
      </c>
      <c r="D849" t="s">
        <v>438</v>
      </c>
      <c r="E849" t="s">
        <v>1189</v>
      </c>
      <c r="F849" t="s">
        <v>1179</v>
      </c>
      <c r="G849" t="s">
        <v>531</v>
      </c>
      <c r="H849" t="s">
        <v>373</v>
      </c>
      <c r="I849" t="s">
        <v>289</v>
      </c>
      <c r="J849" t="s">
        <v>1180</v>
      </c>
      <c r="K849">
        <v>19</v>
      </c>
      <c r="L849" s="6">
        <v>5.7911999999999999</v>
      </c>
      <c r="M849" s="7">
        <v>139.69999999999999</v>
      </c>
      <c r="N849" s="7">
        <v>139.69999999999999</v>
      </c>
      <c r="O849" s="7">
        <f t="shared" si="66"/>
        <v>228</v>
      </c>
      <c r="P849" s="7">
        <f t="shared" si="67"/>
        <v>5.5</v>
      </c>
      <c r="Q849" s="7">
        <f t="shared" si="67"/>
        <v>5.5</v>
      </c>
      <c r="R849" s="6">
        <f t="shared" si="68"/>
        <v>168.10900000000001</v>
      </c>
      <c r="S849" s="6">
        <f t="shared" si="70"/>
        <v>0.11302158040799998</v>
      </c>
      <c r="T849" t="str">
        <f t="shared" si="69"/>
        <v>Cumaru S4S E4E 6x6 Long</v>
      </c>
    </row>
    <row r="850" spans="1:20" x14ac:dyDescent="0.25">
      <c r="A850" t="s">
        <v>531</v>
      </c>
      <c r="B850" t="s">
        <v>1177</v>
      </c>
      <c r="C850" t="s">
        <v>283</v>
      </c>
      <c r="D850" t="s">
        <v>438</v>
      </c>
      <c r="E850" t="s">
        <v>1190</v>
      </c>
      <c r="F850" t="s">
        <v>1179</v>
      </c>
      <c r="G850" t="s">
        <v>531</v>
      </c>
      <c r="H850" t="s">
        <v>373</v>
      </c>
      <c r="I850" t="s">
        <v>289</v>
      </c>
      <c r="J850" t="s">
        <v>1180</v>
      </c>
      <c r="K850">
        <v>20</v>
      </c>
      <c r="L850" s="6">
        <v>6.0960000000000001</v>
      </c>
      <c r="M850" s="7">
        <v>139.69999999999999</v>
      </c>
      <c r="N850" s="7">
        <v>139.69999999999999</v>
      </c>
      <c r="O850" s="7">
        <f t="shared" si="66"/>
        <v>240</v>
      </c>
      <c r="P850" s="7">
        <f t="shared" si="67"/>
        <v>5.5</v>
      </c>
      <c r="Q850" s="7">
        <f t="shared" si="67"/>
        <v>5.5</v>
      </c>
      <c r="R850" s="6">
        <f t="shared" si="68"/>
        <v>168.10900000000001</v>
      </c>
      <c r="S850" s="6">
        <f t="shared" si="70"/>
        <v>0.11897008463999999</v>
      </c>
      <c r="T850" t="str">
        <f t="shared" si="69"/>
        <v>Cumaru S4S E4E 6x6 Long</v>
      </c>
    </row>
    <row r="851" spans="1:20" x14ac:dyDescent="0.25">
      <c r="A851" t="s">
        <v>531</v>
      </c>
      <c r="B851" t="s">
        <v>1177</v>
      </c>
      <c r="C851" t="s">
        <v>283</v>
      </c>
      <c r="D851" t="s">
        <v>438</v>
      </c>
      <c r="E851" t="s">
        <v>1191</v>
      </c>
      <c r="F851" t="s">
        <v>1179</v>
      </c>
      <c r="G851" t="s">
        <v>531</v>
      </c>
      <c r="H851" t="s">
        <v>373</v>
      </c>
      <c r="I851" t="s">
        <v>289</v>
      </c>
      <c r="J851" t="s">
        <v>1180</v>
      </c>
      <c r="K851">
        <v>21</v>
      </c>
      <c r="L851" s="6">
        <v>6.4008000000000003</v>
      </c>
      <c r="M851" s="7">
        <v>139.69999999999999</v>
      </c>
      <c r="N851" s="7">
        <v>139.69999999999999</v>
      </c>
      <c r="O851" s="7">
        <f t="shared" si="66"/>
        <v>252.00000000000003</v>
      </c>
      <c r="P851" s="7">
        <f t="shared" si="67"/>
        <v>5.5</v>
      </c>
      <c r="Q851" s="7">
        <f t="shared" si="67"/>
        <v>5.5</v>
      </c>
      <c r="R851" s="6">
        <f t="shared" si="68"/>
        <v>168.10900000000001</v>
      </c>
      <c r="S851" s="6">
        <f t="shared" si="70"/>
        <v>0.12491858887199997</v>
      </c>
      <c r="T851" t="str">
        <f t="shared" si="69"/>
        <v>Cumaru S4S E4E 6x6 Long</v>
      </c>
    </row>
    <row r="852" spans="1:20" x14ac:dyDescent="0.25">
      <c r="A852" t="s">
        <v>531</v>
      </c>
      <c r="B852" t="s">
        <v>1177</v>
      </c>
      <c r="C852" t="s">
        <v>283</v>
      </c>
      <c r="D852" t="s">
        <v>438</v>
      </c>
      <c r="E852" t="s">
        <v>1192</v>
      </c>
      <c r="F852" t="s">
        <v>1179</v>
      </c>
      <c r="G852" t="s">
        <v>531</v>
      </c>
      <c r="H852" t="s">
        <v>373</v>
      </c>
      <c r="I852" t="s">
        <v>289</v>
      </c>
      <c r="J852" t="s">
        <v>1180</v>
      </c>
      <c r="K852">
        <v>22</v>
      </c>
      <c r="L852" s="6">
        <v>6.7055999999999996</v>
      </c>
      <c r="M852" s="7">
        <v>139.69999999999999</v>
      </c>
      <c r="N852" s="7">
        <v>139.69999999999999</v>
      </c>
      <c r="O852" s="7">
        <f t="shared" si="66"/>
        <v>264</v>
      </c>
      <c r="P852" s="7">
        <f t="shared" si="67"/>
        <v>5.5</v>
      </c>
      <c r="Q852" s="7">
        <f t="shared" si="67"/>
        <v>5.5</v>
      </c>
      <c r="R852" s="6">
        <f t="shared" si="68"/>
        <v>168.10900000000001</v>
      </c>
      <c r="S852" s="6">
        <f t="shared" si="70"/>
        <v>0.13086709310399997</v>
      </c>
      <c r="T852" t="str">
        <f t="shared" si="69"/>
        <v>Cumaru S4S E4E 6x6 Long</v>
      </c>
    </row>
    <row r="853" spans="1:20" x14ac:dyDescent="0.25">
      <c r="A853" t="s">
        <v>531</v>
      </c>
      <c r="B853" t="s">
        <v>1177</v>
      </c>
      <c r="C853" t="s">
        <v>524</v>
      </c>
      <c r="D853" t="s">
        <v>438</v>
      </c>
      <c r="E853" t="s">
        <v>1193</v>
      </c>
      <c r="F853" t="s">
        <v>1179</v>
      </c>
      <c r="G853" t="s">
        <v>531</v>
      </c>
      <c r="H853" t="s">
        <v>373</v>
      </c>
      <c r="I853" t="s">
        <v>289</v>
      </c>
      <c r="J853" t="s">
        <v>1180</v>
      </c>
      <c r="K853">
        <v>3</v>
      </c>
      <c r="L853" s="6">
        <v>0.91439999999999999</v>
      </c>
      <c r="M853" s="7">
        <v>139.69999999999999</v>
      </c>
      <c r="N853" s="7">
        <v>139.69999999999999</v>
      </c>
      <c r="O853" s="7">
        <f t="shared" si="66"/>
        <v>36</v>
      </c>
      <c r="P853" s="7">
        <f t="shared" si="67"/>
        <v>5.5</v>
      </c>
      <c r="Q853" s="7">
        <f t="shared" si="67"/>
        <v>5.5</v>
      </c>
      <c r="R853" s="6">
        <f t="shared" si="68"/>
        <v>168.10900000000001</v>
      </c>
      <c r="S853" s="6">
        <f t="shared" si="70"/>
        <v>1.7845512695999998E-2</v>
      </c>
      <c r="T853" t="str">
        <f t="shared" si="69"/>
        <v>Cumaru S4S E4E 6x6 Short</v>
      </c>
    </row>
    <row r="854" spans="1:20" x14ac:dyDescent="0.25">
      <c r="A854" t="s">
        <v>531</v>
      </c>
      <c r="B854" t="s">
        <v>1177</v>
      </c>
      <c r="C854" t="s">
        <v>524</v>
      </c>
      <c r="D854" t="s">
        <v>438</v>
      </c>
      <c r="E854" t="s">
        <v>1194</v>
      </c>
      <c r="F854" t="s">
        <v>1179</v>
      </c>
      <c r="G854" t="s">
        <v>531</v>
      </c>
      <c r="H854" t="s">
        <v>373</v>
      </c>
      <c r="I854" t="s">
        <v>289</v>
      </c>
      <c r="J854" t="s">
        <v>1180</v>
      </c>
      <c r="K854">
        <v>4</v>
      </c>
      <c r="L854" s="6">
        <v>1.2192000000000001</v>
      </c>
      <c r="M854" s="7">
        <v>139.69999999999999</v>
      </c>
      <c r="N854" s="7">
        <v>139.69999999999999</v>
      </c>
      <c r="O854" s="7">
        <f t="shared" si="66"/>
        <v>48.000000000000007</v>
      </c>
      <c r="P854" s="7">
        <f t="shared" si="67"/>
        <v>5.5</v>
      </c>
      <c r="Q854" s="7">
        <f t="shared" si="67"/>
        <v>5.5</v>
      </c>
      <c r="R854" s="6">
        <f t="shared" si="68"/>
        <v>168.10900000000001</v>
      </c>
      <c r="S854" s="6">
        <f t="shared" si="70"/>
        <v>2.3794016927999997E-2</v>
      </c>
      <c r="T854" t="str">
        <f t="shared" si="69"/>
        <v>Cumaru S4S E4E 6x6 Short</v>
      </c>
    </row>
    <row r="855" spans="1:20" x14ac:dyDescent="0.25">
      <c r="A855" t="s">
        <v>531</v>
      </c>
      <c r="B855" t="s">
        <v>1177</v>
      </c>
      <c r="C855" t="s">
        <v>524</v>
      </c>
      <c r="D855" t="s">
        <v>438</v>
      </c>
      <c r="E855" t="s">
        <v>1195</v>
      </c>
      <c r="F855" t="s">
        <v>1179</v>
      </c>
      <c r="G855" t="s">
        <v>531</v>
      </c>
      <c r="H855" t="s">
        <v>373</v>
      </c>
      <c r="I855" t="s">
        <v>289</v>
      </c>
      <c r="J855" t="s">
        <v>1180</v>
      </c>
      <c r="K855">
        <v>5</v>
      </c>
      <c r="L855" s="6">
        <v>1.524</v>
      </c>
      <c r="M855" s="7">
        <v>139.69999999999999</v>
      </c>
      <c r="N855" s="7">
        <v>139.69999999999999</v>
      </c>
      <c r="O855" s="7">
        <f t="shared" si="66"/>
        <v>60</v>
      </c>
      <c r="P855" s="7">
        <f t="shared" si="67"/>
        <v>5.5</v>
      </c>
      <c r="Q855" s="7">
        <f t="shared" si="67"/>
        <v>5.5</v>
      </c>
      <c r="R855" s="6">
        <f t="shared" si="68"/>
        <v>168.10900000000001</v>
      </c>
      <c r="S855" s="6">
        <f t="shared" si="70"/>
        <v>2.9742521159999997E-2</v>
      </c>
      <c r="T855" t="str">
        <f t="shared" si="69"/>
        <v>Cumaru S4S E4E 6x6 Short</v>
      </c>
    </row>
    <row r="856" spans="1:20" x14ac:dyDescent="0.25">
      <c r="A856" t="s">
        <v>531</v>
      </c>
      <c r="B856" t="s">
        <v>1177</v>
      </c>
      <c r="C856" t="s">
        <v>524</v>
      </c>
      <c r="D856" t="s">
        <v>438</v>
      </c>
      <c r="E856" t="s">
        <v>1196</v>
      </c>
      <c r="F856" t="s">
        <v>1179</v>
      </c>
      <c r="G856" t="s">
        <v>531</v>
      </c>
      <c r="H856" t="s">
        <v>373</v>
      </c>
      <c r="I856" t="s">
        <v>289</v>
      </c>
      <c r="J856" t="s">
        <v>1180</v>
      </c>
      <c r="K856">
        <v>6</v>
      </c>
      <c r="L856" s="6">
        <v>1.8288</v>
      </c>
      <c r="M856" s="7">
        <v>139.69999999999999</v>
      </c>
      <c r="N856" s="7">
        <v>139.69999999999999</v>
      </c>
      <c r="O856" s="7">
        <f t="shared" si="66"/>
        <v>72</v>
      </c>
      <c r="P856" s="7">
        <f t="shared" si="67"/>
        <v>5.5</v>
      </c>
      <c r="Q856" s="7">
        <f t="shared" si="67"/>
        <v>5.5</v>
      </c>
      <c r="R856" s="6">
        <f t="shared" si="68"/>
        <v>168.10900000000001</v>
      </c>
      <c r="S856" s="6">
        <f t="shared" si="70"/>
        <v>3.5691025391999996E-2</v>
      </c>
      <c r="T856" t="str">
        <f t="shared" si="69"/>
        <v>Cumaru S4S E4E 6x6 Short</v>
      </c>
    </row>
    <row r="857" spans="1:20" x14ac:dyDescent="0.25">
      <c r="A857" t="s">
        <v>531</v>
      </c>
      <c r="B857" t="s">
        <v>1177</v>
      </c>
      <c r="C857" t="s">
        <v>524</v>
      </c>
      <c r="D857" t="s">
        <v>438</v>
      </c>
      <c r="E857" t="s">
        <v>1197</v>
      </c>
      <c r="F857" t="s">
        <v>1179</v>
      </c>
      <c r="G857" t="s">
        <v>531</v>
      </c>
      <c r="H857" t="s">
        <v>373</v>
      </c>
      <c r="I857" t="s">
        <v>289</v>
      </c>
      <c r="J857" t="s">
        <v>1180</v>
      </c>
      <c r="K857">
        <v>7</v>
      </c>
      <c r="L857" s="6">
        <v>2.1335999999999999</v>
      </c>
      <c r="M857" s="7">
        <v>139.69999999999999</v>
      </c>
      <c r="N857" s="7">
        <v>139.69999999999999</v>
      </c>
      <c r="O857" s="7">
        <f t="shared" si="66"/>
        <v>84</v>
      </c>
      <c r="P857" s="7">
        <f t="shared" si="67"/>
        <v>5.5</v>
      </c>
      <c r="Q857" s="7">
        <f t="shared" si="67"/>
        <v>5.5</v>
      </c>
      <c r="R857" s="6">
        <f t="shared" si="68"/>
        <v>168.10900000000001</v>
      </c>
      <c r="S857" s="6">
        <f t="shared" si="70"/>
        <v>4.1639529623999985E-2</v>
      </c>
      <c r="T857" t="str">
        <f t="shared" si="69"/>
        <v>Cumaru S4S E4E 6x6 Short</v>
      </c>
    </row>
    <row r="858" spans="1:20" x14ac:dyDescent="0.25">
      <c r="A858" t="s">
        <v>531</v>
      </c>
      <c r="B858" t="s">
        <v>1177</v>
      </c>
      <c r="C858" t="s">
        <v>283</v>
      </c>
      <c r="D858" t="s">
        <v>438</v>
      </c>
      <c r="E858" t="s">
        <v>1198</v>
      </c>
      <c r="F858" t="s">
        <v>1179</v>
      </c>
      <c r="G858" t="s">
        <v>531</v>
      </c>
      <c r="H858" t="s">
        <v>373</v>
      </c>
      <c r="I858" t="s">
        <v>289</v>
      </c>
      <c r="J858" t="s">
        <v>1180</v>
      </c>
      <c r="K858">
        <v>8</v>
      </c>
      <c r="L858" s="6">
        <v>2.4384000000000001</v>
      </c>
      <c r="M858" s="7">
        <v>139.69999999999999</v>
      </c>
      <c r="N858" s="7">
        <v>139.69999999999999</v>
      </c>
      <c r="O858" s="7">
        <f t="shared" si="66"/>
        <v>96.000000000000014</v>
      </c>
      <c r="P858" s="7">
        <f t="shared" si="67"/>
        <v>5.5</v>
      </c>
      <c r="Q858" s="7">
        <f t="shared" si="67"/>
        <v>5.5</v>
      </c>
      <c r="R858" s="6">
        <f t="shared" si="68"/>
        <v>168.10900000000001</v>
      </c>
      <c r="S858" s="6">
        <f t="shared" si="70"/>
        <v>4.7588033855999995E-2</v>
      </c>
      <c r="T858" t="str">
        <f t="shared" si="69"/>
        <v>Cumaru S4S E4E 6x6 Long</v>
      </c>
    </row>
    <row r="859" spans="1:20" x14ac:dyDescent="0.25">
      <c r="A859" t="s">
        <v>531</v>
      </c>
      <c r="B859" t="s">
        <v>1177</v>
      </c>
      <c r="C859" t="s">
        <v>283</v>
      </c>
      <c r="D859" t="s">
        <v>438</v>
      </c>
      <c r="E859" t="s">
        <v>1199</v>
      </c>
      <c r="F859" t="s">
        <v>1179</v>
      </c>
      <c r="G859" t="s">
        <v>531</v>
      </c>
      <c r="H859" t="s">
        <v>373</v>
      </c>
      <c r="I859" t="s">
        <v>289</v>
      </c>
      <c r="J859" t="s">
        <v>1180</v>
      </c>
      <c r="K859">
        <v>9</v>
      </c>
      <c r="L859" s="6">
        <v>2.7431999999999999</v>
      </c>
      <c r="M859" s="7">
        <v>139.69999999999999</v>
      </c>
      <c r="N859" s="7">
        <v>139.69999999999999</v>
      </c>
      <c r="O859" s="7">
        <f t="shared" si="66"/>
        <v>108</v>
      </c>
      <c r="P859" s="7">
        <f t="shared" si="67"/>
        <v>5.5</v>
      </c>
      <c r="Q859" s="7">
        <f t="shared" si="67"/>
        <v>5.5</v>
      </c>
      <c r="R859" s="6">
        <f t="shared" si="68"/>
        <v>168.10900000000001</v>
      </c>
      <c r="S859" s="6">
        <f t="shared" si="70"/>
        <v>5.3536538087999977E-2</v>
      </c>
      <c r="T859" t="str">
        <f t="shared" si="69"/>
        <v>Cumaru S4S E4E 6x6 Long</v>
      </c>
    </row>
    <row r="860" spans="1:20" x14ac:dyDescent="0.25">
      <c r="A860" t="s">
        <v>531</v>
      </c>
      <c r="B860" t="s">
        <v>1200</v>
      </c>
      <c r="C860" t="s">
        <v>283</v>
      </c>
      <c r="D860" t="s">
        <v>438</v>
      </c>
      <c r="E860" t="s">
        <v>1201</v>
      </c>
      <c r="F860" t="s">
        <v>1202</v>
      </c>
      <c r="G860" t="s">
        <v>531</v>
      </c>
      <c r="H860" t="s">
        <v>373</v>
      </c>
      <c r="I860" t="s">
        <v>289</v>
      </c>
      <c r="J860" t="s">
        <v>1203</v>
      </c>
      <c r="K860">
        <v>10</v>
      </c>
      <c r="L860" s="6">
        <v>3.048</v>
      </c>
      <c r="M860" s="7">
        <v>139.69999999999999</v>
      </c>
      <c r="N860" s="7">
        <v>184.15</v>
      </c>
      <c r="O860" s="7">
        <f t="shared" si="66"/>
        <v>120</v>
      </c>
      <c r="P860" s="7">
        <f t="shared" si="67"/>
        <v>5.5</v>
      </c>
      <c r="Q860" s="7">
        <f t="shared" si="67"/>
        <v>7.2500000000000009</v>
      </c>
      <c r="R860" s="6">
        <f t="shared" si="68"/>
        <v>127.53100000000001</v>
      </c>
      <c r="S860" s="6">
        <f t="shared" si="70"/>
        <v>7.8412101240000004E-2</v>
      </c>
      <c r="T860" t="str">
        <f t="shared" si="69"/>
        <v>Cumaru S4S E4E 6x8 Long</v>
      </c>
    </row>
    <row r="861" spans="1:20" x14ac:dyDescent="0.25">
      <c r="A861" t="s">
        <v>531</v>
      </c>
      <c r="B861" t="s">
        <v>1200</v>
      </c>
      <c r="C861" t="s">
        <v>283</v>
      </c>
      <c r="D861" t="s">
        <v>438</v>
      </c>
      <c r="E861" t="s">
        <v>1204</v>
      </c>
      <c r="F861" t="s">
        <v>1202</v>
      </c>
      <c r="G861" t="s">
        <v>531</v>
      </c>
      <c r="H861" t="s">
        <v>373</v>
      </c>
      <c r="I861" t="s">
        <v>289</v>
      </c>
      <c r="J861" t="s">
        <v>1203</v>
      </c>
      <c r="K861">
        <v>11</v>
      </c>
      <c r="L861" s="6">
        <v>3.3527999999999998</v>
      </c>
      <c r="M861" s="7">
        <v>139.69999999999999</v>
      </c>
      <c r="N861" s="7">
        <v>184.15</v>
      </c>
      <c r="O861" s="7">
        <f t="shared" si="66"/>
        <v>132</v>
      </c>
      <c r="P861" s="7">
        <f t="shared" si="67"/>
        <v>5.5</v>
      </c>
      <c r="Q861" s="7">
        <f t="shared" si="67"/>
        <v>7.2500000000000009</v>
      </c>
      <c r="R861" s="6">
        <f t="shared" si="68"/>
        <v>127.53100000000001</v>
      </c>
      <c r="S861" s="6">
        <f t="shared" si="70"/>
        <v>8.6253311363999982E-2</v>
      </c>
      <c r="T861" t="str">
        <f t="shared" si="69"/>
        <v>Cumaru S4S E4E 6x8 Long</v>
      </c>
    </row>
    <row r="862" spans="1:20" x14ac:dyDescent="0.25">
      <c r="A862" t="s">
        <v>531</v>
      </c>
      <c r="B862" t="s">
        <v>1200</v>
      </c>
      <c r="C862" t="s">
        <v>283</v>
      </c>
      <c r="D862" t="s">
        <v>438</v>
      </c>
      <c r="E862" t="s">
        <v>1205</v>
      </c>
      <c r="F862" t="s">
        <v>1202</v>
      </c>
      <c r="G862" t="s">
        <v>531</v>
      </c>
      <c r="H862" t="s">
        <v>373</v>
      </c>
      <c r="I862" t="s">
        <v>289</v>
      </c>
      <c r="J862" t="s">
        <v>1203</v>
      </c>
      <c r="K862">
        <v>12</v>
      </c>
      <c r="L862" s="6">
        <v>3.6576</v>
      </c>
      <c r="M862" s="7">
        <v>139.69999999999999</v>
      </c>
      <c r="N862" s="7">
        <v>184.15</v>
      </c>
      <c r="O862" s="7">
        <f t="shared" si="66"/>
        <v>144</v>
      </c>
      <c r="P862" s="7">
        <f t="shared" si="67"/>
        <v>5.5</v>
      </c>
      <c r="Q862" s="7">
        <f t="shared" si="67"/>
        <v>7.2500000000000009</v>
      </c>
      <c r="R862" s="6">
        <f t="shared" si="68"/>
        <v>127.53100000000001</v>
      </c>
      <c r="S862" s="6">
        <f t="shared" si="70"/>
        <v>9.4094521488000002E-2</v>
      </c>
      <c r="T862" t="str">
        <f t="shared" si="69"/>
        <v>Cumaru S4S E4E 6x8 Long</v>
      </c>
    </row>
    <row r="863" spans="1:20" x14ac:dyDescent="0.25">
      <c r="A863" t="s">
        <v>531</v>
      </c>
      <c r="B863" t="s">
        <v>1200</v>
      </c>
      <c r="C863" t="s">
        <v>283</v>
      </c>
      <c r="D863" t="s">
        <v>438</v>
      </c>
      <c r="E863" t="s">
        <v>1206</v>
      </c>
      <c r="F863" t="s">
        <v>1202</v>
      </c>
      <c r="G863" t="s">
        <v>531</v>
      </c>
      <c r="H863" t="s">
        <v>373</v>
      </c>
      <c r="I863" t="s">
        <v>289</v>
      </c>
      <c r="J863" t="s">
        <v>1203</v>
      </c>
      <c r="K863">
        <v>13</v>
      </c>
      <c r="L863" s="6">
        <v>3.9624000000000001</v>
      </c>
      <c r="M863" s="7">
        <v>139.69999999999999</v>
      </c>
      <c r="N863" s="7">
        <v>184.15</v>
      </c>
      <c r="O863" s="7">
        <f t="shared" si="66"/>
        <v>156</v>
      </c>
      <c r="P863" s="7">
        <f t="shared" si="67"/>
        <v>5.5</v>
      </c>
      <c r="Q863" s="7">
        <f t="shared" si="67"/>
        <v>7.2500000000000009</v>
      </c>
      <c r="R863" s="6">
        <f t="shared" si="68"/>
        <v>127.53100000000001</v>
      </c>
      <c r="S863" s="6">
        <f t="shared" si="70"/>
        <v>0.10193573161199999</v>
      </c>
      <c r="T863" t="str">
        <f t="shared" si="69"/>
        <v>Cumaru S4S E4E 6x8 Long</v>
      </c>
    </row>
    <row r="864" spans="1:20" x14ac:dyDescent="0.25">
      <c r="A864" t="s">
        <v>531</v>
      </c>
      <c r="B864" t="s">
        <v>1200</v>
      </c>
      <c r="C864" t="s">
        <v>283</v>
      </c>
      <c r="D864" t="s">
        <v>438</v>
      </c>
      <c r="E864" t="s">
        <v>1207</v>
      </c>
      <c r="F864" t="s">
        <v>1202</v>
      </c>
      <c r="G864" t="s">
        <v>531</v>
      </c>
      <c r="H864" t="s">
        <v>373</v>
      </c>
      <c r="I864" t="s">
        <v>289</v>
      </c>
      <c r="J864" t="s">
        <v>1203</v>
      </c>
      <c r="K864">
        <v>14</v>
      </c>
      <c r="L864" s="6">
        <v>4.2671999999999999</v>
      </c>
      <c r="M864" s="7">
        <v>139.69999999999999</v>
      </c>
      <c r="N864" s="7">
        <v>184.15</v>
      </c>
      <c r="O864" s="7">
        <f t="shared" si="66"/>
        <v>168</v>
      </c>
      <c r="P864" s="7">
        <f t="shared" si="67"/>
        <v>5.5</v>
      </c>
      <c r="Q864" s="7">
        <f t="shared" si="67"/>
        <v>7.2500000000000009</v>
      </c>
      <c r="R864" s="6">
        <f t="shared" si="68"/>
        <v>127.53100000000001</v>
      </c>
      <c r="S864" s="6">
        <f t="shared" si="70"/>
        <v>0.10977694173599997</v>
      </c>
      <c r="T864" t="str">
        <f t="shared" si="69"/>
        <v>Cumaru S4S E4E 6x8 Long</v>
      </c>
    </row>
    <row r="865" spans="1:20" x14ac:dyDescent="0.25">
      <c r="A865" t="s">
        <v>531</v>
      </c>
      <c r="B865" t="s">
        <v>1200</v>
      </c>
      <c r="C865" t="s">
        <v>283</v>
      </c>
      <c r="D865" t="s">
        <v>438</v>
      </c>
      <c r="E865" t="s">
        <v>1208</v>
      </c>
      <c r="F865" t="s">
        <v>1202</v>
      </c>
      <c r="G865" t="s">
        <v>531</v>
      </c>
      <c r="H865" t="s">
        <v>373</v>
      </c>
      <c r="I865" t="s">
        <v>289</v>
      </c>
      <c r="J865" t="s">
        <v>1203</v>
      </c>
      <c r="K865">
        <v>15</v>
      </c>
      <c r="L865" s="6">
        <v>4.5720000000000001</v>
      </c>
      <c r="M865" s="7">
        <v>139.69999999999999</v>
      </c>
      <c r="N865" s="7">
        <v>184.15</v>
      </c>
      <c r="O865" s="7">
        <f t="shared" si="66"/>
        <v>180</v>
      </c>
      <c r="P865" s="7">
        <f t="shared" si="67"/>
        <v>5.5</v>
      </c>
      <c r="Q865" s="7">
        <f t="shared" si="67"/>
        <v>7.2500000000000009</v>
      </c>
      <c r="R865" s="6">
        <f t="shared" si="68"/>
        <v>127.53100000000001</v>
      </c>
      <c r="S865" s="6">
        <f t="shared" si="70"/>
        <v>0.11761815185999999</v>
      </c>
      <c r="T865" t="str">
        <f t="shared" si="69"/>
        <v>Cumaru S4S E4E 6x8 Long</v>
      </c>
    </row>
    <row r="866" spans="1:20" x14ac:dyDescent="0.25">
      <c r="A866" t="s">
        <v>531</v>
      </c>
      <c r="B866" t="s">
        <v>1200</v>
      </c>
      <c r="C866" t="s">
        <v>283</v>
      </c>
      <c r="D866" t="s">
        <v>438</v>
      </c>
      <c r="E866" t="s">
        <v>1209</v>
      </c>
      <c r="F866" t="s">
        <v>1202</v>
      </c>
      <c r="G866" t="s">
        <v>531</v>
      </c>
      <c r="H866" t="s">
        <v>373</v>
      </c>
      <c r="I866" t="s">
        <v>289</v>
      </c>
      <c r="J866" t="s">
        <v>1203</v>
      </c>
      <c r="K866">
        <v>16</v>
      </c>
      <c r="L866" s="6">
        <v>4.8768000000000002</v>
      </c>
      <c r="M866" s="7">
        <v>139.69999999999999</v>
      </c>
      <c r="N866" s="7">
        <v>184.15</v>
      </c>
      <c r="O866" s="7">
        <f t="shared" si="66"/>
        <v>192.00000000000003</v>
      </c>
      <c r="P866" s="7">
        <f t="shared" si="67"/>
        <v>5.5</v>
      </c>
      <c r="Q866" s="7">
        <f t="shared" si="67"/>
        <v>7.2500000000000009</v>
      </c>
      <c r="R866" s="6">
        <f t="shared" si="68"/>
        <v>127.53100000000001</v>
      </c>
      <c r="S866" s="6">
        <f t="shared" si="70"/>
        <v>0.12545936198399998</v>
      </c>
      <c r="T866" t="str">
        <f t="shared" si="69"/>
        <v>Cumaru S4S E4E 6x8 Long</v>
      </c>
    </row>
    <row r="867" spans="1:20" x14ac:dyDescent="0.25">
      <c r="A867" t="s">
        <v>531</v>
      </c>
      <c r="B867" t="s">
        <v>1200</v>
      </c>
      <c r="C867" t="s">
        <v>283</v>
      </c>
      <c r="D867" t="s">
        <v>438</v>
      </c>
      <c r="E867" t="s">
        <v>1210</v>
      </c>
      <c r="F867" t="s">
        <v>1202</v>
      </c>
      <c r="G867" t="s">
        <v>531</v>
      </c>
      <c r="H867" t="s">
        <v>373</v>
      </c>
      <c r="I867" t="s">
        <v>289</v>
      </c>
      <c r="J867" t="s">
        <v>1203</v>
      </c>
      <c r="K867">
        <v>17</v>
      </c>
      <c r="L867" s="6">
        <v>5.1816000000000004</v>
      </c>
      <c r="M867" s="7">
        <v>139.69999999999999</v>
      </c>
      <c r="N867" s="7">
        <v>184.15</v>
      </c>
      <c r="O867" s="7">
        <f t="shared" si="66"/>
        <v>204.00000000000003</v>
      </c>
      <c r="P867" s="7">
        <f t="shared" si="67"/>
        <v>5.5</v>
      </c>
      <c r="Q867" s="7">
        <f t="shared" si="67"/>
        <v>7.2500000000000009</v>
      </c>
      <c r="R867" s="6">
        <f t="shared" si="68"/>
        <v>127.53100000000001</v>
      </c>
      <c r="S867" s="6">
        <f t="shared" si="70"/>
        <v>0.13330057210799998</v>
      </c>
      <c r="T867" t="str">
        <f t="shared" si="69"/>
        <v>Cumaru S4S E4E 6x8 Long</v>
      </c>
    </row>
    <row r="868" spans="1:20" x14ac:dyDescent="0.25">
      <c r="A868" t="s">
        <v>531</v>
      </c>
      <c r="B868" t="s">
        <v>1200</v>
      </c>
      <c r="C868" t="s">
        <v>283</v>
      </c>
      <c r="D868" t="s">
        <v>438</v>
      </c>
      <c r="E868" t="s">
        <v>1211</v>
      </c>
      <c r="F868" t="s">
        <v>1202</v>
      </c>
      <c r="G868" t="s">
        <v>531</v>
      </c>
      <c r="H868" t="s">
        <v>373</v>
      </c>
      <c r="I868" t="s">
        <v>289</v>
      </c>
      <c r="J868" t="s">
        <v>1203</v>
      </c>
      <c r="K868">
        <v>18</v>
      </c>
      <c r="L868" s="6">
        <v>5.4863999999999997</v>
      </c>
      <c r="M868" s="7">
        <v>139.69999999999999</v>
      </c>
      <c r="N868" s="7">
        <v>184.15</v>
      </c>
      <c r="O868" s="7">
        <f t="shared" si="66"/>
        <v>216</v>
      </c>
      <c r="P868" s="7">
        <f t="shared" si="67"/>
        <v>5.5</v>
      </c>
      <c r="Q868" s="7">
        <f t="shared" si="67"/>
        <v>7.2500000000000009</v>
      </c>
      <c r="R868" s="6">
        <f t="shared" si="68"/>
        <v>127.53100000000001</v>
      </c>
      <c r="S868" s="6">
        <f t="shared" si="70"/>
        <v>0.14114178223199997</v>
      </c>
      <c r="T868" t="str">
        <f t="shared" si="69"/>
        <v>Cumaru S4S E4E 6x8 Long</v>
      </c>
    </row>
    <row r="869" spans="1:20" x14ac:dyDescent="0.25">
      <c r="A869" t="s">
        <v>531</v>
      </c>
      <c r="B869" t="s">
        <v>1200</v>
      </c>
      <c r="C869" t="s">
        <v>283</v>
      </c>
      <c r="D869" t="s">
        <v>438</v>
      </c>
      <c r="E869" t="s">
        <v>1212</v>
      </c>
      <c r="F869" t="s">
        <v>1202</v>
      </c>
      <c r="G869" t="s">
        <v>531</v>
      </c>
      <c r="H869" t="s">
        <v>373</v>
      </c>
      <c r="I869" t="s">
        <v>289</v>
      </c>
      <c r="J869" t="s">
        <v>1203</v>
      </c>
      <c r="K869">
        <v>19</v>
      </c>
      <c r="L869" s="6">
        <v>5.7911999999999999</v>
      </c>
      <c r="M869" s="7">
        <v>139.69999999999999</v>
      </c>
      <c r="N869" s="7">
        <v>184.15</v>
      </c>
      <c r="O869" s="7">
        <f t="shared" si="66"/>
        <v>228</v>
      </c>
      <c r="P869" s="7">
        <f t="shared" si="67"/>
        <v>5.5</v>
      </c>
      <c r="Q869" s="7">
        <f t="shared" si="67"/>
        <v>7.2500000000000009</v>
      </c>
      <c r="R869" s="6">
        <f t="shared" si="68"/>
        <v>127.53100000000001</v>
      </c>
      <c r="S869" s="6">
        <f t="shared" si="70"/>
        <v>0.14898299235599999</v>
      </c>
      <c r="T869" t="str">
        <f t="shared" si="69"/>
        <v>Cumaru S4S E4E 6x8 Long</v>
      </c>
    </row>
    <row r="870" spans="1:20" x14ac:dyDescent="0.25">
      <c r="A870" t="s">
        <v>531</v>
      </c>
      <c r="B870" t="s">
        <v>1200</v>
      </c>
      <c r="C870" t="s">
        <v>283</v>
      </c>
      <c r="D870" t="s">
        <v>438</v>
      </c>
      <c r="E870" t="s">
        <v>1213</v>
      </c>
      <c r="F870" t="s">
        <v>1202</v>
      </c>
      <c r="G870" t="s">
        <v>531</v>
      </c>
      <c r="H870" t="s">
        <v>373</v>
      </c>
      <c r="I870" t="s">
        <v>289</v>
      </c>
      <c r="J870" t="s">
        <v>1203</v>
      </c>
      <c r="K870">
        <v>20</v>
      </c>
      <c r="L870" s="6">
        <v>6.0960000000000001</v>
      </c>
      <c r="M870" s="7">
        <v>139.69999999999999</v>
      </c>
      <c r="N870" s="7">
        <v>184.15</v>
      </c>
      <c r="O870" s="7">
        <f t="shared" si="66"/>
        <v>240</v>
      </c>
      <c r="P870" s="7">
        <f t="shared" si="67"/>
        <v>5.5</v>
      </c>
      <c r="Q870" s="7">
        <f t="shared" si="67"/>
        <v>7.2500000000000009</v>
      </c>
      <c r="R870" s="6">
        <f t="shared" si="68"/>
        <v>127.53100000000001</v>
      </c>
      <c r="S870" s="6">
        <f t="shared" si="70"/>
        <v>0.15682420248000001</v>
      </c>
      <c r="T870" t="str">
        <f t="shared" si="69"/>
        <v>Cumaru S4S E4E 6x8 Long</v>
      </c>
    </row>
    <row r="871" spans="1:20" x14ac:dyDescent="0.25">
      <c r="A871" t="s">
        <v>531</v>
      </c>
      <c r="B871" t="s">
        <v>1200</v>
      </c>
      <c r="C871" t="s">
        <v>283</v>
      </c>
      <c r="D871" t="s">
        <v>438</v>
      </c>
      <c r="E871" t="s">
        <v>1214</v>
      </c>
      <c r="F871" t="s">
        <v>1202</v>
      </c>
      <c r="G871" t="s">
        <v>531</v>
      </c>
      <c r="H871" t="s">
        <v>373</v>
      </c>
      <c r="I871" t="s">
        <v>289</v>
      </c>
      <c r="J871" t="s">
        <v>1203</v>
      </c>
      <c r="K871">
        <v>21</v>
      </c>
      <c r="L871" s="6">
        <v>6.4008000000000003</v>
      </c>
      <c r="M871" s="7">
        <v>139.69999999999999</v>
      </c>
      <c r="N871" s="7">
        <v>184.15</v>
      </c>
      <c r="O871" s="7">
        <f t="shared" si="66"/>
        <v>252.00000000000003</v>
      </c>
      <c r="P871" s="7">
        <f t="shared" si="67"/>
        <v>5.5</v>
      </c>
      <c r="Q871" s="7">
        <f t="shared" si="67"/>
        <v>7.2500000000000009</v>
      </c>
      <c r="R871" s="6">
        <f t="shared" si="68"/>
        <v>127.53100000000001</v>
      </c>
      <c r="S871" s="6">
        <f t="shared" si="70"/>
        <v>0.16466541260399997</v>
      </c>
      <c r="T871" t="str">
        <f t="shared" si="69"/>
        <v>Cumaru S4S E4E 6x8 Long</v>
      </c>
    </row>
    <row r="872" spans="1:20" x14ac:dyDescent="0.25">
      <c r="A872" t="s">
        <v>531</v>
      </c>
      <c r="B872" t="s">
        <v>1200</v>
      </c>
      <c r="C872" t="s">
        <v>283</v>
      </c>
      <c r="D872" t="s">
        <v>438</v>
      </c>
      <c r="E872" t="s">
        <v>1215</v>
      </c>
      <c r="F872" t="s">
        <v>1202</v>
      </c>
      <c r="G872" t="s">
        <v>531</v>
      </c>
      <c r="H872" t="s">
        <v>373</v>
      </c>
      <c r="I872" t="s">
        <v>289</v>
      </c>
      <c r="J872" t="s">
        <v>1203</v>
      </c>
      <c r="K872">
        <v>22</v>
      </c>
      <c r="L872" s="6">
        <v>6.7055999999999996</v>
      </c>
      <c r="M872" s="7">
        <v>139.69999999999999</v>
      </c>
      <c r="N872" s="7">
        <v>184.15</v>
      </c>
      <c r="O872" s="7">
        <f t="shared" si="66"/>
        <v>264</v>
      </c>
      <c r="P872" s="7">
        <f t="shared" si="67"/>
        <v>5.5</v>
      </c>
      <c r="Q872" s="7">
        <f t="shared" si="67"/>
        <v>7.2500000000000009</v>
      </c>
      <c r="R872" s="6">
        <f t="shared" si="68"/>
        <v>127.53100000000001</v>
      </c>
      <c r="S872" s="6">
        <f t="shared" si="70"/>
        <v>0.17250662272799996</v>
      </c>
      <c r="T872" t="str">
        <f t="shared" si="69"/>
        <v>Cumaru S4S E4E 6x8 Long</v>
      </c>
    </row>
    <row r="873" spans="1:20" x14ac:dyDescent="0.25">
      <c r="A873" t="s">
        <v>531</v>
      </c>
      <c r="B873" t="s">
        <v>1200</v>
      </c>
      <c r="C873" t="s">
        <v>283</v>
      </c>
      <c r="D873" t="s">
        <v>438</v>
      </c>
      <c r="E873" t="s">
        <v>1216</v>
      </c>
      <c r="F873" t="s">
        <v>1202</v>
      </c>
      <c r="G873" t="s">
        <v>531</v>
      </c>
      <c r="H873" t="s">
        <v>373</v>
      </c>
      <c r="I873" t="s">
        <v>289</v>
      </c>
      <c r="J873" t="s">
        <v>1203</v>
      </c>
      <c r="K873">
        <v>23</v>
      </c>
      <c r="L873" s="6">
        <v>7.0103999999999997</v>
      </c>
      <c r="M873" s="7">
        <v>139.69999999999999</v>
      </c>
      <c r="N873" s="7">
        <v>184.15</v>
      </c>
      <c r="O873" s="7">
        <f t="shared" si="66"/>
        <v>276</v>
      </c>
      <c r="P873" s="7">
        <f t="shared" si="67"/>
        <v>5.5</v>
      </c>
      <c r="Q873" s="7">
        <f t="shared" si="67"/>
        <v>7.2500000000000009</v>
      </c>
      <c r="R873" s="6">
        <f t="shared" si="68"/>
        <v>127.53100000000001</v>
      </c>
      <c r="S873" s="6">
        <f t="shared" si="70"/>
        <v>0.18034783285199998</v>
      </c>
      <c r="T873" t="str">
        <f t="shared" si="69"/>
        <v>Cumaru S4S E4E 6x8 Long</v>
      </c>
    </row>
    <row r="874" spans="1:20" x14ac:dyDescent="0.25">
      <c r="A874" t="s">
        <v>531</v>
      </c>
      <c r="B874" t="s">
        <v>1200</v>
      </c>
      <c r="C874" t="s">
        <v>283</v>
      </c>
      <c r="D874" t="s">
        <v>438</v>
      </c>
      <c r="E874" t="s">
        <v>1217</v>
      </c>
      <c r="F874" t="s">
        <v>1202</v>
      </c>
      <c r="G874" t="s">
        <v>531</v>
      </c>
      <c r="H874" t="s">
        <v>373</v>
      </c>
      <c r="I874" t="s">
        <v>289</v>
      </c>
      <c r="J874" t="s">
        <v>1203</v>
      </c>
      <c r="K874">
        <v>24</v>
      </c>
      <c r="L874" s="6">
        <v>7.3152000000000008</v>
      </c>
      <c r="M874" s="7">
        <v>139.69999999999999</v>
      </c>
      <c r="N874" s="7">
        <v>184.15</v>
      </c>
      <c r="O874" s="7">
        <f t="shared" si="66"/>
        <v>288.00000000000006</v>
      </c>
      <c r="P874" s="7">
        <f t="shared" si="67"/>
        <v>5.5</v>
      </c>
      <c r="Q874" s="7">
        <f t="shared" si="67"/>
        <v>7.2500000000000009</v>
      </c>
      <c r="R874" s="6">
        <f t="shared" si="68"/>
        <v>127.53100000000001</v>
      </c>
      <c r="S874" s="6">
        <f t="shared" si="70"/>
        <v>0.188189042976</v>
      </c>
      <c r="T874" t="str">
        <f t="shared" si="69"/>
        <v>Cumaru S4S E4E 6x8 Long</v>
      </c>
    </row>
    <row r="875" spans="1:20" x14ac:dyDescent="0.25">
      <c r="A875" t="s">
        <v>531</v>
      </c>
      <c r="B875" t="s">
        <v>1200</v>
      </c>
      <c r="C875" t="s">
        <v>524</v>
      </c>
      <c r="D875" t="s">
        <v>438</v>
      </c>
      <c r="E875" t="s">
        <v>1218</v>
      </c>
      <c r="F875" t="s">
        <v>1202</v>
      </c>
      <c r="G875" t="s">
        <v>531</v>
      </c>
      <c r="H875" t="s">
        <v>373</v>
      </c>
      <c r="I875" t="s">
        <v>289</v>
      </c>
      <c r="J875" t="s">
        <v>1203</v>
      </c>
      <c r="K875">
        <v>3</v>
      </c>
      <c r="L875" s="6">
        <v>0.91439999999999999</v>
      </c>
      <c r="M875" s="7">
        <v>139.69999999999999</v>
      </c>
      <c r="N875" s="7">
        <v>184.15</v>
      </c>
      <c r="O875" s="7">
        <f t="shared" si="66"/>
        <v>36</v>
      </c>
      <c r="P875" s="7">
        <f t="shared" si="67"/>
        <v>5.5</v>
      </c>
      <c r="Q875" s="7">
        <f t="shared" si="67"/>
        <v>7.2500000000000009</v>
      </c>
      <c r="R875" s="6">
        <f t="shared" si="68"/>
        <v>127.53100000000001</v>
      </c>
      <c r="S875" s="6">
        <f t="shared" si="70"/>
        <v>2.3523630372E-2</v>
      </c>
      <c r="T875" t="str">
        <f t="shared" si="69"/>
        <v>Cumaru S4S E4E 6x8 Short</v>
      </c>
    </row>
    <row r="876" spans="1:20" x14ac:dyDescent="0.25">
      <c r="A876" t="s">
        <v>531</v>
      </c>
      <c r="B876" t="s">
        <v>1200</v>
      </c>
      <c r="C876" t="s">
        <v>524</v>
      </c>
      <c r="D876" t="s">
        <v>438</v>
      </c>
      <c r="E876" t="s">
        <v>1219</v>
      </c>
      <c r="F876" t="s">
        <v>1202</v>
      </c>
      <c r="G876" t="s">
        <v>531</v>
      </c>
      <c r="H876" t="s">
        <v>373</v>
      </c>
      <c r="I876" t="s">
        <v>289</v>
      </c>
      <c r="J876" t="s">
        <v>1203</v>
      </c>
      <c r="K876">
        <v>4</v>
      </c>
      <c r="L876" s="6">
        <v>1.2192000000000001</v>
      </c>
      <c r="M876" s="7">
        <v>139.69999999999999</v>
      </c>
      <c r="N876" s="7">
        <v>184.15</v>
      </c>
      <c r="O876" s="7">
        <f t="shared" si="66"/>
        <v>48.000000000000007</v>
      </c>
      <c r="P876" s="7">
        <f t="shared" si="67"/>
        <v>5.5</v>
      </c>
      <c r="Q876" s="7">
        <f t="shared" si="67"/>
        <v>7.2500000000000009</v>
      </c>
      <c r="R876" s="6">
        <f t="shared" si="68"/>
        <v>127.53100000000001</v>
      </c>
      <c r="S876" s="6">
        <f t="shared" si="70"/>
        <v>3.1364840495999996E-2</v>
      </c>
      <c r="T876" t="str">
        <f t="shared" si="69"/>
        <v>Cumaru S4S E4E 6x8 Short</v>
      </c>
    </row>
    <row r="877" spans="1:20" x14ac:dyDescent="0.25">
      <c r="A877" t="s">
        <v>531</v>
      </c>
      <c r="B877" t="s">
        <v>1200</v>
      </c>
      <c r="C877" t="s">
        <v>524</v>
      </c>
      <c r="D877" t="s">
        <v>438</v>
      </c>
      <c r="E877" t="s">
        <v>1220</v>
      </c>
      <c r="F877" t="s">
        <v>1202</v>
      </c>
      <c r="G877" t="s">
        <v>531</v>
      </c>
      <c r="H877" t="s">
        <v>373</v>
      </c>
      <c r="I877" t="s">
        <v>289</v>
      </c>
      <c r="J877" t="s">
        <v>1203</v>
      </c>
      <c r="K877">
        <v>5</v>
      </c>
      <c r="L877" s="6">
        <v>1.524</v>
      </c>
      <c r="M877" s="7">
        <v>139.69999999999999</v>
      </c>
      <c r="N877" s="7">
        <v>184.15</v>
      </c>
      <c r="O877" s="7">
        <f t="shared" si="66"/>
        <v>60</v>
      </c>
      <c r="P877" s="7">
        <f t="shared" si="67"/>
        <v>5.5</v>
      </c>
      <c r="Q877" s="7">
        <f t="shared" si="67"/>
        <v>7.2500000000000009</v>
      </c>
      <c r="R877" s="6">
        <f t="shared" si="68"/>
        <v>127.53100000000001</v>
      </c>
      <c r="S877" s="6">
        <f t="shared" si="70"/>
        <v>3.9206050620000002E-2</v>
      </c>
      <c r="T877" t="str">
        <f t="shared" si="69"/>
        <v>Cumaru S4S E4E 6x8 Short</v>
      </c>
    </row>
    <row r="878" spans="1:20" x14ac:dyDescent="0.25">
      <c r="A878" t="s">
        <v>531</v>
      </c>
      <c r="B878" t="s">
        <v>1200</v>
      </c>
      <c r="C878" t="s">
        <v>524</v>
      </c>
      <c r="D878" t="s">
        <v>438</v>
      </c>
      <c r="E878" t="s">
        <v>1221</v>
      </c>
      <c r="F878" t="s">
        <v>1202</v>
      </c>
      <c r="G878" t="s">
        <v>531</v>
      </c>
      <c r="H878" t="s">
        <v>373</v>
      </c>
      <c r="I878" t="s">
        <v>289</v>
      </c>
      <c r="J878" t="s">
        <v>1203</v>
      </c>
      <c r="K878">
        <v>6</v>
      </c>
      <c r="L878" s="6">
        <v>1.8288</v>
      </c>
      <c r="M878" s="7">
        <v>139.69999999999999</v>
      </c>
      <c r="N878" s="7">
        <v>184.15</v>
      </c>
      <c r="O878" s="7">
        <f t="shared" si="66"/>
        <v>72</v>
      </c>
      <c r="P878" s="7">
        <f t="shared" si="67"/>
        <v>5.5</v>
      </c>
      <c r="Q878" s="7">
        <f t="shared" si="67"/>
        <v>7.2500000000000009</v>
      </c>
      <c r="R878" s="6">
        <f t="shared" si="68"/>
        <v>127.53100000000001</v>
      </c>
      <c r="S878" s="6">
        <f t="shared" si="70"/>
        <v>4.7047260744000001E-2</v>
      </c>
      <c r="T878" t="str">
        <f t="shared" si="69"/>
        <v>Cumaru S4S E4E 6x8 Short</v>
      </c>
    </row>
    <row r="879" spans="1:20" x14ac:dyDescent="0.25">
      <c r="A879" t="s">
        <v>531</v>
      </c>
      <c r="B879" t="s">
        <v>1200</v>
      </c>
      <c r="C879" t="s">
        <v>524</v>
      </c>
      <c r="D879" t="s">
        <v>438</v>
      </c>
      <c r="E879" t="s">
        <v>1222</v>
      </c>
      <c r="F879" t="s">
        <v>1202</v>
      </c>
      <c r="G879" t="s">
        <v>531</v>
      </c>
      <c r="H879" t="s">
        <v>373</v>
      </c>
      <c r="I879" t="s">
        <v>289</v>
      </c>
      <c r="J879" t="s">
        <v>1203</v>
      </c>
      <c r="K879">
        <v>7</v>
      </c>
      <c r="L879" s="6">
        <v>2.1335999999999999</v>
      </c>
      <c r="M879" s="7">
        <v>139.69999999999999</v>
      </c>
      <c r="N879" s="7">
        <v>184.15</v>
      </c>
      <c r="O879" s="7">
        <f t="shared" si="66"/>
        <v>84</v>
      </c>
      <c r="P879" s="7">
        <f t="shared" si="67"/>
        <v>5.5</v>
      </c>
      <c r="Q879" s="7">
        <f t="shared" si="67"/>
        <v>7.2500000000000009</v>
      </c>
      <c r="R879" s="6">
        <f t="shared" si="68"/>
        <v>127.53100000000001</v>
      </c>
      <c r="S879" s="6">
        <f t="shared" si="70"/>
        <v>5.4888470867999986E-2</v>
      </c>
      <c r="T879" t="str">
        <f t="shared" si="69"/>
        <v>Cumaru S4S E4E 6x8 Short</v>
      </c>
    </row>
    <row r="880" spans="1:20" x14ac:dyDescent="0.25">
      <c r="A880" t="s">
        <v>531</v>
      </c>
      <c r="B880" t="s">
        <v>1200</v>
      </c>
      <c r="C880" t="s">
        <v>283</v>
      </c>
      <c r="D880" t="s">
        <v>438</v>
      </c>
      <c r="E880" t="s">
        <v>1223</v>
      </c>
      <c r="F880" t="s">
        <v>1202</v>
      </c>
      <c r="G880" t="s">
        <v>531</v>
      </c>
      <c r="H880" t="s">
        <v>373</v>
      </c>
      <c r="I880" t="s">
        <v>289</v>
      </c>
      <c r="J880" t="s">
        <v>1203</v>
      </c>
      <c r="K880">
        <v>8</v>
      </c>
      <c r="L880" s="6">
        <v>2.4384000000000001</v>
      </c>
      <c r="M880" s="7">
        <v>139.69999999999999</v>
      </c>
      <c r="N880" s="7">
        <v>184.15</v>
      </c>
      <c r="O880" s="7">
        <f t="shared" si="66"/>
        <v>96.000000000000014</v>
      </c>
      <c r="P880" s="7">
        <f t="shared" si="67"/>
        <v>5.5</v>
      </c>
      <c r="Q880" s="7">
        <f t="shared" si="67"/>
        <v>7.2500000000000009</v>
      </c>
      <c r="R880" s="6">
        <f t="shared" si="68"/>
        <v>127.53100000000001</v>
      </c>
      <c r="S880" s="6">
        <f t="shared" si="70"/>
        <v>6.2729680991999992E-2</v>
      </c>
      <c r="T880" t="str">
        <f t="shared" si="69"/>
        <v>Cumaru S4S E4E 6x8 Long</v>
      </c>
    </row>
    <row r="881" spans="1:20" x14ac:dyDescent="0.25">
      <c r="A881" t="s">
        <v>531</v>
      </c>
      <c r="B881" t="s">
        <v>1200</v>
      </c>
      <c r="C881" t="s">
        <v>283</v>
      </c>
      <c r="D881" t="s">
        <v>438</v>
      </c>
      <c r="E881" t="s">
        <v>1224</v>
      </c>
      <c r="F881" t="s">
        <v>1202</v>
      </c>
      <c r="G881" t="s">
        <v>531</v>
      </c>
      <c r="H881" t="s">
        <v>373</v>
      </c>
      <c r="I881" t="s">
        <v>289</v>
      </c>
      <c r="J881" t="s">
        <v>1203</v>
      </c>
      <c r="K881">
        <v>9</v>
      </c>
      <c r="L881" s="6">
        <v>2.7431999999999999</v>
      </c>
      <c r="M881" s="7">
        <v>139.69999999999999</v>
      </c>
      <c r="N881" s="7">
        <v>184.15</v>
      </c>
      <c r="O881" s="7">
        <f t="shared" si="66"/>
        <v>108</v>
      </c>
      <c r="P881" s="7">
        <f t="shared" si="67"/>
        <v>5.5</v>
      </c>
      <c r="Q881" s="7">
        <f t="shared" si="67"/>
        <v>7.2500000000000009</v>
      </c>
      <c r="R881" s="6">
        <f t="shared" si="68"/>
        <v>127.53100000000001</v>
      </c>
      <c r="S881" s="6">
        <f t="shared" si="70"/>
        <v>7.0570891115999984E-2</v>
      </c>
      <c r="T881" t="str">
        <f t="shared" si="69"/>
        <v>Cumaru S4S E4E 6x8 Long</v>
      </c>
    </row>
    <row r="882" spans="1:20" x14ac:dyDescent="0.25">
      <c r="A882" t="s">
        <v>531</v>
      </c>
      <c r="B882" t="s">
        <v>1225</v>
      </c>
      <c r="C882" t="s">
        <v>283</v>
      </c>
      <c r="D882" t="s">
        <v>438</v>
      </c>
      <c r="E882" t="s">
        <v>1226</v>
      </c>
      <c r="F882" t="s">
        <v>1227</v>
      </c>
      <c r="G882" t="s">
        <v>531</v>
      </c>
      <c r="H882" t="s">
        <v>373</v>
      </c>
      <c r="I882" t="s">
        <v>289</v>
      </c>
      <c r="J882" t="s">
        <v>1228</v>
      </c>
      <c r="K882">
        <v>10</v>
      </c>
      <c r="L882" s="6">
        <v>3.048</v>
      </c>
      <c r="M882" s="7">
        <v>184.15</v>
      </c>
      <c r="N882" s="7">
        <v>184.15</v>
      </c>
      <c r="O882" s="7">
        <f t="shared" si="66"/>
        <v>120</v>
      </c>
      <c r="P882" s="7">
        <f t="shared" si="67"/>
        <v>7.2500000000000009</v>
      </c>
      <c r="Q882" s="7">
        <f t="shared" si="67"/>
        <v>7.2500000000000009</v>
      </c>
      <c r="R882" s="6">
        <f t="shared" si="68"/>
        <v>96.748000000000005</v>
      </c>
      <c r="S882" s="6">
        <f t="shared" si="70"/>
        <v>0.10336140618000002</v>
      </c>
      <c r="T882" t="str">
        <f t="shared" si="69"/>
        <v>Cumaru S4S E4E 8x8 Long</v>
      </c>
    </row>
    <row r="883" spans="1:20" x14ac:dyDescent="0.25">
      <c r="A883" t="s">
        <v>531</v>
      </c>
      <c r="B883" t="s">
        <v>1225</v>
      </c>
      <c r="C883" t="s">
        <v>283</v>
      </c>
      <c r="D883" t="s">
        <v>438</v>
      </c>
      <c r="E883" t="s">
        <v>1229</v>
      </c>
      <c r="F883" t="s">
        <v>1227</v>
      </c>
      <c r="G883" t="s">
        <v>531</v>
      </c>
      <c r="H883" t="s">
        <v>373</v>
      </c>
      <c r="I883" t="s">
        <v>289</v>
      </c>
      <c r="J883" t="s">
        <v>1228</v>
      </c>
      <c r="K883">
        <v>11</v>
      </c>
      <c r="L883" s="6">
        <v>3.3527999999999998</v>
      </c>
      <c r="M883" s="7">
        <v>184.15</v>
      </c>
      <c r="N883" s="7">
        <v>184.15</v>
      </c>
      <c r="O883" s="7">
        <f t="shared" si="66"/>
        <v>132</v>
      </c>
      <c r="P883" s="7">
        <f t="shared" si="67"/>
        <v>7.2500000000000009</v>
      </c>
      <c r="Q883" s="7">
        <f t="shared" si="67"/>
        <v>7.2500000000000009</v>
      </c>
      <c r="R883" s="6">
        <f t="shared" si="68"/>
        <v>96.748000000000005</v>
      </c>
      <c r="S883" s="6">
        <f t="shared" si="70"/>
        <v>0.113697546798</v>
      </c>
      <c r="T883" t="str">
        <f t="shared" si="69"/>
        <v>Cumaru S4S E4E 8x8 Long</v>
      </c>
    </row>
    <row r="884" spans="1:20" x14ac:dyDescent="0.25">
      <c r="A884" t="s">
        <v>531</v>
      </c>
      <c r="B884" t="s">
        <v>1225</v>
      </c>
      <c r="C884" t="s">
        <v>283</v>
      </c>
      <c r="D884" t="s">
        <v>438</v>
      </c>
      <c r="E884" t="s">
        <v>1230</v>
      </c>
      <c r="F884" t="s">
        <v>1227</v>
      </c>
      <c r="G884" t="s">
        <v>531</v>
      </c>
      <c r="H884" t="s">
        <v>373</v>
      </c>
      <c r="I884" t="s">
        <v>289</v>
      </c>
      <c r="J884" t="s">
        <v>1228</v>
      </c>
      <c r="K884">
        <v>12</v>
      </c>
      <c r="L884" s="6">
        <v>3.6576</v>
      </c>
      <c r="M884" s="7">
        <v>184.15</v>
      </c>
      <c r="N884" s="7">
        <v>184.15</v>
      </c>
      <c r="O884" s="7">
        <f t="shared" si="66"/>
        <v>144</v>
      </c>
      <c r="P884" s="7">
        <f t="shared" si="67"/>
        <v>7.2500000000000009</v>
      </c>
      <c r="Q884" s="7">
        <f t="shared" si="67"/>
        <v>7.2500000000000009</v>
      </c>
      <c r="R884" s="6">
        <f t="shared" si="68"/>
        <v>96.748000000000005</v>
      </c>
      <c r="S884" s="6">
        <f t="shared" si="70"/>
        <v>0.124033687416</v>
      </c>
      <c r="T884" t="str">
        <f t="shared" si="69"/>
        <v>Cumaru S4S E4E 8x8 Long</v>
      </c>
    </row>
    <row r="885" spans="1:20" x14ac:dyDescent="0.25">
      <c r="A885" t="s">
        <v>531</v>
      </c>
      <c r="B885" t="s">
        <v>1225</v>
      </c>
      <c r="C885" t="s">
        <v>283</v>
      </c>
      <c r="D885" t="s">
        <v>438</v>
      </c>
      <c r="E885" t="s">
        <v>1231</v>
      </c>
      <c r="F885" t="s">
        <v>1227</v>
      </c>
      <c r="G885" t="s">
        <v>531</v>
      </c>
      <c r="H885" t="s">
        <v>373</v>
      </c>
      <c r="I885" t="s">
        <v>289</v>
      </c>
      <c r="J885" t="s">
        <v>1228</v>
      </c>
      <c r="K885">
        <v>13</v>
      </c>
      <c r="L885" s="6">
        <v>3.9624000000000001</v>
      </c>
      <c r="M885" s="7">
        <v>184.15</v>
      </c>
      <c r="N885" s="7">
        <v>184.15</v>
      </c>
      <c r="O885" s="7">
        <f t="shared" si="66"/>
        <v>156</v>
      </c>
      <c r="P885" s="7">
        <f t="shared" si="67"/>
        <v>7.2500000000000009</v>
      </c>
      <c r="Q885" s="7">
        <f t="shared" si="67"/>
        <v>7.2500000000000009</v>
      </c>
      <c r="R885" s="6">
        <f t="shared" si="68"/>
        <v>96.748000000000005</v>
      </c>
      <c r="S885" s="6">
        <f t="shared" si="70"/>
        <v>0.13436982803399999</v>
      </c>
      <c r="T885" t="str">
        <f t="shared" si="69"/>
        <v>Cumaru S4S E4E 8x8 Long</v>
      </c>
    </row>
    <row r="886" spans="1:20" x14ac:dyDescent="0.25">
      <c r="A886" t="s">
        <v>531</v>
      </c>
      <c r="B886" t="s">
        <v>1225</v>
      </c>
      <c r="C886" t="s">
        <v>283</v>
      </c>
      <c r="D886" t="s">
        <v>438</v>
      </c>
      <c r="E886" t="s">
        <v>1232</v>
      </c>
      <c r="F886" t="s">
        <v>1227</v>
      </c>
      <c r="G886" t="s">
        <v>531</v>
      </c>
      <c r="H886" t="s">
        <v>373</v>
      </c>
      <c r="I886" t="s">
        <v>289</v>
      </c>
      <c r="J886" t="s">
        <v>1228</v>
      </c>
      <c r="K886">
        <v>14</v>
      </c>
      <c r="L886" s="6">
        <v>4.2671999999999999</v>
      </c>
      <c r="M886" s="7">
        <v>184.15</v>
      </c>
      <c r="N886" s="7">
        <v>184.15</v>
      </c>
      <c r="O886" s="7">
        <f t="shared" si="66"/>
        <v>168</v>
      </c>
      <c r="P886" s="7">
        <f t="shared" si="67"/>
        <v>7.2500000000000009</v>
      </c>
      <c r="Q886" s="7">
        <f t="shared" si="67"/>
        <v>7.2500000000000009</v>
      </c>
      <c r="R886" s="6">
        <f t="shared" si="68"/>
        <v>96.748000000000005</v>
      </c>
      <c r="S886" s="6">
        <f t="shared" si="70"/>
        <v>0.14470596865200003</v>
      </c>
      <c r="T886" t="str">
        <f t="shared" si="69"/>
        <v>Cumaru S4S E4E 8x8 Long</v>
      </c>
    </row>
    <row r="887" spans="1:20" x14ac:dyDescent="0.25">
      <c r="A887" t="s">
        <v>531</v>
      </c>
      <c r="B887" t="s">
        <v>1225</v>
      </c>
      <c r="C887" t="s">
        <v>283</v>
      </c>
      <c r="D887" t="s">
        <v>438</v>
      </c>
      <c r="E887" t="s">
        <v>1233</v>
      </c>
      <c r="F887" t="s">
        <v>1227</v>
      </c>
      <c r="G887" t="s">
        <v>531</v>
      </c>
      <c r="H887" t="s">
        <v>373</v>
      </c>
      <c r="I887" t="s">
        <v>289</v>
      </c>
      <c r="J887" t="s">
        <v>1228</v>
      </c>
      <c r="K887">
        <v>15</v>
      </c>
      <c r="L887" s="6">
        <v>4.5720000000000001</v>
      </c>
      <c r="M887" s="7">
        <v>184.15</v>
      </c>
      <c r="N887" s="7">
        <v>184.15</v>
      </c>
      <c r="O887" s="7">
        <f t="shared" si="66"/>
        <v>180</v>
      </c>
      <c r="P887" s="7">
        <f t="shared" si="67"/>
        <v>7.2500000000000009</v>
      </c>
      <c r="Q887" s="7">
        <f t="shared" si="67"/>
        <v>7.2500000000000009</v>
      </c>
      <c r="R887" s="6">
        <f t="shared" si="68"/>
        <v>96.748000000000005</v>
      </c>
      <c r="S887" s="6">
        <f t="shared" si="70"/>
        <v>0.15504210927000003</v>
      </c>
      <c r="T887" t="str">
        <f t="shared" si="69"/>
        <v>Cumaru S4S E4E 8x8 Long</v>
      </c>
    </row>
    <row r="888" spans="1:20" x14ac:dyDescent="0.25">
      <c r="A888" t="s">
        <v>531</v>
      </c>
      <c r="B888" t="s">
        <v>1225</v>
      </c>
      <c r="C888" t="s">
        <v>283</v>
      </c>
      <c r="D888" t="s">
        <v>438</v>
      </c>
      <c r="E888" t="s">
        <v>1234</v>
      </c>
      <c r="F888" t="s">
        <v>1227</v>
      </c>
      <c r="G888" t="s">
        <v>531</v>
      </c>
      <c r="H888" t="s">
        <v>373</v>
      </c>
      <c r="I888" t="s">
        <v>289</v>
      </c>
      <c r="J888" t="s">
        <v>1228</v>
      </c>
      <c r="K888">
        <v>16</v>
      </c>
      <c r="L888" s="6">
        <v>4.8768000000000002</v>
      </c>
      <c r="M888" s="7">
        <v>184.15</v>
      </c>
      <c r="N888" s="7">
        <v>184.15</v>
      </c>
      <c r="O888" s="7">
        <f t="shared" si="66"/>
        <v>192.00000000000003</v>
      </c>
      <c r="P888" s="7">
        <f t="shared" si="67"/>
        <v>7.2500000000000009</v>
      </c>
      <c r="Q888" s="7">
        <f t="shared" si="67"/>
        <v>7.2500000000000009</v>
      </c>
      <c r="R888" s="6">
        <f t="shared" si="68"/>
        <v>96.748000000000005</v>
      </c>
      <c r="S888" s="6">
        <f t="shared" si="70"/>
        <v>0.16537824988800004</v>
      </c>
      <c r="T888" t="str">
        <f t="shared" si="69"/>
        <v>Cumaru S4S E4E 8x8 Long</v>
      </c>
    </row>
    <row r="889" spans="1:20" x14ac:dyDescent="0.25">
      <c r="A889" t="s">
        <v>531</v>
      </c>
      <c r="B889" t="s">
        <v>1225</v>
      </c>
      <c r="C889" t="s">
        <v>283</v>
      </c>
      <c r="D889" t="s">
        <v>438</v>
      </c>
      <c r="E889" t="s">
        <v>1235</v>
      </c>
      <c r="F889" t="s">
        <v>1227</v>
      </c>
      <c r="G889" t="s">
        <v>531</v>
      </c>
      <c r="H889" t="s">
        <v>373</v>
      </c>
      <c r="I889" t="s">
        <v>289</v>
      </c>
      <c r="J889" t="s">
        <v>1228</v>
      </c>
      <c r="K889">
        <v>17</v>
      </c>
      <c r="L889" s="6">
        <v>5.1816000000000004</v>
      </c>
      <c r="M889" s="7">
        <v>184.15</v>
      </c>
      <c r="N889" s="7">
        <v>184.15</v>
      </c>
      <c r="O889" s="7">
        <f t="shared" si="66"/>
        <v>204.00000000000003</v>
      </c>
      <c r="P889" s="7">
        <f t="shared" si="67"/>
        <v>7.2500000000000009</v>
      </c>
      <c r="Q889" s="7">
        <f t="shared" si="67"/>
        <v>7.2500000000000009</v>
      </c>
      <c r="R889" s="6">
        <f t="shared" si="68"/>
        <v>96.748000000000005</v>
      </c>
      <c r="S889" s="6">
        <f t="shared" si="70"/>
        <v>0.17571439050600002</v>
      </c>
      <c r="T889" t="str">
        <f t="shared" si="69"/>
        <v>Cumaru S4S E4E 8x8 Long</v>
      </c>
    </row>
    <row r="890" spans="1:20" x14ac:dyDescent="0.25">
      <c r="A890" t="s">
        <v>531</v>
      </c>
      <c r="B890" t="s">
        <v>1225</v>
      </c>
      <c r="C890" t="s">
        <v>283</v>
      </c>
      <c r="D890" t="s">
        <v>438</v>
      </c>
      <c r="E890" t="s">
        <v>1236</v>
      </c>
      <c r="F890" t="s">
        <v>1227</v>
      </c>
      <c r="G890" t="s">
        <v>531</v>
      </c>
      <c r="H890" t="s">
        <v>373</v>
      </c>
      <c r="I890" t="s">
        <v>289</v>
      </c>
      <c r="J890" t="s">
        <v>1228</v>
      </c>
      <c r="K890">
        <v>18</v>
      </c>
      <c r="L890" s="6">
        <v>5.4863999999999997</v>
      </c>
      <c r="M890" s="7">
        <v>184.15</v>
      </c>
      <c r="N890" s="7">
        <v>184.15</v>
      </c>
      <c r="O890" s="7">
        <f t="shared" si="66"/>
        <v>216</v>
      </c>
      <c r="P890" s="7">
        <f t="shared" si="67"/>
        <v>7.2500000000000009</v>
      </c>
      <c r="Q890" s="7">
        <f t="shared" si="67"/>
        <v>7.2500000000000009</v>
      </c>
      <c r="R890" s="6">
        <f t="shared" si="68"/>
        <v>96.748000000000005</v>
      </c>
      <c r="S890" s="6">
        <f t="shared" si="70"/>
        <v>0.186050531124</v>
      </c>
      <c r="T890" t="str">
        <f t="shared" si="69"/>
        <v>Cumaru S4S E4E 8x8 Long</v>
      </c>
    </row>
    <row r="891" spans="1:20" x14ac:dyDescent="0.25">
      <c r="A891" t="s">
        <v>531</v>
      </c>
      <c r="B891" t="s">
        <v>1225</v>
      </c>
      <c r="C891" t="s">
        <v>283</v>
      </c>
      <c r="D891" t="s">
        <v>438</v>
      </c>
      <c r="E891" t="s">
        <v>1237</v>
      </c>
      <c r="F891" t="s">
        <v>1227</v>
      </c>
      <c r="G891" t="s">
        <v>531</v>
      </c>
      <c r="H891" t="s">
        <v>373</v>
      </c>
      <c r="I891" t="s">
        <v>289</v>
      </c>
      <c r="J891" t="s">
        <v>1228</v>
      </c>
      <c r="K891">
        <v>19</v>
      </c>
      <c r="L891" s="6">
        <v>5.7911999999999999</v>
      </c>
      <c r="M891" s="7">
        <v>184.15</v>
      </c>
      <c r="N891" s="7">
        <v>184.15</v>
      </c>
      <c r="O891" s="7">
        <f t="shared" si="66"/>
        <v>228</v>
      </c>
      <c r="P891" s="7">
        <f t="shared" si="67"/>
        <v>7.2500000000000009</v>
      </c>
      <c r="Q891" s="7">
        <f t="shared" si="67"/>
        <v>7.2500000000000009</v>
      </c>
      <c r="R891" s="6">
        <f t="shared" si="68"/>
        <v>96.748000000000005</v>
      </c>
      <c r="S891" s="6">
        <f t="shared" si="70"/>
        <v>0.196386671742</v>
      </c>
      <c r="T891" t="str">
        <f t="shared" si="69"/>
        <v>Cumaru S4S E4E 8x8 Long</v>
      </c>
    </row>
    <row r="892" spans="1:20" x14ac:dyDescent="0.25">
      <c r="A892" t="s">
        <v>531</v>
      </c>
      <c r="B892" t="s">
        <v>1225</v>
      </c>
      <c r="C892" t="s">
        <v>283</v>
      </c>
      <c r="D892" t="s">
        <v>438</v>
      </c>
      <c r="E892" t="s">
        <v>1238</v>
      </c>
      <c r="F892" t="s">
        <v>1227</v>
      </c>
      <c r="G892" t="s">
        <v>531</v>
      </c>
      <c r="H892" t="s">
        <v>373</v>
      </c>
      <c r="I892" t="s">
        <v>289</v>
      </c>
      <c r="J892" t="s">
        <v>1228</v>
      </c>
      <c r="K892">
        <v>20</v>
      </c>
      <c r="L892" s="6">
        <v>6.0960000000000001</v>
      </c>
      <c r="M892" s="7">
        <v>184.15</v>
      </c>
      <c r="N892" s="7">
        <v>184.15</v>
      </c>
      <c r="O892" s="7">
        <f t="shared" si="66"/>
        <v>240</v>
      </c>
      <c r="P892" s="7">
        <f t="shared" si="67"/>
        <v>7.2500000000000009</v>
      </c>
      <c r="Q892" s="7">
        <f t="shared" si="67"/>
        <v>7.2500000000000009</v>
      </c>
      <c r="R892" s="6">
        <f t="shared" si="68"/>
        <v>96.748000000000005</v>
      </c>
      <c r="S892" s="6">
        <f t="shared" si="70"/>
        <v>0.20672281236000004</v>
      </c>
      <c r="T892" t="str">
        <f t="shared" si="69"/>
        <v>Cumaru S4S E4E 8x8 Long</v>
      </c>
    </row>
    <row r="893" spans="1:20" x14ac:dyDescent="0.25">
      <c r="A893" t="s">
        <v>531</v>
      </c>
      <c r="B893" t="s">
        <v>1225</v>
      </c>
      <c r="C893" t="s">
        <v>283</v>
      </c>
      <c r="D893" t="s">
        <v>438</v>
      </c>
      <c r="E893" t="s">
        <v>1239</v>
      </c>
      <c r="F893" t="s">
        <v>1227</v>
      </c>
      <c r="G893" t="s">
        <v>531</v>
      </c>
      <c r="H893" t="s">
        <v>373</v>
      </c>
      <c r="I893" t="s">
        <v>289</v>
      </c>
      <c r="J893" t="s">
        <v>1228</v>
      </c>
      <c r="K893">
        <v>21</v>
      </c>
      <c r="L893" s="6">
        <v>6.4008000000000003</v>
      </c>
      <c r="M893" s="7">
        <v>184.15</v>
      </c>
      <c r="N893" s="7">
        <v>184.15</v>
      </c>
      <c r="O893" s="7">
        <f t="shared" si="66"/>
        <v>252.00000000000003</v>
      </c>
      <c r="P893" s="7">
        <f t="shared" si="67"/>
        <v>7.2500000000000009</v>
      </c>
      <c r="Q893" s="7">
        <f t="shared" si="67"/>
        <v>7.2500000000000009</v>
      </c>
      <c r="R893" s="6">
        <f t="shared" si="68"/>
        <v>96.748000000000005</v>
      </c>
      <c r="S893" s="6">
        <f t="shared" si="70"/>
        <v>0.21705895297800001</v>
      </c>
      <c r="T893" t="str">
        <f t="shared" si="69"/>
        <v>Cumaru S4S E4E 8x8 Long</v>
      </c>
    </row>
    <row r="894" spans="1:20" x14ac:dyDescent="0.25">
      <c r="A894" t="s">
        <v>531</v>
      </c>
      <c r="B894" t="s">
        <v>1225</v>
      </c>
      <c r="C894" t="s">
        <v>283</v>
      </c>
      <c r="D894" t="s">
        <v>438</v>
      </c>
      <c r="E894" t="s">
        <v>1240</v>
      </c>
      <c r="F894" t="s">
        <v>1227</v>
      </c>
      <c r="G894" t="s">
        <v>531</v>
      </c>
      <c r="H894" t="s">
        <v>373</v>
      </c>
      <c r="I894" t="s">
        <v>289</v>
      </c>
      <c r="J894" t="s">
        <v>1228</v>
      </c>
      <c r="K894">
        <v>22</v>
      </c>
      <c r="L894" s="6">
        <v>6.7055999999999996</v>
      </c>
      <c r="M894" s="7">
        <v>184.15</v>
      </c>
      <c r="N894" s="7">
        <v>184.15</v>
      </c>
      <c r="O894" s="7">
        <f t="shared" si="66"/>
        <v>264</v>
      </c>
      <c r="P894" s="7">
        <f t="shared" si="67"/>
        <v>7.2500000000000009</v>
      </c>
      <c r="Q894" s="7">
        <f t="shared" si="67"/>
        <v>7.2500000000000009</v>
      </c>
      <c r="R894" s="6">
        <f t="shared" si="68"/>
        <v>96.748000000000005</v>
      </c>
      <c r="S894" s="6">
        <f t="shared" si="70"/>
        <v>0.22739509359599999</v>
      </c>
      <c r="T894" t="str">
        <f t="shared" si="69"/>
        <v>Cumaru S4S E4E 8x8 Long</v>
      </c>
    </row>
    <row r="895" spans="1:20" x14ac:dyDescent="0.25">
      <c r="A895" t="s">
        <v>531</v>
      </c>
      <c r="B895" t="s">
        <v>1225</v>
      </c>
      <c r="C895" t="s">
        <v>524</v>
      </c>
      <c r="D895" t="s">
        <v>438</v>
      </c>
      <c r="E895" t="s">
        <v>1241</v>
      </c>
      <c r="F895" t="s">
        <v>1227</v>
      </c>
      <c r="G895" t="s">
        <v>531</v>
      </c>
      <c r="H895" t="s">
        <v>373</v>
      </c>
      <c r="I895" t="s">
        <v>289</v>
      </c>
      <c r="J895" t="s">
        <v>1228</v>
      </c>
      <c r="K895">
        <v>3</v>
      </c>
      <c r="L895" s="6">
        <v>0.91439999999999999</v>
      </c>
      <c r="M895" s="7">
        <v>184.15</v>
      </c>
      <c r="N895" s="7">
        <v>184.15</v>
      </c>
      <c r="O895" s="7">
        <f t="shared" si="66"/>
        <v>36</v>
      </c>
      <c r="P895" s="7">
        <f t="shared" si="67"/>
        <v>7.2500000000000009</v>
      </c>
      <c r="Q895" s="7">
        <f t="shared" si="67"/>
        <v>7.2500000000000009</v>
      </c>
      <c r="R895" s="6">
        <f t="shared" si="68"/>
        <v>96.748000000000005</v>
      </c>
      <c r="S895" s="6">
        <f t="shared" si="70"/>
        <v>3.1008421854E-2</v>
      </c>
      <c r="T895" t="str">
        <f t="shared" si="69"/>
        <v>Cumaru S4S E4E 8x8 Short</v>
      </c>
    </row>
    <row r="896" spans="1:20" x14ac:dyDescent="0.25">
      <c r="A896" t="s">
        <v>531</v>
      </c>
      <c r="B896" t="s">
        <v>1225</v>
      </c>
      <c r="C896" t="s">
        <v>524</v>
      </c>
      <c r="D896" t="s">
        <v>438</v>
      </c>
      <c r="E896" t="s">
        <v>1242</v>
      </c>
      <c r="F896" t="s">
        <v>1227</v>
      </c>
      <c r="G896" t="s">
        <v>531</v>
      </c>
      <c r="H896" t="s">
        <v>373</v>
      </c>
      <c r="I896" t="s">
        <v>289</v>
      </c>
      <c r="J896" t="s">
        <v>1228</v>
      </c>
      <c r="K896">
        <v>4</v>
      </c>
      <c r="L896" s="6">
        <v>1.2192000000000001</v>
      </c>
      <c r="M896" s="7">
        <v>184.15</v>
      </c>
      <c r="N896" s="7">
        <v>184.15</v>
      </c>
      <c r="O896" s="7">
        <f t="shared" si="66"/>
        <v>48.000000000000007</v>
      </c>
      <c r="P896" s="7">
        <f t="shared" si="67"/>
        <v>7.2500000000000009</v>
      </c>
      <c r="Q896" s="7">
        <f t="shared" si="67"/>
        <v>7.2500000000000009</v>
      </c>
      <c r="R896" s="6">
        <f t="shared" si="68"/>
        <v>96.748000000000005</v>
      </c>
      <c r="S896" s="6">
        <f t="shared" si="70"/>
        <v>4.134456247200001E-2</v>
      </c>
      <c r="T896" t="str">
        <f t="shared" si="69"/>
        <v>Cumaru S4S E4E 8x8 Short</v>
      </c>
    </row>
    <row r="897" spans="1:20" x14ac:dyDescent="0.25">
      <c r="A897" t="s">
        <v>531</v>
      </c>
      <c r="B897" t="s">
        <v>1225</v>
      </c>
      <c r="C897" t="s">
        <v>524</v>
      </c>
      <c r="D897" t="s">
        <v>438</v>
      </c>
      <c r="E897" t="s">
        <v>1243</v>
      </c>
      <c r="F897" t="s">
        <v>1227</v>
      </c>
      <c r="G897" t="s">
        <v>531</v>
      </c>
      <c r="H897" t="s">
        <v>373</v>
      </c>
      <c r="I897" t="s">
        <v>289</v>
      </c>
      <c r="J897" t="s">
        <v>1228</v>
      </c>
      <c r="K897">
        <v>5</v>
      </c>
      <c r="L897" s="6">
        <v>1.524</v>
      </c>
      <c r="M897" s="7">
        <v>184.15</v>
      </c>
      <c r="N897" s="7">
        <v>184.15</v>
      </c>
      <c r="O897" s="7">
        <f t="shared" si="66"/>
        <v>60</v>
      </c>
      <c r="P897" s="7">
        <f t="shared" si="67"/>
        <v>7.2500000000000009</v>
      </c>
      <c r="Q897" s="7">
        <f t="shared" si="67"/>
        <v>7.2500000000000009</v>
      </c>
      <c r="R897" s="6">
        <f t="shared" si="68"/>
        <v>96.748000000000005</v>
      </c>
      <c r="S897" s="6">
        <f t="shared" si="70"/>
        <v>5.1680703090000009E-2</v>
      </c>
      <c r="T897" t="str">
        <f t="shared" si="69"/>
        <v>Cumaru S4S E4E 8x8 Short</v>
      </c>
    </row>
    <row r="898" spans="1:20" x14ac:dyDescent="0.25">
      <c r="A898" t="s">
        <v>531</v>
      </c>
      <c r="B898" t="s">
        <v>1225</v>
      </c>
      <c r="C898" t="s">
        <v>524</v>
      </c>
      <c r="D898" t="s">
        <v>438</v>
      </c>
      <c r="E898" t="s">
        <v>1244</v>
      </c>
      <c r="F898" t="s">
        <v>1227</v>
      </c>
      <c r="G898" t="s">
        <v>531</v>
      </c>
      <c r="H898" t="s">
        <v>373</v>
      </c>
      <c r="I898" t="s">
        <v>289</v>
      </c>
      <c r="J898" t="s">
        <v>1228</v>
      </c>
      <c r="K898">
        <v>6</v>
      </c>
      <c r="L898" s="6">
        <v>1.8288</v>
      </c>
      <c r="M898" s="7">
        <v>184.15</v>
      </c>
      <c r="N898" s="7">
        <v>184.15</v>
      </c>
      <c r="O898" s="7">
        <f t="shared" ref="O898:O961" si="71">L898/0.0254</f>
        <v>72</v>
      </c>
      <c r="P898" s="7">
        <f t="shared" ref="P898:Q961" si="72">M898/25.4</f>
        <v>7.2500000000000009</v>
      </c>
      <c r="Q898" s="7">
        <f t="shared" si="72"/>
        <v>7.2500000000000009</v>
      </c>
      <c r="R898" s="6">
        <f t="shared" ref="R898:R961" si="73">ROUND(IFERROR(1/((M898*N898*0.3048)/1000000),0),3)</f>
        <v>96.748000000000005</v>
      </c>
      <c r="S898" s="6">
        <f t="shared" si="70"/>
        <v>6.2016843708000001E-2</v>
      </c>
      <c r="T898" t="str">
        <f t="shared" ref="T898:T961" si="74">F898&amp;" "&amp;C898</f>
        <v>Cumaru S4S E4E 8x8 Short</v>
      </c>
    </row>
    <row r="899" spans="1:20" x14ac:dyDescent="0.25">
      <c r="A899" t="s">
        <v>531</v>
      </c>
      <c r="B899" t="s">
        <v>1225</v>
      </c>
      <c r="C899" t="s">
        <v>524</v>
      </c>
      <c r="D899" t="s">
        <v>438</v>
      </c>
      <c r="E899" t="s">
        <v>1245</v>
      </c>
      <c r="F899" t="s">
        <v>1227</v>
      </c>
      <c r="G899" t="s">
        <v>531</v>
      </c>
      <c r="H899" t="s">
        <v>373</v>
      </c>
      <c r="I899" t="s">
        <v>289</v>
      </c>
      <c r="J899" t="s">
        <v>1228</v>
      </c>
      <c r="K899">
        <v>7</v>
      </c>
      <c r="L899" s="6">
        <v>2.1335999999999999</v>
      </c>
      <c r="M899" s="7">
        <v>184.15</v>
      </c>
      <c r="N899" s="7">
        <v>184.15</v>
      </c>
      <c r="O899" s="7">
        <f t="shared" si="71"/>
        <v>84</v>
      </c>
      <c r="P899" s="7">
        <f t="shared" si="72"/>
        <v>7.2500000000000009</v>
      </c>
      <c r="Q899" s="7">
        <f t="shared" si="72"/>
        <v>7.2500000000000009</v>
      </c>
      <c r="R899" s="6">
        <f t="shared" si="73"/>
        <v>96.748000000000005</v>
      </c>
      <c r="S899" s="6">
        <f t="shared" si="70"/>
        <v>7.2352984326000014E-2</v>
      </c>
      <c r="T899" t="str">
        <f t="shared" si="74"/>
        <v>Cumaru S4S E4E 8x8 Short</v>
      </c>
    </row>
    <row r="900" spans="1:20" x14ac:dyDescent="0.25">
      <c r="A900" t="s">
        <v>531</v>
      </c>
      <c r="B900" t="s">
        <v>1225</v>
      </c>
      <c r="C900" t="s">
        <v>283</v>
      </c>
      <c r="D900" t="s">
        <v>438</v>
      </c>
      <c r="E900" t="s">
        <v>1246</v>
      </c>
      <c r="F900" t="s">
        <v>1227</v>
      </c>
      <c r="G900" t="s">
        <v>531</v>
      </c>
      <c r="H900" t="s">
        <v>373</v>
      </c>
      <c r="I900" t="s">
        <v>289</v>
      </c>
      <c r="J900" t="s">
        <v>1228</v>
      </c>
      <c r="K900">
        <v>8</v>
      </c>
      <c r="L900" s="6">
        <v>2.4384000000000001</v>
      </c>
      <c r="M900" s="7">
        <v>184.15</v>
      </c>
      <c r="N900" s="7">
        <v>184.15</v>
      </c>
      <c r="O900" s="7">
        <f t="shared" si="71"/>
        <v>96.000000000000014</v>
      </c>
      <c r="P900" s="7">
        <f t="shared" si="72"/>
        <v>7.2500000000000009</v>
      </c>
      <c r="Q900" s="7">
        <f t="shared" si="72"/>
        <v>7.2500000000000009</v>
      </c>
      <c r="R900" s="6">
        <f t="shared" si="73"/>
        <v>96.748000000000005</v>
      </c>
      <c r="S900" s="6">
        <f t="shared" ref="S900:S963" si="75">L900*M900/1000*N900/1000</f>
        <v>8.268912494400002E-2</v>
      </c>
      <c r="T900" t="str">
        <f t="shared" si="74"/>
        <v>Cumaru S4S E4E 8x8 Long</v>
      </c>
    </row>
    <row r="901" spans="1:20" x14ac:dyDescent="0.25">
      <c r="A901" t="s">
        <v>531</v>
      </c>
      <c r="B901" t="s">
        <v>1225</v>
      </c>
      <c r="C901" t="s">
        <v>283</v>
      </c>
      <c r="D901" t="s">
        <v>438</v>
      </c>
      <c r="E901" t="s">
        <v>1247</v>
      </c>
      <c r="F901" t="s">
        <v>1227</v>
      </c>
      <c r="G901" t="s">
        <v>531</v>
      </c>
      <c r="H901" t="s">
        <v>373</v>
      </c>
      <c r="I901" t="s">
        <v>289</v>
      </c>
      <c r="J901" t="s">
        <v>1228</v>
      </c>
      <c r="K901">
        <v>9</v>
      </c>
      <c r="L901" s="6">
        <v>2.7431999999999999</v>
      </c>
      <c r="M901" s="7">
        <v>184.15</v>
      </c>
      <c r="N901" s="7">
        <v>184.15</v>
      </c>
      <c r="O901" s="7">
        <f t="shared" si="71"/>
        <v>108</v>
      </c>
      <c r="P901" s="7">
        <f t="shared" si="72"/>
        <v>7.2500000000000009</v>
      </c>
      <c r="Q901" s="7">
        <f t="shared" si="72"/>
        <v>7.2500000000000009</v>
      </c>
      <c r="R901" s="6">
        <f t="shared" si="73"/>
        <v>96.748000000000005</v>
      </c>
      <c r="S901" s="6">
        <f t="shared" si="75"/>
        <v>9.3025265561999998E-2</v>
      </c>
      <c r="T901" t="str">
        <f t="shared" si="74"/>
        <v>Cumaru S4S E4E 8x8 Long</v>
      </c>
    </row>
    <row r="902" spans="1:20" x14ac:dyDescent="0.25">
      <c r="A902" t="s">
        <v>531</v>
      </c>
      <c r="B902" t="s">
        <v>648</v>
      </c>
      <c r="C902" t="s">
        <v>283</v>
      </c>
      <c r="D902" t="s">
        <v>438</v>
      </c>
      <c r="E902" t="s">
        <v>1248</v>
      </c>
      <c r="F902" t="s">
        <v>1249</v>
      </c>
      <c r="G902" t="s">
        <v>531</v>
      </c>
      <c r="H902" t="s">
        <v>1250</v>
      </c>
      <c r="I902" t="s">
        <v>289</v>
      </c>
      <c r="J902" t="s">
        <v>344</v>
      </c>
      <c r="K902">
        <v>11</v>
      </c>
      <c r="L902" s="6">
        <v>3.3527999999999998</v>
      </c>
      <c r="M902" s="7">
        <v>19.05</v>
      </c>
      <c r="N902" s="7">
        <v>139.69999999999999</v>
      </c>
      <c r="O902" s="7">
        <f t="shared" si="71"/>
        <v>132</v>
      </c>
      <c r="P902" s="7">
        <f t="shared" si="72"/>
        <v>0.75000000000000011</v>
      </c>
      <c r="Q902" s="7">
        <f t="shared" si="72"/>
        <v>5.5</v>
      </c>
      <c r="R902" s="6">
        <f t="shared" si="73"/>
        <v>1232.8030000000001</v>
      </c>
      <c r="S902" s="6">
        <f t="shared" si="75"/>
        <v>8.922756347999999E-3</v>
      </c>
      <c r="T902" t="str">
        <f t="shared" si="74"/>
        <v>Cumaru T&amp;G V-Joint 2 sides 1x6 Long</v>
      </c>
    </row>
    <row r="903" spans="1:20" x14ac:dyDescent="0.25">
      <c r="A903" t="s">
        <v>531</v>
      </c>
      <c r="B903" t="s">
        <v>648</v>
      </c>
      <c r="C903" t="s">
        <v>283</v>
      </c>
      <c r="D903" t="s">
        <v>438</v>
      </c>
      <c r="E903" t="s">
        <v>1251</v>
      </c>
      <c r="F903" t="s">
        <v>1249</v>
      </c>
      <c r="G903" t="s">
        <v>531</v>
      </c>
      <c r="H903" t="s">
        <v>1250</v>
      </c>
      <c r="I903" t="s">
        <v>289</v>
      </c>
      <c r="J903" t="s">
        <v>344</v>
      </c>
      <c r="K903">
        <v>13</v>
      </c>
      <c r="L903" s="6">
        <v>3.9624000000000001</v>
      </c>
      <c r="M903" s="7">
        <v>19.05</v>
      </c>
      <c r="N903" s="7">
        <v>139.69999999999999</v>
      </c>
      <c r="O903" s="7">
        <f t="shared" si="71"/>
        <v>156</v>
      </c>
      <c r="P903" s="7">
        <f t="shared" si="72"/>
        <v>0.75000000000000011</v>
      </c>
      <c r="Q903" s="7">
        <f t="shared" si="72"/>
        <v>5.5</v>
      </c>
      <c r="R903" s="6">
        <f t="shared" si="73"/>
        <v>1232.8030000000001</v>
      </c>
      <c r="S903" s="6">
        <f t="shared" si="75"/>
        <v>1.0545075684E-2</v>
      </c>
      <c r="T903" t="str">
        <f t="shared" si="74"/>
        <v>Cumaru T&amp;G V-Joint 2 sides 1x6 Long</v>
      </c>
    </row>
    <row r="904" spans="1:20" x14ac:dyDescent="0.25">
      <c r="A904" t="s">
        <v>531</v>
      </c>
      <c r="B904" t="s">
        <v>648</v>
      </c>
      <c r="C904" t="s">
        <v>283</v>
      </c>
      <c r="D904" t="s">
        <v>438</v>
      </c>
      <c r="E904" t="s">
        <v>1252</v>
      </c>
      <c r="F904" t="s">
        <v>1249</v>
      </c>
      <c r="G904" t="s">
        <v>531</v>
      </c>
      <c r="H904" t="s">
        <v>1250</v>
      </c>
      <c r="I904" t="s">
        <v>289</v>
      </c>
      <c r="J904" t="s">
        <v>344</v>
      </c>
      <c r="K904">
        <v>15</v>
      </c>
      <c r="L904" s="6">
        <v>4.5720000000000001</v>
      </c>
      <c r="M904" s="7">
        <v>19.05</v>
      </c>
      <c r="N904" s="7">
        <v>139.69999999999999</v>
      </c>
      <c r="O904" s="7">
        <f t="shared" si="71"/>
        <v>180</v>
      </c>
      <c r="P904" s="7">
        <f t="shared" si="72"/>
        <v>0.75000000000000011</v>
      </c>
      <c r="Q904" s="7">
        <f t="shared" si="72"/>
        <v>5.5</v>
      </c>
      <c r="R904" s="6">
        <f t="shared" si="73"/>
        <v>1232.8030000000001</v>
      </c>
      <c r="S904" s="6">
        <f t="shared" si="75"/>
        <v>1.2167395020000001E-2</v>
      </c>
      <c r="T904" t="str">
        <f t="shared" si="74"/>
        <v>Cumaru T&amp;G V-Joint 2 sides 1x6 Long</v>
      </c>
    </row>
    <row r="905" spans="1:20" x14ac:dyDescent="0.25">
      <c r="A905" t="s">
        <v>531</v>
      </c>
      <c r="B905" t="s">
        <v>648</v>
      </c>
      <c r="C905" t="s">
        <v>524</v>
      </c>
      <c r="D905" t="s">
        <v>438</v>
      </c>
      <c r="E905" t="s">
        <v>1253</v>
      </c>
      <c r="F905" t="s">
        <v>1249</v>
      </c>
      <c r="G905" t="s">
        <v>531</v>
      </c>
      <c r="H905" t="s">
        <v>1250</v>
      </c>
      <c r="I905" t="s">
        <v>289</v>
      </c>
      <c r="J905" t="s">
        <v>344</v>
      </c>
      <c r="K905">
        <v>7</v>
      </c>
      <c r="L905" s="6">
        <v>2.1335999999999999</v>
      </c>
      <c r="M905" s="7">
        <v>19.05</v>
      </c>
      <c r="N905" s="7">
        <v>139.69999999999999</v>
      </c>
      <c r="O905" s="7">
        <f t="shared" si="71"/>
        <v>84</v>
      </c>
      <c r="P905" s="7">
        <f t="shared" si="72"/>
        <v>0.75000000000000011</v>
      </c>
      <c r="Q905" s="7">
        <f t="shared" si="72"/>
        <v>5.5</v>
      </c>
      <c r="R905" s="6">
        <f t="shared" si="73"/>
        <v>1232.8030000000001</v>
      </c>
      <c r="S905" s="6">
        <f t="shared" si="75"/>
        <v>5.6781176759999998E-3</v>
      </c>
      <c r="T905" t="str">
        <f t="shared" si="74"/>
        <v>Cumaru T&amp;G V-Joint 2 sides 1x6 Short</v>
      </c>
    </row>
    <row r="906" spans="1:20" x14ac:dyDescent="0.25">
      <c r="A906" t="s">
        <v>531</v>
      </c>
      <c r="B906" t="s">
        <v>648</v>
      </c>
      <c r="C906" t="s">
        <v>283</v>
      </c>
      <c r="D906" t="s">
        <v>438</v>
      </c>
      <c r="E906" t="s">
        <v>1254</v>
      </c>
      <c r="F906" t="s">
        <v>1249</v>
      </c>
      <c r="G906" t="s">
        <v>531</v>
      </c>
      <c r="H906" t="s">
        <v>1250</v>
      </c>
      <c r="I906" t="s">
        <v>289</v>
      </c>
      <c r="J906" t="s">
        <v>344</v>
      </c>
      <c r="K906">
        <v>9</v>
      </c>
      <c r="L906" s="6">
        <v>2.7431999999999999</v>
      </c>
      <c r="M906" s="7">
        <v>19.05</v>
      </c>
      <c r="N906" s="7">
        <v>139.69999999999999</v>
      </c>
      <c r="O906" s="7">
        <f t="shared" si="71"/>
        <v>108</v>
      </c>
      <c r="P906" s="7">
        <f t="shared" si="72"/>
        <v>0.75000000000000011</v>
      </c>
      <c r="Q906" s="7">
        <f t="shared" si="72"/>
        <v>5.5</v>
      </c>
      <c r="R906" s="6">
        <f t="shared" si="73"/>
        <v>1232.8030000000001</v>
      </c>
      <c r="S906" s="6">
        <f t="shared" si="75"/>
        <v>7.3004370119999999E-3</v>
      </c>
      <c r="T906" t="str">
        <f t="shared" si="74"/>
        <v>Cumaru T&amp;G V-Joint 2 sides 1x6 Long</v>
      </c>
    </row>
    <row r="907" spans="1:20" x14ac:dyDescent="0.25">
      <c r="A907" t="s">
        <v>531</v>
      </c>
      <c r="B907" t="s">
        <v>1255</v>
      </c>
      <c r="C907" t="s">
        <v>1256</v>
      </c>
      <c r="D907" t="s">
        <v>438</v>
      </c>
      <c r="E907" t="s">
        <v>123</v>
      </c>
      <c r="F907" t="s">
        <v>1257</v>
      </c>
      <c r="G907" t="s">
        <v>531</v>
      </c>
      <c r="H907" t="s">
        <v>1256</v>
      </c>
      <c r="I907" t="s">
        <v>289</v>
      </c>
      <c r="J907" t="s">
        <v>1258</v>
      </c>
      <c r="K907">
        <v>24</v>
      </c>
      <c r="L907" s="6">
        <v>0.60640000000000005</v>
      </c>
      <c r="M907" s="7">
        <v>19</v>
      </c>
      <c r="N907" s="7">
        <v>71</v>
      </c>
      <c r="O907" s="7">
        <f t="shared" si="71"/>
        <v>23.8740157480315</v>
      </c>
      <c r="P907" s="7">
        <f t="shared" si="72"/>
        <v>0.74803149606299213</v>
      </c>
      <c r="Q907" s="7">
        <f t="shared" si="72"/>
        <v>2.7952755905511815</v>
      </c>
      <c r="R907" s="6">
        <f t="shared" si="73"/>
        <v>2432.0529999999999</v>
      </c>
      <c r="S907" s="6">
        <f t="shared" si="75"/>
        <v>8.1803360000000012E-4</v>
      </c>
      <c r="T907" t="str">
        <f t="shared" si="74"/>
        <v>Cumaru Tiles 24x24 Tiles</v>
      </c>
    </row>
    <row r="908" spans="1:20" x14ac:dyDescent="0.25">
      <c r="A908" t="s">
        <v>531</v>
      </c>
      <c r="B908" t="s">
        <v>1259</v>
      </c>
      <c r="C908" t="s">
        <v>1256</v>
      </c>
      <c r="D908" t="s">
        <v>438</v>
      </c>
      <c r="E908" t="s">
        <v>1260</v>
      </c>
      <c r="F908" t="s">
        <v>1261</v>
      </c>
      <c r="G908" t="s">
        <v>531</v>
      </c>
      <c r="H908" t="s">
        <v>1256</v>
      </c>
      <c r="I908" t="s">
        <v>289</v>
      </c>
      <c r="J908" t="s">
        <v>1262</v>
      </c>
      <c r="K908">
        <v>48</v>
      </c>
      <c r="L908" s="6">
        <v>1.2192000000000001</v>
      </c>
      <c r="M908" s="7">
        <v>19</v>
      </c>
      <c r="N908" s="7">
        <v>71</v>
      </c>
      <c r="O908" s="7">
        <f t="shared" si="71"/>
        <v>48.000000000000007</v>
      </c>
      <c r="P908" s="7">
        <f t="shared" si="72"/>
        <v>0.74803149606299213</v>
      </c>
      <c r="Q908" s="7">
        <f t="shared" si="72"/>
        <v>2.7952755905511815</v>
      </c>
      <c r="R908" s="6">
        <f t="shared" si="73"/>
        <v>2432.0529999999999</v>
      </c>
      <c r="S908" s="6">
        <f t="shared" si="75"/>
        <v>1.6447007999999999E-3</v>
      </c>
      <c r="T908" t="str">
        <f t="shared" si="74"/>
        <v>Cumaru Tiles 24x48 Tiles</v>
      </c>
    </row>
    <row r="909" spans="1:20" x14ac:dyDescent="0.25">
      <c r="A909" t="s">
        <v>1263</v>
      </c>
      <c r="B909" t="s">
        <v>1264</v>
      </c>
      <c r="C909" t="s">
        <v>283</v>
      </c>
      <c r="D909" t="s">
        <v>438</v>
      </c>
      <c r="E909" t="s">
        <v>1265</v>
      </c>
      <c r="F909" t="s">
        <v>1266</v>
      </c>
      <c r="G909" t="s">
        <v>1263</v>
      </c>
      <c r="H909" t="s">
        <v>373</v>
      </c>
      <c r="I909" t="s">
        <v>289</v>
      </c>
      <c r="J909" t="s">
        <v>637</v>
      </c>
      <c r="K909">
        <v>10</v>
      </c>
      <c r="L909" s="6">
        <f t="shared" ref="L909:L928" si="76">K909*0.3048</f>
        <v>3.048</v>
      </c>
      <c r="M909" s="7">
        <v>21</v>
      </c>
      <c r="N909" s="7">
        <v>145</v>
      </c>
      <c r="O909" s="7">
        <f t="shared" si="71"/>
        <v>120</v>
      </c>
      <c r="P909" s="7">
        <f t="shared" si="72"/>
        <v>0.82677165354330717</v>
      </c>
      <c r="Q909" s="7">
        <f t="shared" si="72"/>
        <v>5.7086614173228352</v>
      </c>
      <c r="R909" s="6">
        <f t="shared" si="73"/>
        <v>1077.452</v>
      </c>
      <c r="S909" s="6">
        <f t="shared" si="75"/>
        <v>9.2811600000000001E-3</v>
      </c>
      <c r="T909" t="str">
        <f t="shared" si="74"/>
        <v>Garapa S4S E4E 1x6 Plus Long</v>
      </c>
    </row>
    <row r="910" spans="1:20" x14ac:dyDescent="0.25">
      <c r="A910" t="s">
        <v>1263</v>
      </c>
      <c r="B910" t="s">
        <v>1264</v>
      </c>
      <c r="C910" t="s">
        <v>283</v>
      </c>
      <c r="D910" t="s">
        <v>438</v>
      </c>
      <c r="E910" t="s">
        <v>1267</v>
      </c>
      <c r="F910" t="s">
        <v>1266</v>
      </c>
      <c r="G910" t="s">
        <v>1263</v>
      </c>
      <c r="H910" t="s">
        <v>373</v>
      </c>
      <c r="I910" t="s">
        <v>289</v>
      </c>
      <c r="J910" t="s">
        <v>637</v>
      </c>
      <c r="K910">
        <v>11</v>
      </c>
      <c r="L910" s="6">
        <f t="shared" si="76"/>
        <v>3.3528000000000002</v>
      </c>
      <c r="M910" s="7">
        <v>21</v>
      </c>
      <c r="N910" s="7">
        <v>145</v>
      </c>
      <c r="O910" s="7">
        <f t="shared" si="71"/>
        <v>132</v>
      </c>
      <c r="P910" s="7">
        <f t="shared" si="72"/>
        <v>0.82677165354330717</v>
      </c>
      <c r="Q910" s="7">
        <f t="shared" si="72"/>
        <v>5.7086614173228352</v>
      </c>
      <c r="R910" s="6">
        <f t="shared" si="73"/>
        <v>1077.452</v>
      </c>
      <c r="S910" s="6">
        <f t="shared" si="75"/>
        <v>1.0209276E-2</v>
      </c>
      <c r="T910" t="str">
        <f t="shared" si="74"/>
        <v>Garapa S4S E4E 1x6 Plus Long</v>
      </c>
    </row>
    <row r="911" spans="1:20" x14ac:dyDescent="0.25">
      <c r="A911" t="s">
        <v>1263</v>
      </c>
      <c r="B911" t="s">
        <v>1264</v>
      </c>
      <c r="C911" t="s">
        <v>283</v>
      </c>
      <c r="D911" t="s">
        <v>438</v>
      </c>
      <c r="E911" t="s">
        <v>1268</v>
      </c>
      <c r="F911" t="s">
        <v>1266</v>
      </c>
      <c r="G911" t="s">
        <v>1263</v>
      </c>
      <c r="H911" t="s">
        <v>373</v>
      </c>
      <c r="I911" t="s">
        <v>289</v>
      </c>
      <c r="J911" t="s">
        <v>637</v>
      </c>
      <c r="K911">
        <v>12</v>
      </c>
      <c r="L911" s="6">
        <f t="shared" si="76"/>
        <v>3.6576000000000004</v>
      </c>
      <c r="M911" s="7">
        <v>21</v>
      </c>
      <c r="N911" s="7">
        <v>145</v>
      </c>
      <c r="O911" s="7">
        <f t="shared" si="71"/>
        <v>144.00000000000003</v>
      </c>
      <c r="P911" s="7">
        <f t="shared" si="72"/>
        <v>0.82677165354330717</v>
      </c>
      <c r="Q911" s="7">
        <f t="shared" si="72"/>
        <v>5.7086614173228352</v>
      </c>
      <c r="R911" s="6">
        <f t="shared" si="73"/>
        <v>1077.452</v>
      </c>
      <c r="S911" s="6">
        <f t="shared" si="75"/>
        <v>1.1137391999999999E-2</v>
      </c>
      <c r="T911" t="str">
        <f t="shared" si="74"/>
        <v>Garapa S4S E4E 1x6 Plus Long</v>
      </c>
    </row>
    <row r="912" spans="1:20" x14ac:dyDescent="0.25">
      <c r="A912" t="s">
        <v>1263</v>
      </c>
      <c r="B912" t="s">
        <v>1264</v>
      </c>
      <c r="C912" t="s">
        <v>283</v>
      </c>
      <c r="D912" t="s">
        <v>438</v>
      </c>
      <c r="E912" t="s">
        <v>1269</v>
      </c>
      <c r="F912" t="s">
        <v>1266</v>
      </c>
      <c r="G912" t="s">
        <v>1263</v>
      </c>
      <c r="H912" t="s">
        <v>373</v>
      </c>
      <c r="I912" t="s">
        <v>289</v>
      </c>
      <c r="J912" t="s">
        <v>637</v>
      </c>
      <c r="K912">
        <v>13</v>
      </c>
      <c r="L912" s="6">
        <f t="shared" si="76"/>
        <v>3.9624000000000001</v>
      </c>
      <c r="M912" s="7">
        <v>21</v>
      </c>
      <c r="N912" s="7">
        <v>145</v>
      </c>
      <c r="O912" s="7">
        <f t="shared" si="71"/>
        <v>156</v>
      </c>
      <c r="P912" s="7">
        <f t="shared" si="72"/>
        <v>0.82677165354330717</v>
      </c>
      <c r="Q912" s="7">
        <f t="shared" si="72"/>
        <v>5.7086614173228352</v>
      </c>
      <c r="R912" s="6">
        <f t="shared" si="73"/>
        <v>1077.452</v>
      </c>
      <c r="S912" s="6">
        <f t="shared" si="75"/>
        <v>1.2065508000000001E-2</v>
      </c>
      <c r="T912" t="str">
        <f t="shared" si="74"/>
        <v>Garapa S4S E4E 1x6 Plus Long</v>
      </c>
    </row>
    <row r="913" spans="1:20" x14ac:dyDescent="0.25">
      <c r="A913" t="s">
        <v>1263</v>
      </c>
      <c r="B913" t="s">
        <v>1264</v>
      </c>
      <c r="C913" t="s">
        <v>283</v>
      </c>
      <c r="D913" t="s">
        <v>438</v>
      </c>
      <c r="E913" t="s">
        <v>1270</v>
      </c>
      <c r="F913" t="s">
        <v>1266</v>
      </c>
      <c r="G913" t="s">
        <v>1263</v>
      </c>
      <c r="H913" t="s">
        <v>373</v>
      </c>
      <c r="I913" t="s">
        <v>289</v>
      </c>
      <c r="J913" t="s">
        <v>637</v>
      </c>
      <c r="K913">
        <v>14</v>
      </c>
      <c r="L913" s="6">
        <f t="shared" si="76"/>
        <v>4.2671999999999999</v>
      </c>
      <c r="M913" s="7">
        <v>21</v>
      </c>
      <c r="N913" s="7">
        <v>145</v>
      </c>
      <c r="O913" s="7">
        <f t="shared" si="71"/>
        <v>168</v>
      </c>
      <c r="P913" s="7">
        <f t="shared" si="72"/>
        <v>0.82677165354330717</v>
      </c>
      <c r="Q913" s="7">
        <f t="shared" si="72"/>
        <v>5.7086614173228352</v>
      </c>
      <c r="R913" s="6">
        <f t="shared" si="73"/>
        <v>1077.452</v>
      </c>
      <c r="S913" s="6">
        <f t="shared" si="75"/>
        <v>1.2993624E-2</v>
      </c>
      <c r="T913" t="str">
        <f t="shared" si="74"/>
        <v>Garapa S4S E4E 1x6 Plus Long</v>
      </c>
    </row>
    <row r="914" spans="1:20" x14ac:dyDescent="0.25">
      <c r="A914" t="s">
        <v>1263</v>
      </c>
      <c r="B914" t="s">
        <v>1264</v>
      </c>
      <c r="C914" t="s">
        <v>283</v>
      </c>
      <c r="D914" t="s">
        <v>438</v>
      </c>
      <c r="E914" t="s">
        <v>1271</v>
      </c>
      <c r="F914" t="s">
        <v>1266</v>
      </c>
      <c r="G914" t="s">
        <v>1263</v>
      </c>
      <c r="H914" t="s">
        <v>373</v>
      </c>
      <c r="I914" t="s">
        <v>289</v>
      </c>
      <c r="J914" t="s">
        <v>637</v>
      </c>
      <c r="K914">
        <v>15</v>
      </c>
      <c r="L914" s="6">
        <f t="shared" si="76"/>
        <v>4.5720000000000001</v>
      </c>
      <c r="M914" s="7">
        <v>21</v>
      </c>
      <c r="N914" s="7">
        <v>145</v>
      </c>
      <c r="O914" s="7">
        <f t="shared" si="71"/>
        <v>180</v>
      </c>
      <c r="P914" s="7">
        <f t="shared" si="72"/>
        <v>0.82677165354330717</v>
      </c>
      <c r="Q914" s="7">
        <f t="shared" si="72"/>
        <v>5.7086614173228352</v>
      </c>
      <c r="R914" s="6">
        <f t="shared" si="73"/>
        <v>1077.452</v>
      </c>
      <c r="S914" s="6">
        <f t="shared" si="75"/>
        <v>1.392174E-2</v>
      </c>
      <c r="T914" t="str">
        <f t="shared" si="74"/>
        <v>Garapa S4S E4E 1x6 Plus Long</v>
      </c>
    </row>
    <row r="915" spans="1:20" x14ac:dyDescent="0.25">
      <c r="A915" t="s">
        <v>1263</v>
      </c>
      <c r="B915" t="s">
        <v>1264</v>
      </c>
      <c r="C915" t="s">
        <v>283</v>
      </c>
      <c r="D915" t="s">
        <v>438</v>
      </c>
      <c r="E915" t="s">
        <v>1272</v>
      </c>
      <c r="F915" t="s">
        <v>1266</v>
      </c>
      <c r="G915" t="s">
        <v>1263</v>
      </c>
      <c r="H915" t="s">
        <v>373</v>
      </c>
      <c r="I915" t="s">
        <v>289</v>
      </c>
      <c r="J915" t="s">
        <v>637</v>
      </c>
      <c r="K915">
        <v>16</v>
      </c>
      <c r="L915" s="6">
        <f t="shared" si="76"/>
        <v>4.8768000000000002</v>
      </c>
      <c r="M915" s="7">
        <v>21</v>
      </c>
      <c r="N915" s="7">
        <v>145</v>
      </c>
      <c r="O915" s="7">
        <f t="shared" si="71"/>
        <v>192.00000000000003</v>
      </c>
      <c r="P915" s="7">
        <f t="shared" si="72"/>
        <v>0.82677165354330717</v>
      </c>
      <c r="Q915" s="7">
        <f t="shared" si="72"/>
        <v>5.7086614173228352</v>
      </c>
      <c r="R915" s="6">
        <f t="shared" si="73"/>
        <v>1077.452</v>
      </c>
      <c r="S915" s="6">
        <f t="shared" si="75"/>
        <v>1.4849856E-2</v>
      </c>
      <c r="T915" t="str">
        <f t="shared" si="74"/>
        <v>Garapa S4S E4E 1x6 Plus Long</v>
      </c>
    </row>
    <row r="916" spans="1:20" x14ac:dyDescent="0.25">
      <c r="A916" t="s">
        <v>1263</v>
      </c>
      <c r="B916" t="s">
        <v>1264</v>
      </c>
      <c r="C916" t="s">
        <v>283</v>
      </c>
      <c r="D916" t="s">
        <v>438</v>
      </c>
      <c r="E916" t="s">
        <v>1273</v>
      </c>
      <c r="F916" t="s">
        <v>1266</v>
      </c>
      <c r="G916" t="s">
        <v>1263</v>
      </c>
      <c r="H916" t="s">
        <v>373</v>
      </c>
      <c r="I916" t="s">
        <v>289</v>
      </c>
      <c r="J916" t="s">
        <v>637</v>
      </c>
      <c r="K916">
        <v>17</v>
      </c>
      <c r="L916" s="6">
        <f t="shared" si="76"/>
        <v>5.1816000000000004</v>
      </c>
      <c r="M916" s="7">
        <v>21</v>
      </c>
      <c r="N916" s="7">
        <v>145</v>
      </c>
      <c r="O916" s="7">
        <f t="shared" si="71"/>
        <v>204.00000000000003</v>
      </c>
      <c r="P916" s="7">
        <f t="shared" si="72"/>
        <v>0.82677165354330717</v>
      </c>
      <c r="Q916" s="7">
        <f t="shared" si="72"/>
        <v>5.7086614173228352</v>
      </c>
      <c r="R916" s="6">
        <f t="shared" si="73"/>
        <v>1077.452</v>
      </c>
      <c r="S916" s="6">
        <f t="shared" si="75"/>
        <v>1.5777972000000001E-2</v>
      </c>
      <c r="T916" t="str">
        <f t="shared" si="74"/>
        <v>Garapa S4S E4E 1x6 Plus Long</v>
      </c>
    </row>
    <row r="917" spans="1:20" x14ac:dyDescent="0.25">
      <c r="A917" t="s">
        <v>1263</v>
      </c>
      <c r="B917" t="s">
        <v>1264</v>
      </c>
      <c r="C917" t="s">
        <v>283</v>
      </c>
      <c r="D917" t="s">
        <v>438</v>
      </c>
      <c r="E917" t="s">
        <v>1274</v>
      </c>
      <c r="F917" t="s">
        <v>1266</v>
      </c>
      <c r="G917" t="s">
        <v>1263</v>
      </c>
      <c r="H917" t="s">
        <v>373</v>
      </c>
      <c r="I917" t="s">
        <v>289</v>
      </c>
      <c r="J917" t="s">
        <v>637</v>
      </c>
      <c r="K917">
        <v>18</v>
      </c>
      <c r="L917" s="6">
        <f t="shared" si="76"/>
        <v>5.4864000000000006</v>
      </c>
      <c r="M917" s="7">
        <v>21</v>
      </c>
      <c r="N917" s="7">
        <v>145</v>
      </c>
      <c r="O917" s="7">
        <f t="shared" si="71"/>
        <v>216.00000000000003</v>
      </c>
      <c r="P917" s="7">
        <f t="shared" si="72"/>
        <v>0.82677165354330717</v>
      </c>
      <c r="Q917" s="7">
        <f t="shared" si="72"/>
        <v>5.7086614173228352</v>
      </c>
      <c r="R917" s="6">
        <f t="shared" si="73"/>
        <v>1077.452</v>
      </c>
      <c r="S917" s="6">
        <f t="shared" si="75"/>
        <v>1.6706088000000001E-2</v>
      </c>
      <c r="T917" t="str">
        <f t="shared" si="74"/>
        <v>Garapa S4S E4E 1x6 Plus Long</v>
      </c>
    </row>
    <row r="918" spans="1:20" x14ac:dyDescent="0.25">
      <c r="A918" t="s">
        <v>1263</v>
      </c>
      <c r="B918" t="s">
        <v>1264</v>
      </c>
      <c r="C918" t="s">
        <v>283</v>
      </c>
      <c r="D918" t="s">
        <v>438</v>
      </c>
      <c r="E918" t="s">
        <v>1275</v>
      </c>
      <c r="F918" t="s">
        <v>1266</v>
      </c>
      <c r="G918" t="s">
        <v>1263</v>
      </c>
      <c r="H918" t="s">
        <v>373</v>
      </c>
      <c r="I918" t="s">
        <v>289</v>
      </c>
      <c r="J918" t="s">
        <v>637</v>
      </c>
      <c r="K918">
        <v>19</v>
      </c>
      <c r="L918" s="6">
        <f t="shared" si="76"/>
        <v>5.7911999999999999</v>
      </c>
      <c r="M918" s="7">
        <v>21</v>
      </c>
      <c r="N918" s="7">
        <v>145</v>
      </c>
      <c r="O918" s="7">
        <f t="shared" si="71"/>
        <v>228</v>
      </c>
      <c r="P918" s="7">
        <f t="shared" si="72"/>
        <v>0.82677165354330717</v>
      </c>
      <c r="Q918" s="7">
        <f t="shared" si="72"/>
        <v>5.7086614173228352</v>
      </c>
      <c r="R918" s="6">
        <f t="shared" si="73"/>
        <v>1077.452</v>
      </c>
      <c r="S918" s="6">
        <f t="shared" si="75"/>
        <v>1.7634204000000001E-2</v>
      </c>
      <c r="T918" t="str">
        <f t="shared" si="74"/>
        <v>Garapa S4S E4E 1x6 Plus Long</v>
      </c>
    </row>
    <row r="919" spans="1:20" x14ac:dyDescent="0.25">
      <c r="A919" t="s">
        <v>1263</v>
      </c>
      <c r="B919" t="s">
        <v>1264</v>
      </c>
      <c r="C919" t="s">
        <v>283</v>
      </c>
      <c r="D919" t="s">
        <v>438</v>
      </c>
      <c r="E919" t="s">
        <v>1276</v>
      </c>
      <c r="F919" t="s">
        <v>1266</v>
      </c>
      <c r="G919" t="s">
        <v>1263</v>
      </c>
      <c r="H919" t="s">
        <v>373</v>
      </c>
      <c r="I919" t="s">
        <v>289</v>
      </c>
      <c r="J919" t="s">
        <v>637</v>
      </c>
      <c r="K919">
        <v>20</v>
      </c>
      <c r="L919" s="6">
        <f t="shared" si="76"/>
        <v>6.0960000000000001</v>
      </c>
      <c r="M919" s="7">
        <v>21</v>
      </c>
      <c r="N919" s="7">
        <v>145</v>
      </c>
      <c r="O919" s="7">
        <f t="shared" si="71"/>
        <v>240</v>
      </c>
      <c r="P919" s="7">
        <f t="shared" si="72"/>
        <v>0.82677165354330717</v>
      </c>
      <c r="Q919" s="7">
        <f t="shared" si="72"/>
        <v>5.7086614173228352</v>
      </c>
      <c r="R919" s="6">
        <f t="shared" si="73"/>
        <v>1077.452</v>
      </c>
      <c r="S919" s="6">
        <f t="shared" si="75"/>
        <v>1.856232E-2</v>
      </c>
      <c r="T919" t="str">
        <f t="shared" si="74"/>
        <v>Garapa S4S E4E 1x6 Plus Long</v>
      </c>
    </row>
    <row r="920" spans="1:20" x14ac:dyDescent="0.25">
      <c r="A920" t="s">
        <v>1263</v>
      </c>
      <c r="B920" t="s">
        <v>1264</v>
      </c>
      <c r="C920" t="s">
        <v>283</v>
      </c>
      <c r="D920" t="s">
        <v>438</v>
      </c>
      <c r="E920" t="s">
        <v>1277</v>
      </c>
      <c r="F920" t="s">
        <v>1266</v>
      </c>
      <c r="G920" t="s">
        <v>1263</v>
      </c>
      <c r="H920" t="s">
        <v>373</v>
      </c>
      <c r="I920" t="s">
        <v>289</v>
      </c>
      <c r="J920" t="s">
        <v>637</v>
      </c>
      <c r="K920">
        <v>21</v>
      </c>
      <c r="L920" s="6">
        <f t="shared" si="76"/>
        <v>6.4008000000000003</v>
      </c>
      <c r="M920" s="7">
        <v>21</v>
      </c>
      <c r="N920" s="7">
        <v>145</v>
      </c>
      <c r="O920" s="7">
        <f t="shared" si="71"/>
        <v>252.00000000000003</v>
      </c>
      <c r="P920" s="7">
        <f t="shared" si="72"/>
        <v>0.82677165354330717</v>
      </c>
      <c r="Q920" s="7">
        <f t="shared" si="72"/>
        <v>5.7086614173228352</v>
      </c>
      <c r="R920" s="6">
        <f t="shared" si="73"/>
        <v>1077.452</v>
      </c>
      <c r="S920" s="6">
        <f t="shared" si="75"/>
        <v>1.9490436E-2</v>
      </c>
      <c r="T920" t="str">
        <f t="shared" si="74"/>
        <v>Garapa S4S E4E 1x6 Plus Long</v>
      </c>
    </row>
    <row r="921" spans="1:20" x14ac:dyDescent="0.25">
      <c r="A921" t="s">
        <v>1263</v>
      </c>
      <c r="B921" t="s">
        <v>1264</v>
      </c>
      <c r="C921" t="s">
        <v>283</v>
      </c>
      <c r="D921" t="s">
        <v>438</v>
      </c>
      <c r="E921" t="s">
        <v>1278</v>
      </c>
      <c r="F921" t="s">
        <v>1266</v>
      </c>
      <c r="G921" t="s">
        <v>1263</v>
      </c>
      <c r="H921" t="s">
        <v>373</v>
      </c>
      <c r="I921" t="s">
        <v>289</v>
      </c>
      <c r="J921" t="s">
        <v>637</v>
      </c>
      <c r="K921">
        <v>22</v>
      </c>
      <c r="L921" s="6">
        <f t="shared" si="76"/>
        <v>6.7056000000000004</v>
      </c>
      <c r="M921" s="7">
        <v>21</v>
      </c>
      <c r="N921" s="7">
        <v>145</v>
      </c>
      <c r="O921" s="7">
        <f t="shared" si="71"/>
        <v>264</v>
      </c>
      <c r="P921" s="7">
        <f t="shared" si="72"/>
        <v>0.82677165354330717</v>
      </c>
      <c r="Q921" s="7">
        <f t="shared" si="72"/>
        <v>5.7086614173228352</v>
      </c>
      <c r="R921" s="6">
        <f t="shared" si="73"/>
        <v>1077.452</v>
      </c>
      <c r="S921" s="6">
        <f t="shared" si="75"/>
        <v>2.0418552E-2</v>
      </c>
      <c r="T921" t="str">
        <f t="shared" si="74"/>
        <v>Garapa S4S E4E 1x6 Plus Long</v>
      </c>
    </row>
    <row r="922" spans="1:20" x14ac:dyDescent="0.25">
      <c r="A922" t="s">
        <v>1263</v>
      </c>
      <c r="B922" t="s">
        <v>1264</v>
      </c>
      <c r="C922" t="s">
        <v>524</v>
      </c>
      <c r="D922" t="s">
        <v>438</v>
      </c>
      <c r="E922" t="s">
        <v>1279</v>
      </c>
      <c r="F922" t="s">
        <v>1266</v>
      </c>
      <c r="G922" t="s">
        <v>1263</v>
      </c>
      <c r="H922" t="s">
        <v>373</v>
      </c>
      <c r="I922" t="s">
        <v>289</v>
      </c>
      <c r="J922" t="s">
        <v>637</v>
      </c>
      <c r="K922">
        <v>3</v>
      </c>
      <c r="L922" s="6">
        <f t="shared" si="76"/>
        <v>0.9144000000000001</v>
      </c>
      <c r="M922" s="7">
        <v>21</v>
      </c>
      <c r="N922" s="7">
        <v>145</v>
      </c>
      <c r="O922" s="7">
        <f t="shared" si="71"/>
        <v>36.000000000000007</v>
      </c>
      <c r="P922" s="7">
        <f t="shared" si="72"/>
        <v>0.82677165354330717</v>
      </c>
      <c r="Q922" s="7">
        <f t="shared" si="72"/>
        <v>5.7086614173228352</v>
      </c>
      <c r="R922" s="6">
        <f t="shared" si="73"/>
        <v>1077.452</v>
      </c>
      <c r="S922" s="6">
        <f t="shared" si="75"/>
        <v>2.7843479999999999E-3</v>
      </c>
      <c r="T922" t="str">
        <f t="shared" si="74"/>
        <v>Garapa S4S E4E 1x6 Plus Short</v>
      </c>
    </row>
    <row r="923" spans="1:20" x14ac:dyDescent="0.25">
      <c r="A923" t="s">
        <v>1263</v>
      </c>
      <c r="B923" t="s">
        <v>1264</v>
      </c>
      <c r="C923" t="s">
        <v>524</v>
      </c>
      <c r="D923" t="s">
        <v>438</v>
      </c>
      <c r="E923" t="s">
        <v>1280</v>
      </c>
      <c r="F923" t="s">
        <v>1266</v>
      </c>
      <c r="G923" t="s">
        <v>1263</v>
      </c>
      <c r="H923" t="s">
        <v>373</v>
      </c>
      <c r="I923" t="s">
        <v>289</v>
      </c>
      <c r="J923" t="s">
        <v>637</v>
      </c>
      <c r="K923">
        <v>4</v>
      </c>
      <c r="L923" s="6">
        <f t="shared" si="76"/>
        <v>1.2192000000000001</v>
      </c>
      <c r="M923" s="7">
        <v>21</v>
      </c>
      <c r="N923" s="7">
        <v>145</v>
      </c>
      <c r="O923" s="7">
        <f t="shared" si="71"/>
        <v>48.000000000000007</v>
      </c>
      <c r="P923" s="7">
        <f t="shared" si="72"/>
        <v>0.82677165354330717</v>
      </c>
      <c r="Q923" s="7">
        <f t="shared" si="72"/>
        <v>5.7086614173228352</v>
      </c>
      <c r="R923" s="6">
        <f t="shared" si="73"/>
        <v>1077.452</v>
      </c>
      <c r="S923" s="6">
        <f t="shared" si="75"/>
        <v>3.712464E-3</v>
      </c>
      <c r="T923" t="str">
        <f t="shared" si="74"/>
        <v>Garapa S4S E4E 1x6 Plus Short</v>
      </c>
    </row>
    <row r="924" spans="1:20" x14ac:dyDescent="0.25">
      <c r="A924" t="s">
        <v>1263</v>
      </c>
      <c r="B924" t="s">
        <v>1264</v>
      </c>
      <c r="C924" t="s">
        <v>524</v>
      </c>
      <c r="D924" t="s">
        <v>438</v>
      </c>
      <c r="E924" t="s">
        <v>1281</v>
      </c>
      <c r="F924" t="s">
        <v>1266</v>
      </c>
      <c r="G924" t="s">
        <v>1263</v>
      </c>
      <c r="H924" t="s">
        <v>373</v>
      </c>
      <c r="I924" t="s">
        <v>289</v>
      </c>
      <c r="J924" t="s">
        <v>637</v>
      </c>
      <c r="K924">
        <v>5</v>
      </c>
      <c r="L924" s="6">
        <f t="shared" si="76"/>
        <v>1.524</v>
      </c>
      <c r="M924" s="7">
        <v>21</v>
      </c>
      <c r="N924" s="7">
        <v>145</v>
      </c>
      <c r="O924" s="7">
        <f t="shared" si="71"/>
        <v>60</v>
      </c>
      <c r="P924" s="7">
        <f t="shared" si="72"/>
        <v>0.82677165354330717</v>
      </c>
      <c r="Q924" s="7">
        <f t="shared" si="72"/>
        <v>5.7086614173228352</v>
      </c>
      <c r="R924" s="6">
        <f t="shared" si="73"/>
        <v>1077.452</v>
      </c>
      <c r="S924" s="6">
        <f t="shared" si="75"/>
        <v>4.6405800000000001E-3</v>
      </c>
      <c r="T924" t="str">
        <f t="shared" si="74"/>
        <v>Garapa S4S E4E 1x6 Plus Short</v>
      </c>
    </row>
    <row r="925" spans="1:20" x14ac:dyDescent="0.25">
      <c r="A925" t="s">
        <v>1263</v>
      </c>
      <c r="B925" t="s">
        <v>1264</v>
      </c>
      <c r="C925" t="s">
        <v>524</v>
      </c>
      <c r="D925" t="s">
        <v>438</v>
      </c>
      <c r="E925" t="s">
        <v>1282</v>
      </c>
      <c r="F925" t="s">
        <v>1266</v>
      </c>
      <c r="G925" t="s">
        <v>1263</v>
      </c>
      <c r="H925" t="s">
        <v>373</v>
      </c>
      <c r="I925" t="s">
        <v>289</v>
      </c>
      <c r="J925" t="s">
        <v>637</v>
      </c>
      <c r="K925">
        <v>6</v>
      </c>
      <c r="L925" s="6">
        <f t="shared" si="76"/>
        <v>1.8288000000000002</v>
      </c>
      <c r="M925" s="7">
        <v>21</v>
      </c>
      <c r="N925" s="7">
        <v>145</v>
      </c>
      <c r="O925" s="7">
        <f t="shared" si="71"/>
        <v>72.000000000000014</v>
      </c>
      <c r="P925" s="7">
        <f t="shared" si="72"/>
        <v>0.82677165354330717</v>
      </c>
      <c r="Q925" s="7">
        <f t="shared" si="72"/>
        <v>5.7086614173228352</v>
      </c>
      <c r="R925" s="6">
        <f t="shared" si="73"/>
        <v>1077.452</v>
      </c>
      <c r="S925" s="6">
        <f t="shared" si="75"/>
        <v>5.5686959999999997E-3</v>
      </c>
      <c r="T925" t="str">
        <f t="shared" si="74"/>
        <v>Garapa S4S E4E 1x6 Plus Short</v>
      </c>
    </row>
    <row r="926" spans="1:20" x14ac:dyDescent="0.25">
      <c r="A926" t="s">
        <v>1263</v>
      </c>
      <c r="B926" t="s">
        <v>1264</v>
      </c>
      <c r="C926" t="s">
        <v>524</v>
      </c>
      <c r="D926" t="s">
        <v>438</v>
      </c>
      <c r="E926" t="s">
        <v>1283</v>
      </c>
      <c r="F926" t="s">
        <v>1266</v>
      </c>
      <c r="G926" t="s">
        <v>1263</v>
      </c>
      <c r="H926" t="s">
        <v>373</v>
      </c>
      <c r="I926" t="s">
        <v>289</v>
      </c>
      <c r="J926" t="s">
        <v>637</v>
      </c>
      <c r="K926">
        <v>7</v>
      </c>
      <c r="L926" s="6">
        <f t="shared" si="76"/>
        <v>2.1335999999999999</v>
      </c>
      <c r="M926" s="7">
        <v>21</v>
      </c>
      <c r="N926" s="7">
        <v>145</v>
      </c>
      <c r="O926" s="7">
        <f t="shared" si="71"/>
        <v>84</v>
      </c>
      <c r="P926" s="7">
        <f t="shared" si="72"/>
        <v>0.82677165354330717</v>
      </c>
      <c r="Q926" s="7">
        <f t="shared" si="72"/>
        <v>5.7086614173228352</v>
      </c>
      <c r="R926" s="6">
        <f t="shared" si="73"/>
        <v>1077.452</v>
      </c>
      <c r="S926" s="6">
        <f t="shared" si="75"/>
        <v>6.4968120000000002E-3</v>
      </c>
      <c r="T926" t="str">
        <f t="shared" si="74"/>
        <v>Garapa S4S E4E 1x6 Plus Short</v>
      </c>
    </row>
    <row r="927" spans="1:20" x14ac:dyDescent="0.25">
      <c r="A927" t="s">
        <v>1263</v>
      </c>
      <c r="B927" t="s">
        <v>1264</v>
      </c>
      <c r="C927" t="s">
        <v>283</v>
      </c>
      <c r="D927" t="s">
        <v>438</v>
      </c>
      <c r="E927" t="s">
        <v>1284</v>
      </c>
      <c r="F927" t="s">
        <v>1266</v>
      </c>
      <c r="G927" t="s">
        <v>1263</v>
      </c>
      <c r="H927" t="s">
        <v>373</v>
      </c>
      <c r="I927" t="s">
        <v>289</v>
      </c>
      <c r="J927" t="s">
        <v>637</v>
      </c>
      <c r="K927">
        <v>8</v>
      </c>
      <c r="L927" s="6">
        <f t="shared" si="76"/>
        <v>2.4384000000000001</v>
      </c>
      <c r="M927" s="7">
        <v>21</v>
      </c>
      <c r="N927" s="7">
        <v>145</v>
      </c>
      <c r="O927" s="7">
        <f t="shared" si="71"/>
        <v>96.000000000000014</v>
      </c>
      <c r="P927" s="7">
        <f t="shared" si="72"/>
        <v>0.82677165354330717</v>
      </c>
      <c r="Q927" s="7">
        <f t="shared" si="72"/>
        <v>5.7086614173228352</v>
      </c>
      <c r="R927" s="6">
        <f t="shared" si="73"/>
        <v>1077.452</v>
      </c>
      <c r="S927" s="6">
        <f t="shared" si="75"/>
        <v>7.4249279999999999E-3</v>
      </c>
      <c r="T927" t="str">
        <f t="shared" si="74"/>
        <v>Garapa S4S E4E 1x6 Plus Long</v>
      </c>
    </row>
    <row r="928" spans="1:20" x14ac:dyDescent="0.25">
      <c r="A928" t="s">
        <v>1263</v>
      </c>
      <c r="B928" t="s">
        <v>1264</v>
      </c>
      <c r="C928" t="s">
        <v>283</v>
      </c>
      <c r="D928" t="s">
        <v>438</v>
      </c>
      <c r="E928" t="s">
        <v>1285</v>
      </c>
      <c r="F928" t="s">
        <v>1266</v>
      </c>
      <c r="G928" t="s">
        <v>1263</v>
      </c>
      <c r="H928" t="s">
        <v>373</v>
      </c>
      <c r="I928" t="s">
        <v>289</v>
      </c>
      <c r="J928" t="s">
        <v>637</v>
      </c>
      <c r="K928">
        <v>9</v>
      </c>
      <c r="L928" s="6">
        <f t="shared" si="76"/>
        <v>2.7432000000000003</v>
      </c>
      <c r="M928" s="7">
        <v>21</v>
      </c>
      <c r="N928" s="7">
        <v>145</v>
      </c>
      <c r="O928" s="7">
        <f t="shared" si="71"/>
        <v>108.00000000000001</v>
      </c>
      <c r="P928" s="7">
        <f t="shared" si="72"/>
        <v>0.82677165354330717</v>
      </c>
      <c r="Q928" s="7">
        <f t="shared" si="72"/>
        <v>5.7086614173228352</v>
      </c>
      <c r="R928" s="6">
        <f t="shared" si="73"/>
        <v>1077.452</v>
      </c>
      <c r="S928" s="6">
        <f t="shared" si="75"/>
        <v>8.3530440000000004E-3</v>
      </c>
      <c r="T928" t="str">
        <f t="shared" si="74"/>
        <v>Garapa S4S E4E 1x6 Plus Long</v>
      </c>
    </row>
    <row r="929" spans="1:20" x14ac:dyDescent="0.25">
      <c r="A929" t="s">
        <v>1263</v>
      </c>
      <c r="B929" t="s">
        <v>1286</v>
      </c>
      <c r="C929" t="s">
        <v>283</v>
      </c>
      <c r="D929" t="s">
        <v>438</v>
      </c>
      <c r="E929" t="s">
        <v>229</v>
      </c>
      <c r="F929" t="s">
        <v>1287</v>
      </c>
      <c r="G929" t="s">
        <v>1263</v>
      </c>
      <c r="H929" t="s">
        <v>373</v>
      </c>
      <c r="I929" t="s">
        <v>289</v>
      </c>
      <c r="J929" t="s">
        <v>344</v>
      </c>
      <c r="K929">
        <v>10</v>
      </c>
      <c r="L929" s="6">
        <v>3.048</v>
      </c>
      <c r="M929" s="7">
        <v>19.05</v>
      </c>
      <c r="N929" s="7">
        <v>139.69999999999999</v>
      </c>
      <c r="O929" s="7">
        <f t="shared" si="71"/>
        <v>120</v>
      </c>
      <c r="P929" s="7">
        <f t="shared" si="72"/>
        <v>0.75000000000000011</v>
      </c>
      <c r="Q929" s="7">
        <f t="shared" si="72"/>
        <v>5.5</v>
      </c>
      <c r="R929" s="6">
        <f t="shared" si="73"/>
        <v>1232.8030000000001</v>
      </c>
      <c r="S929" s="6">
        <f t="shared" si="75"/>
        <v>8.1115966799999994E-3</v>
      </c>
      <c r="T929" t="str">
        <f t="shared" si="74"/>
        <v>Garapa S4S E4E 1x6 Long</v>
      </c>
    </row>
    <row r="930" spans="1:20" x14ac:dyDescent="0.25">
      <c r="A930" t="s">
        <v>1263</v>
      </c>
      <c r="B930" t="s">
        <v>1286</v>
      </c>
      <c r="C930" t="s">
        <v>283</v>
      </c>
      <c r="D930" t="s">
        <v>438</v>
      </c>
      <c r="E930" t="s">
        <v>230</v>
      </c>
      <c r="F930" t="s">
        <v>1287</v>
      </c>
      <c r="G930" t="s">
        <v>1263</v>
      </c>
      <c r="H930" t="s">
        <v>373</v>
      </c>
      <c r="I930" t="s">
        <v>289</v>
      </c>
      <c r="J930" t="s">
        <v>344</v>
      </c>
      <c r="K930">
        <v>11</v>
      </c>
      <c r="L930" s="6">
        <v>3.3527999999999998</v>
      </c>
      <c r="M930" s="7">
        <v>19.05</v>
      </c>
      <c r="N930" s="7">
        <v>139.69999999999999</v>
      </c>
      <c r="O930" s="7">
        <f t="shared" si="71"/>
        <v>132</v>
      </c>
      <c r="P930" s="7">
        <f t="shared" si="72"/>
        <v>0.75000000000000011</v>
      </c>
      <c r="Q930" s="7">
        <f t="shared" si="72"/>
        <v>5.5</v>
      </c>
      <c r="R930" s="6">
        <f t="shared" si="73"/>
        <v>1232.8030000000001</v>
      </c>
      <c r="S930" s="6">
        <f t="shared" si="75"/>
        <v>8.922756347999999E-3</v>
      </c>
      <c r="T930" t="str">
        <f t="shared" si="74"/>
        <v>Garapa S4S E4E 1x6 Long</v>
      </c>
    </row>
    <row r="931" spans="1:20" x14ac:dyDescent="0.25">
      <c r="A931" t="s">
        <v>1263</v>
      </c>
      <c r="B931" t="s">
        <v>1286</v>
      </c>
      <c r="C931" t="s">
        <v>283</v>
      </c>
      <c r="D931" t="s">
        <v>438</v>
      </c>
      <c r="E931" t="s">
        <v>1288</v>
      </c>
      <c r="F931" t="s">
        <v>1287</v>
      </c>
      <c r="G931" t="s">
        <v>1263</v>
      </c>
      <c r="H931" t="s">
        <v>373</v>
      </c>
      <c r="I931" t="s">
        <v>289</v>
      </c>
      <c r="J931" t="s">
        <v>344</v>
      </c>
      <c r="K931">
        <v>12</v>
      </c>
      <c r="L931" s="6">
        <v>3.6576</v>
      </c>
      <c r="M931" s="7">
        <v>19.05</v>
      </c>
      <c r="N931" s="7">
        <v>139.69999999999999</v>
      </c>
      <c r="O931" s="7">
        <f t="shared" si="71"/>
        <v>144</v>
      </c>
      <c r="P931" s="7">
        <f t="shared" si="72"/>
        <v>0.75000000000000011</v>
      </c>
      <c r="Q931" s="7">
        <f t="shared" si="72"/>
        <v>5.5</v>
      </c>
      <c r="R931" s="6">
        <f t="shared" si="73"/>
        <v>1232.8030000000001</v>
      </c>
      <c r="S931" s="6">
        <f t="shared" si="75"/>
        <v>9.7339160159999986E-3</v>
      </c>
      <c r="T931" t="str">
        <f t="shared" si="74"/>
        <v>Garapa S4S E4E 1x6 Long</v>
      </c>
    </row>
    <row r="932" spans="1:20" x14ac:dyDescent="0.25">
      <c r="A932" t="s">
        <v>1263</v>
      </c>
      <c r="B932" t="s">
        <v>1286</v>
      </c>
      <c r="C932" t="s">
        <v>283</v>
      </c>
      <c r="D932" t="s">
        <v>438</v>
      </c>
      <c r="E932" t="s">
        <v>231</v>
      </c>
      <c r="F932" t="s">
        <v>1287</v>
      </c>
      <c r="G932" t="s">
        <v>1263</v>
      </c>
      <c r="H932" t="s">
        <v>373</v>
      </c>
      <c r="I932" t="s">
        <v>289</v>
      </c>
      <c r="J932" t="s">
        <v>344</v>
      </c>
      <c r="K932">
        <v>13</v>
      </c>
      <c r="L932" s="6">
        <v>3.9624000000000001</v>
      </c>
      <c r="M932" s="7">
        <v>19.05</v>
      </c>
      <c r="N932" s="7">
        <v>139.69999999999999</v>
      </c>
      <c r="O932" s="7">
        <f t="shared" si="71"/>
        <v>156</v>
      </c>
      <c r="P932" s="7">
        <f t="shared" si="72"/>
        <v>0.75000000000000011</v>
      </c>
      <c r="Q932" s="7">
        <f t="shared" si="72"/>
        <v>5.5</v>
      </c>
      <c r="R932" s="6">
        <f t="shared" si="73"/>
        <v>1232.8030000000001</v>
      </c>
      <c r="S932" s="6">
        <f t="shared" si="75"/>
        <v>1.0545075684E-2</v>
      </c>
      <c r="T932" t="str">
        <f t="shared" si="74"/>
        <v>Garapa S4S E4E 1x6 Long</v>
      </c>
    </row>
    <row r="933" spans="1:20" x14ac:dyDescent="0.25">
      <c r="A933" t="s">
        <v>1263</v>
      </c>
      <c r="B933" t="s">
        <v>1286</v>
      </c>
      <c r="C933" t="s">
        <v>283</v>
      </c>
      <c r="D933" t="s">
        <v>438</v>
      </c>
      <c r="E933" t="s">
        <v>1289</v>
      </c>
      <c r="F933" t="s">
        <v>1287</v>
      </c>
      <c r="G933" t="s">
        <v>1263</v>
      </c>
      <c r="H933" t="s">
        <v>373</v>
      </c>
      <c r="I933" t="s">
        <v>289</v>
      </c>
      <c r="J933" t="s">
        <v>344</v>
      </c>
      <c r="K933">
        <v>14</v>
      </c>
      <c r="L933" s="6">
        <v>4.2671999999999999</v>
      </c>
      <c r="M933" s="7">
        <v>19.05</v>
      </c>
      <c r="N933" s="7">
        <v>139.69999999999999</v>
      </c>
      <c r="O933" s="7">
        <f t="shared" si="71"/>
        <v>168</v>
      </c>
      <c r="P933" s="7">
        <f t="shared" si="72"/>
        <v>0.75000000000000011</v>
      </c>
      <c r="Q933" s="7">
        <f t="shared" si="72"/>
        <v>5.5</v>
      </c>
      <c r="R933" s="6">
        <f t="shared" si="73"/>
        <v>1232.8030000000001</v>
      </c>
      <c r="S933" s="6">
        <f t="shared" si="75"/>
        <v>1.1356235352E-2</v>
      </c>
      <c r="T933" t="str">
        <f t="shared" si="74"/>
        <v>Garapa S4S E4E 1x6 Long</v>
      </c>
    </row>
    <row r="934" spans="1:20" x14ac:dyDescent="0.25">
      <c r="A934" t="s">
        <v>1263</v>
      </c>
      <c r="B934" t="s">
        <v>1286</v>
      </c>
      <c r="C934" t="s">
        <v>283</v>
      </c>
      <c r="D934" t="s">
        <v>438</v>
      </c>
      <c r="E934" t="s">
        <v>232</v>
      </c>
      <c r="F934" t="s">
        <v>1287</v>
      </c>
      <c r="G934" t="s">
        <v>1263</v>
      </c>
      <c r="H934" t="s">
        <v>373</v>
      </c>
      <c r="I934" t="s">
        <v>289</v>
      </c>
      <c r="J934" t="s">
        <v>344</v>
      </c>
      <c r="K934">
        <v>15</v>
      </c>
      <c r="L934" s="6">
        <v>4.5720000000000001</v>
      </c>
      <c r="M934" s="7">
        <v>19.05</v>
      </c>
      <c r="N934" s="7">
        <v>139.69999999999999</v>
      </c>
      <c r="O934" s="7">
        <f t="shared" si="71"/>
        <v>180</v>
      </c>
      <c r="P934" s="7">
        <f t="shared" si="72"/>
        <v>0.75000000000000011</v>
      </c>
      <c r="Q934" s="7">
        <f t="shared" si="72"/>
        <v>5.5</v>
      </c>
      <c r="R934" s="6">
        <f t="shared" si="73"/>
        <v>1232.8030000000001</v>
      </c>
      <c r="S934" s="6">
        <f t="shared" si="75"/>
        <v>1.2167395020000001E-2</v>
      </c>
      <c r="T934" t="str">
        <f t="shared" si="74"/>
        <v>Garapa S4S E4E 1x6 Long</v>
      </c>
    </row>
    <row r="935" spans="1:20" x14ac:dyDescent="0.25">
      <c r="A935" t="s">
        <v>1263</v>
      </c>
      <c r="B935" t="s">
        <v>1286</v>
      </c>
      <c r="C935" t="s">
        <v>283</v>
      </c>
      <c r="D935" t="s">
        <v>438</v>
      </c>
      <c r="E935" t="s">
        <v>1290</v>
      </c>
      <c r="F935" t="s">
        <v>1287</v>
      </c>
      <c r="G935" t="s">
        <v>1263</v>
      </c>
      <c r="H935" t="s">
        <v>373</v>
      </c>
      <c r="I935" t="s">
        <v>289</v>
      </c>
      <c r="J935" t="s">
        <v>344</v>
      </c>
      <c r="K935">
        <v>16</v>
      </c>
      <c r="L935" s="6">
        <v>4.8768000000000002</v>
      </c>
      <c r="M935" s="7">
        <v>19.05</v>
      </c>
      <c r="N935" s="7">
        <v>139.69999999999999</v>
      </c>
      <c r="O935" s="7">
        <f t="shared" si="71"/>
        <v>192.00000000000003</v>
      </c>
      <c r="P935" s="7">
        <f t="shared" si="72"/>
        <v>0.75000000000000011</v>
      </c>
      <c r="Q935" s="7">
        <f t="shared" si="72"/>
        <v>5.5</v>
      </c>
      <c r="R935" s="6">
        <f t="shared" si="73"/>
        <v>1232.8030000000001</v>
      </c>
      <c r="S935" s="6">
        <f t="shared" si="75"/>
        <v>1.2978554687999999E-2</v>
      </c>
      <c r="T935" t="str">
        <f t="shared" si="74"/>
        <v>Garapa S4S E4E 1x6 Long</v>
      </c>
    </row>
    <row r="936" spans="1:20" x14ac:dyDescent="0.25">
      <c r="A936" t="s">
        <v>1263</v>
      </c>
      <c r="B936" t="s">
        <v>1286</v>
      </c>
      <c r="C936" t="s">
        <v>283</v>
      </c>
      <c r="D936" t="s">
        <v>438</v>
      </c>
      <c r="E936" t="s">
        <v>1291</v>
      </c>
      <c r="F936" t="s">
        <v>1287</v>
      </c>
      <c r="G936" t="s">
        <v>1263</v>
      </c>
      <c r="H936" t="s">
        <v>373</v>
      </c>
      <c r="I936" t="s">
        <v>289</v>
      </c>
      <c r="J936" t="s">
        <v>344</v>
      </c>
      <c r="K936">
        <v>17</v>
      </c>
      <c r="L936" s="6">
        <v>5.1816000000000004</v>
      </c>
      <c r="M936" s="7">
        <v>19.05</v>
      </c>
      <c r="N936" s="7">
        <v>139.69999999999999</v>
      </c>
      <c r="O936" s="7">
        <f t="shared" si="71"/>
        <v>204.00000000000003</v>
      </c>
      <c r="P936" s="7">
        <f t="shared" si="72"/>
        <v>0.75000000000000011</v>
      </c>
      <c r="Q936" s="7">
        <f t="shared" si="72"/>
        <v>5.5</v>
      </c>
      <c r="R936" s="6">
        <f t="shared" si="73"/>
        <v>1232.8030000000001</v>
      </c>
      <c r="S936" s="6">
        <f t="shared" si="75"/>
        <v>1.3789714356000002E-2</v>
      </c>
      <c r="T936" t="str">
        <f t="shared" si="74"/>
        <v>Garapa S4S E4E 1x6 Long</v>
      </c>
    </row>
    <row r="937" spans="1:20" x14ac:dyDescent="0.25">
      <c r="A937" t="s">
        <v>1263</v>
      </c>
      <c r="B937" t="s">
        <v>1286</v>
      </c>
      <c r="C937" t="s">
        <v>283</v>
      </c>
      <c r="D937" t="s">
        <v>438</v>
      </c>
      <c r="E937" t="s">
        <v>1292</v>
      </c>
      <c r="F937" t="s">
        <v>1287</v>
      </c>
      <c r="G937" t="s">
        <v>1263</v>
      </c>
      <c r="H937" t="s">
        <v>373</v>
      </c>
      <c r="I937" t="s">
        <v>289</v>
      </c>
      <c r="J937" t="s">
        <v>344</v>
      </c>
      <c r="K937">
        <v>18</v>
      </c>
      <c r="L937" s="6">
        <v>5.4863999999999997</v>
      </c>
      <c r="M937" s="7">
        <v>19.05</v>
      </c>
      <c r="N937" s="7">
        <v>139.69999999999999</v>
      </c>
      <c r="O937" s="7">
        <f t="shared" si="71"/>
        <v>216</v>
      </c>
      <c r="P937" s="7">
        <f t="shared" si="72"/>
        <v>0.75000000000000011</v>
      </c>
      <c r="Q937" s="7">
        <f t="shared" si="72"/>
        <v>5.5</v>
      </c>
      <c r="R937" s="6">
        <f t="shared" si="73"/>
        <v>1232.8030000000001</v>
      </c>
      <c r="S937" s="6">
        <f t="shared" si="75"/>
        <v>1.4600874024E-2</v>
      </c>
      <c r="T937" t="str">
        <f t="shared" si="74"/>
        <v>Garapa S4S E4E 1x6 Long</v>
      </c>
    </row>
    <row r="938" spans="1:20" x14ac:dyDescent="0.25">
      <c r="A938" t="s">
        <v>1263</v>
      </c>
      <c r="B938" t="s">
        <v>1286</v>
      </c>
      <c r="C938" t="s">
        <v>283</v>
      </c>
      <c r="D938" t="s">
        <v>438</v>
      </c>
      <c r="E938" t="s">
        <v>1293</v>
      </c>
      <c r="F938" t="s">
        <v>1287</v>
      </c>
      <c r="G938" t="s">
        <v>1263</v>
      </c>
      <c r="H938" t="s">
        <v>373</v>
      </c>
      <c r="I938" t="s">
        <v>289</v>
      </c>
      <c r="J938" t="s">
        <v>344</v>
      </c>
      <c r="K938">
        <v>19</v>
      </c>
      <c r="L938" s="6">
        <v>5.7911999999999999</v>
      </c>
      <c r="M938" s="7">
        <v>19.05</v>
      </c>
      <c r="N938" s="7">
        <v>139.69999999999999</v>
      </c>
      <c r="O938" s="7">
        <f t="shared" si="71"/>
        <v>228</v>
      </c>
      <c r="P938" s="7">
        <f t="shared" si="72"/>
        <v>0.75000000000000011</v>
      </c>
      <c r="Q938" s="7">
        <f t="shared" si="72"/>
        <v>5.5</v>
      </c>
      <c r="R938" s="6">
        <f t="shared" si="73"/>
        <v>1232.8030000000001</v>
      </c>
      <c r="S938" s="6">
        <f t="shared" si="75"/>
        <v>1.5412033691999999E-2</v>
      </c>
      <c r="T938" t="str">
        <f t="shared" si="74"/>
        <v>Garapa S4S E4E 1x6 Long</v>
      </c>
    </row>
    <row r="939" spans="1:20" x14ac:dyDescent="0.25">
      <c r="A939" t="s">
        <v>1263</v>
      </c>
      <c r="B939" t="s">
        <v>1286</v>
      </c>
      <c r="C939" t="s">
        <v>283</v>
      </c>
      <c r="D939" t="s">
        <v>438</v>
      </c>
      <c r="E939" t="s">
        <v>1294</v>
      </c>
      <c r="F939" t="s">
        <v>1287</v>
      </c>
      <c r="G939" t="s">
        <v>1263</v>
      </c>
      <c r="H939" t="s">
        <v>373</v>
      </c>
      <c r="I939" t="s">
        <v>289</v>
      </c>
      <c r="J939" t="s">
        <v>344</v>
      </c>
      <c r="K939">
        <v>20</v>
      </c>
      <c r="L939" s="6">
        <v>6.0960000000000001</v>
      </c>
      <c r="M939" s="7">
        <v>19.05</v>
      </c>
      <c r="N939" s="7">
        <v>139.69999999999999</v>
      </c>
      <c r="O939" s="7">
        <f t="shared" si="71"/>
        <v>240</v>
      </c>
      <c r="P939" s="7">
        <f t="shared" si="72"/>
        <v>0.75000000000000011</v>
      </c>
      <c r="Q939" s="7">
        <f t="shared" si="72"/>
        <v>5.5</v>
      </c>
      <c r="R939" s="6">
        <f t="shared" si="73"/>
        <v>1232.8030000000001</v>
      </c>
      <c r="S939" s="6">
        <f t="shared" si="75"/>
        <v>1.6223193359999999E-2</v>
      </c>
      <c r="T939" t="str">
        <f t="shared" si="74"/>
        <v>Garapa S4S E4E 1x6 Long</v>
      </c>
    </row>
    <row r="940" spans="1:20" x14ac:dyDescent="0.25">
      <c r="A940" t="s">
        <v>1263</v>
      </c>
      <c r="B940" t="s">
        <v>1286</v>
      </c>
      <c r="C940" t="s">
        <v>524</v>
      </c>
      <c r="D940" t="s">
        <v>438</v>
      </c>
      <c r="E940" t="s">
        <v>1295</v>
      </c>
      <c r="F940" t="s">
        <v>1287</v>
      </c>
      <c r="G940" t="s">
        <v>1263</v>
      </c>
      <c r="H940" t="s">
        <v>373</v>
      </c>
      <c r="I940" t="s">
        <v>289</v>
      </c>
      <c r="J940" t="s">
        <v>344</v>
      </c>
      <c r="K940">
        <v>3</v>
      </c>
      <c r="L940" s="6">
        <v>0.91439999999999999</v>
      </c>
      <c r="M940" s="7">
        <v>19.05</v>
      </c>
      <c r="N940" s="7">
        <v>139.69999999999999</v>
      </c>
      <c r="O940" s="7">
        <f t="shared" si="71"/>
        <v>36</v>
      </c>
      <c r="P940" s="7">
        <f t="shared" si="72"/>
        <v>0.75000000000000011</v>
      </c>
      <c r="Q940" s="7">
        <f t="shared" si="72"/>
        <v>5.5</v>
      </c>
      <c r="R940" s="6">
        <f t="shared" si="73"/>
        <v>1232.8030000000001</v>
      </c>
      <c r="S940" s="6">
        <f t="shared" si="75"/>
        <v>2.4334790039999997E-3</v>
      </c>
      <c r="T940" t="str">
        <f t="shared" si="74"/>
        <v>Garapa S4S E4E 1x6 Short</v>
      </c>
    </row>
    <row r="941" spans="1:20" x14ac:dyDescent="0.25">
      <c r="A941" t="s">
        <v>1263</v>
      </c>
      <c r="B941" t="s">
        <v>1286</v>
      </c>
      <c r="C941" t="s">
        <v>524</v>
      </c>
      <c r="D941" t="s">
        <v>438</v>
      </c>
      <c r="E941" t="s">
        <v>1296</v>
      </c>
      <c r="F941" t="s">
        <v>1287</v>
      </c>
      <c r="G941" t="s">
        <v>1263</v>
      </c>
      <c r="H941" t="s">
        <v>373</v>
      </c>
      <c r="I941" t="s">
        <v>289</v>
      </c>
      <c r="J941" t="s">
        <v>344</v>
      </c>
      <c r="K941">
        <v>4</v>
      </c>
      <c r="L941" s="6">
        <v>1.2192000000000001</v>
      </c>
      <c r="M941" s="7">
        <v>19.05</v>
      </c>
      <c r="N941" s="7">
        <v>139.69999999999999</v>
      </c>
      <c r="O941" s="7">
        <f t="shared" si="71"/>
        <v>48.000000000000007</v>
      </c>
      <c r="P941" s="7">
        <f t="shared" si="72"/>
        <v>0.75000000000000011</v>
      </c>
      <c r="Q941" s="7">
        <f t="shared" si="72"/>
        <v>5.5</v>
      </c>
      <c r="R941" s="6">
        <f t="shared" si="73"/>
        <v>1232.8030000000001</v>
      </c>
      <c r="S941" s="6">
        <f t="shared" si="75"/>
        <v>3.2446386719999997E-3</v>
      </c>
      <c r="T941" t="str">
        <f t="shared" si="74"/>
        <v>Garapa S4S E4E 1x6 Short</v>
      </c>
    </row>
    <row r="942" spans="1:20" x14ac:dyDescent="0.25">
      <c r="A942" t="s">
        <v>1263</v>
      </c>
      <c r="B942" t="s">
        <v>1286</v>
      </c>
      <c r="C942" t="s">
        <v>524</v>
      </c>
      <c r="D942" t="s">
        <v>438</v>
      </c>
      <c r="E942" t="s">
        <v>1297</v>
      </c>
      <c r="F942" t="s">
        <v>1287</v>
      </c>
      <c r="G942" t="s">
        <v>1263</v>
      </c>
      <c r="H942" t="s">
        <v>373</v>
      </c>
      <c r="I942" t="s">
        <v>289</v>
      </c>
      <c r="J942" t="s">
        <v>344</v>
      </c>
      <c r="K942">
        <v>5</v>
      </c>
      <c r="L942" s="6">
        <v>1.524</v>
      </c>
      <c r="M942" s="7">
        <v>19.05</v>
      </c>
      <c r="N942" s="7">
        <v>139.69999999999999</v>
      </c>
      <c r="O942" s="7">
        <f t="shared" si="71"/>
        <v>60</v>
      </c>
      <c r="P942" s="7">
        <f t="shared" si="72"/>
        <v>0.75000000000000011</v>
      </c>
      <c r="Q942" s="7">
        <f t="shared" si="72"/>
        <v>5.5</v>
      </c>
      <c r="R942" s="6">
        <f t="shared" si="73"/>
        <v>1232.8030000000001</v>
      </c>
      <c r="S942" s="6">
        <f t="shared" si="75"/>
        <v>4.0557983399999997E-3</v>
      </c>
      <c r="T942" t="str">
        <f t="shared" si="74"/>
        <v>Garapa S4S E4E 1x6 Short</v>
      </c>
    </row>
    <row r="943" spans="1:20" x14ac:dyDescent="0.25">
      <c r="A943" t="s">
        <v>1263</v>
      </c>
      <c r="B943" t="s">
        <v>1286</v>
      </c>
      <c r="C943" t="s">
        <v>524</v>
      </c>
      <c r="D943" t="s">
        <v>438</v>
      </c>
      <c r="E943" t="s">
        <v>1298</v>
      </c>
      <c r="F943" t="s">
        <v>1287</v>
      </c>
      <c r="G943" t="s">
        <v>1263</v>
      </c>
      <c r="H943" t="s">
        <v>373</v>
      </c>
      <c r="I943" t="s">
        <v>289</v>
      </c>
      <c r="J943" t="s">
        <v>344</v>
      </c>
      <c r="K943">
        <v>6</v>
      </c>
      <c r="L943" s="6">
        <v>1.8288</v>
      </c>
      <c r="M943" s="7">
        <v>19.05</v>
      </c>
      <c r="N943" s="7">
        <v>139.69999999999999</v>
      </c>
      <c r="O943" s="7">
        <f t="shared" si="71"/>
        <v>72</v>
      </c>
      <c r="P943" s="7">
        <f t="shared" si="72"/>
        <v>0.75000000000000011</v>
      </c>
      <c r="Q943" s="7">
        <f t="shared" si="72"/>
        <v>5.5</v>
      </c>
      <c r="R943" s="6">
        <f t="shared" si="73"/>
        <v>1232.8030000000001</v>
      </c>
      <c r="S943" s="6">
        <f t="shared" si="75"/>
        <v>4.8669580079999993E-3</v>
      </c>
      <c r="T943" t="str">
        <f t="shared" si="74"/>
        <v>Garapa S4S E4E 1x6 Short</v>
      </c>
    </row>
    <row r="944" spans="1:20" x14ac:dyDescent="0.25">
      <c r="A944" t="s">
        <v>1263</v>
      </c>
      <c r="B944" t="s">
        <v>1286</v>
      </c>
      <c r="C944" t="s">
        <v>524</v>
      </c>
      <c r="D944" t="s">
        <v>438</v>
      </c>
      <c r="E944" t="s">
        <v>1299</v>
      </c>
      <c r="F944" t="s">
        <v>1287</v>
      </c>
      <c r="G944" t="s">
        <v>1263</v>
      </c>
      <c r="H944" t="s">
        <v>373</v>
      </c>
      <c r="I944" t="s">
        <v>289</v>
      </c>
      <c r="J944" t="s">
        <v>344</v>
      </c>
      <c r="K944">
        <v>7</v>
      </c>
      <c r="L944" s="6">
        <v>2.1335999999999999</v>
      </c>
      <c r="M944" s="7">
        <v>19.05</v>
      </c>
      <c r="N944" s="7">
        <v>139.69999999999999</v>
      </c>
      <c r="O944" s="7">
        <f t="shared" si="71"/>
        <v>84</v>
      </c>
      <c r="P944" s="7">
        <f t="shared" si="72"/>
        <v>0.75000000000000011</v>
      </c>
      <c r="Q944" s="7">
        <f t="shared" si="72"/>
        <v>5.5</v>
      </c>
      <c r="R944" s="6">
        <f t="shared" si="73"/>
        <v>1232.8030000000001</v>
      </c>
      <c r="S944" s="6">
        <f t="shared" si="75"/>
        <v>5.6781176759999998E-3</v>
      </c>
      <c r="T944" t="str">
        <f t="shared" si="74"/>
        <v>Garapa S4S E4E 1x6 Short</v>
      </c>
    </row>
    <row r="945" spans="1:20" x14ac:dyDescent="0.25">
      <c r="A945" t="s">
        <v>1263</v>
      </c>
      <c r="B945" t="s">
        <v>1286</v>
      </c>
      <c r="C945" t="s">
        <v>283</v>
      </c>
      <c r="D945" t="s">
        <v>438</v>
      </c>
      <c r="E945" t="s">
        <v>233</v>
      </c>
      <c r="F945" t="s">
        <v>1287</v>
      </c>
      <c r="G945" t="s">
        <v>1263</v>
      </c>
      <c r="H945" t="s">
        <v>373</v>
      </c>
      <c r="I945" t="s">
        <v>289</v>
      </c>
      <c r="J945" t="s">
        <v>344</v>
      </c>
      <c r="K945">
        <v>8</v>
      </c>
      <c r="L945" s="6">
        <v>2.4384000000000001</v>
      </c>
      <c r="M945" s="7">
        <v>19.05</v>
      </c>
      <c r="N945" s="7">
        <v>139.69999999999999</v>
      </c>
      <c r="O945" s="7">
        <f t="shared" si="71"/>
        <v>96.000000000000014</v>
      </c>
      <c r="P945" s="7">
        <f t="shared" si="72"/>
        <v>0.75000000000000011</v>
      </c>
      <c r="Q945" s="7">
        <f t="shared" si="72"/>
        <v>5.5</v>
      </c>
      <c r="R945" s="6">
        <f t="shared" si="73"/>
        <v>1232.8030000000001</v>
      </c>
      <c r="S945" s="6">
        <f t="shared" si="75"/>
        <v>6.4892773439999994E-3</v>
      </c>
      <c r="T945" t="str">
        <f t="shared" si="74"/>
        <v>Garapa S4S E4E 1x6 Long</v>
      </c>
    </row>
    <row r="946" spans="1:20" x14ac:dyDescent="0.25">
      <c r="A946" t="s">
        <v>1263</v>
      </c>
      <c r="B946" t="s">
        <v>1286</v>
      </c>
      <c r="C946" t="s">
        <v>283</v>
      </c>
      <c r="D946" t="s">
        <v>438</v>
      </c>
      <c r="E946" t="s">
        <v>1300</v>
      </c>
      <c r="F946" t="s">
        <v>1287</v>
      </c>
      <c r="G946" t="s">
        <v>1263</v>
      </c>
      <c r="H946" t="s">
        <v>373</v>
      </c>
      <c r="I946" t="s">
        <v>289</v>
      </c>
      <c r="J946" t="s">
        <v>344</v>
      </c>
      <c r="K946">
        <v>9</v>
      </c>
      <c r="L946" s="6">
        <v>2.7431999999999999</v>
      </c>
      <c r="M946" s="7">
        <v>19.05</v>
      </c>
      <c r="N946" s="7">
        <v>139.69999999999999</v>
      </c>
      <c r="O946" s="7">
        <f t="shared" si="71"/>
        <v>108</v>
      </c>
      <c r="P946" s="7">
        <f t="shared" si="72"/>
        <v>0.75000000000000011</v>
      </c>
      <c r="Q946" s="7">
        <f t="shared" si="72"/>
        <v>5.5</v>
      </c>
      <c r="R946" s="6">
        <f t="shared" si="73"/>
        <v>1232.8030000000001</v>
      </c>
      <c r="S946" s="6">
        <f t="shared" si="75"/>
        <v>7.3004370119999999E-3</v>
      </c>
      <c r="T946" t="str">
        <f t="shared" si="74"/>
        <v>Garapa S4S E4E 1x6 Long</v>
      </c>
    </row>
    <row r="947" spans="1:20" x14ac:dyDescent="0.25">
      <c r="A947" t="s">
        <v>1263</v>
      </c>
      <c r="B947" t="s">
        <v>1301</v>
      </c>
      <c r="C947" t="s">
        <v>283</v>
      </c>
      <c r="D947" t="s">
        <v>438</v>
      </c>
      <c r="E947" t="s">
        <v>1302</v>
      </c>
      <c r="F947" t="s">
        <v>1303</v>
      </c>
      <c r="G947" t="s">
        <v>1263</v>
      </c>
      <c r="H947" t="s">
        <v>373</v>
      </c>
      <c r="I947" t="s">
        <v>289</v>
      </c>
      <c r="J947" t="s">
        <v>301</v>
      </c>
      <c r="K947">
        <v>10</v>
      </c>
      <c r="L947" s="6">
        <v>3.048</v>
      </c>
      <c r="M947" s="7">
        <v>25.4</v>
      </c>
      <c r="N947" s="7">
        <v>139.69999999999999</v>
      </c>
      <c r="O947" s="7">
        <f t="shared" si="71"/>
        <v>120</v>
      </c>
      <c r="P947" s="7">
        <f t="shared" si="72"/>
        <v>1</v>
      </c>
      <c r="Q947" s="7">
        <f t="shared" si="72"/>
        <v>5.5</v>
      </c>
      <c r="R947" s="6">
        <f t="shared" si="73"/>
        <v>924.60199999999998</v>
      </c>
      <c r="S947" s="6">
        <f t="shared" si="75"/>
        <v>1.081546224E-2</v>
      </c>
      <c r="T947" t="str">
        <f t="shared" si="74"/>
        <v>Garapa S4S E4E 5/4x6 Long</v>
      </c>
    </row>
    <row r="948" spans="1:20" x14ac:dyDescent="0.25">
      <c r="A948" t="s">
        <v>1263</v>
      </c>
      <c r="B948" t="s">
        <v>1301</v>
      </c>
      <c r="C948" t="s">
        <v>283</v>
      </c>
      <c r="D948" t="s">
        <v>438</v>
      </c>
      <c r="E948" t="s">
        <v>1304</v>
      </c>
      <c r="F948" t="s">
        <v>1303</v>
      </c>
      <c r="G948" t="s">
        <v>1263</v>
      </c>
      <c r="H948" t="s">
        <v>373</v>
      </c>
      <c r="I948" t="s">
        <v>289</v>
      </c>
      <c r="J948" t="s">
        <v>301</v>
      </c>
      <c r="K948">
        <v>11</v>
      </c>
      <c r="L948" s="6">
        <v>3.3527999999999998</v>
      </c>
      <c r="M948" s="7">
        <v>25.4</v>
      </c>
      <c r="N948" s="7">
        <v>139.69999999999999</v>
      </c>
      <c r="O948" s="7">
        <f t="shared" si="71"/>
        <v>132</v>
      </c>
      <c r="P948" s="7">
        <f t="shared" si="72"/>
        <v>1</v>
      </c>
      <c r="Q948" s="7">
        <f t="shared" si="72"/>
        <v>5.5</v>
      </c>
      <c r="R948" s="6">
        <f t="shared" si="73"/>
        <v>924.60199999999998</v>
      </c>
      <c r="S948" s="6">
        <f t="shared" si="75"/>
        <v>1.1897008463999995E-2</v>
      </c>
      <c r="T948" t="str">
        <f t="shared" si="74"/>
        <v>Garapa S4S E4E 5/4x6 Long</v>
      </c>
    </row>
    <row r="949" spans="1:20" x14ac:dyDescent="0.25">
      <c r="A949" t="s">
        <v>1263</v>
      </c>
      <c r="B949" t="s">
        <v>1301</v>
      </c>
      <c r="C949" t="s">
        <v>283</v>
      </c>
      <c r="D949" t="s">
        <v>438</v>
      </c>
      <c r="E949" t="s">
        <v>1305</v>
      </c>
      <c r="F949" t="s">
        <v>1303</v>
      </c>
      <c r="G949" t="s">
        <v>1263</v>
      </c>
      <c r="H949" t="s">
        <v>373</v>
      </c>
      <c r="I949" t="s">
        <v>289</v>
      </c>
      <c r="J949" t="s">
        <v>301</v>
      </c>
      <c r="K949">
        <v>12</v>
      </c>
      <c r="L949" s="6">
        <v>3.6576</v>
      </c>
      <c r="M949" s="7">
        <v>25.4</v>
      </c>
      <c r="N949" s="7">
        <v>139.69999999999999</v>
      </c>
      <c r="O949" s="7">
        <f t="shared" si="71"/>
        <v>144</v>
      </c>
      <c r="P949" s="7">
        <f t="shared" si="72"/>
        <v>1</v>
      </c>
      <c r="Q949" s="7">
        <f t="shared" si="72"/>
        <v>5.5</v>
      </c>
      <c r="R949" s="6">
        <f t="shared" si="73"/>
        <v>924.60199999999998</v>
      </c>
      <c r="S949" s="6">
        <f t="shared" si="75"/>
        <v>1.2978554687999997E-2</v>
      </c>
      <c r="T949" t="str">
        <f t="shared" si="74"/>
        <v>Garapa S4S E4E 5/4x6 Long</v>
      </c>
    </row>
    <row r="950" spans="1:20" x14ac:dyDescent="0.25">
      <c r="A950" t="s">
        <v>1263</v>
      </c>
      <c r="B950" t="s">
        <v>1301</v>
      </c>
      <c r="C950" t="s">
        <v>283</v>
      </c>
      <c r="D950" t="s">
        <v>438</v>
      </c>
      <c r="E950" t="s">
        <v>1306</v>
      </c>
      <c r="F950" t="s">
        <v>1303</v>
      </c>
      <c r="G950" t="s">
        <v>1263</v>
      </c>
      <c r="H950" t="s">
        <v>373</v>
      </c>
      <c r="I950" t="s">
        <v>289</v>
      </c>
      <c r="J950" t="s">
        <v>301</v>
      </c>
      <c r="K950">
        <v>13</v>
      </c>
      <c r="L950" s="6">
        <v>3.9624000000000001</v>
      </c>
      <c r="M950" s="7">
        <v>25.4</v>
      </c>
      <c r="N950" s="7">
        <v>139.69999999999999</v>
      </c>
      <c r="O950" s="7">
        <f t="shared" si="71"/>
        <v>156</v>
      </c>
      <c r="P950" s="7">
        <f t="shared" si="72"/>
        <v>1</v>
      </c>
      <c r="Q950" s="7">
        <f t="shared" si="72"/>
        <v>5.5</v>
      </c>
      <c r="R950" s="6">
        <f t="shared" si="73"/>
        <v>924.60199999999998</v>
      </c>
      <c r="S950" s="6">
        <f t="shared" si="75"/>
        <v>1.4060100911999997E-2</v>
      </c>
      <c r="T950" t="str">
        <f t="shared" si="74"/>
        <v>Garapa S4S E4E 5/4x6 Long</v>
      </c>
    </row>
    <row r="951" spans="1:20" x14ac:dyDescent="0.25">
      <c r="A951" t="s">
        <v>1263</v>
      </c>
      <c r="B951" t="s">
        <v>1301</v>
      </c>
      <c r="C951" t="s">
        <v>283</v>
      </c>
      <c r="D951" t="s">
        <v>438</v>
      </c>
      <c r="E951" t="s">
        <v>1307</v>
      </c>
      <c r="F951" t="s">
        <v>1303</v>
      </c>
      <c r="G951" t="s">
        <v>1263</v>
      </c>
      <c r="H951" t="s">
        <v>373</v>
      </c>
      <c r="I951" t="s">
        <v>289</v>
      </c>
      <c r="J951" t="s">
        <v>301</v>
      </c>
      <c r="K951">
        <v>14</v>
      </c>
      <c r="L951" s="6">
        <v>4.2671999999999999</v>
      </c>
      <c r="M951" s="7">
        <v>25.4</v>
      </c>
      <c r="N951" s="7">
        <v>139.69999999999999</v>
      </c>
      <c r="O951" s="7">
        <f t="shared" si="71"/>
        <v>168</v>
      </c>
      <c r="P951" s="7">
        <f t="shared" si="72"/>
        <v>1</v>
      </c>
      <c r="Q951" s="7">
        <f t="shared" si="72"/>
        <v>5.5</v>
      </c>
      <c r="R951" s="6">
        <f t="shared" si="73"/>
        <v>924.60199999999998</v>
      </c>
      <c r="S951" s="6">
        <f t="shared" si="75"/>
        <v>1.5141647135999997E-2</v>
      </c>
      <c r="T951" t="str">
        <f t="shared" si="74"/>
        <v>Garapa S4S E4E 5/4x6 Long</v>
      </c>
    </row>
    <row r="952" spans="1:20" x14ac:dyDescent="0.25">
      <c r="A952" t="s">
        <v>1263</v>
      </c>
      <c r="B952" t="s">
        <v>1301</v>
      </c>
      <c r="C952" t="s">
        <v>283</v>
      </c>
      <c r="D952" t="s">
        <v>438</v>
      </c>
      <c r="E952" t="s">
        <v>1308</v>
      </c>
      <c r="F952" t="s">
        <v>1303</v>
      </c>
      <c r="G952" t="s">
        <v>1263</v>
      </c>
      <c r="H952" t="s">
        <v>373</v>
      </c>
      <c r="I952" t="s">
        <v>289</v>
      </c>
      <c r="J952" t="s">
        <v>301</v>
      </c>
      <c r="K952">
        <v>15</v>
      </c>
      <c r="L952" s="6">
        <v>4.5720000000000001</v>
      </c>
      <c r="M952" s="7">
        <v>25.4</v>
      </c>
      <c r="N952" s="7">
        <v>139.69999999999999</v>
      </c>
      <c r="O952" s="7">
        <f t="shared" si="71"/>
        <v>180</v>
      </c>
      <c r="P952" s="7">
        <f t="shared" si="72"/>
        <v>1</v>
      </c>
      <c r="Q952" s="7">
        <f t="shared" si="72"/>
        <v>5.5</v>
      </c>
      <c r="R952" s="6">
        <f t="shared" si="73"/>
        <v>924.60199999999998</v>
      </c>
      <c r="S952" s="6">
        <f t="shared" si="75"/>
        <v>1.6223193359999999E-2</v>
      </c>
      <c r="T952" t="str">
        <f t="shared" si="74"/>
        <v>Garapa S4S E4E 5/4x6 Long</v>
      </c>
    </row>
    <row r="953" spans="1:20" x14ac:dyDescent="0.25">
      <c r="A953" t="s">
        <v>1263</v>
      </c>
      <c r="B953" t="s">
        <v>1301</v>
      </c>
      <c r="C953" t="s">
        <v>283</v>
      </c>
      <c r="D953" t="s">
        <v>438</v>
      </c>
      <c r="E953" t="s">
        <v>35</v>
      </c>
      <c r="F953" t="s">
        <v>1303</v>
      </c>
      <c r="G953" t="s">
        <v>1263</v>
      </c>
      <c r="H953" t="s">
        <v>373</v>
      </c>
      <c r="I953" t="s">
        <v>289</v>
      </c>
      <c r="J953" t="s">
        <v>301</v>
      </c>
      <c r="K953">
        <v>16</v>
      </c>
      <c r="L953" s="6">
        <v>4.8768000000000002</v>
      </c>
      <c r="M953" s="7">
        <v>25.4</v>
      </c>
      <c r="N953" s="7">
        <v>139.69999999999999</v>
      </c>
      <c r="O953" s="7">
        <f t="shared" si="71"/>
        <v>192.00000000000003</v>
      </c>
      <c r="P953" s="7">
        <f t="shared" si="72"/>
        <v>1</v>
      </c>
      <c r="Q953" s="7">
        <f t="shared" si="72"/>
        <v>5.5</v>
      </c>
      <c r="R953" s="6">
        <f t="shared" si="73"/>
        <v>924.60199999999998</v>
      </c>
      <c r="S953" s="6">
        <f t="shared" si="75"/>
        <v>1.7304739584000001E-2</v>
      </c>
      <c r="T953" t="str">
        <f t="shared" si="74"/>
        <v>Garapa S4S E4E 5/4x6 Long</v>
      </c>
    </row>
    <row r="954" spans="1:20" x14ac:dyDescent="0.25">
      <c r="A954" t="s">
        <v>1263</v>
      </c>
      <c r="B954" t="s">
        <v>1301</v>
      </c>
      <c r="C954" t="s">
        <v>283</v>
      </c>
      <c r="D954" t="s">
        <v>438</v>
      </c>
      <c r="E954" t="s">
        <v>1309</v>
      </c>
      <c r="F954" t="s">
        <v>1303</v>
      </c>
      <c r="G954" t="s">
        <v>1263</v>
      </c>
      <c r="H954" t="s">
        <v>373</v>
      </c>
      <c r="I954" t="s">
        <v>289</v>
      </c>
      <c r="J954" t="s">
        <v>301</v>
      </c>
      <c r="K954">
        <v>17</v>
      </c>
      <c r="L954" s="6">
        <v>5.1816000000000004</v>
      </c>
      <c r="M954" s="7">
        <v>25.4</v>
      </c>
      <c r="N954" s="7">
        <v>139.69999999999999</v>
      </c>
      <c r="O954" s="7">
        <f t="shared" si="71"/>
        <v>204.00000000000003</v>
      </c>
      <c r="P954" s="7">
        <f t="shared" si="72"/>
        <v>1</v>
      </c>
      <c r="Q954" s="7">
        <f t="shared" si="72"/>
        <v>5.5</v>
      </c>
      <c r="R954" s="6">
        <f t="shared" si="73"/>
        <v>924.60199999999998</v>
      </c>
      <c r="S954" s="6">
        <f t="shared" si="75"/>
        <v>1.8386285807999999E-2</v>
      </c>
      <c r="T954" t="str">
        <f t="shared" si="74"/>
        <v>Garapa S4S E4E 5/4x6 Long</v>
      </c>
    </row>
    <row r="955" spans="1:20" x14ac:dyDescent="0.25">
      <c r="A955" t="s">
        <v>1263</v>
      </c>
      <c r="B955" t="s">
        <v>1301</v>
      </c>
      <c r="C955" t="s">
        <v>283</v>
      </c>
      <c r="D955" t="s">
        <v>438</v>
      </c>
      <c r="E955" t="s">
        <v>36</v>
      </c>
      <c r="F955" t="s">
        <v>1303</v>
      </c>
      <c r="G955" t="s">
        <v>1263</v>
      </c>
      <c r="H955" t="s">
        <v>373</v>
      </c>
      <c r="I955" t="s">
        <v>289</v>
      </c>
      <c r="J955" t="s">
        <v>301</v>
      </c>
      <c r="K955">
        <v>18</v>
      </c>
      <c r="L955" s="6">
        <v>5.4863999999999997</v>
      </c>
      <c r="M955" s="7">
        <v>25.4</v>
      </c>
      <c r="N955" s="7">
        <v>139.69999999999999</v>
      </c>
      <c r="O955" s="7">
        <f t="shared" si="71"/>
        <v>216</v>
      </c>
      <c r="P955" s="7">
        <f t="shared" si="72"/>
        <v>1</v>
      </c>
      <c r="Q955" s="7">
        <f t="shared" si="72"/>
        <v>5.5</v>
      </c>
      <c r="R955" s="6">
        <f t="shared" si="73"/>
        <v>924.60199999999998</v>
      </c>
      <c r="S955" s="6">
        <f t="shared" si="75"/>
        <v>1.9467832031999997E-2</v>
      </c>
      <c r="T955" t="str">
        <f t="shared" si="74"/>
        <v>Garapa S4S E4E 5/4x6 Long</v>
      </c>
    </row>
    <row r="956" spans="1:20" x14ac:dyDescent="0.25">
      <c r="A956" t="s">
        <v>1263</v>
      </c>
      <c r="B956" t="s">
        <v>1301</v>
      </c>
      <c r="C956" t="s">
        <v>283</v>
      </c>
      <c r="D956" t="s">
        <v>438</v>
      </c>
      <c r="E956" t="s">
        <v>1310</v>
      </c>
      <c r="F956" t="s">
        <v>1303</v>
      </c>
      <c r="G956" t="s">
        <v>1263</v>
      </c>
      <c r="H956" t="s">
        <v>373</v>
      </c>
      <c r="I956" t="s">
        <v>289</v>
      </c>
      <c r="J956" t="s">
        <v>301</v>
      </c>
      <c r="K956">
        <v>19</v>
      </c>
      <c r="L956" s="6">
        <v>5.7911999999999999</v>
      </c>
      <c r="M956" s="7">
        <v>25.4</v>
      </c>
      <c r="N956" s="7">
        <v>139.69999999999999</v>
      </c>
      <c r="O956" s="7">
        <f t="shared" si="71"/>
        <v>228</v>
      </c>
      <c r="P956" s="7">
        <f t="shared" si="72"/>
        <v>1</v>
      </c>
      <c r="Q956" s="7">
        <f t="shared" si="72"/>
        <v>5.5</v>
      </c>
      <c r="R956" s="6">
        <f t="shared" si="73"/>
        <v>924.60199999999998</v>
      </c>
      <c r="S956" s="6">
        <f t="shared" si="75"/>
        <v>2.0549378255999992E-2</v>
      </c>
      <c r="T956" t="str">
        <f t="shared" si="74"/>
        <v>Garapa S4S E4E 5/4x6 Long</v>
      </c>
    </row>
    <row r="957" spans="1:20" x14ac:dyDescent="0.25">
      <c r="A957" t="s">
        <v>1263</v>
      </c>
      <c r="B957" t="s">
        <v>1301</v>
      </c>
      <c r="C957" t="s">
        <v>283</v>
      </c>
      <c r="D957" t="s">
        <v>438</v>
      </c>
      <c r="E957" t="s">
        <v>1311</v>
      </c>
      <c r="F957" t="s">
        <v>1303</v>
      </c>
      <c r="G957" t="s">
        <v>1263</v>
      </c>
      <c r="H957" t="s">
        <v>373</v>
      </c>
      <c r="I957" t="s">
        <v>289</v>
      </c>
      <c r="J957" t="s">
        <v>301</v>
      </c>
      <c r="K957">
        <v>20</v>
      </c>
      <c r="L957" s="6">
        <v>6.0960000000000001</v>
      </c>
      <c r="M957" s="7">
        <v>25.4</v>
      </c>
      <c r="N957" s="7">
        <v>139.69999999999999</v>
      </c>
      <c r="O957" s="7">
        <f t="shared" si="71"/>
        <v>240</v>
      </c>
      <c r="P957" s="7">
        <f t="shared" si="72"/>
        <v>1</v>
      </c>
      <c r="Q957" s="7">
        <f t="shared" si="72"/>
        <v>5.5</v>
      </c>
      <c r="R957" s="6">
        <f t="shared" si="73"/>
        <v>924.60199999999998</v>
      </c>
      <c r="S957" s="6">
        <f t="shared" si="75"/>
        <v>2.1630924480000001E-2</v>
      </c>
      <c r="T957" t="str">
        <f t="shared" si="74"/>
        <v>Garapa S4S E4E 5/4x6 Long</v>
      </c>
    </row>
    <row r="958" spans="1:20" x14ac:dyDescent="0.25">
      <c r="A958" t="s">
        <v>1263</v>
      </c>
      <c r="B958" t="s">
        <v>1301</v>
      </c>
      <c r="C958" t="s">
        <v>283</v>
      </c>
      <c r="D958" t="s">
        <v>438</v>
      </c>
      <c r="E958" t="s">
        <v>1312</v>
      </c>
      <c r="F958" t="s">
        <v>1303</v>
      </c>
      <c r="G958" t="s">
        <v>1263</v>
      </c>
      <c r="H958" t="s">
        <v>373</v>
      </c>
      <c r="I958" t="s">
        <v>289</v>
      </c>
      <c r="J958" t="s">
        <v>301</v>
      </c>
      <c r="K958">
        <v>21</v>
      </c>
      <c r="L958" s="6">
        <v>6.4008000000000003</v>
      </c>
      <c r="M958" s="7">
        <v>25.4</v>
      </c>
      <c r="N958" s="7">
        <v>139.69999999999999</v>
      </c>
      <c r="O958" s="7">
        <f t="shared" si="71"/>
        <v>252.00000000000003</v>
      </c>
      <c r="P958" s="7">
        <f t="shared" si="72"/>
        <v>1</v>
      </c>
      <c r="Q958" s="7">
        <f t="shared" si="72"/>
        <v>5.5</v>
      </c>
      <c r="R958" s="6">
        <f t="shared" si="73"/>
        <v>924.60199999999998</v>
      </c>
      <c r="S958" s="6">
        <f t="shared" si="75"/>
        <v>2.2712470703999999E-2</v>
      </c>
      <c r="T958" t="str">
        <f t="shared" si="74"/>
        <v>Garapa S4S E4E 5/4x6 Long</v>
      </c>
    </row>
    <row r="959" spans="1:20" x14ac:dyDescent="0.25">
      <c r="A959" t="s">
        <v>1263</v>
      </c>
      <c r="B959" t="s">
        <v>1301</v>
      </c>
      <c r="C959" t="s">
        <v>283</v>
      </c>
      <c r="D959" t="s">
        <v>438</v>
      </c>
      <c r="E959" t="s">
        <v>1313</v>
      </c>
      <c r="F959" t="s">
        <v>1303</v>
      </c>
      <c r="G959" t="s">
        <v>1263</v>
      </c>
      <c r="H959" t="s">
        <v>373</v>
      </c>
      <c r="I959" t="s">
        <v>289</v>
      </c>
      <c r="J959" t="s">
        <v>301</v>
      </c>
      <c r="K959">
        <v>22</v>
      </c>
      <c r="L959" s="6">
        <v>6.7056000000000004</v>
      </c>
      <c r="M959" s="7">
        <v>25.4</v>
      </c>
      <c r="N959" s="7">
        <v>139.69999999999999</v>
      </c>
      <c r="O959" s="7">
        <f t="shared" si="71"/>
        <v>264</v>
      </c>
      <c r="P959" s="7">
        <f t="shared" si="72"/>
        <v>1</v>
      </c>
      <c r="Q959" s="7">
        <f t="shared" si="72"/>
        <v>5.5</v>
      </c>
      <c r="R959" s="6">
        <f t="shared" si="73"/>
        <v>924.60199999999998</v>
      </c>
      <c r="S959" s="6">
        <f t="shared" si="75"/>
        <v>2.3794016927999997E-2</v>
      </c>
      <c r="T959" t="str">
        <f t="shared" si="74"/>
        <v>Garapa S4S E4E 5/4x6 Long</v>
      </c>
    </row>
    <row r="960" spans="1:20" x14ac:dyDescent="0.25">
      <c r="A960" t="s">
        <v>1263</v>
      </c>
      <c r="B960" t="s">
        <v>1301</v>
      </c>
      <c r="C960" t="s">
        <v>524</v>
      </c>
      <c r="D960" t="s">
        <v>438</v>
      </c>
      <c r="E960" t="s">
        <v>1314</v>
      </c>
      <c r="F960" t="s">
        <v>1303</v>
      </c>
      <c r="G960" t="s">
        <v>1263</v>
      </c>
      <c r="H960" t="s">
        <v>373</v>
      </c>
      <c r="I960" t="s">
        <v>289</v>
      </c>
      <c r="J960" t="s">
        <v>301</v>
      </c>
      <c r="K960">
        <v>3</v>
      </c>
      <c r="L960" s="6">
        <v>0.91439999999999999</v>
      </c>
      <c r="M960" s="7">
        <v>25.4</v>
      </c>
      <c r="N960" s="7">
        <v>139.69999999999999</v>
      </c>
      <c r="O960" s="7">
        <f t="shared" si="71"/>
        <v>36</v>
      </c>
      <c r="P960" s="7">
        <f t="shared" si="72"/>
        <v>1</v>
      </c>
      <c r="Q960" s="7">
        <f t="shared" si="72"/>
        <v>5.5</v>
      </c>
      <c r="R960" s="6">
        <f t="shared" si="73"/>
        <v>924.60199999999998</v>
      </c>
      <c r="S960" s="6">
        <f t="shared" si="75"/>
        <v>3.2446386719999993E-3</v>
      </c>
      <c r="T960" t="str">
        <f t="shared" si="74"/>
        <v>Garapa S4S E4E 5/4x6 Short</v>
      </c>
    </row>
    <row r="961" spans="1:20" x14ac:dyDescent="0.25">
      <c r="A961" t="s">
        <v>1263</v>
      </c>
      <c r="B961" t="s">
        <v>1301</v>
      </c>
      <c r="C961" t="s">
        <v>524</v>
      </c>
      <c r="D961" t="s">
        <v>438</v>
      </c>
      <c r="E961" t="s">
        <v>1315</v>
      </c>
      <c r="F961" t="s">
        <v>1303</v>
      </c>
      <c r="G961" t="s">
        <v>1263</v>
      </c>
      <c r="H961" t="s">
        <v>373</v>
      </c>
      <c r="I961" t="s">
        <v>289</v>
      </c>
      <c r="J961" t="s">
        <v>301</v>
      </c>
      <c r="K961">
        <v>4</v>
      </c>
      <c r="L961" s="6">
        <v>1.2192000000000001</v>
      </c>
      <c r="M961" s="7">
        <v>25.4</v>
      </c>
      <c r="N961" s="7">
        <v>139.69999999999999</v>
      </c>
      <c r="O961" s="7">
        <f t="shared" si="71"/>
        <v>48.000000000000007</v>
      </c>
      <c r="P961" s="7">
        <f t="shared" si="72"/>
        <v>1</v>
      </c>
      <c r="Q961" s="7">
        <f t="shared" si="72"/>
        <v>5.5</v>
      </c>
      <c r="R961" s="6">
        <f t="shared" si="73"/>
        <v>924.60199999999998</v>
      </c>
      <c r="S961" s="6">
        <f t="shared" si="75"/>
        <v>4.3261848960000002E-3</v>
      </c>
      <c r="T961" t="str">
        <f t="shared" si="74"/>
        <v>Garapa S4S E4E 5/4x6 Short</v>
      </c>
    </row>
    <row r="962" spans="1:20" x14ac:dyDescent="0.25">
      <c r="A962" t="s">
        <v>1263</v>
      </c>
      <c r="B962" t="s">
        <v>1301</v>
      </c>
      <c r="C962" t="s">
        <v>524</v>
      </c>
      <c r="D962" t="s">
        <v>438</v>
      </c>
      <c r="E962" t="s">
        <v>1316</v>
      </c>
      <c r="F962" t="s">
        <v>1303</v>
      </c>
      <c r="G962" t="s">
        <v>1263</v>
      </c>
      <c r="H962" t="s">
        <v>373</v>
      </c>
      <c r="I962" t="s">
        <v>289</v>
      </c>
      <c r="J962" t="s">
        <v>301</v>
      </c>
      <c r="K962">
        <v>5</v>
      </c>
      <c r="L962" s="6">
        <v>1.524</v>
      </c>
      <c r="M962" s="7">
        <v>25.4</v>
      </c>
      <c r="N962" s="7">
        <v>139.69999999999999</v>
      </c>
      <c r="O962" s="7">
        <f t="shared" ref="O962:O985" si="77">L962/0.0254</f>
        <v>60</v>
      </c>
      <c r="P962" s="7">
        <f t="shared" ref="P962:Q985" si="78">M962/25.4</f>
        <v>1</v>
      </c>
      <c r="Q962" s="7">
        <f t="shared" si="78"/>
        <v>5.5</v>
      </c>
      <c r="R962" s="6">
        <f t="shared" ref="R962:R985" si="79">ROUND(IFERROR(1/((M962*N962*0.3048)/1000000),0),3)</f>
        <v>924.60199999999998</v>
      </c>
      <c r="S962" s="6">
        <f t="shared" si="75"/>
        <v>5.4077311200000002E-3</v>
      </c>
      <c r="T962" t="str">
        <f t="shared" ref="T962:T1025" si="80">F962&amp;" "&amp;C962</f>
        <v>Garapa S4S E4E 5/4x6 Short</v>
      </c>
    </row>
    <row r="963" spans="1:20" x14ac:dyDescent="0.25">
      <c r="A963" t="s">
        <v>1263</v>
      </c>
      <c r="B963" t="s">
        <v>1301</v>
      </c>
      <c r="C963" t="s">
        <v>524</v>
      </c>
      <c r="D963" t="s">
        <v>438</v>
      </c>
      <c r="E963" t="s">
        <v>1317</v>
      </c>
      <c r="F963" t="s">
        <v>1303</v>
      </c>
      <c r="G963" t="s">
        <v>1263</v>
      </c>
      <c r="H963" t="s">
        <v>373</v>
      </c>
      <c r="I963" t="s">
        <v>289</v>
      </c>
      <c r="J963" t="s">
        <v>301</v>
      </c>
      <c r="K963">
        <v>6</v>
      </c>
      <c r="L963" s="6">
        <v>1.8288</v>
      </c>
      <c r="M963" s="7">
        <v>25.4</v>
      </c>
      <c r="N963" s="7">
        <v>139.69999999999999</v>
      </c>
      <c r="O963" s="7">
        <f t="shared" si="77"/>
        <v>72</v>
      </c>
      <c r="P963" s="7">
        <f t="shared" si="78"/>
        <v>1</v>
      </c>
      <c r="Q963" s="7">
        <f t="shared" si="78"/>
        <v>5.5</v>
      </c>
      <c r="R963" s="6">
        <f t="shared" si="79"/>
        <v>924.60199999999998</v>
      </c>
      <c r="S963" s="6">
        <f t="shared" si="75"/>
        <v>6.4892773439999985E-3</v>
      </c>
      <c r="T963" t="str">
        <f t="shared" si="80"/>
        <v>Garapa S4S E4E 5/4x6 Short</v>
      </c>
    </row>
    <row r="964" spans="1:20" x14ac:dyDescent="0.25">
      <c r="A964" t="s">
        <v>1263</v>
      </c>
      <c r="B964" t="s">
        <v>1301</v>
      </c>
      <c r="C964" t="s">
        <v>524</v>
      </c>
      <c r="D964" t="s">
        <v>438</v>
      </c>
      <c r="E964" t="s">
        <v>1318</v>
      </c>
      <c r="F964" t="s">
        <v>1303</v>
      </c>
      <c r="G964" t="s">
        <v>1263</v>
      </c>
      <c r="H964" t="s">
        <v>373</v>
      </c>
      <c r="I964" t="s">
        <v>289</v>
      </c>
      <c r="J964" t="s">
        <v>301</v>
      </c>
      <c r="K964">
        <v>7</v>
      </c>
      <c r="L964" s="6">
        <v>2.1335999999999999</v>
      </c>
      <c r="M964" s="7">
        <v>25.4</v>
      </c>
      <c r="N964" s="7">
        <v>139.69999999999999</v>
      </c>
      <c r="O964" s="7">
        <f t="shared" si="77"/>
        <v>84</v>
      </c>
      <c r="P964" s="7">
        <f t="shared" si="78"/>
        <v>1</v>
      </c>
      <c r="Q964" s="7">
        <f t="shared" si="78"/>
        <v>5.5</v>
      </c>
      <c r="R964" s="6">
        <f t="shared" si="79"/>
        <v>924.60199999999998</v>
      </c>
      <c r="S964" s="6">
        <f t="shared" ref="S964:S985" si="81">L964*M964/1000*N964/1000</f>
        <v>7.5708235679999986E-3</v>
      </c>
      <c r="T964" t="str">
        <f t="shared" si="80"/>
        <v>Garapa S4S E4E 5/4x6 Short</v>
      </c>
    </row>
    <row r="965" spans="1:20" x14ac:dyDescent="0.25">
      <c r="A965" t="s">
        <v>1263</v>
      </c>
      <c r="B965" t="s">
        <v>1301</v>
      </c>
      <c r="C965" t="s">
        <v>283</v>
      </c>
      <c r="D965" t="s">
        <v>438</v>
      </c>
      <c r="E965" t="s">
        <v>1319</v>
      </c>
      <c r="F965" t="s">
        <v>1303</v>
      </c>
      <c r="G965" t="s">
        <v>1263</v>
      </c>
      <c r="H965" t="s">
        <v>373</v>
      </c>
      <c r="I965" t="s">
        <v>289</v>
      </c>
      <c r="J965" t="s">
        <v>301</v>
      </c>
      <c r="K965">
        <v>8</v>
      </c>
      <c r="L965" s="6">
        <v>2.4384000000000001</v>
      </c>
      <c r="M965" s="7">
        <v>25.4</v>
      </c>
      <c r="N965" s="7">
        <v>139.69999999999999</v>
      </c>
      <c r="O965" s="7">
        <f t="shared" si="77"/>
        <v>96.000000000000014</v>
      </c>
      <c r="P965" s="7">
        <f t="shared" si="78"/>
        <v>1</v>
      </c>
      <c r="Q965" s="7">
        <f t="shared" si="78"/>
        <v>5.5</v>
      </c>
      <c r="R965" s="6">
        <f t="shared" si="79"/>
        <v>924.60199999999998</v>
      </c>
      <c r="S965" s="6">
        <f t="shared" si="81"/>
        <v>8.6523697920000003E-3</v>
      </c>
      <c r="T965" t="str">
        <f t="shared" si="80"/>
        <v>Garapa S4S E4E 5/4x6 Long</v>
      </c>
    </row>
    <row r="966" spans="1:20" x14ac:dyDescent="0.25">
      <c r="A966" t="s">
        <v>1263</v>
      </c>
      <c r="B966" t="s">
        <v>1301</v>
      </c>
      <c r="C966" t="s">
        <v>283</v>
      </c>
      <c r="D966" t="s">
        <v>438</v>
      </c>
      <c r="E966" t="s">
        <v>1320</v>
      </c>
      <c r="F966" t="s">
        <v>1303</v>
      </c>
      <c r="G966" t="s">
        <v>1263</v>
      </c>
      <c r="H966" t="s">
        <v>373</v>
      </c>
      <c r="I966" t="s">
        <v>289</v>
      </c>
      <c r="J966" t="s">
        <v>301</v>
      </c>
      <c r="K966">
        <v>9</v>
      </c>
      <c r="L966" s="6">
        <v>2.7431999999999999</v>
      </c>
      <c r="M966" s="7">
        <v>25.4</v>
      </c>
      <c r="N966" s="7">
        <v>139.69999999999999</v>
      </c>
      <c r="O966" s="7">
        <f t="shared" si="77"/>
        <v>108</v>
      </c>
      <c r="P966" s="7">
        <f t="shared" si="78"/>
        <v>1</v>
      </c>
      <c r="Q966" s="7">
        <f t="shared" si="78"/>
        <v>5.5</v>
      </c>
      <c r="R966" s="6">
        <f t="shared" si="79"/>
        <v>924.60199999999998</v>
      </c>
      <c r="S966" s="6">
        <f t="shared" si="81"/>
        <v>9.7339160159999986E-3</v>
      </c>
      <c r="T966" t="str">
        <f t="shared" si="80"/>
        <v>Garapa S4S E4E 5/4x6 Long</v>
      </c>
    </row>
    <row r="967" spans="1:20" x14ac:dyDescent="0.25">
      <c r="A967" t="s">
        <v>1263</v>
      </c>
      <c r="B967" t="s">
        <v>1286</v>
      </c>
      <c r="C967" t="s">
        <v>283</v>
      </c>
      <c r="D967" t="s">
        <v>438</v>
      </c>
      <c r="E967" t="s">
        <v>1321</v>
      </c>
      <c r="F967" t="s">
        <v>1322</v>
      </c>
      <c r="G967" t="s">
        <v>1263</v>
      </c>
      <c r="H967" t="s">
        <v>373</v>
      </c>
      <c r="I967" t="s">
        <v>325</v>
      </c>
      <c r="J967" t="s">
        <v>344</v>
      </c>
      <c r="K967">
        <v>10</v>
      </c>
      <c r="L967" s="6">
        <v>3.048</v>
      </c>
      <c r="M967" s="7">
        <v>19.05</v>
      </c>
      <c r="N967" s="7">
        <v>139.69999999999999</v>
      </c>
      <c r="O967" s="7">
        <f t="shared" si="77"/>
        <v>120</v>
      </c>
      <c r="P967" s="7">
        <f t="shared" si="78"/>
        <v>0.75000000000000011</v>
      </c>
      <c r="Q967" s="7">
        <f t="shared" si="78"/>
        <v>5.5</v>
      </c>
      <c r="R967" s="6">
        <f t="shared" si="79"/>
        <v>1232.8030000000001</v>
      </c>
      <c r="S967" s="6">
        <f t="shared" si="81"/>
        <v>8.1115966799999994E-3</v>
      </c>
      <c r="T967" t="str">
        <f t="shared" si="80"/>
        <v>Garapa S4S E4E Brown Ipe (Coated) 1x6 Long</v>
      </c>
    </row>
    <row r="968" spans="1:20" x14ac:dyDescent="0.25">
      <c r="A968" t="s">
        <v>1263</v>
      </c>
      <c r="B968" t="s">
        <v>1286</v>
      </c>
      <c r="C968" t="s">
        <v>283</v>
      </c>
      <c r="D968" t="s">
        <v>438</v>
      </c>
      <c r="E968" t="s">
        <v>1323</v>
      </c>
      <c r="F968" t="s">
        <v>1322</v>
      </c>
      <c r="G968" t="s">
        <v>1263</v>
      </c>
      <c r="H968" t="s">
        <v>373</v>
      </c>
      <c r="I968" t="s">
        <v>325</v>
      </c>
      <c r="J968" t="s">
        <v>344</v>
      </c>
      <c r="K968">
        <v>11</v>
      </c>
      <c r="L968" s="6">
        <v>3.3527999999999998</v>
      </c>
      <c r="M968" s="7">
        <v>19.05</v>
      </c>
      <c r="N968" s="7">
        <v>139.69999999999999</v>
      </c>
      <c r="O968" s="7">
        <f t="shared" si="77"/>
        <v>132</v>
      </c>
      <c r="P968" s="7">
        <f t="shared" si="78"/>
        <v>0.75000000000000011</v>
      </c>
      <c r="Q968" s="7">
        <f t="shared" si="78"/>
        <v>5.5</v>
      </c>
      <c r="R968" s="6">
        <f t="shared" si="79"/>
        <v>1232.8030000000001</v>
      </c>
      <c r="S968" s="6">
        <f t="shared" si="81"/>
        <v>8.922756347999999E-3</v>
      </c>
      <c r="T968" t="str">
        <f t="shared" si="80"/>
        <v>Garapa S4S E4E Brown Ipe (Coated) 1x6 Long</v>
      </c>
    </row>
    <row r="969" spans="1:20" x14ac:dyDescent="0.25">
      <c r="A969" t="s">
        <v>1263</v>
      </c>
      <c r="B969" t="s">
        <v>1286</v>
      </c>
      <c r="C969" t="s">
        <v>283</v>
      </c>
      <c r="D969" t="s">
        <v>438</v>
      </c>
      <c r="E969" t="s">
        <v>1324</v>
      </c>
      <c r="F969" t="s">
        <v>1322</v>
      </c>
      <c r="G969" t="s">
        <v>1263</v>
      </c>
      <c r="H969" t="s">
        <v>373</v>
      </c>
      <c r="I969" t="s">
        <v>325</v>
      </c>
      <c r="J969" t="s">
        <v>344</v>
      </c>
      <c r="K969">
        <v>12</v>
      </c>
      <c r="L969" s="6">
        <v>3.6576</v>
      </c>
      <c r="M969" s="7">
        <v>19.05</v>
      </c>
      <c r="N969" s="7">
        <v>139.69999999999999</v>
      </c>
      <c r="O969" s="7">
        <f t="shared" si="77"/>
        <v>144</v>
      </c>
      <c r="P969" s="7">
        <f t="shared" si="78"/>
        <v>0.75000000000000011</v>
      </c>
      <c r="Q969" s="7">
        <f t="shared" si="78"/>
        <v>5.5</v>
      </c>
      <c r="R969" s="6">
        <f t="shared" si="79"/>
        <v>1232.8030000000001</v>
      </c>
      <c r="S969" s="6">
        <f t="shared" si="81"/>
        <v>9.7339160159999986E-3</v>
      </c>
      <c r="T969" t="str">
        <f t="shared" si="80"/>
        <v>Garapa S4S E4E Brown Ipe (Coated) 1x6 Long</v>
      </c>
    </row>
    <row r="970" spans="1:20" x14ac:dyDescent="0.25">
      <c r="A970" t="s">
        <v>1263</v>
      </c>
      <c r="B970" t="s">
        <v>1286</v>
      </c>
      <c r="C970" t="s">
        <v>283</v>
      </c>
      <c r="D970" t="s">
        <v>438</v>
      </c>
      <c r="E970" t="s">
        <v>1325</v>
      </c>
      <c r="F970" t="s">
        <v>1322</v>
      </c>
      <c r="G970" t="s">
        <v>1263</v>
      </c>
      <c r="H970" t="s">
        <v>373</v>
      </c>
      <c r="I970" t="s">
        <v>325</v>
      </c>
      <c r="J970" t="s">
        <v>344</v>
      </c>
      <c r="K970">
        <v>13</v>
      </c>
      <c r="L970" s="6">
        <v>3.9624000000000001</v>
      </c>
      <c r="M970" s="7">
        <v>19.05</v>
      </c>
      <c r="N970" s="7">
        <v>139.69999999999999</v>
      </c>
      <c r="O970" s="7">
        <f t="shared" si="77"/>
        <v>156</v>
      </c>
      <c r="P970" s="7">
        <f t="shared" si="78"/>
        <v>0.75000000000000011</v>
      </c>
      <c r="Q970" s="7">
        <f t="shared" si="78"/>
        <v>5.5</v>
      </c>
      <c r="R970" s="6">
        <f t="shared" si="79"/>
        <v>1232.8030000000001</v>
      </c>
      <c r="S970" s="6">
        <f t="shared" si="81"/>
        <v>1.0545075684E-2</v>
      </c>
      <c r="T970" t="str">
        <f t="shared" si="80"/>
        <v>Garapa S4S E4E Brown Ipe (Coated) 1x6 Long</v>
      </c>
    </row>
    <row r="971" spans="1:20" x14ac:dyDescent="0.25">
      <c r="A971" t="s">
        <v>1263</v>
      </c>
      <c r="B971" t="s">
        <v>1286</v>
      </c>
      <c r="C971" t="s">
        <v>283</v>
      </c>
      <c r="D971" t="s">
        <v>438</v>
      </c>
      <c r="E971" t="s">
        <v>1326</v>
      </c>
      <c r="F971" t="s">
        <v>1322</v>
      </c>
      <c r="G971" t="s">
        <v>1263</v>
      </c>
      <c r="H971" t="s">
        <v>373</v>
      </c>
      <c r="I971" t="s">
        <v>325</v>
      </c>
      <c r="J971" t="s">
        <v>344</v>
      </c>
      <c r="K971">
        <v>14</v>
      </c>
      <c r="L971" s="6">
        <v>4.2671999999999999</v>
      </c>
      <c r="M971" s="7">
        <v>19.05</v>
      </c>
      <c r="N971" s="7">
        <v>139.69999999999999</v>
      </c>
      <c r="O971" s="7">
        <f t="shared" si="77"/>
        <v>168</v>
      </c>
      <c r="P971" s="7">
        <f t="shared" si="78"/>
        <v>0.75000000000000011</v>
      </c>
      <c r="Q971" s="7">
        <f t="shared" si="78"/>
        <v>5.5</v>
      </c>
      <c r="R971" s="6">
        <f t="shared" si="79"/>
        <v>1232.8030000000001</v>
      </c>
      <c r="S971" s="6">
        <f t="shared" si="81"/>
        <v>1.1356235352E-2</v>
      </c>
      <c r="T971" t="str">
        <f t="shared" si="80"/>
        <v>Garapa S4S E4E Brown Ipe (Coated) 1x6 Long</v>
      </c>
    </row>
    <row r="972" spans="1:20" x14ac:dyDescent="0.25">
      <c r="A972" t="s">
        <v>1263</v>
      </c>
      <c r="B972" t="s">
        <v>1286</v>
      </c>
      <c r="C972" t="s">
        <v>283</v>
      </c>
      <c r="D972" t="s">
        <v>438</v>
      </c>
      <c r="E972" t="s">
        <v>1327</v>
      </c>
      <c r="F972" t="s">
        <v>1322</v>
      </c>
      <c r="G972" t="s">
        <v>1263</v>
      </c>
      <c r="H972" t="s">
        <v>373</v>
      </c>
      <c r="I972" t="s">
        <v>325</v>
      </c>
      <c r="J972" t="s">
        <v>344</v>
      </c>
      <c r="K972">
        <v>15</v>
      </c>
      <c r="L972" s="6">
        <v>4.5720000000000001</v>
      </c>
      <c r="M972" s="7">
        <v>19.05</v>
      </c>
      <c r="N972" s="7">
        <v>139.69999999999999</v>
      </c>
      <c r="O972" s="7">
        <f t="shared" si="77"/>
        <v>180</v>
      </c>
      <c r="P972" s="7">
        <f t="shared" si="78"/>
        <v>0.75000000000000011</v>
      </c>
      <c r="Q972" s="7">
        <f t="shared" si="78"/>
        <v>5.5</v>
      </c>
      <c r="R972" s="6">
        <f t="shared" si="79"/>
        <v>1232.8030000000001</v>
      </c>
      <c r="S972" s="6">
        <f t="shared" si="81"/>
        <v>1.2167395020000001E-2</v>
      </c>
      <c r="T972" t="str">
        <f t="shared" si="80"/>
        <v>Garapa S4S E4E Brown Ipe (Coated) 1x6 Long</v>
      </c>
    </row>
    <row r="973" spans="1:20" x14ac:dyDescent="0.25">
      <c r="A973" t="s">
        <v>1263</v>
      </c>
      <c r="B973" t="s">
        <v>1286</v>
      </c>
      <c r="C973" t="s">
        <v>283</v>
      </c>
      <c r="D973" t="s">
        <v>438</v>
      </c>
      <c r="E973" t="s">
        <v>1328</v>
      </c>
      <c r="F973" t="s">
        <v>1322</v>
      </c>
      <c r="G973" t="s">
        <v>1263</v>
      </c>
      <c r="H973" t="s">
        <v>373</v>
      </c>
      <c r="I973" t="s">
        <v>325</v>
      </c>
      <c r="J973" t="s">
        <v>344</v>
      </c>
      <c r="K973">
        <v>16</v>
      </c>
      <c r="L973" s="6">
        <v>4.8768000000000002</v>
      </c>
      <c r="M973" s="7">
        <v>19.05</v>
      </c>
      <c r="N973" s="7">
        <v>139.69999999999999</v>
      </c>
      <c r="O973" s="7">
        <f t="shared" si="77"/>
        <v>192.00000000000003</v>
      </c>
      <c r="P973" s="7">
        <f t="shared" si="78"/>
        <v>0.75000000000000011</v>
      </c>
      <c r="Q973" s="7">
        <f t="shared" si="78"/>
        <v>5.5</v>
      </c>
      <c r="R973" s="6">
        <f t="shared" si="79"/>
        <v>1232.8030000000001</v>
      </c>
      <c r="S973" s="6">
        <f t="shared" si="81"/>
        <v>1.2978554687999999E-2</v>
      </c>
      <c r="T973" t="str">
        <f t="shared" si="80"/>
        <v>Garapa S4S E4E Brown Ipe (Coated) 1x6 Long</v>
      </c>
    </row>
    <row r="974" spans="1:20" x14ac:dyDescent="0.25">
      <c r="A974" t="s">
        <v>1263</v>
      </c>
      <c r="B974" t="s">
        <v>1286</v>
      </c>
      <c r="C974" t="s">
        <v>283</v>
      </c>
      <c r="D974" t="s">
        <v>438</v>
      </c>
      <c r="E974" t="s">
        <v>1329</v>
      </c>
      <c r="F974" t="s">
        <v>1322</v>
      </c>
      <c r="G974" t="s">
        <v>1263</v>
      </c>
      <c r="H974" t="s">
        <v>373</v>
      </c>
      <c r="I974" t="s">
        <v>325</v>
      </c>
      <c r="J974" t="s">
        <v>344</v>
      </c>
      <c r="K974">
        <v>17</v>
      </c>
      <c r="L974" s="6">
        <v>5.1816000000000004</v>
      </c>
      <c r="M974" s="7">
        <v>19.05</v>
      </c>
      <c r="N974" s="7">
        <v>139.69999999999999</v>
      </c>
      <c r="O974" s="7">
        <f t="shared" si="77"/>
        <v>204.00000000000003</v>
      </c>
      <c r="P974" s="7">
        <f t="shared" si="78"/>
        <v>0.75000000000000011</v>
      </c>
      <c r="Q974" s="7">
        <f t="shared" si="78"/>
        <v>5.5</v>
      </c>
      <c r="R974" s="6">
        <f t="shared" si="79"/>
        <v>1232.8030000000001</v>
      </c>
      <c r="S974" s="6">
        <f t="shared" si="81"/>
        <v>1.3789714356000002E-2</v>
      </c>
      <c r="T974" t="str">
        <f t="shared" si="80"/>
        <v>Garapa S4S E4E Brown Ipe (Coated) 1x6 Long</v>
      </c>
    </row>
    <row r="975" spans="1:20" x14ac:dyDescent="0.25">
      <c r="A975" t="s">
        <v>1263</v>
      </c>
      <c r="B975" t="s">
        <v>1286</v>
      </c>
      <c r="C975" t="s">
        <v>283</v>
      </c>
      <c r="D975" t="s">
        <v>438</v>
      </c>
      <c r="E975" t="s">
        <v>1330</v>
      </c>
      <c r="F975" t="s">
        <v>1322</v>
      </c>
      <c r="G975" t="s">
        <v>1263</v>
      </c>
      <c r="H975" t="s">
        <v>373</v>
      </c>
      <c r="I975" t="s">
        <v>325</v>
      </c>
      <c r="J975" t="s">
        <v>344</v>
      </c>
      <c r="K975">
        <v>18</v>
      </c>
      <c r="L975" s="6">
        <v>5.4863999999999997</v>
      </c>
      <c r="M975" s="7">
        <v>19.05</v>
      </c>
      <c r="N975" s="7">
        <v>139.69999999999999</v>
      </c>
      <c r="O975" s="7">
        <f t="shared" si="77"/>
        <v>216</v>
      </c>
      <c r="P975" s="7">
        <f t="shared" si="78"/>
        <v>0.75000000000000011</v>
      </c>
      <c r="Q975" s="7">
        <f t="shared" si="78"/>
        <v>5.5</v>
      </c>
      <c r="R975" s="6">
        <f t="shared" si="79"/>
        <v>1232.8030000000001</v>
      </c>
      <c r="S975" s="6">
        <f t="shared" si="81"/>
        <v>1.4600874024E-2</v>
      </c>
      <c r="T975" t="str">
        <f t="shared" si="80"/>
        <v>Garapa S4S E4E Brown Ipe (Coated) 1x6 Long</v>
      </c>
    </row>
    <row r="976" spans="1:20" x14ac:dyDescent="0.25">
      <c r="A976" t="s">
        <v>1263</v>
      </c>
      <c r="B976" t="s">
        <v>1286</v>
      </c>
      <c r="C976" t="s">
        <v>283</v>
      </c>
      <c r="D976" t="s">
        <v>438</v>
      </c>
      <c r="E976" t="s">
        <v>1331</v>
      </c>
      <c r="F976" t="s">
        <v>1322</v>
      </c>
      <c r="G976" t="s">
        <v>1263</v>
      </c>
      <c r="H976" t="s">
        <v>373</v>
      </c>
      <c r="I976" t="s">
        <v>325</v>
      </c>
      <c r="J976" t="s">
        <v>344</v>
      </c>
      <c r="K976">
        <v>19</v>
      </c>
      <c r="L976" s="6">
        <v>5.7911999999999999</v>
      </c>
      <c r="M976" s="7">
        <v>19.05</v>
      </c>
      <c r="N976" s="7">
        <v>139.69999999999999</v>
      </c>
      <c r="O976" s="7">
        <f t="shared" si="77"/>
        <v>228</v>
      </c>
      <c r="P976" s="7">
        <f t="shared" si="78"/>
        <v>0.75000000000000011</v>
      </c>
      <c r="Q976" s="7">
        <f t="shared" si="78"/>
        <v>5.5</v>
      </c>
      <c r="R976" s="6">
        <f t="shared" si="79"/>
        <v>1232.8030000000001</v>
      </c>
      <c r="S976" s="6">
        <f t="shared" si="81"/>
        <v>1.5412033691999999E-2</v>
      </c>
      <c r="T976" t="str">
        <f t="shared" si="80"/>
        <v>Garapa S4S E4E Brown Ipe (Coated) 1x6 Long</v>
      </c>
    </row>
    <row r="977" spans="1:20" x14ac:dyDescent="0.25">
      <c r="A977" t="s">
        <v>1263</v>
      </c>
      <c r="B977" t="s">
        <v>1286</v>
      </c>
      <c r="C977" t="s">
        <v>283</v>
      </c>
      <c r="D977" t="s">
        <v>438</v>
      </c>
      <c r="E977" t="s">
        <v>1332</v>
      </c>
      <c r="F977" t="s">
        <v>1322</v>
      </c>
      <c r="G977" t="s">
        <v>1263</v>
      </c>
      <c r="H977" t="s">
        <v>373</v>
      </c>
      <c r="I977" t="s">
        <v>325</v>
      </c>
      <c r="J977" t="s">
        <v>344</v>
      </c>
      <c r="K977">
        <v>20</v>
      </c>
      <c r="L977" s="6">
        <v>6.0960000000000001</v>
      </c>
      <c r="M977" s="7">
        <v>19.05</v>
      </c>
      <c r="N977" s="7">
        <v>139.69999999999999</v>
      </c>
      <c r="O977" s="7">
        <f t="shared" si="77"/>
        <v>240</v>
      </c>
      <c r="P977" s="7">
        <f t="shared" si="78"/>
        <v>0.75000000000000011</v>
      </c>
      <c r="Q977" s="7">
        <f t="shared" si="78"/>
        <v>5.5</v>
      </c>
      <c r="R977" s="6">
        <f t="shared" si="79"/>
        <v>1232.8030000000001</v>
      </c>
      <c r="S977" s="6">
        <f t="shared" si="81"/>
        <v>1.6223193359999999E-2</v>
      </c>
      <c r="T977" t="str">
        <f t="shared" si="80"/>
        <v>Garapa S4S E4E Brown Ipe (Coated) 1x6 Long</v>
      </c>
    </row>
    <row r="978" spans="1:20" x14ac:dyDescent="0.25">
      <c r="A978" t="s">
        <v>1263</v>
      </c>
      <c r="B978" t="s">
        <v>1286</v>
      </c>
      <c r="C978" t="s">
        <v>524</v>
      </c>
      <c r="D978" t="s">
        <v>438</v>
      </c>
      <c r="E978" t="s">
        <v>1333</v>
      </c>
      <c r="F978" t="s">
        <v>1322</v>
      </c>
      <c r="G978" t="s">
        <v>1263</v>
      </c>
      <c r="H978" t="s">
        <v>373</v>
      </c>
      <c r="I978" t="s">
        <v>325</v>
      </c>
      <c r="J978" t="s">
        <v>344</v>
      </c>
      <c r="K978">
        <v>3</v>
      </c>
      <c r="L978" s="6">
        <v>0.91439999999999999</v>
      </c>
      <c r="M978" s="7">
        <v>19.05</v>
      </c>
      <c r="N978" s="7">
        <v>139.69999999999999</v>
      </c>
      <c r="O978" s="7">
        <f t="shared" si="77"/>
        <v>36</v>
      </c>
      <c r="P978" s="7">
        <f t="shared" si="78"/>
        <v>0.75000000000000011</v>
      </c>
      <c r="Q978" s="7">
        <f t="shared" si="78"/>
        <v>5.5</v>
      </c>
      <c r="R978" s="6">
        <f t="shared" si="79"/>
        <v>1232.8030000000001</v>
      </c>
      <c r="S978" s="6">
        <f t="shared" si="81"/>
        <v>2.4334790039999997E-3</v>
      </c>
      <c r="T978" t="str">
        <f t="shared" si="80"/>
        <v>Garapa S4S E4E Brown Ipe (Coated) 1x6 Short</v>
      </c>
    </row>
    <row r="979" spans="1:20" x14ac:dyDescent="0.25">
      <c r="A979" t="s">
        <v>1263</v>
      </c>
      <c r="B979" t="s">
        <v>1286</v>
      </c>
      <c r="C979" t="s">
        <v>524</v>
      </c>
      <c r="D979" t="s">
        <v>438</v>
      </c>
      <c r="E979" t="s">
        <v>1334</v>
      </c>
      <c r="F979" t="s">
        <v>1322</v>
      </c>
      <c r="G979" t="s">
        <v>1263</v>
      </c>
      <c r="H979" t="s">
        <v>373</v>
      </c>
      <c r="I979" t="s">
        <v>325</v>
      </c>
      <c r="J979" t="s">
        <v>344</v>
      </c>
      <c r="K979">
        <v>4</v>
      </c>
      <c r="L979" s="6">
        <v>1.2192000000000001</v>
      </c>
      <c r="M979" s="7">
        <v>19.05</v>
      </c>
      <c r="N979" s="7">
        <v>139.69999999999999</v>
      </c>
      <c r="O979" s="7">
        <f t="shared" si="77"/>
        <v>48.000000000000007</v>
      </c>
      <c r="P979" s="7">
        <f t="shared" si="78"/>
        <v>0.75000000000000011</v>
      </c>
      <c r="Q979" s="7">
        <f t="shared" si="78"/>
        <v>5.5</v>
      </c>
      <c r="R979" s="6">
        <f t="shared" si="79"/>
        <v>1232.8030000000001</v>
      </c>
      <c r="S979" s="6">
        <f t="shared" si="81"/>
        <v>3.2446386719999997E-3</v>
      </c>
      <c r="T979" t="str">
        <f t="shared" si="80"/>
        <v>Garapa S4S E4E Brown Ipe (Coated) 1x6 Short</v>
      </c>
    </row>
    <row r="980" spans="1:20" x14ac:dyDescent="0.25">
      <c r="A980" t="s">
        <v>1263</v>
      </c>
      <c r="B980" t="s">
        <v>1286</v>
      </c>
      <c r="C980" t="s">
        <v>524</v>
      </c>
      <c r="D980" t="s">
        <v>438</v>
      </c>
      <c r="E980" t="s">
        <v>1335</v>
      </c>
      <c r="F980" t="s">
        <v>1322</v>
      </c>
      <c r="G980" t="s">
        <v>1263</v>
      </c>
      <c r="H980" t="s">
        <v>373</v>
      </c>
      <c r="I980" t="s">
        <v>325</v>
      </c>
      <c r="J980" t="s">
        <v>344</v>
      </c>
      <c r="K980">
        <v>5</v>
      </c>
      <c r="L980" s="6">
        <v>1.524</v>
      </c>
      <c r="M980" s="7">
        <v>19.05</v>
      </c>
      <c r="N980" s="7">
        <v>139.69999999999999</v>
      </c>
      <c r="O980" s="7">
        <f t="shared" si="77"/>
        <v>60</v>
      </c>
      <c r="P980" s="7">
        <f t="shared" si="78"/>
        <v>0.75000000000000011</v>
      </c>
      <c r="Q980" s="7">
        <f t="shared" si="78"/>
        <v>5.5</v>
      </c>
      <c r="R980" s="6">
        <f t="shared" si="79"/>
        <v>1232.8030000000001</v>
      </c>
      <c r="S980" s="6">
        <f t="shared" si="81"/>
        <v>4.0557983399999997E-3</v>
      </c>
      <c r="T980" t="str">
        <f t="shared" si="80"/>
        <v>Garapa S4S E4E Brown Ipe (Coated) 1x6 Short</v>
      </c>
    </row>
    <row r="981" spans="1:20" x14ac:dyDescent="0.25">
      <c r="A981" t="s">
        <v>1263</v>
      </c>
      <c r="B981" t="s">
        <v>1286</v>
      </c>
      <c r="C981" t="s">
        <v>524</v>
      </c>
      <c r="D981" t="s">
        <v>438</v>
      </c>
      <c r="E981" t="s">
        <v>1336</v>
      </c>
      <c r="F981" t="s">
        <v>1322</v>
      </c>
      <c r="G981" t="s">
        <v>1263</v>
      </c>
      <c r="H981" t="s">
        <v>373</v>
      </c>
      <c r="I981" t="s">
        <v>325</v>
      </c>
      <c r="J981" t="s">
        <v>344</v>
      </c>
      <c r="K981">
        <v>6</v>
      </c>
      <c r="L981" s="6">
        <v>1.8288</v>
      </c>
      <c r="M981" s="7">
        <v>19.05</v>
      </c>
      <c r="N981" s="7">
        <v>139.69999999999999</v>
      </c>
      <c r="O981" s="7">
        <f t="shared" si="77"/>
        <v>72</v>
      </c>
      <c r="P981" s="7">
        <f t="shared" si="78"/>
        <v>0.75000000000000011</v>
      </c>
      <c r="Q981" s="7">
        <f t="shared" si="78"/>
        <v>5.5</v>
      </c>
      <c r="R981" s="6">
        <f t="shared" si="79"/>
        <v>1232.8030000000001</v>
      </c>
      <c r="S981" s="6">
        <f t="shared" si="81"/>
        <v>4.8669580079999993E-3</v>
      </c>
      <c r="T981" t="str">
        <f t="shared" si="80"/>
        <v>Garapa S4S E4E Brown Ipe (Coated) 1x6 Short</v>
      </c>
    </row>
    <row r="982" spans="1:20" x14ac:dyDescent="0.25">
      <c r="A982" t="s">
        <v>1263</v>
      </c>
      <c r="B982" t="s">
        <v>1286</v>
      </c>
      <c r="C982" t="s">
        <v>524</v>
      </c>
      <c r="D982" t="s">
        <v>438</v>
      </c>
      <c r="E982" t="s">
        <v>1337</v>
      </c>
      <c r="F982" t="s">
        <v>1322</v>
      </c>
      <c r="G982" t="s">
        <v>1263</v>
      </c>
      <c r="H982" t="s">
        <v>373</v>
      </c>
      <c r="I982" t="s">
        <v>325</v>
      </c>
      <c r="J982" t="s">
        <v>344</v>
      </c>
      <c r="K982">
        <v>7</v>
      </c>
      <c r="L982" s="6">
        <v>2.1335999999999999</v>
      </c>
      <c r="M982" s="7">
        <v>19.05</v>
      </c>
      <c r="N982" s="7">
        <v>139.69999999999999</v>
      </c>
      <c r="O982" s="7">
        <f t="shared" si="77"/>
        <v>84</v>
      </c>
      <c r="P982" s="7">
        <f t="shared" si="78"/>
        <v>0.75000000000000011</v>
      </c>
      <c r="Q982" s="7">
        <f t="shared" si="78"/>
        <v>5.5</v>
      </c>
      <c r="R982" s="6">
        <f t="shared" si="79"/>
        <v>1232.8030000000001</v>
      </c>
      <c r="S982" s="6">
        <f t="shared" si="81"/>
        <v>5.6781176759999998E-3</v>
      </c>
      <c r="T982" t="str">
        <f t="shared" si="80"/>
        <v>Garapa S4S E4E Brown Ipe (Coated) 1x6 Short</v>
      </c>
    </row>
    <row r="983" spans="1:20" x14ac:dyDescent="0.25">
      <c r="A983" t="s">
        <v>1263</v>
      </c>
      <c r="B983" t="s">
        <v>1286</v>
      </c>
      <c r="C983" t="s">
        <v>283</v>
      </c>
      <c r="D983" t="s">
        <v>438</v>
      </c>
      <c r="E983" t="s">
        <v>1338</v>
      </c>
      <c r="F983" t="s">
        <v>1322</v>
      </c>
      <c r="G983" t="s">
        <v>1263</v>
      </c>
      <c r="H983" t="s">
        <v>373</v>
      </c>
      <c r="I983" t="s">
        <v>325</v>
      </c>
      <c r="J983" t="s">
        <v>344</v>
      </c>
      <c r="K983">
        <v>8</v>
      </c>
      <c r="L983" s="6">
        <v>2.4384000000000001</v>
      </c>
      <c r="M983" s="7">
        <v>19.05</v>
      </c>
      <c r="N983" s="7">
        <v>139.69999999999999</v>
      </c>
      <c r="O983" s="7">
        <f t="shared" si="77"/>
        <v>96.000000000000014</v>
      </c>
      <c r="P983" s="7">
        <f t="shared" si="78"/>
        <v>0.75000000000000011</v>
      </c>
      <c r="Q983" s="7">
        <f t="shared" si="78"/>
        <v>5.5</v>
      </c>
      <c r="R983" s="6">
        <f t="shared" si="79"/>
        <v>1232.8030000000001</v>
      </c>
      <c r="S983" s="6">
        <f t="shared" si="81"/>
        <v>6.4892773439999994E-3</v>
      </c>
      <c r="T983" t="str">
        <f t="shared" si="80"/>
        <v>Garapa S4S E4E Brown Ipe (Coated) 1x6 Long</v>
      </c>
    </row>
    <row r="984" spans="1:20" x14ac:dyDescent="0.25">
      <c r="A984" t="s">
        <v>1263</v>
      </c>
      <c r="B984" t="s">
        <v>1286</v>
      </c>
      <c r="C984" t="s">
        <v>283</v>
      </c>
      <c r="D984" t="s">
        <v>438</v>
      </c>
      <c r="E984" t="s">
        <v>1339</v>
      </c>
      <c r="F984" t="s">
        <v>1322</v>
      </c>
      <c r="G984" t="s">
        <v>1263</v>
      </c>
      <c r="H984" t="s">
        <v>373</v>
      </c>
      <c r="I984" t="s">
        <v>325</v>
      </c>
      <c r="J984" t="s">
        <v>344</v>
      </c>
      <c r="K984">
        <v>9</v>
      </c>
      <c r="L984" s="6">
        <v>2.7431999999999999</v>
      </c>
      <c r="M984" s="7">
        <v>19.05</v>
      </c>
      <c r="N984" s="7">
        <v>139.69999999999999</v>
      </c>
      <c r="O984" s="7">
        <f t="shared" si="77"/>
        <v>108</v>
      </c>
      <c r="P984" s="7">
        <f t="shared" si="78"/>
        <v>0.75000000000000011</v>
      </c>
      <c r="Q984" s="7">
        <f t="shared" si="78"/>
        <v>5.5</v>
      </c>
      <c r="R984" s="6">
        <f t="shared" si="79"/>
        <v>1232.8030000000001</v>
      </c>
      <c r="S984" s="6">
        <f t="shared" si="81"/>
        <v>7.3004370119999999E-3</v>
      </c>
      <c r="T984" t="str">
        <f t="shared" si="80"/>
        <v>Garapa S4S E4E Brown Ipe (Coated) 1x6 Long</v>
      </c>
    </row>
    <row r="985" spans="1:20" x14ac:dyDescent="0.25">
      <c r="A985" t="s">
        <v>1263</v>
      </c>
      <c r="B985" t="s">
        <v>1340</v>
      </c>
      <c r="C985" t="s">
        <v>1256</v>
      </c>
      <c r="D985" t="s">
        <v>438</v>
      </c>
      <c r="E985" t="s">
        <v>1341</v>
      </c>
      <c r="F985" t="s">
        <v>1342</v>
      </c>
      <c r="G985" t="s">
        <v>1263</v>
      </c>
      <c r="H985" t="s">
        <v>1256</v>
      </c>
      <c r="I985" t="s">
        <v>289</v>
      </c>
      <c r="J985" t="s">
        <v>1258</v>
      </c>
      <c r="K985">
        <v>24</v>
      </c>
      <c r="L985" s="6">
        <v>0.60640000000000005</v>
      </c>
      <c r="M985" s="7">
        <v>19</v>
      </c>
      <c r="N985" s="7">
        <v>71</v>
      </c>
      <c r="O985" s="7">
        <f t="shared" si="77"/>
        <v>23.8740157480315</v>
      </c>
      <c r="P985" s="7">
        <f t="shared" si="78"/>
        <v>0.74803149606299213</v>
      </c>
      <c r="Q985" s="7">
        <f t="shared" si="78"/>
        <v>2.7952755905511815</v>
      </c>
      <c r="R985" s="6">
        <f t="shared" si="79"/>
        <v>2432.0529999999999</v>
      </c>
      <c r="S985" s="6">
        <f t="shared" si="81"/>
        <v>8.1803360000000012E-4</v>
      </c>
      <c r="T985" t="str">
        <f t="shared" si="80"/>
        <v>Garapa Tiles 24x24 Tiles</v>
      </c>
    </row>
    <row r="986" spans="1:20" x14ac:dyDescent="0.25">
      <c r="A986" t="s">
        <v>1263</v>
      </c>
      <c r="B986" t="s">
        <v>1343</v>
      </c>
      <c r="C986" t="s">
        <v>1344</v>
      </c>
      <c r="D986" t="s">
        <v>438</v>
      </c>
      <c r="E986" t="s">
        <v>1345</v>
      </c>
      <c r="F986" t="s">
        <v>1346</v>
      </c>
      <c r="G986" t="s">
        <v>1263</v>
      </c>
      <c r="H986" t="s">
        <v>1343</v>
      </c>
      <c r="I986" t="s">
        <v>289</v>
      </c>
      <c r="J986" t="s">
        <v>289</v>
      </c>
      <c r="K986">
        <v>0</v>
      </c>
      <c r="L986" s="6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6">
        <v>0</v>
      </c>
      <c r="S986" s="6">
        <v>0</v>
      </c>
      <c r="T986" t="str">
        <f t="shared" si="80"/>
        <v>Garapa Wood Furniture Large Bracket</v>
      </c>
    </row>
    <row r="987" spans="1:20" x14ac:dyDescent="0.25">
      <c r="A987" t="s">
        <v>1263</v>
      </c>
      <c r="B987" t="s">
        <v>1343</v>
      </c>
      <c r="C987" t="s">
        <v>1347</v>
      </c>
      <c r="D987" t="s">
        <v>438</v>
      </c>
      <c r="E987" t="s">
        <v>1348</v>
      </c>
      <c r="F987" t="s">
        <v>1346</v>
      </c>
      <c r="G987" t="s">
        <v>1263</v>
      </c>
      <c r="H987" t="s">
        <v>1343</v>
      </c>
      <c r="I987" t="s">
        <v>289</v>
      </c>
      <c r="J987" t="s">
        <v>289</v>
      </c>
      <c r="K987">
        <v>0</v>
      </c>
      <c r="L987" s="6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6">
        <v>0</v>
      </c>
      <c r="S987" s="6">
        <v>0</v>
      </c>
      <c r="T987" t="str">
        <f t="shared" si="80"/>
        <v>Garapa Wood Furniture Small Bracket</v>
      </c>
    </row>
    <row r="988" spans="1:20" x14ac:dyDescent="0.25">
      <c r="A988" t="s">
        <v>1263</v>
      </c>
      <c r="B988" t="s">
        <v>1343</v>
      </c>
      <c r="C988" t="s">
        <v>1349</v>
      </c>
      <c r="D988" t="s">
        <v>438</v>
      </c>
      <c r="E988" t="s">
        <v>1350</v>
      </c>
      <c r="F988" t="s">
        <v>1346</v>
      </c>
      <c r="G988" t="s">
        <v>1263</v>
      </c>
      <c r="H988" t="s">
        <v>1343</v>
      </c>
      <c r="I988" t="s">
        <v>289</v>
      </c>
      <c r="J988" t="s">
        <v>289</v>
      </c>
      <c r="K988">
        <v>0</v>
      </c>
      <c r="L988" s="6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6">
        <v>0</v>
      </c>
      <c r="S988" s="6">
        <v>0</v>
      </c>
      <c r="T988" t="str">
        <f t="shared" si="80"/>
        <v>Garapa Wood Furniture Medium Bracket</v>
      </c>
    </row>
    <row r="989" spans="1:20" x14ac:dyDescent="0.25">
      <c r="A989" t="s">
        <v>1351</v>
      </c>
      <c r="B989" t="s">
        <v>1352</v>
      </c>
      <c r="C989" t="s">
        <v>1353</v>
      </c>
      <c r="D989" t="s">
        <v>438</v>
      </c>
      <c r="E989" t="s">
        <v>1354</v>
      </c>
      <c r="F989" t="s">
        <v>1355</v>
      </c>
      <c r="G989" t="s">
        <v>1351</v>
      </c>
      <c r="H989" t="s">
        <v>324</v>
      </c>
      <c r="I989" t="s">
        <v>1353</v>
      </c>
      <c r="J989" t="s">
        <v>301</v>
      </c>
      <c r="K989">
        <v>0</v>
      </c>
      <c r="L989" s="6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6">
        <v>0</v>
      </c>
      <c r="S989" s="6">
        <v>0</v>
      </c>
      <c r="T989" t="str">
        <f t="shared" si="80"/>
        <v>Ipe Grooved Random Lenght 5/4x6 Random Lenght</v>
      </c>
    </row>
    <row r="990" spans="1:20" x14ac:dyDescent="0.25">
      <c r="A990" t="s">
        <v>1351</v>
      </c>
      <c r="B990" t="s">
        <v>1356</v>
      </c>
      <c r="C990" t="s">
        <v>283</v>
      </c>
      <c r="D990" t="s">
        <v>438</v>
      </c>
      <c r="E990" t="s">
        <v>1357</v>
      </c>
      <c r="F990" t="s">
        <v>1358</v>
      </c>
      <c r="G990" t="s">
        <v>1351</v>
      </c>
      <c r="H990" t="s">
        <v>373</v>
      </c>
      <c r="I990" t="s">
        <v>289</v>
      </c>
      <c r="J990" t="s">
        <v>1359</v>
      </c>
      <c r="K990">
        <v>10</v>
      </c>
      <c r="L990" s="6">
        <v>3.048</v>
      </c>
      <c r="M990" s="7">
        <v>19.05</v>
      </c>
      <c r="N990" s="7">
        <v>234.95</v>
      </c>
      <c r="O990" s="7">
        <f t="shared" ref="O990:O1053" si="82">L990/0.0254</f>
        <v>120</v>
      </c>
      <c r="P990" s="7">
        <f t="shared" ref="P990:Q1053" si="83">M990/25.4</f>
        <v>0.75000000000000011</v>
      </c>
      <c r="Q990" s="7">
        <f t="shared" si="83"/>
        <v>9.25</v>
      </c>
      <c r="R990" s="6">
        <f t="shared" ref="R990:R1053" si="84">ROUND(IFERROR(1/((M990*N990*0.3048)/1000000),0),3)</f>
        <v>733.01800000000003</v>
      </c>
      <c r="S990" s="6">
        <f t="shared" ref="S990:S1053" si="85">L990*M990/1000*N990/1000</f>
        <v>1.3642230780000002E-2</v>
      </c>
      <c r="T990" t="str">
        <f t="shared" si="80"/>
        <v>Ipe S4S E4E 1x10 Long</v>
      </c>
    </row>
    <row r="991" spans="1:20" x14ac:dyDescent="0.25">
      <c r="A991" t="s">
        <v>1351</v>
      </c>
      <c r="B991" t="s">
        <v>1356</v>
      </c>
      <c r="C991" t="s">
        <v>283</v>
      </c>
      <c r="D991" t="s">
        <v>438</v>
      </c>
      <c r="E991" t="s">
        <v>1360</v>
      </c>
      <c r="F991" t="s">
        <v>1358</v>
      </c>
      <c r="G991" t="s">
        <v>1351</v>
      </c>
      <c r="H991" t="s">
        <v>373</v>
      </c>
      <c r="I991" t="s">
        <v>289</v>
      </c>
      <c r="J991" t="s">
        <v>1359</v>
      </c>
      <c r="K991">
        <v>11</v>
      </c>
      <c r="L991" s="6">
        <v>3.3527999999999998</v>
      </c>
      <c r="M991" s="7">
        <v>19.05</v>
      </c>
      <c r="N991" s="7">
        <v>234.95</v>
      </c>
      <c r="O991" s="7">
        <f t="shared" si="82"/>
        <v>132</v>
      </c>
      <c r="P991" s="7">
        <f t="shared" si="83"/>
        <v>0.75000000000000011</v>
      </c>
      <c r="Q991" s="7">
        <f t="shared" si="83"/>
        <v>9.25</v>
      </c>
      <c r="R991" s="6">
        <f t="shared" si="84"/>
        <v>733.01800000000003</v>
      </c>
      <c r="S991" s="6">
        <f t="shared" si="85"/>
        <v>1.5006453857999999E-2</v>
      </c>
      <c r="T991" t="str">
        <f t="shared" si="80"/>
        <v>Ipe S4S E4E 1x10 Long</v>
      </c>
    </row>
    <row r="992" spans="1:20" x14ac:dyDescent="0.25">
      <c r="A992" t="s">
        <v>1351</v>
      </c>
      <c r="B992" t="s">
        <v>1356</v>
      </c>
      <c r="C992" t="s">
        <v>283</v>
      </c>
      <c r="D992" t="s">
        <v>438</v>
      </c>
      <c r="E992" t="s">
        <v>1361</v>
      </c>
      <c r="F992" t="s">
        <v>1358</v>
      </c>
      <c r="G992" t="s">
        <v>1351</v>
      </c>
      <c r="H992" t="s">
        <v>373</v>
      </c>
      <c r="I992" t="s">
        <v>289</v>
      </c>
      <c r="J992" t="s">
        <v>1359</v>
      </c>
      <c r="K992">
        <v>12</v>
      </c>
      <c r="L992" s="6">
        <v>3.6576</v>
      </c>
      <c r="M992" s="7">
        <v>19.05</v>
      </c>
      <c r="N992" s="7">
        <v>234.95</v>
      </c>
      <c r="O992" s="7">
        <f t="shared" si="82"/>
        <v>144</v>
      </c>
      <c r="P992" s="7">
        <f t="shared" si="83"/>
        <v>0.75000000000000011</v>
      </c>
      <c r="Q992" s="7">
        <f t="shared" si="83"/>
        <v>9.25</v>
      </c>
      <c r="R992" s="6">
        <f t="shared" si="84"/>
        <v>733.01800000000003</v>
      </c>
      <c r="S992" s="6">
        <f t="shared" si="85"/>
        <v>1.6370676936E-2</v>
      </c>
      <c r="T992" t="str">
        <f t="shared" si="80"/>
        <v>Ipe S4S E4E 1x10 Long</v>
      </c>
    </row>
    <row r="993" spans="1:20" x14ac:dyDescent="0.25">
      <c r="A993" t="s">
        <v>1351</v>
      </c>
      <c r="B993" t="s">
        <v>1356</v>
      </c>
      <c r="C993" t="s">
        <v>283</v>
      </c>
      <c r="D993" t="s">
        <v>438</v>
      </c>
      <c r="E993" t="s">
        <v>1362</v>
      </c>
      <c r="F993" t="s">
        <v>1358</v>
      </c>
      <c r="G993" t="s">
        <v>1351</v>
      </c>
      <c r="H993" t="s">
        <v>373</v>
      </c>
      <c r="I993" t="s">
        <v>289</v>
      </c>
      <c r="J993" t="s">
        <v>1359</v>
      </c>
      <c r="K993">
        <v>13</v>
      </c>
      <c r="L993" s="6">
        <v>3.9624000000000001</v>
      </c>
      <c r="M993" s="7">
        <v>19.05</v>
      </c>
      <c r="N993" s="7">
        <v>234.95</v>
      </c>
      <c r="O993" s="7">
        <f t="shared" si="82"/>
        <v>156</v>
      </c>
      <c r="P993" s="7">
        <f t="shared" si="83"/>
        <v>0.75000000000000011</v>
      </c>
      <c r="Q993" s="7">
        <f t="shared" si="83"/>
        <v>9.25</v>
      </c>
      <c r="R993" s="6">
        <f t="shared" si="84"/>
        <v>733.01800000000003</v>
      </c>
      <c r="S993" s="6">
        <f t="shared" si="85"/>
        <v>1.7734900014E-2</v>
      </c>
      <c r="T993" t="str">
        <f t="shared" si="80"/>
        <v>Ipe S4S E4E 1x10 Long</v>
      </c>
    </row>
    <row r="994" spans="1:20" x14ac:dyDescent="0.25">
      <c r="A994" t="s">
        <v>1351</v>
      </c>
      <c r="B994" t="s">
        <v>1356</v>
      </c>
      <c r="C994" t="s">
        <v>283</v>
      </c>
      <c r="D994" t="s">
        <v>438</v>
      </c>
      <c r="E994" t="s">
        <v>1363</v>
      </c>
      <c r="F994" t="s">
        <v>1358</v>
      </c>
      <c r="G994" t="s">
        <v>1351</v>
      </c>
      <c r="H994" t="s">
        <v>373</v>
      </c>
      <c r="I994" t="s">
        <v>289</v>
      </c>
      <c r="J994" t="s">
        <v>1359</v>
      </c>
      <c r="K994">
        <v>14</v>
      </c>
      <c r="L994" s="6">
        <v>4.2671999999999999</v>
      </c>
      <c r="M994" s="7">
        <v>19.05</v>
      </c>
      <c r="N994" s="7">
        <v>234.95</v>
      </c>
      <c r="O994" s="7">
        <f t="shared" si="82"/>
        <v>168</v>
      </c>
      <c r="P994" s="7">
        <f t="shared" si="83"/>
        <v>0.75000000000000011</v>
      </c>
      <c r="Q994" s="7">
        <f t="shared" si="83"/>
        <v>9.25</v>
      </c>
      <c r="R994" s="6">
        <f t="shared" si="84"/>
        <v>733.01800000000003</v>
      </c>
      <c r="S994" s="6">
        <f t="shared" si="85"/>
        <v>1.9099123092E-2</v>
      </c>
      <c r="T994" t="str">
        <f t="shared" si="80"/>
        <v>Ipe S4S E4E 1x10 Long</v>
      </c>
    </row>
    <row r="995" spans="1:20" x14ac:dyDescent="0.25">
      <c r="A995" t="s">
        <v>1351</v>
      </c>
      <c r="B995" t="s">
        <v>1356</v>
      </c>
      <c r="C995" t="s">
        <v>283</v>
      </c>
      <c r="D995" t="s">
        <v>438</v>
      </c>
      <c r="E995" t="s">
        <v>1364</v>
      </c>
      <c r="F995" t="s">
        <v>1358</v>
      </c>
      <c r="G995" t="s">
        <v>1351</v>
      </c>
      <c r="H995" t="s">
        <v>373</v>
      </c>
      <c r="I995" t="s">
        <v>289</v>
      </c>
      <c r="J995" t="s">
        <v>1359</v>
      </c>
      <c r="K995">
        <v>15</v>
      </c>
      <c r="L995" s="6">
        <v>4.5720000000000001</v>
      </c>
      <c r="M995" s="7">
        <v>19.05</v>
      </c>
      <c r="N995" s="7">
        <v>234.95</v>
      </c>
      <c r="O995" s="7">
        <f t="shared" si="82"/>
        <v>180</v>
      </c>
      <c r="P995" s="7">
        <f t="shared" si="83"/>
        <v>0.75000000000000011</v>
      </c>
      <c r="Q995" s="7">
        <f t="shared" si="83"/>
        <v>9.25</v>
      </c>
      <c r="R995" s="6">
        <f t="shared" si="84"/>
        <v>733.01800000000003</v>
      </c>
      <c r="S995" s="6">
        <f t="shared" si="85"/>
        <v>2.0463346170000001E-2</v>
      </c>
      <c r="T995" t="str">
        <f t="shared" si="80"/>
        <v>Ipe S4S E4E 1x10 Long</v>
      </c>
    </row>
    <row r="996" spans="1:20" x14ac:dyDescent="0.25">
      <c r="A996" t="s">
        <v>1351</v>
      </c>
      <c r="B996" t="s">
        <v>1356</v>
      </c>
      <c r="C996" t="s">
        <v>283</v>
      </c>
      <c r="D996" t="s">
        <v>438</v>
      </c>
      <c r="E996" t="s">
        <v>1365</v>
      </c>
      <c r="F996" t="s">
        <v>1358</v>
      </c>
      <c r="G996" t="s">
        <v>1351</v>
      </c>
      <c r="H996" t="s">
        <v>373</v>
      </c>
      <c r="I996" t="s">
        <v>289</v>
      </c>
      <c r="J996" t="s">
        <v>1359</v>
      </c>
      <c r="K996">
        <v>16</v>
      </c>
      <c r="L996" s="6">
        <v>4.8768000000000002</v>
      </c>
      <c r="M996" s="7">
        <v>19.05</v>
      </c>
      <c r="N996" s="7">
        <v>234.95</v>
      </c>
      <c r="O996" s="7">
        <f t="shared" si="82"/>
        <v>192.00000000000003</v>
      </c>
      <c r="P996" s="7">
        <f t="shared" si="83"/>
        <v>0.75000000000000011</v>
      </c>
      <c r="Q996" s="7">
        <f t="shared" si="83"/>
        <v>9.25</v>
      </c>
      <c r="R996" s="6">
        <f t="shared" si="84"/>
        <v>733.01800000000003</v>
      </c>
      <c r="S996" s="6">
        <f t="shared" si="85"/>
        <v>2.1827569248000001E-2</v>
      </c>
      <c r="T996" t="str">
        <f t="shared" si="80"/>
        <v>Ipe S4S E4E 1x10 Long</v>
      </c>
    </row>
    <row r="997" spans="1:20" x14ac:dyDescent="0.25">
      <c r="A997" t="s">
        <v>1351</v>
      </c>
      <c r="B997" t="s">
        <v>1356</v>
      </c>
      <c r="C997" t="s">
        <v>283</v>
      </c>
      <c r="D997" t="s">
        <v>438</v>
      </c>
      <c r="E997" t="s">
        <v>1366</v>
      </c>
      <c r="F997" t="s">
        <v>1358</v>
      </c>
      <c r="G997" t="s">
        <v>1351</v>
      </c>
      <c r="H997" t="s">
        <v>373</v>
      </c>
      <c r="I997" t="s">
        <v>289</v>
      </c>
      <c r="J997" t="s">
        <v>1359</v>
      </c>
      <c r="K997">
        <v>17</v>
      </c>
      <c r="L997" s="6">
        <v>5.1816000000000004</v>
      </c>
      <c r="M997" s="7">
        <v>19.05</v>
      </c>
      <c r="N997" s="7">
        <v>234.95</v>
      </c>
      <c r="O997" s="7">
        <f t="shared" si="82"/>
        <v>204.00000000000003</v>
      </c>
      <c r="P997" s="7">
        <f t="shared" si="83"/>
        <v>0.75000000000000011</v>
      </c>
      <c r="Q997" s="7">
        <f t="shared" si="83"/>
        <v>9.25</v>
      </c>
      <c r="R997" s="6">
        <f t="shared" si="84"/>
        <v>733.01800000000003</v>
      </c>
      <c r="S997" s="6">
        <f t="shared" si="85"/>
        <v>2.3191792326000001E-2</v>
      </c>
      <c r="T997" t="str">
        <f t="shared" si="80"/>
        <v>Ipe S4S E4E 1x10 Long</v>
      </c>
    </row>
    <row r="998" spans="1:20" x14ac:dyDescent="0.25">
      <c r="A998" t="s">
        <v>1351</v>
      </c>
      <c r="B998" t="s">
        <v>1356</v>
      </c>
      <c r="C998" t="s">
        <v>283</v>
      </c>
      <c r="D998" t="s">
        <v>438</v>
      </c>
      <c r="E998" t="s">
        <v>1367</v>
      </c>
      <c r="F998" t="s">
        <v>1358</v>
      </c>
      <c r="G998" t="s">
        <v>1351</v>
      </c>
      <c r="H998" t="s">
        <v>373</v>
      </c>
      <c r="I998" t="s">
        <v>289</v>
      </c>
      <c r="J998" t="s">
        <v>1359</v>
      </c>
      <c r="K998">
        <v>18</v>
      </c>
      <c r="L998" s="6">
        <v>5.4863999999999997</v>
      </c>
      <c r="M998" s="7">
        <v>19.05</v>
      </c>
      <c r="N998" s="7">
        <v>234.95</v>
      </c>
      <c r="O998" s="7">
        <f t="shared" si="82"/>
        <v>216</v>
      </c>
      <c r="P998" s="7">
        <f t="shared" si="83"/>
        <v>0.75000000000000011</v>
      </c>
      <c r="Q998" s="7">
        <f t="shared" si="83"/>
        <v>9.25</v>
      </c>
      <c r="R998" s="6">
        <f t="shared" si="84"/>
        <v>733.01800000000003</v>
      </c>
      <c r="S998" s="6">
        <f t="shared" si="85"/>
        <v>2.4556015404000001E-2</v>
      </c>
      <c r="T998" t="str">
        <f t="shared" si="80"/>
        <v>Ipe S4S E4E 1x10 Long</v>
      </c>
    </row>
    <row r="999" spans="1:20" x14ac:dyDescent="0.25">
      <c r="A999" t="s">
        <v>1351</v>
      </c>
      <c r="B999" t="s">
        <v>1356</v>
      </c>
      <c r="C999" t="s">
        <v>283</v>
      </c>
      <c r="D999" t="s">
        <v>438</v>
      </c>
      <c r="E999" t="s">
        <v>1368</v>
      </c>
      <c r="F999" t="s">
        <v>1358</v>
      </c>
      <c r="G999" t="s">
        <v>1351</v>
      </c>
      <c r="H999" t="s">
        <v>373</v>
      </c>
      <c r="I999" t="s">
        <v>289</v>
      </c>
      <c r="J999" t="s">
        <v>1359</v>
      </c>
      <c r="K999">
        <v>19</v>
      </c>
      <c r="L999" s="6">
        <v>5.7911999999999999</v>
      </c>
      <c r="M999" s="7">
        <v>19.05</v>
      </c>
      <c r="N999" s="7">
        <v>234.95</v>
      </c>
      <c r="O999" s="7">
        <f t="shared" si="82"/>
        <v>228</v>
      </c>
      <c r="P999" s="7">
        <f t="shared" si="83"/>
        <v>0.75000000000000011</v>
      </c>
      <c r="Q999" s="7">
        <f t="shared" si="83"/>
        <v>9.25</v>
      </c>
      <c r="R999" s="6">
        <f t="shared" si="84"/>
        <v>733.01800000000003</v>
      </c>
      <c r="S999" s="6">
        <f t="shared" si="85"/>
        <v>2.5920238482000001E-2</v>
      </c>
      <c r="T999" t="str">
        <f t="shared" si="80"/>
        <v>Ipe S4S E4E 1x10 Long</v>
      </c>
    </row>
    <row r="1000" spans="1:20" x14ac:dyDescent="0.25">
      <c r="A1000" t="s">
        <v>1351</v>
      </c>
      <c r="B1000" t="s">
        <v>1356</v>
      </c>
      <c r="C1000" t="s">
        <v>283</v>
      </c>
      <c r="D1000" t="s">
        <v>438</v>
      </c>
      <c r="E1000" t="s">
        <v>1369</v>
      </c>
      <c r="F1000" t="s">
        <v>1358</v>
      </c>
      <c r="G1000" t="s">
        <v>1351</v>
      </c>
      <c r="H1000" t="s">
        <v>373</v>
      </c>
      <c r="I1000" t="s">
        <v>289</v>
      </c>
      <c r="J1000" t="s">
        <v>1359</v>
      </c>
      <c r="K1000">
        <v>20</v>
      </c>
      <c r="L1000" s="6">
        <v>6.0960000000000001</v>
      </c>
      <c r="M1000" s="7">
        <v>19.05</v>
      </c>
      <c r="N1000" s="7">
        <v>234.95</v>
      </c>
      <c r="O1000" s="7">
        <f t="shared" si="82"/>
        <v>240</v>
      </c>
      <c r="P1000" s="7">
        <f t="shared" si="83"/>
        <v>0.75000000000000011</v>
      </c>
      <c r="Q1000" s="7">
        <f t="shared" si="83"/>
        <v>9.25</v>
      </c>
      <c r="R1000" s="6">
        <f t="shared" si="84"/>
        <v>733.01800000000003</v>
      </c>
      <c r="S1000" s="6">
        <f t="shared" si="85"/>
        <v>2.7284461560000004E-2</v>
      </c>
      <c r="T1000" t="str">
        <f t="shared" si="80"/>
        <v>Ipe S4S E4E 1x10 Long</v>
      </c>
    </row>
    <row r="1001" spans="1:20" x14ac:dyDescent="0.25">
      <c r="A1001" t="s">
        <v>1351</v>
      </c>
      <c r="B1001" t="s">
        <v>1356</v>
      </c>
      <c r="C1001" t="s">
        <v>283</v>
      </c>
      <c r="D1001" t="s">
        <v>438</v>
      </c>
      <c r="E1001" t="s">
        <v>1370</v>
      </c>
      <c r="F1001" t="s">
        <v>1358</v>
      </c>
      <c r="G1001" t="s">
        <v>1351</v>
      </c>
      <c r="H1001" t="s">
        <v>373</v>
      </c>
      <c r="I1001" t="s">
        <v>289</v>
      </c>
      <c r="J1001" t="s">
        <v>1359</v>
      </c>
      <c r="K1001">
        <v>21</v>
      </c>
      <c r="L1001" s="6">
        <v>6.4008000000000003</v>
      </c>
      <c r="M1001" s="7">
        <v>19.05</v>
      </c>
      <c r="N1001" s="7">
        <v>234.95</v>
      </c>
      <c r="O1001" s="7">
        <f t="shared" si="82"/>
        <v>252.00000000000003</v>
      </c>
      <c r="P1001" s="7">
        <f t="shared" si="83"/>
        <v>0.75000000000000011</v>
      </c>
      <c r="Q1001" s="7">
        <f t="shared" si="83"/>
        <v>9.25</v>
      </c>
      <c r="R1001" s="6">
        <f t="shared" si="84"/>
        <v>733.01800000000003</v>
      </c>
      <c r="S1001" s="6">
        <f t="shared" si="85"/>
        <v>2.8648684638000001E-2</v>
      </c>
      <c r="T1001" t="str">
        <f t="shared" si="80"/>
        <v>Ipe S4S E4E 1x10 Long</v>
      </c>
    </row>
    <row r="1002" spans="1:20" x14ac:dyDescent="0.25">
      <c r="A1002" t="s">
        <v>1351</v>
      </c>
      <c r="B1002" t="s">
        <v>1356</v>
      </c>
      <c r="C1002" t="s">
        <v>283</v>
      </c>
      <c r="D1002" t="s">
        <v>438</v>
      </c>
      <c r="E1002" t="s">
        <v>1371</v>
      </c>
      <c r="F1002" t="s">
        <v>1358</v>
      </c>
      <c r="G1002" t="s">
        <v>1351</v>
      </c>
      <c r="H1002" t="s">
        <v>373</v>
      </c>
      <c r="I1002" t="s">
        <v>289</v>
      </c>
      <c r="J1002" t="s">
        <v>1359</v>
      </c>
      <c r="K1002">
        <v>22</v>
      </c>
      <c r="L1002" s="6">
        <v>6.7055999999999996</v>
      </c>
      <c r="M1002" s="7">
        <v>19.05</v>
      </c>
      <c r="N1002" s="7">
        <v>234.95</v>
      </c>
      <c r="O1002" s="7">
        <f t="shared" si="82"/>
        <v>264</v>
      </c>
      <c r="P1002" s="7">
        <f t="shared" si="83"/>
        <v>0.75000000000000011</v>
      </c>
      <c r="Q1002" s="7">
        <f t="shared" si="83"/>
        <v>9.25</v>
      </c>
      <c r="R1002" s="6">
        <f t="shared" si="84"/>
        <v>733.01800000000003</v>
      </c>
      <c r="S1002" s="6">
        <f t="shared" si="85"/>
        <v>3.0012907715999997E-2</v>
      </c>
      <c r="T1002" t="str">
        <f t="shared" si="80"/>
        <v>Ipe S4S E4E 1x10 Long</v>
      </c>
    </row>
    <row r="1003" spans="1:20" x14ac:dyDescent="0.25">
      <c r="A1003" t="s">
        <v>1351</v>
      </c>
      <c r="B1003" t="s">
        <v>1356</v>
      </c>
      <c r="C1003" t="s">
        <v>524</v>
      </c>
      <c r="D1003" t="s">
        <v>438</v>
      </c>
      <c r="E1003" t="s">
        <v>1372</v>
      </c>
      <c r="F1003" t="s">
        <v>1358</v>
      </c>
      <c r="G1003" t="s">
        <v>1351</v>
      </c>
      <c r="H1003" t="s">
        <v>373</v>
      </c>
      <c r="I1003" t="s">
        <v>289</v>
      </c>
      <c r="J1003" t="s">
        <v>1359</v>
      </c>
      <c r="K1003">
        <v>3</v>
      </c>
      <c r="L1003" s="6">
        <v>0.91439999999999999</v>
      </c>
      <c r="M1003" s="7">
        <v>19.05</v>
      </c>
      <c r="N1003" s="7">
        <v>234.95</v>
      </c>
      <c r="O1003" s="7">
        <f t="shared" si="82"/>
        <v>36</v>
      </c>
      <c r="P1003" s="7">
        <f t="shared" si="83"/>
        <v>0.75000000000000011</v>
      </c>
      <c r="Q1003" s="7">
        <f t="shared" si="83"/>
        <v>9.25</v>
      </c>
      <c r="R1003" s="6">
        <f t="shared" si="84"/>
        <v>733.01800000000003</v>
      </c>
      <c r="S1003" s="6">
        <f t="shared" si="85"/>
        <v>4.0926692340000001E-3</v>
      </c>
      <c r="T1003" t="str">
        <f t="shared" si="80"/>
        <v>Ipe S4S E4E 1x10 Short</v>
      </c>
    </row>
    <row r="1004" spans="1:20" x14ac:dyDescent="0.25">
      <c r="A1004" t="s">
        <v>1351</v>
      </c>
      <c r="B1004" t="s">
        <v>1356</v>
      </c>
      <c r="C1004" t="s">
        <v>524</v>
      </c>
      <c r="D1004" t="s">
        <v>438</v>
      </c>
      <c r="E1004" t="s">
        <v>1373</v>
      </c>
      <c r="F1004" t="s">
        <v>1358</v>
      </c>
      <c r="G1004" t="s">
        <v>1351</v>
      </c>
      <c r="H1004" t="s">
        <v>373</v>
      </c>
      <c r="I1004" t="s">
        <v>289</v>
      </c>
      <c r="J1004" t="s">
        <v>1359</v>
      </c>
      <c r="K1004">
        <v>4</v>
      </c>
      <c r="L1004" s="6">
        <v>1.2192000000000001</v>
      </c>
      <c r="M1004" s="7">
        <v>19.05</v>
      </c>
      <c r="N1004" s="7">
        <v>234.95</v>
      </c>
      <c r="O1004" s="7">
        <f t="shared" si="82"/>
        <v>48.000000000000007</v>
      </c>
      <c r="P1004" s="7">
        <f t="shared" si="83"/>
        <v>0.75000000000000011</v>
      </c>
      <c r="Q1004" s="7">
        <f t="shared" si="83"/>
        <v>9.25</v>
      </c>
      <c r="R1004" s="6">
        <f t="shared" si="84"/>
        <v>733.01800000000003</v>
      </c>
      <c r="S1004" s="6">
        <f t="shared" si="85"/>
        <v>5.4568923120000001E-3</v>
      </c>
      <c r="T1004" t="str">
        <f t="shared" si="80"/>
        <v>Ipe S4S E4E 1x10 Short</v>
      </c>
    </row>
    <row r="1005" spans="1:20" x14ac:dyDescent="0.25">
      <c r="A1005" t="s">
        <v>1351</v>
      </c>
      <c r="B1005" t="s">
        <v>1356</v>
      </c>
      <c r="C1005" t="s">
        <v>524</v>
      </c>
      <c r="D1005" t="s">
        <v>438</v>
      </c>
      <c r="E1005" t="s">
        <v>1374</v>
      </c>
      <c r="F1005" t="s">
        <v>1358</v>
      </c>
      <c r="G1005" t="s">
        <v>1351</v>
      </c>
      <c r="H1005" t="s">
        <v>373</v>
      </c>
      <c r="I1005" t="s">
        <v>289</v>
      </c>
      <c r="J1005" t="s">
        <v>1359</v>
      </c>
      <c r="K1005">
        <v>5</v>
      </c>
      <c r="L1005" s="6">
        <v>1.524</v>
      </c>
      <c r="M1005" s="7">
        <v>19.05</v>
      </c>
      <c r="N1005" s="7">
        <v>234.95</v>
      </c>
      <c r="O1005" s="7">
        <f t="shared" si="82"/>
        <v>60</v>
      </c>
      <c r="P1005" s="7">
        <f t="shared" si="83"/>
        <v>0.75000000000000011</v>
      </c>
      <c r="Q1005" s="7">
        <f t="shared" si="83"/>
        <v>9.25</v>
      </c>
      <c r="R1005" s="6">
        <f t="shared" si="84"/>
        <v>733.01800000000003</v>
      </c>
      <c r="S1005" s="6">
        <f t="shared" si="85"/>
        <v>6.821115390000001E-3</v>
      </c>
      <c r="T1005" t="str">
        <f t="shared" si="80"/>
        <v>Ipe S4S E4E 1x10 Short</v>
      </c>
    </row>
    <row r="1006" spans="1:20" x14ac:dyDescent="0.25">
      <c r="A1006" t="s">
        <v>1351</v>
      </c>
      <c r="B1006" t="s">
        <v>1356</v>
      </c>
      <c r="C1006" t="s">
        <v>524</v>
      </c>
      <c r="D1006" t="s">
        <v>438</v>
      </c>
      <c r="E1006" t="s">
        <v>1375</v>
      </c>
      <c r="F1006" t="s">
        <v>1358</v>
      </c>
      <c r="G1006" t="s">
        <v>1351</v>
      </c>
      <c r="H1006" t="s">
        <v>373</v>
      </c>
      <c r="I1006" t="s">
        <v>289</v>
      </c>
      <c r="J1006" t="s">
        <v>1359</v>
      </c>
      <c r="K1006">
        <v>6</v>
      </c>
      <c r="L1006" s="6">
        <v>1.8288</v>
      </c>
      <c r="M1006" s="7">
        <v>19.05</v>
      </c>
      <c r="N1006" s="7">
        <v>234.95</v>
      </c>
      <c r="O1006" s="7">
        <f t="shared" si="82"/>
        <v>72</v>
      </c>
      <c r="P1006" s="7">
        <f t="shared" si="83"/>
        <v>0.75000000000000011</v>
      </c>
      <c r="Q1006" s="7">
        <f t="shared" si="83"/>
        <v>9.25</v>
      </c>
      <c r="R1006" s="6">
        <f t="shared" si="84"/>
        <v>733.01800000000003</v>
      </c>
      <c r="S1006" s="6">
        <f t="shared" si="85"/>
        <v>8.1853384680000002E-3</v>
      </c>
      <c r="T1006" t="str">
        <f t="shared" si="80"/>
        <v>Ipe S4S E4E 1x10 Short</v>
      </c>
    </row>
    <row r="1007" spans="1:20" x14ac:dyDescent="0.25">
      <c r="A1007" t="s">
        <v>1351</v>
      </c>
      <c r="B1007" t="s">
        <v>1356</v>
      </c>
      <c r="C1007" t="s">
        <v>524</v>
      </c>
      <c r="D1007" t="s">
        <v>438</v>
      </c>
      <c r="E1007" t="s">
        <v>1376</v>
      </c>
      <c r="F1007" t="s">
        <v>1358</v>
      </c>
      <c r="G1007" t="s">
        <v>1351</v>
      </c>
      <c r="H1007" t="s">
        <v>373</v>
      </c>
      <c r="I1007" t="s">
        <v>289</v>
      </c>
      <c r="J1007" t="s">
        <v>1359</v>
      </c>
      <c r="K1007">
        <v>7</v>
      </c>
      <c r="L1007" s="6">
        <v>2.1335999999999999</v>
      </c>
      <c r="M1007" s="7">
        <v>19.05</v>
      </c>
      <c r="N1007" s="7">
        <v>234.95</v>
      </c>
      <c r="O1007" s="7">
        <f t="shared" si="82"/>
        <v>84</v>
      </c>
      <c r="P1007" s="7">
        <f t="shared" si="83"/>
        <v>0.75000000000000011</v>
      </c>
      <c r="Q1007" s="7">
        <f t="shared" si="83"/>
        <v>9.25</v>
      </c>
      <c r="R1007" s="6">
        <f t="shared" si="84"/>
        <v>733.01800000000003</v>
      </c>
      <c r="S1007" s="6">
        <f t="shared" si="85"/>
        <v>9.5495615460000002E-3</v>
      </c>
      <c r="T1007" t="str">
        <f t="shared" si="80"/>
        <v>Ipe S4S E4E 1x10 Short</v>
      </c>
    </row>
    <row r="1008" spans="1:20" x14ac:dyDescent="0.25">
      <c r="A1008" t="s">
        <v>1351</v>
      </c>
      <c r="B1008" t="s">
        <v>1356</v>
      </c>
      <c r="C1008" t="s">
        <v>283</v>
      </c>
      <c r="D1008" t="s">
        <v>438</v>
      </c>
      <c r="E1008" t="s">
        <v>1377</v>
      </c>
      <c r="F1008" t="s">
        <v>1358</v>
      </c>
      <c r="G1008" t="s">
        <v>1351</v>
      </c>
      <c r="H1008" t="s">
        <v>373</v>
      </c>
      <c r="I1008" t="s">
        <v>289</v>
      </c>
      <c r="J1008" t="s">
        <v>1359</v>
      </c>
      <c r="K1008">
        <v>8</v>
      </c>
      <c r="L1008" s="6">
        <v>2.4384000000000001</v>
      </c>
      <c r="M1008" s="7">
        <v>19.05</v>
      </c>
      <c r="N1008" s="7">
        <v>234.95</v>
      </c>
      <c r="O1008" s="7">
        <f t="shared" si="82"/>
        <v>96.000000000000014</v>
      </c>
      <c r="P1008" s="7">
        <f t="shared" si="83"/>
        <v>0.75000000000000011</v>
      </c>
      <c r="Q1008" s="7">
        <f t="shared" si="83"/>
        <v>9.25</v>
      </c>
      <c r="R1008" s="6">
        <f t="shared" si="84"/>
        <v>733.01800000000003</v>
      </c>
      <c r="S1008" s="6">
        <f t="shared" si="85"/>
        <v>1.0913784624E-2</v>
      </c>
      <c r="T1008" t="str">
        <f t="shared" si="80"/>
        <v>Ipe S4S E4E 1x10 Long</v>
      </c>
    </row>
    <row r="1009" spans="1:20" x14ac:dyDescent="0.25">
      <c r="A1009" t="s">
        <v>1351</v>
      </c>
      <c r="B1009" t="s">
        <v>1356</v>
      </c>
      <c r="C1009" t="s">
        <v>283</v>
      </c>
      <c r="D1009" t="s">
        <v>438</v>
      </c>
      <c r="E1009" t="s">
        <v>1378</v>
      </c>
      <c r="F1009" t="s">
        <v>1358</v>
      </c>
      <c r="G1009" t="s">
        <v>1351</v>
      </c>
      <c r="H1009" t="s">
        <v>373</v>
      </c>
      <c r="I1009" t="s">
        <v>289</v>
      </c>
      <c r="J1009" t="s">
        <v>1359</v>
      </c>
      <c r="K1009">
        <v>9</v>
      </c>
      <c r="L1009" s="6">
        <v>2.7431999999999999</v>
      </c>
      <c r="M1009" s="7">
        <v>19.05</v>
      </c>
      <c r="N1009" s="7">
        <v>234.95</v>
      </c>
      <c r="O1009" s="7">
        <f t="shared" si="82"/>
        <v>108</v>
      </c>
      <c r="P1009" s="7">
        <f t="shared" si="83"/>
        <v>0.75000000000000011</v>
      </c>
      <c r="Q1009" s="7">
        <f t="shared" si="83"/>
        <v>9.25</v>
      </c>
      <c r="R1009" s="6">
        <f t="shared" si="84"/>
        <v>733.01800000000003</v>
      </c>
      <c r="S1009" s="6">
        <f t="shared" si="85"/>
        <v>1.2278007702E-2</v>
      </c>
      <c r="T1009" t="str">
        <f t="shared" si="80"/>
        <v>Ipe S4S E4E 1x10 Long</v>
      </c>
    </row>
    <row r="1010" spans="1:20" x14ac:dyDescent="0.25">
      <c r="A1010" t="s">
        <v>1351</v>
      </c>
      <c r="B1010" t="s">
        <v>1379</v>
      </c>
      <c r="C1010" t="s">
        <v>283</v>
      </c>
      <c r="D1010" t="s">
        <v>438</v>
      </c>
      <c r="E1010" t="s">
        <v>1380</v>
      </c>
      <c r="F1010" t="s">
        <v>1381</v>
      </c>
      <c r="G1010" t="s">
        <v>1351</v>
      </c>
      <c r="H1010" t="s">
        <v>373</v>
      </c>
      <c r="I1010" t="s">
        <v>289</v>
      </c>
      <c r="J1010" t="s">
        <v>1382</v>
      </c>
      <c r="K1010">
        <v>10</v>
      </c>
      <c r="L1010" s="6">
        <v>3.3527999999999998</v>
      </c>
      <c r="M1010" s="7">
        <v>19.05</v>
      </c>
      <c r="N1010" s="7">
        <v>285.75</v>
      </c>
      <c r="O1010" s="7">
        <f t="shared" si="82"/>
        <v>132</v>
      </c>
      <c r="P1010" s="7">
        <f t="shared" si="83"/>
        <v>0.75000000000000011</v>
      </c>
      <c r="Q1010" s="7">
        <f t="shared" si="83"/>
        <v>11.25</v>
      </c>
      <c r="R1010" s="6">
        <f t="shared" si="84"/>
        <v>602.70399999999995</v>
      </c>
      <c r="S1010" s="6">
        <f t="shared" si="85"/>
        <v>1.8251092530000002E-2</v>
      </c>
      <c r="T1010" t="str">
        <f t="shared" si="80"/>
        <v>Ipe S4S E4E 1x12 Long</v>
      </c>
    </row>
    <row r="1011" spans="1:20" x14ac:dyDescent="0.25">
      <c r="A1011" t="s">
        <v>1351</v>
      </c>
      <c r="B1011" t="s">
        <v>1379</v>
      </c>
      <c r="C1011" t="s">
        <v>283</v>
      </c>
      <c r="D1011" t="s">
        <v>438</v>
      </c>
      <c r="E1011" t="s">
        <v>1383</v>
      </c>
      <c r="F1011" t="s">
        <v>1381</v>
      </c>
      <c r="G1011" t="s">
        <v>1351</v>
      </c>
      <c r="H1011" t="s">
        <v>373</v>
      </c>
      <c r="I1011" t="s">
        <v>289</v>
      </c>
      <c r="J1011" t="s">
        <v>1382</v>
      </c>
      <c r="K1011">
        <v>11</v>
      </c>
      <c r="L1011" s="6">
        <v>3.3527999999999998</v>
      </c>
      <c r="M1011" s="7">
        <v>19.05</v>
      </c>
      <c r="N1011" s="7">
        <v>285.75</v>
      </c>
      <c r="O1011" s="7">
        <f t="shared" si="82"/>
        <v>132</v>
      </c>
      <c r="P1011" s="7">
        <f t="shared" si="83"/>
        <v>0.75000000000000011</v>
      </c>
      <c r="Q1011" s="7">
        <f t="shared" si="83"/>
        <v>11.25</v>
      </c>
      <c r="R1011" s="6">
        <f t="shared" si="84"/>
        <v>602.70399999999995</v>
      </c>
      <c r="S1011" s="6">
        <f t="shared" si="85"/>
        <v>1.8251092530000002E-2</v>
      </c>
      <c r="T1011" t="str">
        <f t="shared" si="80"/>
        <v>Ipe S4S E4E 1x12 Long</v>
      </c>
    </row>
    <row r="1012" spans="1:20" x14ac:dyDescent="0.25">
      <c r="A1012" t="s">
        <v>1351</v>
      </c>
      <c r="B1012" t="s">
        <v>1379</v>
      </c>
      <c r="C1012" t="s">
        <v>283</v>
      </c>
      <c r="D1012" t="s">
        <v>438</v>
      </c>
      <c r="E1012" t="s">
        <v>1384</v>
      </c>
      <c r="F1012" t="s">
        <v>1381</v>
      </c>
      <c r="G1012" t="s">
        <v>1351</v>
      </c>
      <c r="H1012" t="s">
        <v>373</v>
      </c>
      <c r="I1012" t="s">
        <v>289</v>
      </c>
      <c r="J1012" t="s">
        <v>1382</v>
      </c>
      <c r="K1012">
        <v>12</v>
      </c>
      <c r="L1012" s="6">
        <v>3.6576</v>
      </c>
      <c r="M1012" s="7">
        <v>19.05</v>
      </c>
      <c r="N1012" s="7">
        <v>285.75</v>
      </c>
      <c r="O1012" s="7">
        <f t="shared" si="82"/>
        <v>144</v>
      </c>
      <c r="P1012" s="7">
        <f t="shared" si="83"/>
        <v>0.75000000000000011</v>
      </c>
      <c r="Q1012" s="7">
        <f t="shared" si="83"/>
        <v>11.25</v>
      </c>
      <c r="R1012" s="6">
        <f t="shared" si="84"/>
        <v>602.70399999999995</v>
      </c>
      <c r="S1012" s="6">
        <f t="shared" si="85"/>
        <v>1.9910282759999998E-2</v>
      </c>
      <c r="T1012" t="str">
        <f t="shared" si="80"/>
        <v>Ipe S4S E4E 1x12 Long</v>
      </c>
    </row>
    <row r="1013" spans="1:20" x14ac:dyDescent="0.25">
      <c r="A1013" t="s">
        <v>1351</v>
      </c>
      <c r="B1013" t="s">
        <v>1379</v>
      </c>
      <c r="C1013" t="s">
        <v>283</v>
      </c>
      <c r="D1013" t="s">
        <v>438</v>
      </c>
      <c r="E1013" t="s">
        <v>1385</v>
      </c>
      <c r="F1013" t="s">
        <v>1381</v>
      </c>
      <c r="G1013" t="s">
        <v>1351</v>
      </c>
      <c r="H1013" t="s">
        <v>373</v>
      </c>
      <c r="I1013" t="s">
        <v>289</v>
      </c>
      <c r="J1013" t="s">
        <v>1382</v>
      </c>
      <c r="K1013">
        <v>13</v>
      </c>
      <c r="L1013" s="6">
        <v>3.9624000000000001</v>
      </c>
      <c r="M1013" s="7">
        <v>19.05</v>
      </c>
      <c r="N1013" s="7">
        <v>285.75</v>
      </c>
      <c r="O1013" s="7">
        <f t="shared" si="82"/>
        <v>156</v>
      </c>
      <c r="P1013" s="7">
        <f t="shared" si="83"/>
        <v>0.75000000000000011</v>
      </c>
      <c r="Q1013" s="7">
        <f t="shared" si="83"/>
        <v>11.25</v>
      </c>
      <c r="R1013" s="6">
        <f t="shared" si="84"/>
        <v>602.70399999999995</v>
      </c>
      <c r="S1013" s="6">
        <f t="shared" si="85"/>
        <v>2.1569472990000001E-2</v>
      </c>
      <c r="T1013" t="str">
        <f t="shared" si="80"/>
        <v>Ipe S4S E4E 1x12 Long</v>
      </c>
    </row>
    <row r="1014" spans="1:20" x14ac:dyDescent="0.25">
      <c r="A1014" t="s">
        <v>1351</v>
      </c>
      <c r="B1014" t="s">
        <v>1379</v>
      </c>
      <c r="C1014" t="s">
        <v>283</v>
      </c>
      <c r="D1014" t="s">
        <v>438</v>
      </c>
      <c r="E1014" t="s">
        <v>1386</v>
      </c>
      <c r="F1014" t="s">
        <v>1381</v>
      </c>
      <c r="G1014" t="s">
        <v>1351</v>
      </c>
      <c r="H1014" t="s">
        <v>373</v>
      </c>
      <c r="I1014" t="s">
        <v>289</v>
      </c>
      <c r="J1014" t="s">
        <v>1382</v>
      </c>
      <c r="K1014">
        <v>14</v>
      </c>
      <c r="L1014" s="6">
        <v>4.2671999999999999</v>
      </c>
      <c r="M1014" s="7">
        <v>19.05</v>
      </c>
      <c r="N1014" s="7">
        <v>285.75</v>
      </c>
      <c r="O1014" s="7">
        <f t="shared" si="82"/>
        <v>168</v>
      </c>
      <c r="P1014" s="7">
        <f t="shared" si="83"/>
        <v>0.75000000000000011</v>
      </c>
      <c r="Q1014" s="7">
        <f t="shared" si="83"/>
        <v>11.25</v>
      </c>
      <c r="R1014" s="6">
        <f t="shared" si="84"/>
        <v>602.70399999999995</v>
      </c>
      <c r="S1014" s="6">
        <f t="shared" si="85"/>
        <v>2.3228663220000001E-2</v>
      </c>
      <c r="T1014" t="str">
        <f t="shared" si="80"/>
        <v>Ipe S4S E4E 1x12 Long</v>
      </c>
    </row>
    <row r="1015" spans="1:20" x14ac:dyDescent="0.25">
      <c r="A1015" t="s">
        <v>1351</v>
      </c>
      <c r="B1015" t="s">
        <v>1379</v>
      </c>
      <c r="C1015" t="s">
        <v>283</v>
      </c>
      <c r="D1015" t="s">
        <v>438</v>
      </c>
      <c r="E1015" t="s">
        <v>1387</v>
      </c>
      <c r="F1015" t="s">
        <v>1381</v>
      </c>
      <c r="G1015" t="s">
        <v>1351</v>
      </c>
      <c r="H1015" t="s">
        <v>373</v>
      </c>
      <c r="I1015" t="s">
        <v>289</v>
      </c>
      <c r="J1015" t="s">
        <v>1382</v>
      </c>
      <c r="K1015">
        <v>15</v>
      </c>
      <c r="L1015" s="6">
        <v>4.5720000000000001</v>
      </c>
      <c r="M1015" s="7">
        <v>19.05</v>
      </c>
      <c r="N1015" s="7">
        <v>285.75</v>
      </c>
      <c r="O1015" s="7">
        <f t="shared" si="82"/>
        <v>180</v>
      </c>
      <c r="P1015" s="7">
        <f t="shared" si="83"/>
        <v>0.75000000000000011</v>
      </c>
      <c r="Q1015" s="7">
        <f t="shared" si="83"/>
        <v>11.25</v>
      </c>
      <c r="R1015" s="6">
        <f t="shared" si="84"/>
        <v>602.70399999999995</v>
      </c>
      <c r="S1015" s="6">
        <f t="shared" si="85"/>
        <v>2.4887853450000001E-2</v>
      </c>
      <c r="T1015" t="str">
        <f t="shared" si="80"/>
        <v>Ipe S4S E4E 1x12 Long</v>
      </c>
    </row>
    <row r="1016" spans="1:20" x14ac:dyDescent="0.25">
      <c r="A1016" t="s">
        <v>1351</v>
      </c>
      <c r="B1016" t="s">
        <v>1379</v>
      </c>
      <c r="C1016" t="s">
        <v>283</v>
      </c>
      <c r="D1016" t="s">
        <v>438</v>
      </c>
      <c r="E1016" t="s">
        <v>1388</v>
      </c>
      <c r="F1016" t="s">
        <v>1381</v>
      </c>
      <c r="G1016" t="s">
        <v>1351</v>
      </c>
      <c r="H1016" t="s">
        <v>373</v>
      </c>
      <c r="I1016" t="s">
        <v>289</v>
      </c>
      <c r="J1016" t="s">
        <v>1382</v>
      </c>
      <c r="K1016">
        <v>16</v>
      </c>
      <c r="L1016" s="6">
        <v>4.8768000000000002</v>
      </c>
      <c r="M1016" s="7">
        <v>19.05</v>
      </c>
      <c r="N1016" s="7">
        <v>285.75</v>
      </c>
      <c r="O1016" s="7">
        <f t="shared" si="82"/>
        <v>192.00000000000003</v>
      </c>
      <c r="P1016" s="7">
        <f t="shared" si="83"/>
        <v>0.75000000000000011</v>
      </c>
      <c r="Q1016" s="7">
        <f t="shared" si="83"/>
        <v>11.25</v>
      </c>
      <c r="R1016" s="6">
        <f t="shared" si="84"/>
        <v>602.70399999999995</v>
      </c>
      <c r="S1016" s="6">
        <f t="shared" si="85"/>
        <v>2.654704368E-2</v>
      </c>
      <c r="T1016" t="str">
        <f t="shared" si="80"/>
        <v>Ipe S4S E4E 1x12 Long</v>
      </c>
    </row>
    <row r="1017" spans="1:20" x14ac:dyDescent="0.25">
      <c r="A1017" t="s">
        <v>1351</v>
      </c>
      <c r="B1017" t="s">
        <v>1379</v>
      </c>
      <c r="C1017" t="s">
        <v>283</v>
      </c>
      <c r="D1017" t="s">
        <v>438</v>
      </c>
      <c r="E1017" t="s">
        <v>1389</v>
      </c>
      <c r="F1017" t="s">
        <v>1381</v>
      </c>
      <c r="G1017" t="s">
        <v>1351</v>
      </c>
      <c r="H1017" t="s">
        <v>373</v>
      </c>
      <c r="I1017" t="s">
        <v>289</v>
      </c>
      <c r="J1017" t="s">
        <v>1382</v>
      </c>
      <c r="K1017">
        <v>17</v>
      </c>
      <c r="L1017" s="6">
        <v>5.1816000000000004</v>
      </c>
      <c r="M1017" s="7">
        <v>19.05</v>
      </c>
      <c r="N1017" s="7">
        <v>285.75</v>
      </c>
      <c r="O1017" s="7">
        <f t="shared" si="82"/>
        <v>204.00000000000003</v>
      </c>
      <c r="P1017" s="7">
        <f t="shared" si="83"/>
        <v>0.75000000000000011</v>
      </c>
      <c r="Q1017" s="7">
        <f t="shared" si="83"/>
        <v>11.25</v>
      </c>
      <c r="R1017" s="6">
        <f t="shared" si="84"/>
        <v>602.70399999999995</v>
      </c>
      <c r="S1017" s="6">
        <f t="shared" si="85"/>
        <v>2.8206233910000007E-2</v>
      </c>
      <c r="T1017" t="str">
        <f t="shared" si="80"/>
        <v>Ipe S4S E4E 1x12 Long</v>
      </c>
    </row>
    <row r="1018" spans="1:20" x14ac:dyDescent="0.25">
      <c r="A1018" t="s">
        <v>1351</v>
      </c>
      <c r="B1018" t="s">
        <v>1379</v>
      </c>
      <c r="C1018" t="s">
        <v>283</v>
      </c>
      <c r="D1018" t="s">
        <v>438</v>
      </c>
      <c r="E1018" t="s">
        <v>1390</v>
      </c>
      <c r="F1018" t="s">
        <v>1381</v>
      </c>
      <c r="G1018" t="s">
        <v>1351</v>
      </c>
      <c r="H1018" t="s">
        <v>373</v>
      </c>
      <c r="I1018" t="s">
        <v>289</v>
      </c>
      <c r="J1018" t="s">
        <v>1382</v>
      </c>
      <c r="K1018">
        <v>18</v>
      </c>
      <c r="L1018" s="6">
        <v>5.4863999999999997</v>
      </c>
      <c r="M1018" s="7">
        <v>19.05</v>
      </c>
      <c r="N1018" s="7">
        <v>285.75</v>
      </c>
      <c r="O1018" s="7">
        <f t="shared" si="82"/>
        <v>216</v>
      </c>
      <c r="P1018" s="7">
        <f t="shared" si="83"/>
        <v>0.75000000000000011</v>
      </c>
      <c r="Q1018" s="7">
        <f t="shared" si="83"/>
        <v>11.25</v>
      </c>
      <c r="R1018" s="6">
        <f t="shared" si="84"/>
        <v>602.70399999999995</v>
      </c>
      <c r="S1018" s="6">
        <f t="shared" si="85"/>
        <v>2.9865424139999999E-2</v>
      </c>
      <c r="T1018" t="str">
        <f t="shared" si="80"/>
        <v>Ipe S4S E4E 1x12 Long</v>
      </c>
    </row>
    <row r="1019" spans="1:20" x14ac:dyDescent="0.25">
      <c r="A1019" t="s">
        <v>1351</v>
      </c>
      <c r="B1019" t="s">
        <v>1379</v>
      </c>
      <c r="C1019" t="s">
        <v>283</v>
      </c>
      <c r="D1019" t="s">
        <v>438</v>
      </c>
      <c r="E1019" t="s">
        <v>1391</v>
      </c>
      <c r="F1019" t="s">
        <v>1381</v>
      </c>
      <c r="G1019" t="s">
        <v>1351</v>
      </c>
      <c r="H1019" t="s">
        <v>373</v>
      </c>
      <c r="I1019" t="s">
        <v>289</v>
      </c>
      <c r="J1019" t="s">
        <v>1382</v>
      </c>
      <c r="K1019">
        <v>19</v>
      </c>
      <c r="L1019" s="6">
        <v>5.7911999999999999</v>
      </c>
      <c r="M1019" s="7">
        <v>19.05</v>
      </c>
      <c r="N1019" s="7">
        <v>285.75</v>
      </c>
      <c r="O1019" s="7">
        <f t="shared" si="82"/>
        <v>228</v>
      </c>
      <c r="P1019" s="7">
        <f t="shared" si="83"/>
        <v>0.75000000000000011</v>
      </c>
      <c r="Q1019" s="7">
        <f t="shared" si="83"/>
        <v>11.25</v>
      </c>
      <c r="R1019" s="6">
        <f t="shared" si="84"/>
        <v>602.70399999999995</v>
      </c>
      <c r="S1019" s="6">
        <f t="shared" si="85"/>
        <v>3.1524614370000002E-2</v>
      </c>
      <c r="T1019" t="str">
        <f t="shared" si="80"/>
        <v>Ipe S4S E4E 1x12 Long</v>
      </c>
    </row>
    <row r="1020" spans="1:20" x14ac:dyDescent="0.25">
      <c r="A1020" t="s">
        <v>1351</v>
      </c>
      <c r="B1020" t="s">
        <v>1379</v>
      </c>
      <c r="C1020" t="s">
        <v>283</v>
      </c>
      <c r="D1020" t="s">
        <v>438</v>
      </c>
      <c r="E1020" t="s">
        <v>1392</v>
      </c>
      <c r="F1020" t="s">
        <v>1381</v>
      </c>
      <c r="G1020" t="s">
        <v>1351</v>
      </c>
      <c r="H1020" t="s">
        <v>373</v>
      </c>
      <c r="I1020" t="s">
        <v>289</v>
      </c>
      <c r="J1020" t="s">
        <v>1382</v>
      </c>
      <c r="K1020">
        <v>20</v>
      </c>
      <c r="L1020" s="6">
        <v>6.0960000000000001</v>
      </c>
      <c r="M1020" s="7">
        <v>19.05</v>
      </c>
      <c r="N1020" s="7">
        <v>285.75</v>
      </c>
      <c r="O1020" s="7">
        <f t="shared" si="82"/>
        <v>240</v>
      </c>
      <c r="P1020" s="7">
        <f t="shared" si="83"/>
        <v>0.75000000000000011</v>
      </c>
      <c r="Q1020" s="7">
        <f t="shared" si="83"/>
        <v>11.25</v>
      </c>
      <c r="R1020" s="6">
        <f t="shared" si="84"/>
        <v>602.70399999999995</v>
      </c>
      <c r="S1020" s="6">
        <f t="shared" si="85"/>
        <v>3.3183804600000005E-2</v>
      </c>
      <c r="T1020" t="str">
        <f t="shared" si="80"/>
        <v>Ipe S4S E4E 1x12 Long</v>
      </c>
    </row>
    <row r="1021" spans="1:20" x14ac:dyDescent="0.25">
      <c r="A1021" t="s">
        <v>1351</v>
      </c>
      <c r="B1021" t="s">
        <v>1379</v>
      </c>
      <c r="C1021" t="s">
        <v>283</v>
      </c>
      <c r="D1021" t="s">
        <v>438</v>
      </c>
      <c r="E1021" t="s">
        <v>1393</v>
      </c>
      <c r="F1021" t="s">
        <v>1381</v>
      </c>
      <c r="G1021" t="s">
        <v>1351</v>
      </c>
      <c r="H1021" t="s">
        <v>373</v>
      </c>
      <c r="I1021" t="s">
        <v>289</v>
      </c>
      <c r="J1021" t="s">
        <v>1382</v>
      </c>
      <c r="K1021">
        <v>21</v>
      </c>
      <c r="L1021" s="6">
        <v>6.4008000000000003</v>
      </c>
      <c r="M1021" s="7">
        <v>19.05</v>
      </c>
      <c r="N1021" s="7">
        <v>285.75</v>
      </c>
      <c r="O1021" s="7">
        <f t="shared" si="82"/>
        <v>252.00000000000003</v>
      </c>
      <c r="P1021" s="7">
        <f t="shared" si="83"/>
        <v>0.75000000000000011</v>
      </c>
      <c r="Q1021" s="7">
        <f t="shared" si="83"/>
        <v>11.25</v>
      </c>
      <c r="R1021" s="6">
        <f t="shared" si="84"/>
        <v>602.70399999999995</v>
      </c>
      <c r="S1021" s="6">
        <f t="shared" si="85"/>
        <v>3.4842994830000001E-2</v>
      </c>
      <c r="T1021" t="str">
        <f t="shared" si="80"/>
        <v>Ipe S4S E4E 1x12 Long</v>
      </c>
    </row>
    <row r="1022" spans="1:20" x14ac:dyDescent="0.25">
      <c r="A1022" t="s">
        <v>1351</v>
      </c>
      <c r="B1022" t="s">
        <v>1379</v>
      </c>
      <c r="C1022" t="s">
        <v>283</v>
      </c>
      <c r="D1022" t="s">
        <v>438</v>
      </c>
      <c r="E1022" t="s">
        <v>1394</v>
      </c>
      <c r="F1022" t="s">
        <v>1381</v>
      </c>
      <c r="G1022" t="s">
        <v>1351</v>
      </c>
      <c r="H1022" t="s">
        <v>373</v>
      </c>
      <c r="I1022" t="s">
        <v>289</v>
      </c>
      <c r="J1022" t="s">
        <v>1382</v>
      </c>
      <c r="K1022">
        <v>22</v>
      </c>
      <c r="L1022" s="6">
        <v>6.7055999999999996</v>
      </c>
      <c r="M1022" s="7">
        <v>19.05</v>
      </c>
      <c r="N1022" s="7">
        <v>285.75</v>
      </c>
      <c r="O1022" s="7">
        <f t="shared" si="82"/>
        <v>264</v>
      </c>
      <c r="P1022" s="7">
        <f t="shared" si="83"/>
        <v>0.75000000000000011</v>
      </c>
      <c r="Q1022" s="7">
        <f t="shared" si="83"/>
        <v>11.25</v>
      </c>
      <c r="R1022" s="6">
        <f t="shared" si="84"/>
        <v>602.70399999999995</v>
      </c>
      <c r="S1022" s="6">
        <f t="shared" si="85"/>
        <v>3.6502185060000004E-2</v>
      </c>
      <c r="T1022" t="str">
        <f t="shared" si="80"/>
        <v>Ipe S4S E4E 1x12 Long</v>
      </c>
    </row>
    <row r="1023" spans="1:20" x14ac:dyDescent="0.25">
      <c r="A1023" t="s">
        <v>1351</v>
      </c>
      <c r="B1023" t="s">
        <v>1379</v>
      </c>
      <c r="C1023" t="s">
        <v>524</v>
      </c>
      <c r="D1023" t="s">
        <v>438</v>
      </c>
      <c r="E1023" t="s">
        <v>1395</v>
      </c>
      <c r="F1023" t="s">
        <v>1381</v>
      </c>
      <c r="G1023" t="s">
        <v>1351</v>
      </c>
      <c r="H1023" t="s">
        <v>373</v>
      </c>
      <c r="I1023" t="s">
        <v>289</v>
      </c>
      <c r="J1023" t="s">
        <v>1382</v>
      </c>
      <c r="K1023">
        <v>3</v>
      </c>
      <c r="L1023" s="6">
        <v>0.91439999999999999</v>
      </c>
      <c r="M1023" s="7">
        <v>19.05</v>
      </c>
      <c r="N1023" s="7">
        <v>285.75</v>
      </c>
      <c r="O1023" s="7">
        <f t="shared" si="82"/>
        <v>36</v>
      </c>
      <c r="P1023" s="7">
        <f t="shared" si="83"/>
        <v>0.75000000000000011</v>
      </c>
      <c r="Q1023" s="7">
        <f t="shared" si="83"/>
        <v>11.25</v>
      </c>
      <c r="R1023" s="6">
        <f t="shared" si="84"/>
        <v>602.70399999999995</v>
      </c>
      <c r="S1023" s="6">
        <f t="shared" si="85"/>
        <v>4.9775706899999996E-3</v>
      </c>
      <c r="T1023" t="str">
        <f t="shared" si="80"/>
        <v>Ipe S4S E4E 1x12 Short</v>
      </c>
    </row>
    <row r="1024" spans="1:20" x14ac:dyDescent="0.25">
      <c r="A1024" t="s">
        <v>1351</v>
      </c>
      <c r="B1024" t="s">
        <v>1379</v>
      </c>
      <c r="C1024" t="s">
        <v>524</v>
      </c>
      <c r="D1024" t="s">
        <v>438</v>
      </c>
      <c r="E1024" t="s">
        <v>1396</v>
      </c>
      <c r="F1024" t="s">
        <v>1381</v>
      </c>
      <c r="G1024" t="s">
        <v>1351</v>
      </c>
      <c r="H1024" t="s">
        <v>373</v>
      </c>
      <c r="I1024" t="s">
        <v>289</v>
      </c>
      <c r="J1024" t="s">
        <v>1382</v>
      </c>
      <c r="K1024">
        <v>4</v>
      </c>
      <c r="L1024" s="6">
        <v>1.2192000000000001</v>
      </c>
      <c r="M1024" s="7">
        <v>19.05</v>
      </c>
      <c r="N1024" s="7">
        <v>285.75</v>
      </c>
      <c r="O1024" s="7">
        <f t="shared" si="82"/>
        <v>48.000000000000007</v>
      </c>
      <c r="P1024" s="7">
        <f t="shared" si="83"/>
        <v>0.75000000000000011</v>
      </c>
      <c r="Q1024" s="7">
        <f t="shared" si="83"/>
        <v>11.25</v>
      </c>
      <c r="R1024" s="6">
        <f t="shared" si="84"/>
        <v>602.70399999999995</v>
      </c>
      <c r="S1024" s="6">
        <f t="shared" si="85"/>
        <v>6.63676092E-3</v>
      </c>
      <c r="T1024" t="str">
        <f t="shared" si="80"/>
        <v>Ipe S4S E4E 1x12 Short</v>
      </c>
    </row>
    <row r="1025" spans="1:20" x14ac:dyDescent="0.25">
      <c r="A1025" t="s">
        <v>1351</v>
      </c>
      <c r="B1025" t="s">
        <v>1379</v>
      </c>
      <c r="C1025" t="s">
        <v>524</v>
      </c>
      <c r="D1025" t="s">
        <v>438</v>
      </c>
      <c r="E1025" t="s">
        <v>1397</v>
      </c>
      <c r="F1025" t="s">
        <v>1381</v>
      </c>
      <c r="G1025" t="s">
        <v>1351</v>
      </c>
      <c r="H1025" t="s">
        <v>373</v>
      </c>
      <c r="I1025" t="s">
        <v>289</v>
      </c>
      <c r="J1025" t="s">
        <v>1382</v>
      </c>
      <c r="K1025">
        <v>5</v>
      </c>
      <c r="L1025" s="6">
        <v>1.524</v>
      </c>
      <c r="M1025" s="7">
        <v>19.05</v>
      </c>
      <c r="N1025" s="7">
        <v>285.75</v>
      </c>
      <c r="O1025" s="7">
        <f t="shared" si="82"/>
        <v>60</v>
      </c>
      <c r="P1025" s="7">
        <f t="shared" si="83"/>
        <v>0.75000000000000011</v>
      </c>
      <c r="Q1025" s="7">
        <f t="shared" si="83"/>
        <v>11.25</v>
      </c>
      <c r="R1025" s="6">
        <f t="shared" si="84"/>
        <v>602.70399999999995</v>
      </c>
      <c r="S1025" s="6">
        <f t="shared" si="85"/>
        <v>8.2959511500000013E-3</v>
      </c>
      <c r="T1025" t="str">
        <f t="shared" si="80"/>
        <v>Ipe S4S E4E 1x12 Short</v>
      </c>
    </row>
    <row r="1026" spans="1:20" x14ac:dyDescent="0.25">
      <c r="A1026" t="s">
        <v>1351</v>
      </c>
      <c r="B1026" t="s">
        <v>1379</v>
      </c>
      <c r="C1026" t="s">
        <v>524</v>
      </c>
      <c r="D1026" t="s">
        <v>438</v>
      </c>
      <c r="E1026" t="s">
        <v>1398</v>
      </c>
      <c r="F1026" t="s">
        <v>1381</v>
      </c>
      <c r="G1026" t="s">
        <v>1351</v>
      </c>
      <c r="H1026" t="s">
        <v>373</v>
      </c>
      <c r="I1026" t="s">
        <v>289</v>
      </c>
      <c r="J1026" t="s">
        <v>1382</v>
      </c>
      <c r="K1026">
        <v>6</v>
      </c>
      <c r="L1026" s="6">
        <v>1.8288</v>
      </c>
      <c r="M1026" s="7">
        <v>19.05</v>
      </c>
      <c r="N1026" s="7">
        <v>285.75</v>
      </c>
      <c r="O1026" s="7">
        <f t="shared" si="82"/>
        <v>72</v>
      </c>
      <c r="P1026" s="7">
        <f t="shared" si="83"/>
        <v>0.75000000000000011</v>
      </c>
      <c r="Q1026" s="7">
        <f t="shared" si="83"/>
        <v>11.25</v>
      </c>
      <c r="R1026" s="6">
        <f t="shared" si="84"/>
        <v>602.70399999999995</v>
      </c>
      <c r="S1026" s="6">
        <f t="shared" si="85"/>
        <v>9.9551413799999992E-3</v>
      </c>
      <c r="T1026" t="str">
        <f t="shared" ref="T1026:T1089" si="86">F1026&amp;" "&amp;C1026</f>
        <v>Ipe S4S E4E 1x12 Short</v>
      </c>
    </row>
    <row r="1027" spans="1:20" x14ac:dyDescent="0.25">
      <c r="A1027" t="s">
        <v>1351</v>
      </c>
      <c r="B1027" t="s">
        <v>1379</v>
      </c>
      <c r="C1027" t="s">
        <v>524</v>
      </c>
      <c r="D1027" t="s">
        <v>438</v>
      </c>
      <c r="E1027" t="s">
        <v>1399</v>
      </c>
      <c r="F1027" t="s">
        <v>1381</v>
      </c>
      <c r="G1027" t="s">
        <v>1351</v>
      </c>
      <c r="H1027" t="s">
        <v>373</v>
      </c>
      <c r="I1027" t="s">
        <v>289</v>
      </c>
      <c r="J1027" t="s">
        <v>1382</v>
      </c>
      <c r="K1027">
        <v>7</v>
      </c>
      <c r="L1027" s="6">
        <v>2.1335999999999999</v>
      </c>
      <c r="M1027" s="7">
        <v>19.05</v>
      </c>
      <c r="N1027" s="7">
        <v>285.75</v>
      </c>
      <c r="O1027" s="7">
        <f t="shared" si="82"/>
        <v>84</v>
      </c>
      <c r="P1027" s="7">
        <f t="shared" si="83"/>
        <v>0.75000000000000011</v>
      </c>
      <c r="Q1027" s="7">
        <f t="shared" si="83"/>
        <v>11.25</v>
      </c>
      <c r="R1027" s="6">
        <f t="shared" si="84"/>
        <v>602.70399999999995</v>
      </c>
      <c r="S1027" s="6">
        <f t="shared" si="85"/>
        <v>1.161433161E-2</v>
      </c>
      <c r="T1027" t="str">
        <f t="shared" si="86"/>
        <v>Ipe S4S E4E 1x12 Short</v>
      </c>
    </row>
    <row r="1028" spans="1:20" x14ac:dyDescent="0.25">
      <c r="A1028" t="s">
        <v>1351</v>
      </c>
      <c r="B1028" t="s">
        <v>1379</v>
      </c>
      <c r="C1028" t="s">
        <v>283</v>
      </c>
      <c r="D1028" t="s">
        <v>438</v>
      </c>
      <c r="E1028" t="s">
        <v>1400</v>
      </c>
      <c r="F1028" t="s">
        <v>1381</v>
      </c>
      <c r="G1028" t="s">
        <v>1351</v>
      </c>
      <c r="H1028" t="s">
        <v>373</v>
      </c>
      <c r="I1028" t="s">
        <v>289</v>
      </c>
      <c r="J1028" t="s">
        <v>1382</v>
      </c>
      <c r="K1028">
        <v>8</v>
      </c>
      <c r="L1028" s="6">
        <v>2.4384000000000001</v>
      </c>
      <c r="M1028" s="7">
        <v>19.05</v>
      </c>
      <c r="N1028" s="7">
        <v>285.75</v>
      </c>
      <c r="O1028" s="7">
        <f t="shared" si="82"/>
        <v>96.000000000000014</v>
      </c>
      <c r="P1028" s="7">
        <f t="shared" si="83"/>
        <v>0.75000000000000011</v>
      </c>
      <c r="Q1028" s="7">
        <f t="shared" si="83"/>
        <v>11.25</v>
      </c>
      <c r="R1028" s="6">
        <f t="shared" si="84"/>
        <v>602.70399999999995</v>
      </c>
      <c r="S1028" s="6">
        <f t="shared" si="85"/>
        <v>1.327352184E-2</v>
      </c>
      <c r="T1028" t="str">
        <f t="shared" si="86"/>
        <v>Ipe S4S E4E 1x12 Long</v>
      </c>
    </row>
    <row r="1029" spans="1:20" x14ac:dyDescent="0.25">
      <c r="A1029" t="s">
        <v>1351</v>
      </c>
      <c r="B1029" t="s">
        <v>1379</v>
      </c>
      <c r="C1029" t="s">
        <v>283</v>
      </c>
      <c r="D1029" t="s">
        <v>438</v>
      </c>
      <c r="E1029" t="s">
        <v>1401</v>
      </c>
      <c r="F1029" t="s">
        <v>1381</v>
      </c>
      <c r="G1029" t="s">
        <v>1351</v>
      </c>
      <c r="H1029" t="s">
        <v>373</v>
      </c>
      <c r="I1029" t="s">
        <v>289</v>
      </c>
      <c r="J1029" t="s">
        <v>1382</v>
      </c>
      <c r="K1029">
        <v>9</v>
      </c>
      <c r="L1029" s="6">
        <v>2.7431999999999999</v>
      </c>
      <c r="M1029" s="7">
        <v>19.05</v>
      </c>
      <c r="N1029" s="7">
        <v>285.75</v>
      </c>
      <c r="O1029" s="7">
        <f t="shared" si="82"/>
        <v>108</v>
      </c>
      <c r="P1029" s="7">
        <f t="shared" si="83"/>
        <v>0.75000000000000011</v>
      </c>
      <c r="Q1029" s="7">
        <f t="shared" si="83"/>
        <v>11.25</v>
      </c>
      <c r="R1029" s="6">
        <f t="shared" si="84"/>
        <v>602.70399999999995</v>
      </c>
      <c r="S1029" s="6">
        <f t="shared" si="85"/>
        <v>1.493271207E-2</v>
      </c>
      <c r="T1029" t="str">
        <f t="shared" si="86"/>
        <v>Ipe S4S E4E 1x12 Long</v>
      </c>
    </row>
    <row r="1030" spans="1:20" x14ac:dyDescent="0.25">
      <c r="A1030" t="s">
        <v>1351</v>
      </c>
      <c r="B1030" t="s">
        <v>1402</v>
      </c>
      <c r="C1030" t="s">
        <v>283</v>
      </c>
      <c r="D1030" t="s">
        <v>438</v>
      </c>
      <c r="E1030" t="s">
        <v>1403</v>
      </c>
      <c r="F1030" t="s">
        <v>1404</v>
      </c>
      <c r="G1030" t="s">
        <v>1351</v>
      </c>
      <c r="H1030" t="s">
        <v>373</v>
      </c>
      <c r="I1030" t="s">
        <v>289</v>
      </c>
      <c r="J1030" t="s">
        <v>1405</v>
      </c>
      <c r="K1030">
        <v>10</v>
      </c>
      <c r="L1030" s="6">
        <v>3.048</v>
      </c>
      <c r="M1030">
        <v>19.05</v>
      </c>
      <c r="N1030">
        <v>38.1</v>
      </c>
      <c r="O1030" s="7">
        <f t="shared" si="82"/>
        <v>120</v>
      </c>
      <c r="P1030" s="7">
        <f t="shared" si="83"/>
        <v>0.75000000000000011</v>
      </c>
      <c r="Q1030" s="7">
        <f t="shared" si="83"/>
        <v>1.5000000000000002</v>
      </c>
      <c r="R1030" s="6">
        <f t="shared" si="84"/>
        <v>4520.277</v>
      </c>
      <c r="S1030" s="6">
        <f t="shared" si="85"/>
        <v>2.2122536400000004E-3</v>
      </c>
      <c r="T1030" t="str">
        <f t="shared" si="86"/>
        <v>Ipe S4S E4E 1x2 Long</v>
      </c>
    </row>
    <row r="1031" spans="1:20" x14ac:dyDescent="0.25">
      <c r="A1031" t="s">
        <v>1351</v>
      </c>
      <c r="B1031" t="s">
        <v>1402</v>
      </c>
      <c r="C1031" t="s">
        <v>283</v>
      </c>
      <c r="D1031" t="s">
        <v>438</v>
      </c>
      <c r="E1031" t="s">
        <v>1406</v>
      </c>
      <c r="F1031" t="s">
        <v>1404</v>
      </c>
      <c r="G1031" t="s">
        <v>1351</v>
      </c>
      <c r="H1031" t="s">
        <v>373</v>
      </c>
      <c r="I1031" t="s">
        <v>289</v>
      </c>
      <c r="J1031" t="s">
        <v>1405</v>
      </c>
      <c r="K1031">
        <v>11</v>
      </c>
      <c r="L1031" s="6">
        <v>3.3527999999999998</v>
      </c>
      <c r="M1031">
        <v>19.05</v>
      </c>
      <c r="N1031">
        <v>38.1</v>
      </c>
      <c r="O1031" s="7">
        <f t="shared" si="82"/>
        <v>132</v>
      </c>
      <c r="P1031" s="7">
        <f t="shared" si="83"/>
        <v>0.75000000000000011</v>
      </c>
      <c r="Q1031" s="7">
        <f t="shared" si="83"/>
        <v>1.5000000000000002</v>
      </c>
      <c r="R1031" s="6">
        <f t="shared" si="84"/>
        <v>4520.277</v>
      </c>
      <c r="S1031" s="6">
        <f t="shared" si="85"/>
        <v>2.4334790040000001E-3</v>
      </c>
      <c r="T1031" t="str">
        <f t="shared" si="86"/>
        <v>Ipe S4S E4E 1x2 Long</v>
      </c>
    </row>
    <row r="1032" spans="1:20" x14ac:dyDescent="0.25">
      <c r="A1032" t="s">
        <v>1351</v>
      </c>
      <c r="B1032" t="s">
        <v>1402</v>
      </c>
      <c r="C1032" t="s">
        <v>283</v>
      </c>
      <c r="D1032" t="s">
        <v>438</v>
      </c>
      <c r="E1032" t="s">
        <v>1407</v>
      </c>
      <c r="F1032" t="s">
        <v>1404</v>
      </c>
      <c r="G1032" t="s">
        <v>1351</v>
      </c>
      <c r="H1032" t="s">
        <v>373</v>
      </c>
      <c r="I1032" t="s">
        <v>289</v>
      </c>
      <c r="J1032" t="s">
        <v>1405</v>
      </c>
      <c r="K1032">
        <v>12</v>
      </c>
      <c r="L1032" s="6">
        <v>3.6576</v>
      </c>
      <c r="M1032">
        <v>19.05</v>
      </c>
      <c r="N1032">
        <v>38.1</v>
      </c>
      <c r="O1032" s="7">
        <f t="shared" si="82"/>
        <v>144</v>
      </c>
      <c r="P1032" s="7">
        <f t="shared" si="83"/>
        <v>0.75000000000000011</v>
      </c>
      <c r="Q1032" s="7">
        <f t="shared" si="83"/>
        <v>1.5000000000000002</v>
      </c>
      <c r="R1032" s="6">
        <f t="shared" si="84"/>
        <v>4520.277</v>
      </c>
      <c r="S1032" s="6">
        <f t="shared" si="85"/>
        <v>2.6547043680000002E-3</v>
      </c>
      <c r="T1032" t="str">
        <f t="shared" si="86"/>
        <v>Ipe S4S E4E 1x2 Long</v>
      </c>
    </row>
    <row r="1033" spans="1:20" x14ac:dyDescent="0.25">
      <c r="A1033" t="s">
        <v>1351</v>
      </c>
      <c r="B1033" t="s">
        <v>1402</v>
      </c>
      <c r="C1033" t="s">
        <v>283</v>
      </c>
      <c r="D1033" t="s">
        <v>438</v>
      </c>
      <c r="E1033" t="s">
        <v>1408</v>
      </c>
      <c r="F1033" t="s">
        <v>1404</v>
      </c>
      <c r="G1033" t="s">
        <v>1351</v>
      </c>
      <c r="H1033" t="s">
        <v>373</v>
      </c>
      <c r="I1033" t="s">
        <v>289</v>
      </c>
      <c r="J1033" t="s">
        <v>1405</v>
      </c>
      <c r="K1033">
        <v>13</v>
      </c>
      <c r="L1033" s="6">
        <v>3.9624000000000001</v>
      </c>
      <c r="M1033">
        <v>19.05</v>
      </c>
      <c r="N1033">
        <v>38.1</v>
      </c>
      <c r="O1033" s="7">
        <f t="shared" si="82"/>
        <v>156</v>
      </c>
      <c r="P1033" s="7">
        <f t="shared" si="83"/>
        <v>0.75000000000000011</v>
      </c>
      <c r="Q1033" s="7">
        <f t="shared" si="83"/>
        <v>1.5000000000000002</v>
      </c>
      <c r="R1033" s="6">
        <f t="shared" si="84"/>
        <v>4520.277</v>
      </c>
      <c r="S1033" s="6">
        <f t="shared" si="85"/>
        <v>2.8759297320000003E-3</v>
      </c>
      <c r="T1033" t="str">
        <f t="shared" si="86"/>
        <v>Ipe S4S E4E 1x2 Long</v>
      </c>
    </row>
    <row r="1034" spans="1:20" x14ac:dyDescent="0.25">
      <c r="A1034" t="s">
        <v>1351</v>
      </c>
      <c r="B1034" t="s">
        <v>1402</v>
      </c>
      <c r="C1034" t="s">
        <v>283</v>
      </c>
      <c r="D1034" t="s">
        <v>438</v>
      </c>
      <c r="E1034" t="s">
        <v>1409</v>
      </c>
      <c r="F1034" t="s">
        <v>1404</v>
      </c>
      <c r="G1034" t="s">
        <v>1351</v>
      </c>
      <c r="H1034" t="s">
        <v>373</v>
      </c>
      <c r="I1034" t="s">
        <v>289</v>
      </c>
      <c r="J1034" t="s">
        <v>1405</v>
      </c>
      <c r="K1034">
        <v>14</v>
      </c>
      <c r="L1034" s="6">
        <v>4.2671999999999999</v>
      </c>
      <c r="M1034">
        <v>19.05</v>
      </c>
      <c r="N1034">
        <v>38.1</v>
      </c>
      <c r="O1034" s="7">
        <f t="shared" si="82"/>
        <v>168</v>
      </c>
      <c r="P1034" s="7">
        <f t="shared" si="83"/>
        <v>0.75000000000000011</v>
      </c>
      <c r="Q1034" s="7">
        <f t="shared" si="83"/>
        <v>1.5000000000000002</v>
      </c>
      <c r="R1034" s="6">
        <f t="shared" si="84"/>
        <v>4520.277</v>
      </c>
      <c r="S1034" s="6">
        <f t="shared" si="85"/>
        <v>3.0971550960000004E-3</v>
      </c>
      <c r="T1034" t="str">
        <f t="shared" si="86"/>
        <v>Ipe S4S E4E 1x2 Long</v>
      </c>
    </row>
    <row r="1035" spans="1:20" x14ac:dyDescent="0.25">
      <c r="A1035" t="s">
        <v>1351</v>
      </c>
      <c r="B1035" t="s">
        <v>1402</v>
      </c>
      <c r="C1035" t="s">
        <v>283</v>
      </c>
      <c r="D1035" t="s">
        <v>438</v>
      </c>
      <c r="E1035" t="s">
        <v>1410</v>
      </c>
      <c r="F1035" t="s">
        <v>1404</v>
      </c>
      <c r="G1035" t="s">
        <v>1351</v>
      </c>
      <c r="H1035" t="s">
        <v>373</v>
      </c>
      <c r="I1035" t="s">
        <v>289</v>
      </c>
      <c r="J1035" t="s">
        <v>1405</v>
      </c>
      <c r="K1035">
        <v>15</v>
      </c>
      <c r="L1035" s="6">
        <v>4.5720000000000001</v>
      </c>
      <c r="M1035">
        <v>19.05</v>
      </c>
      <c r="N1035">
        <v>38.1</v>
      </c>
      <c r="O1035" s="7">
        <f t="shared" si="82"/>
        <v>180</v>
      </c>
      <c r="P1035" s="7">
        <f t="shared" si="83"/>
        <v>0.75000000000000011</v>
      </c>
      <c r="Q1035" s="7">
        <f t="shared" si="83"/>
        <v>1.5000000000000002</v>
      </c>
      <c r="R1035" s="6">
        <f t="shared" si="84"/>
        <v>4520.277</v>
      </c>
      <c r="S1035" s="6">
        <f t="shared" si="85"/>
        <v>3.3183804600000004E-3</v>
      </c>
      <c r="T1035" t="str">
        <f t="shared" si="86"/>
        <v>Ipe S4S E4E 1x2 Long</v>
      </c>
    </row>
    <row r="1036" spans="1:20" x14ac:dyDescent="0.25">
      <c r="A1036" t="s">
        <v>1351</v>
      </c>
      <c r="B1036" t="s">
        <v>1402</v>
      </c>
      <c r="C1036" t="s">
        <v>283</v>
      </c>
      <c r="D1036" t="s">
        <v>438</v>
      </c>
      <c r="E1036" t="s">
        <v>1411</v>
      </c>
      <c r="F1036" t="s">
        <v>1404</v>
      </c>
      <c r="G1036" t="s">
        <v>1351</v>
      </c>
      <c r="H1036" t="s">
        <v>373</v>
      </c>
      <c r="I1036" t="s">
        <v>289</v>
      </c>
      <c r="J1036" t="s">
        <v>1405</v>
      </c>
      <c r="K1036">
        <v>16</v>
      </c>
      <c r="L1036" s="6">
        <v>4.8768000000000002</v>
      </c>
      <c r="M1036">
        <v>19.05</v>
      </c>
      <c r="N1036">
        <v>38.1</v>
      </c>
      <c r="O1036" s="7">
        <f t="shared" si="82"/>
        <v>192.00000000000003</v>
      </c>
      <c r="P1036" s="7">
        <f t="shared" si="83"/>
        <v>0.75000000000000011</v>
      </c>
      <c r="Q1036" s="7">
        <f t="shared" si="83"/>
        <v>1.5000000000000002</v>
      </c>
      <c r="R1036" s="6">
        <f t="shared" si="84"/>
        <v>4520.277</v>
      </c>
      <c r="S1036" s="6">
        <f t="shared" si="85"/>
        <v>3.5396058240000005E-3</v>
      </c>
      <c r="T1036" t="str">
        <f t="shared" si="86"/>
        <v>Ipe S4S E4E 1x2 Long</v>
      </c>
    </row>
    <row r="1037" spans="1:20" x14ac:dyDescent="0.25">
      <c r="A1037" t="s">
        <v>1351</v>
      </c>
      <c r="B1037" t="s">
        <v>1402</v>
      </c>
      <c r="C1037" t="s">
        <v>283</v>
      </c>
      <c r="D1037" t="s">
        <v>438</v>
      </c>
      <c r="E1037" t="s">
        <v>1412</v>
      </c>
      <c r="F1037" t="s">
        <v>1404</v>
      </c>
      <c r="G1037" t="s">
        <v>1351</v>
      </c>
      <c r="H1037" t="s">
        <v>373</v>
      </c>
      <c r="I1037" t="s">
        <v>289</v>
      </c>
      <c r="J1037" t="s">
        <v>1405</v>
      </c>
      <c r="K1037">
        <v>17</v>
      </c>
      <c r="L1037" s="6">
        <v>5.1816000000000004</v>
      </c>
      <c r="M1037">
        <v>19.05</v>
      </c>
      <c r="N1037">
        <v>38.1</v>
      </c>
      <c r="O1037" s="7">
        <f t="shared" si="82"/>
        <v>204.00000000000003</v>
      </c>
      <c r="P1037" s="7">
        <f t="shared" si="83"/>
        <v>0.75000000000000011</v>
      </c>
      <c r="Q1037" s="7">
        <f t="shared" si="83"/>
        <v>1.5000000000000002</v>
      </c>
      <c r="R1037" s="6">
        <f t="shared" si="84"/>
        <v>4520.277</v>
      </c>
      <c r="S1037" s="6">
        <f t="shared" si="85"/>
        <v>3.7608311880000011E-3</v>
      </c>
      <c r="T1037" t="str">
        <f t="shared" si="86"/>
        <v>Ipe S4S E4E 1x2 Long</v>
      </c>
    </row>
    <row r="1038" spans="1:20" x14ac:dyDescent="0.25">
      <c r="A1038" t="s">
        <v>1351</v>
      </c>
      <c r="B1038" t="s">
        <v>1402</v>
      </c>
      <c r="C1038" t="s">
        <v>283</v>
      </c>
      <c r="D1038" t="s">
        <v>438</v>
      </c>
      <c r="E1038" t="s">
        <v>1413</v>
      </c>
      <c r="F1038" t="s">
        <v>1404</v>
      </c>
      <c r="G1038" t="s">
        <v>1351</v>
      </c>
      <c r="H1038" t="s">
        <v>373</v>
      </c>
      <c r="I1038" t="s">
        <v>289</v>
      </c>
      <c r="J1038" t="s">
        <v>1405</v>
      </c>
      <c r="K1038">
        <v>18</v>
      </c>
      <c r="L1038" s="6">
        <v>5.4863999999999997</v>
      </c>
      <c r="M1038">
        <v>19.05</v>
      </c>
      <c r="N1038">
        <v>38.1</v>
      </c>
      <c r="O1038" s="7">
        <f t="shared" si="82"/>
        <v>216</v>
      </c>
      <c r="P1038" s="7">
        <f t="shared" si="83"/>
        <v>0.75000000000000011</v>
      </c>
      <c r="Q1038" s="7">
        <f t="shared" si="83"/>
        <v>1.5000000000000002</v>
      </c>
      <c r="R1038" s="6">
        <f t="shared" si="84"/>
        <v>4520.277</v>
      </c>
      <c r="S1038" s="6">
        <f t="shared" si="85"/>
        <v>3.9820565519999998E-3</v>
      </c>
      <c r="T1038" t="str">
        <f t="shared" si="86"/>
        <v>Ipe S4S E4E 1x2 Long</v>
      </c>
    </row>
    <row r="1039" spans="1:20" x14ac:dyDescent="0.25">
      <c r="A1039" t="s">
        <v>1351</v>
      </c>
      <c r="B1039" t="s">
        <v>1402</v>
      </c>
      <c r="C1039" t="s">
        <v>283</v>
      </c>
      <c r="D1039" t="s">
        <v>438</v>
      </c>
      <c r="E1039" t="s">
        <v>1414</v>
      </c>
      <c r="F1039" t="s">
        <v>1404</v>
      </c>
      <c r="G1039" t="s">
        <v>1351</v>
      </c>
      <c r="H1039" t="s">
        <v>373</v>
      </c>
      <c r="I1039" t="s">
        <v>289</v>
      </c>
      <c r="J1039" t="s">
        <v>1405</v>
      </c>
      <c r="K1039">
        <v>19</v>
      </c>
      <c r="L1039" s="6">
        <v>5.7911999999999999</v>
      </c>
      <c r="M1039">
        <v>19.05</v>
      </c>
      <c r="N1039">
        <v>38.1</v>
      </c>
      <c r="O1039" s="7">
        <f t="shared" si="82"/>
        <v>228</v>
      </c>
      <c r="P1039" s="7">
        <f t="shared" si="83"/>
        <v>0.75000000000000011</v>
      </c>
      <c r="Q1039" s="7">
        <f t="shared" si="83"/>
        <v>1.5000000000000002</v>
      </c>
      <c r="R1039" s="6">
        <f t="shared" si="84"/>
        <v>4520.277</v>
      </c>
      <c r="S1039" s="6">
        <f t="shared" si="85"/>
        <v>4.2032819160000004E-3</v>
      </c>
      <c r="T1039" t="str">
        <f t="shared" si="86"/>
        <v>Ipe S4S E4E 1x2 Long</v>
      </c>
    </row>
    <row r="1040" spans="1:20" x14ac:dyDescent="0.25">
      <c r="A1040" t="s">
        <v>1351</v>
      </c>
      <c r="B1040" t="s">
        <v>1402</v>
      </c>
      <c r="C1040" t="s">
        <v>283</v>
      </c>
      <c r="D1040" t="s">
        <v>438</v>
      </c>
      <c r="E1040" t="s">
        <v>1415</v>
      </c>
      <c r="F1040" t="s">
        <v>1404</v>
      </c>
      <c r="G1040" t="s">
        <v>1351</v>
      </c>
      <c r="H1040" t="s">
        <v>373</v>
      </c>
      <c r="I1040" t="s">
        <v>289</v>
      </c>
      <c r="J1040" t="s">
        <v>1405</v>
      </c>
      <c r="K1040">
        <v>20</v>
      </c>
      <c r="L1040" s="6">
        <v>6.0960000000000001</v>
      </c>
      <c r="M1040">
        <v>19.05</v>
      </c>
      <c r="N1040">
        <v>38.1</v>
      </c>
      <c r="O1040" s="7">
        <f t="shared" si="82"/>
        <v>240</v>
      </c>
      <c r="P1040" s="7">
        <f t="shared" si="83"/>
        <v>0.75000000000000011</v>
      </c>
      <c r="Q1040" s="7">
        <f t="shared" si="83"/>
        <v>1.5000000000000002</v>
      </c>
      <c r="R1040" s="6">
        <f t="shared" si="84"/>
        <v>4520.277</v>
      </c>
      <c r="S1040" s="6">
        <f t="shared" si="85"/>
        <v>4.4245072800000009E-3</v>
      </c>
      <c r="T1040" t="str">
        <f t="shared" si="86"/>
        <v>Ipe S4S E4E 1x2 Long</v>
      </c>
    </row>
    <row r="1041" spans="1:20" x14ac:dyDescent="0.25">
      <c r="A1041" t="s">
        <v>1351</v>
      </c>
      <c r="B1041" t="s">
        <v>1402</v>
      </c>
      <c r="C1041" t="s">
        <v>283</v>
      </c>
      <c r="D1041" t="s">
        <v>438</v>
      </c>
      <c r="E1041" t="s">
        <v>1416</v>
      </c>
      <c r="F1041" t="s">
        <v>1404</v>
      </c>
      <c r="G1041" t="s">
        <v>1351</v>
      </c>
      <c r="H1041" t="s">
        <v>373</v>
      </c>
      <c r="I1041" t="s">
        <v>289</v>
      </c>
      <c r="J1041" t="s">
        <v>1405</v>
      </c>
      <c r="K1041">
        <v>21</v>
      </c>
      <c r="L1041" s="6">
        <v>6.4008000000000003</v>
      </c>
      <c r="M1041">
        <v>19.05</v>
      </c>
      <c r="N1041">
        <v>38.1</v>
      </c>
      <c r="O1041" s="7">
        <f t="shared" si="82"/>
        <v>252.00000000000003</v>
      </c>
      <c r="P1041" s="7">
        <f t="shared" si="83"/>
        <v>0.75000000000000011</v>
      </c>
      <c r="Q1041" s="7">
        <f t="shared" si="83"/>
        <v>1.5000000000000002</v>
      </c>
      <c r="R1041" s="6">
        <f t="shared" si="84"/>
        <v>4520.277</v>
      </c>
      <c r="S1041" s="6">
        <f t="shared" si="85"/>
        <v>4.6457326440000005E-3</v>
      </c>
      <c r="T1041" t="str">
        <f t="shared" si="86"/>
        <v>Ipe S4S E4E 1x2 Long</v>
      </c>
    </row>
    <row r="1042" spans="1:20" x14ac:dyDescent="0.25">
      <c r="A1042" t="s">
        <v>1351</v>
      </c>
      <c r="B1042" t="s">
        <v>1402</v>
      </c>
      <c r="C1042" t="s">
        <v>283</v>
      </c>
      <c r="D1042" t="s">
        <v>438</v>
      </c>
      <c r="E1042" t="s">
        <v>1417</v>
      </c>
      <c r="F1042" t="s">
        <v>1404</v>
      </c>
      <c r="G1042" t="s">
        <v>1351</v>
      </c>
      <c r="H1042" t="s">
        <v>373</v>
      </c>
      <c r="I1042" t="s">
        <v>289</v>
      </c>
      <c r="J1042" t="s">
        <v>1405</v>
      </c>
      <c r="K1042">
        <v>22</v>
      </c>
      <c r="L1042" s="6">
        <v>6.7055999999999996</v>
      </c>
      <c r="M1042">
        <v>19.05</v>
      </c>
      <c r="N1042">
        <v>38.1</v>
      </c>
      <c r="O1042" s="7">
        <f t="shared" si="82"/>
        <v>264</v>
      </c>
      <c r="P1042" s="7">
        <f t="shared" si="83"/>
        <v>0.75000000000000011</v>
      </c>
      <c r="Q1042" s="7">
        <f t="shared" si="83"/>
        <v>1.5000000000000002</v>
      </c>
      <c r="R1042" s="6">
        <f t="shared" si="84"/>
        <v>4520.277</v>
      </c>
      <c r="S1042" s="6">
        <f t="shared" si="85"/>
        <v>4.8669580080000002E-3</v>
      </c>
      <c r="T1042" t="str">
        <f t="shared" si="86"/>
        <v>Ipe S4S E4E 1x2 Long</v>
      </c>
    </row>
    <row r="1043" spans="1:20" x14ac:dyDescent="0.25">
      <c r="A1043" t="s">
        <v>1351</v>
      </c>
      <c r="B1043" t="s">
        <v>1402</v>
      </c>
      <c r="C1043" t="s">
        <v>524</v>
      </c>
      <c r="D1043" t="s">
        <v>438</v>
      </c>
      <c r="E1043" t="s">
        <v>1418</v>
      </c>
      <c r="F1043" t="s">
        <v>1404</v>
      </c>
      <c r="G1043" t="s">
        <v>1351</v>
      </c>
      <c r="H1043" t="s">
        <v>373</v>
      </c>
      <c r="I1043" t="s">
        <v>289</v>
      </c>
      <c r="J1043" t="s">
        <v>1405</v>
      </c>
      <c r="K1043">
        <v>3</v>
      </c>
      <c r="L1043" s="6">
        <v>0.91439999999999999</v>
      </c>
      <c r="M1043">
        <v>19.05</v>
      </c>
      <c r="N1043">
        <v>38.1</v>
      </c>
      <c r="O1043" s="7">
        <f t="shared" si="82"/>
        <v>36</v>
      </c>
      <c r="P1043" s="7">
        <f t="shared" si="83"/>
        <v>0.75000000000000011</v>
      </c>
      <c r="Q1043" s="7">
        <f t="shared" si="83"/>
        <v>1.5000000000000002</v>
      </c>
      <c r="R1043" s="6">
        <f t="shared" si="84"/>
        <v>4520.277</v>
      </c>
      <c r="S1043" s="6">
        <f t="shared" si="85"/>
        <v>6.6367609200000005E-4</v>
      </c>
      <c r="T1043" t="str">
        <f t="shared" si="86"/>
        <v>Ipe S4S E4E 1x2 Short</v>
      </c>
    </row>
    <row r="1044" spans="1:20" x14ac:dyDescent="0.25">
      <c r="A1044" t="s">
        <v>1351</v>
      </c>
      <c r="B1044" t="s">
        <v>1402</v>
      </c>
      <c r="C1044" t="s">
        <v>524</v>
      </c>
      <c r="D1044" t="s">
        <v>438</v>
      </c>
      <c r="E1044" t="s">
        <v>1419</v>
      </c>
      <c r="F1044" t="s">
        <v>1404</v>
      </c>
      <c r="G1044" t="s">
        <v>1351</v>
      </c>
      <c r="H1044" t="s">
        <v>373</v>
      </c>
      <c r="I1044" t="s">
        <v>289</v>
      </c>
      <c r="J1044" t="s">
        <v>1405</v>
      </c>
      <c r="K1044">
        <v>4</v>
      </c>
      <c r="L1044" s="6">
        <v>1.2192000000000001</v>
      </c>
      <c r="M1044">
        <v>19.05</v>
      </c>
      <c r="N1044">
        <v>38.1</v>
      </c>
      <c r="O1044" s="7">
        <f t="shared" si="82"/>
        <v>48.000000000000007</v>
      </c>
      <c r="P1044" s="7">
        <f t="shared" si="83"/>
        <v>0.75000000000000011</v>
      </c>
      <c r="Q1044" s="7">
        <f t="shared" si="83"/>
        <v>1.5000000000000002</v>
      </c>
      <c r="R1044" s="6">
        <f t="shared" si="84"/>
        <v>4520.277</v>
      </c>
      <c r="S1044" s="6">
        <f t="shared" si="85"/>
        <v>8.8490145600000013E-4</v>
      </c>
      <c r="T1044" t="str">
        <f t="shared" si="86"/>
        <v>Ipe S4S E4E 1x2 Short</v>
      </c>
    </row>
    <row r="1045" spans="1:20" x14ac:dyDescent="0.25">
      <c r="A1045" t="s">
        <v>1351</v>
      </c>
      <c r="B1045" t="s">
        <v>1402</v>
      </c>
      <c r="C1045" t="s">
        <v>524</v>
      </c>
      <c r="D1045" t="s">
        <v>438</v>
      </c>
      <c r="E1045" t="s">
        <v>1420</v>
      </c>
      <c r="F1045" t="s">
        <v>1404</v>
      </c>
      <c r="G1045" t="s">
        <v>1351</v>
      </c>
      <c r="H1045" t="s">
        <v>373</v>
      </c>
      <c r="I1045" t="s">
        <v>289</v>
      </c>
      <c r="J1045" t="s">
        <v>1405</v>
      </c>
      <c r="K1045">
        <v>5</v>
      </c>
      <c r="L1045" s="6">
        <v>1.524</v>
      </c>
      <c r="M1045">
        <v>19.05</v>
      </c>
      <c r="N1045">
        <v>38.1</v>
      </c>
      <c r="O1045" s="7">
        <f t="shared" si="82"/>
        <v>60</v>
      </c>
      <c r="P1045" s="7">
        <f t="shared" si="83"/>
        <v>0.75000000000000011</v>
      </c>
      <c r="Q1045" s="7">
        <f t="shared" si="83"/>
        <v>1.5000000000000002</v>
      </c>
      <c r="R1045" s="6">
        <f t="shared" si="84"/>
        <v>4520.277</v>
      </c>
      <c r="S1045" s="6">
        <f t="shared" si="85"/>
        <v>1.1061268200000002E-3</v>
      </c>
      <c r="T1045" t="str">
        <f t="shared" si="86"/>
        <v>Ipe S4S E4E 1x2 Short</v>
      </c>
    </row>
    <row r="1046" spans="1:20" x14ac:dyDescent="0.25">
      <c r="A1046" t="s">
        <v>1351</v>
      </c>
      <c r="B1046" t="s">
        <v>1402</v>
      </c>
      <c r="C1046" t="s">
        <v>524</v>
      </c>
      <c r="D1046" t="s">
        <v>438</v>
      </c>
      <c r="E1046" t="s">
        <v>1421</v>
      </c>
      <c r="F1046" t="s">
        <v>1404</v>
      </c>
      <c r="G1046" t="s">
        <v>1351</v>
      </c>
      <c r="H1046" t="s">
        <v>373</v>
      </c>
      <c r="I1046" t="s">
        <v>289</v>
      </c>
      <c r="J1046" t="s">
        <v>1405</v>
      </c>
      <c r="K1046">
        <v>6</v>
      </c>
      <c r="L1046" s="6">
        <v>1.8288</v>
      </c>
      <c r="M1046">
        <v>19.05</v>
      </c>
      <c r="N1046">
        <v>38.1</v>
      </c>
      <c r="O1046" s="7">
        <f t="shared" si="82"/>
        <v>72</v>
      </c>
      <c r="P1046" s="7">
        <f t="shared" si="83"/>
        <v>0.75000000000000011</v>
      </c>
      <c r="Q1046" s="7">
        <f t="shared" si="83"/>
        <v>1.5000000000000002</v>
      </c>
      <c r="R1046" s="6">
        <f t="shared" si="84"/>
        <v>4520.277</v>
      </c>
      <c r="S1046" s="6">
        <f t="shared" si="85"/>
        <v>1.3273521840000001E-3</v>
      </c>
      <c r="T1046" t="str">
        <f t="shared" si="86"/>
        <v>Ipe S4S E4E 1x2 Short</v>
      </c>
    </row>
    <row r="1047" spans="1:20" x14ac:dyDescent="0.25">
      <c r="A1047" t="s">
        <v>1351</v>
      </c>
      <c r="B1047" t="s">
        <v>1402</v>
      </c>
      <c r="C1047" t="s">
        <v>524</v>
      </c>
      <c r="D1047" t="s">
        <v>438</v>
      </c>
      <c r="E1047" t="s">
        <v>1422</v>
      </c>
      <c r="F1047" t="s">
        <v>1404</v>
      </c>
      <c r="G1047" t="s">
        <v>1351</v>
      </c>
      <c r="H1047" t="s">
        <v>373</v>
      </c>
      <c r="I1047" t="s">
        <v>289</v>
      </c>
      <c r="J1047" t="s">
        <v>1405</v>
      </c>
      <c r="K1047">
        <v>7</v>
      </c>
      <c r="L1047" s="6">
        <v>2.1335999999999999</v>
      </c>
      <c r="M1047">
        <v>19.05</v>
      </c>
      <c r="N1047">
        <v>38.1</v>
      </c>
      <c r="O1047" s="7">
        <f t="shared" si="82"/>
        <v>84</v>
      </c>
      <c r="P1047" s="7">
        <f t="shared" si="83"/>
        <v>0.75000000000000011</v>
      </c>
      <c r="Q1047" s="7">
        <f t="shared" si="83"/>
        <v>1.5000000000000002</v>
      </c>
      <c r="R1047" s="6">
        <f t="shared" si="84"/>
        <v>4520.277</v>
      </c>
      <c r="S1047" s="6">
        <f t="shared" si="85"/>
        <v>1.5485775480000002E-3</v>
      </c>
      <c r="T1047" t="str">
        <f t="shared" si="86"/>
        <v>Ipe S4S E4E 1x2 Short</v>
      </c>
    </row>
    <row r="1048" spans="1:20" x14ac:dyDescent="0.25">
      <c r="A1048" t="s">
        <v>1351</v>
      </c>
      <c r="B1048" t="s">
        <v>1402</v>
      </c>
      <c r="C1048" t="s">
        <v>283</v>
      </c>
      <c r="D1048" t="s">
        <v>438</v>
      </c>
      <c r="E1048" t="s">
        <v>1423</v>
      </c>
      <c r="F1048" t="s">
        <v>1404</v>
      </c>
      <c r="G1048" t="s">
        <v>1351</v>
      </c>
      <c r="H1048" t="s">
        <v>373</v>
      </c>
      <c r="I1048" t="s">
        <v>289</v>
      </c>
      <c r="J1048" t="s">
        <v>1405</v>
      </c>
      <c r="K1048">
        <v>8</v>
      </c>
      <c r="L1048" s="6">
        <v>2.4384000000000001</v>
      </c>
      <c r="M1048">
        <v>19.05</v>
      </c>
      <c r="N1048">
        <v>38.1</v>
      </c>
      <c r="O1048" s="7">
        <f t="shared" si="82"/>
        <v>96.000000000000014</v>
      </c>
      <c r="P1048" s="7">
        <f t="shared" si="83"/>
        <v>0.75000000000000011</v>
      </c>
      <c r="Q1048" s="7">
        <f t="shared" si="83"/>
        <v>1.5000000000000002</v>
      </c>
      <c r="R1048" s="6">
        <f t="shared" si="84"/>
        <v>4520.277</v>
      </c>
      <c r="S1048" s="6">
        <f t="shared" si="85"/>
        <v>1.7698029120000003E-3</v>
      </c>
      <c r="T1048" t="str">
        <f t="shared" si="86"/>
        <v>Ipe S4S E4E 1x2 Long</v>
      </c>
    </row>
    <row r="1049" spans="1:20" x14ac:dyDescent="0.25">
      <c r="A1049" t="s">
        <v>1351</v>
      </c>
      <c r="B1049" t="s">
        <v>1402</v>
      </c>
      <c r="C1049" t="s">
        <v>283</v>
      </c>
      <c r="D1049" t="s">
        <v>438</v>
      </c>
      <c r="E1049" t="s">
        <v>1424</v>
      </c>
      <c r="F1049" t="s">
        <v>1404</v>
      </c>
      <c r="G1049" t="s">
        <v>1351</v>
      </c>
      <c r="H1049" t="s">
        <v>373</v>
      </c>
      <c r="I1049" t="s">
        <v>289</v>
      </c>
      <c r="J1049" t="s">
        <v>1405</v>
      </c>
      <c r="K1049">
        <v>9</v>
      </c>
      <c r="L1049" s="6">
        <v>2.7431999999999999</v>
      </c>
      <c r="M1049">
        <v>19.05</v>
      </c>
      <c r="N1049">
        <v>38.1</v>
      </c>
      <c r="O1049" s="7">
        <f t="shared" si="82"/>
        <v>108</v>
      </c>
      <c r="P1049" s="7">
        <f t="shared" si="83"/>
        <v>0.75000000000000011</v>
      </c>
      <c r="Q1049" s="7">
        <f t="shared" si="83"/>
        <v>1.5000000000000002</v>
      </c>
      <c r="R1049" s="6">
        <f t="shared" si="84"/>
        <v>4520.277</v>
      </c>
      <c r="S1049" s="6">
        <f t="shared" si="85"/>
        <v>1.9910282759999999E-3</v>
      </c>
      <c r="T1049" t="str">
        <f t="shared" si="86"/>
        <v>Ipe S4S E4E 1x2 Long</v>
      </c>
    </row>
    <row r="1050" spans="1:20" x14ac:dyDescent="0.25">
      <c r="A1050" t="s">
        <v>1351</v>
      </c>
      <c r="B1050" t="s">
        <v>1425</v>
      </c>
      <c r="C1050" t="s">
        <v>283</v>
      </c>
      <c r="D1050" t="s">
        <v>438</v>
      </c>
      <c r="E1050" t="s">
        <v>1426</v>
      </c>
      <c r="F1050" t="s">
        <v>1427</v>
      </c>
      <c r="G1050" t="s">
        <v>1351</v>
      </c>
      <c r="H1050" t="s">
        <v>373</v>
      </c>
      <c r="I1050" t="s">
        <v>289</v>
      </c>
      <c r="J1050" t="s">
        <v>582</v>
      </c>
      <c r="K1050">
        <v>10</v>
      </c>
      <c r="L1050" s="6">
        <v>3.048</v>
      </c>
      <c r="M1050" s="7">
        <v>19.05</v>
      </c>
      <c r="N1050" s="7">
        <v>70</v>
      </c>
      <c r="O1050" s="7">
        <f t="shared" si="82"/>
        <v>120</v>
      </c>
      <c r="P1050" s="7">
        <f t="shared" si="83"/>
        <v>0.75000000000000011</v>
      </c>
      <c r="Q1050" s="7">
        <f t="shared" si="83"/>
        <v>2.7559055118110236</v>
      </c>
      <c r="R1050" s="6">
        <f t="shared" si="84"/>
        <v>2460.3220000000001</v>
      </c>
      <c r="S1050" s="6">
        <f t="shared" si="85"/>
        <v>4.0645080000000005E-3</v>
      </c>
      <c r="T1050" t="str">
        <f t="shared" si="86"/>
        <v>Ipe S4S E4E 1x3 Long</v>
      </c>
    </row>
    <row r="1051" spans="1:20" x14ac:dyDescent="0.25">
      <c r="A1051" t="s">
        <v>1351</v>
      </c>
      <c r="B1051" t="s">
        <v>1425</v>
      </c>
      <c r="C1051" t="s">
        <v>283</v>
      </c>
      <c r="D1051" t="s">
        <v>438</v>
      </c>
      <c r="E1051" t="s">
        <v>1428</v>
      </c>
      <c r="F1051" t="s">
        <v>1427</v>
      </c>
      <c r="G1051" t="s">
        <v>1351</v>
      </c>
      <c r="H1051" t="s">
        <v>373</v>
      </c>
      <c r="I1051" t="s">
        <v>289</v>
      </c>
      <c r="J1051" t="s">
        <v>582</v>
      </c>
      <c r="K1051">
        <v>11</v>
      </c>
      <c r="L1051" s="6">
        <v>3.3527999999999998</v>
      </c>
      <c r="M1051" s="7">
        <v>19.05</v>
      </c>
      <c r="N1051" s="7">
        <v>70</v>
      </c>
      <c r="O1051" s="7">
        <f t="shared" si="82"/>
        <v>132</v>
      </c>
      <c r="P1051" s="7">
        <f t="shared" si="83"/>
        <v>0.75000000000000011</v>
      </c>
      <c r="Q1051" s="7">
        <f t="shared" si="83"/>
        <v>2.7559055118110236</v>
      </c>
      <c r="R1051" s="6">
        <f t="shared" si="84"/>
        <v>2460.3220000000001</v>
      </c>
      <c r="S1051" s="6">
        <f t="shared" si="85"/>
        <v>4.4709588E-3</v>
      </c>
      <c r="T1051" t="str">
        <f t="shared" si="86"/>
        <v>Ipe S4S E4E 1x3 Long</v>
      </c>
    </row>
    <row r="1052" spans="1:20" x14ac:dyDescent="0.25">
      <c r="A1052" t="s">
        <v>1351</v>
      </c>
      <c r="B1052" t="s">
        <v>1425</v>
      </c>
      <c r="C1052" t="s">
        <v>283</v>
      </c>
      <c r="D1052" t="s">
        <v>438</v>
      </c>
      <c r="E1052" t="s">
        <v>1429</v>
      </c>
      <c r="F1052" t="s">
        <v>1427</v>
      </c>
      <c r="G1052" t="s">
        <v>1351</v>
      </c>
      <c r="H1052" t="s">
        <v>373</v>
      </c>
      <c r="I1052" t="s">
        <v>289</v>
      </c>
      <c r="J1052" t="s">
        <v>582</v>
      </c>
      <c r="K1052">
        <v>12</v>
      </c>
      <c r="L1052" s="6">
        <v>3.6576</v>
      </c>
      <c r="M1052" s="7">
        <v>19.05</v>
      </c>
      <c r="N1052" s="7">
        <v>70</v>
      </c>
      <c r="O1052" s="7">
        <f t="shared" si="82"/>
        <v>144</v>
      </c>
      <c r="P1052" s="7">
        <f t="shared" si="83"/>
        <v>0.75000000000000011</v>
      </c>
      <c r="Q1052" s="7">
        <f t="shared" si="83"/>
        <v>2.7559055118110236</v>
      </c>
      <c r="R1052" s="6">
        <f t="shared" si="84"/>
        <v>2460.3220000000001</v>
      </c>
      <c r="S1052" s="6">
        <f t="shared" si="85"/>
        <v>4.8774096000000003E-3</v>
      </c>
      <c r="T1052" t="str">
        <f t="shared" si="86"/>
        <v>Ipe S4S E4E 1x3 Long</v>
      </c>
    </row>
    <row r="1053" spans="1:20" x14ac:dyDescent="0.25">
      <c r="A1053" t="s">
        <v>1351</v>
      </c>
      <c r="B1053" t="s">
        <v>1425</v>
      </c>
      <c r="C1053" t="s">
        <v>283</v>
      </c>
      <c r="D1053" t="s">
        <v>438</v>
      </c>
      <c r="E1053" t="s">
        <v>1430</v>
      </c>
      <c r="F1053" t="s">
        <v>1427</v>
      </c>
      <c r="G1053" t="s">
        <v>1351</v>
      </c>
      <c r="H1053" t="s">
        <v>373</v>
      </c>
      <c r="I1053" t="s">
        <v>289</v>
      </c>
      <c r="J1053" t="s">
        <v>582</v>
      </c>
      <c r="K1053">
        <v>13</v>
      </c>
      <c r="L1053" s="6">
        <v>3.9624000000000001</v>
      </c>
      <c r="M1053" s="7">
        <v>19.05</v>
      </c>
      <c r="N1053" s="7">
        <v>70</v>
      </c>
      <c r="O1053" s="7">
        <f t="shared" si="82"/>
        <v>156</v>
      </c>
      <c r="P1053" s="7">
        <f t="shared" si="83"/>
        <v>0.75000000000000011</v>
      </c>
      <c r="Q1053" s="7">
        <f t="shared" si="83"/>
        <v>2.7559055118110236</v>
      </c>
      <c r="R1053" s="6">
        <f t="shared" si="84"/>
        <v>2460.3220000000001</v>
      </c>
      <c r="S1053" s="6">
        <f t="shared" si="85"/>
        <v>5.2838603999999997E-3</v>
      </c>
      <c r="T1053" t="str">
        <f t="shared" si="86"/>
        <v>Ipe S4S E4E 1x3 Long</v>
      </c>
    </row>
    <row r="1054" spans="1:20" x14ac:dyDescent="0.25">
      <c r="A1054" t="s">
        <v>1351</v>
      </c>
      <c r="B1054" t="s">
        <v>1425</v>
      </c>
      <c r="C1054" t="s">
        <v>283</v>
      </c>
      <c r="D1054" t="s">
        <v>438</v>
      </c>
      <c r="E1054" t="s">
        <v>1431</v>
      </c>
      <c r="F1054" t="s">
        <v>1427</v>
      </c>
      <c r="G1054" t="s">
        <v>1351</v>
      </c>
      <c r="H1054" t="s">
        <v>373</v>
      </c>
      <c r="I1054" t="s">
        <v>289</v>
      </c>
      <c r="J1054" t="s">
        <v>582</v>
      </c>
      <c r="K1054">
        <v>14</v>
      </c>
      <c r="L1054" s="6">
        <v>4.2671999999999999</v>
      </c>
      <c r="M1054" s="7">
        <v>19.05</v>
      </c>
      <c r="N1054" s="7">
        <v>70</v>
      </c>
      <c r="O1054" s="7">
        <f t="shared" ref="O1054:O1117" si="87">L1054/0.0254</f>
        <v>168</v>
      </c>
      <c r="P1054" s="7">
        <f t="shared" ref="P1054:Q1117" si="88">M1054/25.4</f>
        <v>0.75000000000000011</v>
      </c>
      <c r="Q1054" s="7">
        <f t="shared" si="88"/>
        <v>2.7559055118110236</v>
      </c>
      <c r="R1054" s="6">
        <f t="shared" ref="R1054:R1117" si="89">ROUND(IFERROR(1/((M1054*N1054*0.3048)/1000000),0),3)</f>
        <v>2460.3220000000001</v>
      </c>
      <c r="S1054" s="6">
        <f t="shared" ref="S1054:S1117" si="90">L1054*M1054/1000*N1054/1000</f>
        <v>5.6903112E-3</v>
      </c>
      <c r="T1054" t="str">
        <f t="shared" si="86"/>
        <v>Ipe S4S E4E 1x3 Long</v>
      </c>
    </row>
    <row r="1055" spans="1:20" x14ac:dyDescent="0.25">
      <c r="A1055" t="s">
        <v>1351</v>
      </c>
      <c r="B1055" t="s">
        <v>1425</v>
      </c>
      <c r="C1055" t="s">
        <v>283</v>
      </c>
      <c r="D1055" t="s">
        <v>438</v>
      </c>
      <c r="E1055" t="s">
        <v>1432</v>
      </c>
      <c r="F1055" t="s">
        <v>1427</v>
      </c>
      <c r="G1055" t="s">
        <v>1351</v>
      </c>
      <c r="H1055" t="s">
        <v>373</v>
      </c>
      <c r="I1055" t="s">
        <v>289</v>
      </c>
      <c r="J1055" t="s">
        <v>582</v>
      </c>
      <c r="K1055">
        <v>15</v>
      </c>
      <c r="L1055" s="6">
        <v>4.5720000000000001</v>
      </c>
      <c r="M1055" s="7">
        <v>19.05</v>
      </c>
      <c r="N1055" s="7">
        <v>70</v>
      </c>
      <c r="O1055" s="7">
        <f t="shared" si="87"/>
        <v>180</v>
      </c>
      <c r="P1055" s="7">
        <f t="shared" si="88"/>
        <v>0.75000000000000011</v>
      </c>
      <c r="Q1055" s="7">
        <f t="shared" si="88"/>
        <v>2.7559055118110236</v>
      </c>
      <c r="R1055" s="6">
        <f t="shared" si="89"/>
        <v>2460.3220000000001</v>
      </c>
      <c r="S1055" s="6">
        <f t="shared" si="90"/>
        <v>6.0967620000000012E-3</v>
      </c>
      <c r="T1055" t="str">
        <f t="shared" si="86"/>
        <v>Ipe S4S E4E 1x3 Long</v>
      </c>
    </row>
    <row r="1056" spans="1:20" x14ac:dyDescent="0.25">
      <c r="A1056" t="s">
        <v>1351</v>
      </c>
      <c r="B1056" t="s">
        <v>1425</v>
      </c>
      <c r="C1056" t="s">
        <v>283</v>
      </c>
      <c r="D1056" t="s">
        <v>438</v>
      </c>
      <c r="E1056" t="s">
        <v>1433</v>
      </c>
      <c r="F1056" t="s">
        <v>1427</v>
      </c>
      <c r="G1056" t="s">
        <v>1351</v>
      </c>
      <c r="H1056" t="s">
        <v>373</v>
      </c>
      <c r="I1056" t="s">
        <v>289</v>
      </c>
      <c r="J1056" t="s">
        <v>582</v>
      </c>
      <c r="K1056">
        <v>16</v>
      </c>
      <c r="L1056" s="6">
        <v>4.8768000000000002</v>
      </c>
      <c r="M1056" s="7">
        <v>19.05</v>
      </c>
      <c r="N1056" s="7">
        <v>70</v>
      </c>
      <c r="O1056" s="7">
        <f t="shared" si="87"/>
        <v>192.00000000000003</v>
      </c>
      <c r="P1056" s="7">
        <f t="shared" si="88"/>
        <v>0.75000000000000011</v>
      </c>
      <c r="Q1056" s="7">
        <f t="shared" si="88"/>
        <v>2.7559055118110236</v>
      </c>
      <c r="R1056" s="6">
        <f t="shared" si="89"/>
        <v>2460.3220000000001</v>
      </c>
      <c r="S1056" s="6">
        <f t="shared" si="90"/>
        <v>6.5032127999999998E-3</v>
      </c>
      <c r="T1056" t="str">
        <f t="shared" si="86"/>
        <v>Ipe S4S E4E 1x3 Long</v>
      </c>
    </row>
    <row r="1057" spans="1:20" x14ac:dyDescent="0.25">
      <c r="A1057" t="s">
        <v>1351</v>
      </c>
      <c r="B1057" t="s">
        <v>1425</v>
      </c>
      <c r="C1057" t="s">
        <v>283</v>
      </c>
      <c r="D1057" t="s">
        <v>438</v>
      </c>
      <c r="E1057" t="s">
        <v>1434</v>
      </c>
      <c r="F1057" t="s">
        <v>1427</v>
      </c>
      <c r="G1057" t="s">
        <v>1351</v>
      </c>
      <c r="H1057" t="s">
        <v>373</v>
      </c>
      <c r="I1057" t="s">
        <v>289</v>
      </c>
      <c r="J1057" t="s">
        <v>582</v>
      </c>
      <c r="K1057">
        <v>17</v>
      </c>
      <c r="L1057" s="6">
        <v>5.1816000000000004</v>
      </c>
      <c r="M1057" s="7">
        <v>19.05</v>
      </c>
      <c r="N1057" s="7">
        <v>70</v>
      </c>
      <c r="O1057" s="7">
        <f t="shared" si="87"/>
        <v>204.00000000000003</v>
      </c>
      <c r="P1057" s="7">
        <f t="shared" si="88"/>
        <v>0.75000000000000011</v>
      </c>
      <c r="Q1057" s="7">
        <f t="shared" si="88"/>
        <v>2.7559055118110236</v>
      </c>
      <c r="R1057" s="6">
        <f t="shared" si="89"/>
        <v>2460.3220000000001</v>
      </c>
      <c r="S1057" s="6">
        <f t="shared" si="90"/>
        <v>6.909663600000001E-3</v>
      </c>
      <c r="T1057" t="str">
        <f t="shared" si="86"/>
        <v>Ipe S4S E4E 1x3 Long</v>
      </c>
    </row>
    <row r="1058" spans="1:20" x14ac:dyDescent="0.25">
      <c r="A1058" t="s">
        <v>1351</v>
      </c>
      <c r="B1058" t="s">
        <v>1425</v>
      </c>
      <c r="C1058" t="s">
        <v>283</v>
      </c>
      <c r="D1058" t="s">
        <v>438</v>
      </c>
      <c r="E1058" t="s">
        <v>1435</v>
      </c>
      <c r="F1058" t="s">
        <v>1427</v>
      </c>
      <c r="G1058" t="s">
        <v>1351</v>
      </c>
      <c r="H1058" t="s">
        <v>373</v>
      </c>
      <c r="I1058" t="s">
        <v>289</v>
      </c>
      <c r="J1058" t="s">
        <v>582</v>
      </c>
      <c r="K1058">
        <v>18</v>
      </c>
      <c r="L1058" s="6">
        <v>5.4863999999999997</v>
      </c>
      <c r="M1058" s="7">
        <v>19.05</v>
      </c>
      <c r="N1058" s="7">
        <v>70</v>
      </c>
      <c r="O1058" s="7">
        <f t="shared" si="87"/>
        <v>216</v>
      </c>
      <c r="P1058" s="7">
        <f t="shared" si="88"/>
        <v>0.75000000000000011</v>
      </c>
      <c r="Q1058" s="7">
        <f t="shared" si="88"/>
        <v>2.7559055118110236</v>
      </c>
      <c r="R1058" s="6">
        <f t="shared" si="89"/>
        <v>2460.3220000000001</v>
      </c>
      <c r="S1058" s="6">
        <f t="shared" si="90"/>
        <v>7.3161144000000004E-3</v>
      </c>
      <c r="T1058" t="str">
        <f t="shared" si="86"/>
        <v>Ipe S4S E4E 1x3 Long</v>
      </c>
    </row>
    <row r="1059" spans="1:20" x14ac:dyDescent="0.25">
      <c r="A1059" t="s">
        <v>1351</v>
      </c>
      <c r="B1059" t="s">
        <v>1425</v>
      </c>
      <c r="C1059" t="s">
        <v>283</v>
      </c>
      <c r="D1059" t="s">
        <v>438</v>
      </c>
      <c r="E1059" t="s">
        <v>1436</v>
      </c>
      <c r="F1059" t="s">
        <v>1427</v>
      </c>
      <c r="G1059" t="s">
        <v>1351</v>
      </c>
      <c r="H1059" t="s">
        <v>373</v>
      </c>
      <c r="I1059" t="s">
        <v>289</v>
      </c>
      <c r="J1059" t="s">
        <v>582</v>
      </c>
      <c r="K1059">
        <v>19</v>
      </c>
      <c r="L1059" s="6">
        <v>5.7911999999999999</v>
      </c>
      <c r="M1059" s="7">
        <v>19.05</v>
      </c>
      <c r="N1059" s="7">
        <v>70</v>
      </c>
      <c r="O1059" s="7">
        <f t="shared" si="87"/>
        <v>228</v>
      </c>
      <c r="P1059" s="7">
        <f t="shared" si="88"/>
        <v>0.75000000000000011</v>
      </c>
      <c r="Q1059" s="7">
        <f t="shared" si="88"/>
        <v>2.7559055118110236</v>
      </c>
      <c r="R1059" s="6">
        <f t="shared" si="89"/>
        <v>2460.3220000000001</v>
      </c>
      <c r="S1059" s="6">
        <f t="shared" si="90"/>
        <v>7.7225652000000007E-3</v>
      </c>
      <c r="T1059" t="str">
        <f t="shared" si="86"/>
        <v>Ipe S4S E4E 1x3 Long</v>
      </c>
    </row>
    <row r="1060" spans="1:20" x14ac:dyDescent="0.25">
      <c r="A1060" t="s">
        <v>1351</v>
      </c>
      <c r="B1060" t="s">
        <v>1425</v>
      </c>
      <c r="C1060" t="s">
        <v>283</v>
      </c>
      <c r="D1060" t="s">
        <v>438</v>
      </c>
      <c r="E1060" t="s">
        <v>1437</v>
      </c>
      <c r="F1060" t="s">
        <v>1427</v>
      </c>
      <c r="G1060" t="s">
        <v>1351</v>
      </c>
      <c r="H1060" t="s">
        <v>373</v>
      </c>
      <c r="I1060" t="s">
        <v>289</v>
      </c>
      <c r="J1060" t="s">
        <v>582</v>
      </c>
      <c r="K1060">
        <v>20</v>
      </c>
      <c r="L1060" s="6">
        <v>6.0960000000000001</v>
      </c>
      <c r="M1060" s="7">
        <v>19.05</v>
      </c>
      <c r="N1060" s="7">
        <v>70</v>
      </c>
      <c r="O1060" s="7">
        <f t="shared" si="87"/>
        <v>240</v>
      </c>
      <c r="P1060" s="7">
        <f t="shared" si="88"/>
        <v>0.75000000000000011</v>
      </c>
      <c r="Q1060" s="7">
        <f t="shared" si="88"/>
        <v>2.7559055118110236</v>
      </c>
      <c r="R1060" s="6">
        <f t="shared" si="89"/>
        <v>2460.3220000000001</v>
      </c>
      <c r="S1060" s="6">
        <f t="shared" si="90"/>
        <v>8.1290160000000011E-3</v>
      </c>
      <c r="T1060" t="str">
        <f t="shared" si="86"/>
        <v>Ipe S4S E4E 1x3 Long</v>
      </c>
    </row>
    <row r="1061" spans="1:20" x14ac:dyDescent="0.25">
      <c r="A1061" t="s">
        <v>1351</v>
      </c>
      <c r="B1061" t="s">
        <v>1425</v>
      </c>
      <c r="C1061" t="s">
        <v>283</v>
      </c>
      <c r="D1061" t="s">
        <v>438</v>
      </c>
      <c r="E1061" t="s">
        <v>1438</v>
      </c>
      <c r="F1061" t="s">
        <v>1427</v>
      </c>
      <c r="G1061" t="s">
        <v>1351</v>
      </c>
      <c r="H1061" t="s">
        <v>373</v>
      </c>
      <c r="I1061" t="s">
        <v>289</v>
      </c>
      <c r="J1061" t="s">
        <v>582</v>
      </c>
      <c r="K1061">
        <v>21</v>
      </c>
      <c r="L1061" s="6">
        <v>6.4008000000000003</v>
      </c>
      <c r="M1061" s="7">
        <v>19.05</v>
      </c>
      <c r="N1061" s="7">
        <v>70</v>
      </c>
      <c r="O1061" s="7">
        <f t="shared" si="87"/>
        <v>252.00000000000003</v>
      </c>
      <c r="P1061" s="7">
        <f t="shared" si="88"/>
        <v>0.75000000000000011</v>
      </c>
      <c r="Q1061" s="7">
        <f t="shared" si="88"/>
        <v>2.7559055118110236</v>
      </c>
      <c r="R1061" s="6">
        <f t="shared" si="89"/>
        <v>2460.3220000000001</v>
      </c>
      <c r="S1061" s="6">
        <f t="shared" si="90"/>
        <v>8.5354668000000022E-3</v>
      </c>
      <c r="T1061" t="str">
        <f t="shared" si="86"/>
        <v>Ipe S4S E4E 1x3 Long</v>
      </c>
    </row>
    <row r="1062" spans="1:20" x14ac:dyDescent="0.25">
      <c r="A1062" t="s">
        <v>1351</v>
      </c>
      <c r="B1062" t="s">
        <v>1425</v>
      </c>
      <c r="C1062" t="s">
        <v>283</v>
      </c>
      <c r="D1062" t="s">
        <v>438</v>
      </c>
      <c r="E1062" t="s">
        <v>1439</v>
      </c>
      <c r="F1062" t="s">
        <v>1427</v>
      </c>
      <c r="G1062" t="s">
        <v>1351</v>
      </c>
      <c r="H1062" t="s">
        <v>373</v>
      </c>
      <c r="I1062" t="s">
        <v>289</v>
      </c>
      <c r="J1062" t="s">
        <v>582</v>
      </c>
      <c r="K1062">
        <v>22</v>
      </c>
      <c r="L1062" s="6">
        <v>6.7055999999999996</v>
      </c>
      <c r="M1062" s="7">
        <v>19.05</v>
      </c>
      <c r="N1062" s="7">
        <v>70</v>
      </c>
      <c r="O1062" s="7">
        <f t="shared" si="87"/>
        <v>264</v>
      </c>
      <c r="P1062" s="7">
        <f t="shared" si="88"/>
        <v>0.75000000000000011</v>
      </c>
      <c r="Q1062" s="7">
        <f t="shared" si="88"/>
        <v>2.7559055118110236</v>
      </c>
      <c r="R1062" s="6">
        <f t="shared" si="89"/>
        <v>2460.3220000000001</v>
      </c>
      <c r="S1062" s="6">
        <f t="shared" si="90"/>
        <v>8.9419176E-3</v>
      </c>
      <c r="T1062" t="str">
        <f t="shared" si="86"/>
        <v>Ipe S4S E4E 1x3 Long</v>
      </c>
    </row>
    <row r="1063" spans="1:20" x14ac:dyDescent="0.25">
      <c r="A1063" t="s">
        <v>1351</v>
      </c>
      <c r="B1063" t="s">
        <v>1425</v>
      </c>
      <c r="C1063" t="s">
        <v>524</v>
      </c>
      <c r="D1063" t="s">
        <v>438</v>
      </c>
      <c r="E1063" t="s">
        <v>1440</v>
      </c>
      <c r="F1063" t="s">
        <v>1427</v>
      </c>
      <c r="G1063" t="s">
        <v>1351</v>
      </c>
      <c r="H1063" t="s">
        <v>373</v>
      </c>
      <c r="I1063" t="s">
        <v>289</v>
      </c>
      <c r="J1063" t="s">
        <v>582</v>
      </c>
      <c r="K1063">
        <v>3</v>
      </c>
      <c r="L1063" s="6">
        <v>0.91439999999999999</v>
      </c>
      <c r="M1063" s="7">
        <v>19.05</v>
      </c>
      <c r="N1063" s="7">
        <v>70</v>
      </c>
      <c r="O1063" s="7">
        <f t="shared" si="87"/>
        <v>36</v>
      </c>
      <c r="P1063" s="7">
        <f t="shared" si="88"/>
        <v>0.75000000000000011</v>
      </c>
      <c r="Q1063" s="7">
        <f t="shared" si="88"/>
        <v>2.7559055118110236</v>
      </c>
      <c r="R1063" s="6">
        <f t="shared" si="89"/>
        <v>2460.3220000000001</v>
      </c>
      <c r="S1063" s="6">
        <f t="shared" si="90"/>
        <v>1.2193524000000001E-3</v>
      </c>
      <c r="T1063" t="str">
        <f t="shared" si="86"/>
        <v>Ipe S4S E4E 1x3 Short</v>
      </c>
    </row>
    <row r="1064" spans="1:20" x14ac:dyDescent="0.25">
      <c r="A1064" t="s">
        <v>1351</v>
      </c>
      <c r="B1064" t="s">
        <v>1425</v>
      </c>
      <c r="C1064" t="s">
        <v>524</v>
      </c>
      <c r="D1064" t="s">
        <v>438</v>
      </c>
      <c r="E1064" t="s">
        <v>1441</v>
      </c>
      <c r="F1064" t="s">
        <v>1427</v>
      </c>
      <c r="G1064" t="s">
        <v>1351</v>
      </c>
      <c r="H1064" t="s">
        <v>373</v>
      </c>
      <c r="I1064" t="s">
        <v>289</v>
      </c>
      <c r="J1064" t="s">
        <v>582</v>
      </c>
      <c r="K1064">
        <v>4</v>
      </c>
      <c r="L1064" s="6">
        <v>1.2192000000000001</v>
      </c>
      <c r="M1064" s="7">
        <v>19.05</v>
      </c>
      <c r="N1064" s="7">
        <v>70</v>
      </c>
      <c r="O1064" s="7">
        <f t="shared" si="87"/>
        <v>48.000000000000007</v>
      </c>
      <c r="P1064" s="7">
        <f t="shared" si="88"/>
        <v>0.75000000000000011</v>
      </c>
      <c r="Q1064" s="7">
        <f t="shared" si="88"/>
        <v>2.7559055118110236</v>
      </c>
      <c r="R1064" s="6">
        <f t="shared" si="89"/>
        <v>2460.3220000000001</v>
      </c>
      <c r="S1064" s="6">
        <f t="shared" si="90"/>
        <v>1.6258032E-3</v>
      </c>
      <c r="T1064" t="str">
        <f t="shared" si="86"/>
        <v>Ipe S4S E4E 1x3 Short</v>
      </c>
    </row>
    <row r="1065" spans="1:20" x14ac:dyDescent="0.25">
      <c r="A1065" t="s">
        <v>1351</v>
      </c>
      <c r="B1065" t="s">
        <v>1425</v>
      </c>
      <c r="C1065" t="s">
        <v>524</v>
      </c>
      <c r="D1065" t="s">
        <v>438</v>
      </c>
      <c r="E1065" t="s">
        <v>1442</v>
      </c>
      <c r="F1065" t="s">
        <v>1427</v>
      </c>
      <c r="G1065" t="s">
        <v>1351</v>
      </c>
      <c r="H1065" t="s">
        <v>373</v>
      </c>
      <c r="I1065" t="s">
        <v>289</v>
      </c>
      <c r="J1065" t="s">
        <v>582</v>
      </c>
      <c r="K1065">
        <v>5</v>
      </c>
      <c r="L1065" s="6">
        <v>1.524</v>
      </c>
      <c r="M1065" s="7">
        <v>19.05</v>
      </c>
      <c r="N1065" s="7">
        <v>70</v>
      </c>
      <c r="O1065" s="7">
        <f t="shared" si="87"/>
        <v>60</v>
      </c>
      <c r="P1065" s="7">
        <f t="shared" si="88"/>
        <v>0.75000000000000011</v>
      </c>
      <c r="Q1065" s="7">
        <f t="shared" si="88"/>
        <v>2.7559055118110236</v>
      </c>
      <c r="R1065" s="6">
        <f t="shared" si="89"/>
        <v>2460.3220000000001</v>
      </c>
      <c r="S1065" s="6">
        <f t="shared" si="90"/>
        <v>2.0322540000000003E-3</v>
      </c>
      <c r="T1065" t="str">
        <f t="shared" si="86"/>
        <v>Ipe S4S E4E 1x3 Short</v>
      </c>
    </row>
    <row r="1066" spans="1:20" x14ac:dyDescent="0.25">
      <c r="A1066" t="s">
        <v>1351</v>
      </c>
      <c r="B1066" t="s">
        <v>1425</v>
      </c>
      <c r="C1066" t="s">
        <v>524</v>
      </c>
      <c r="D1066" t="s">
        <v>438</v>
      </c>
      <c r="E1066" t="s">
        <v>1443</v>
      </c>
      <c r="F1066" t="s">
        <v>1427</v>
      </c>
      <c r="G1066" t="s">
        <v>1351</v>
      </c>
      <c r="H1066" t="s">
        <v>373</v>
      </c>
      <c r="I1066" t="s">
        <v>289</v>
      </c>
      <c r="J1066" t="s">
        <v>582</v>
      </c>
      <c r="K1066">
        <v>6</v>
      </c>
      <c r="L1066" s="6">
        <v>1.8288</v>
      </c>
      <c r="M1066" s="7">
        <v>19.05</v>
      </c>
      <c r="N1066" s="7">
        <v>70</v>
      </c>
      <c r="O1066" s="7">
        <f t="shared" si="87"/>
        <v>72</v>
      </c>
      <c r="P1066" s="7">
        <f t="shared" si="88"/>
        <v>0.75000000000000011</v>
      </c>
      <c r="Q1066" s="7">
        <f t="shared" si="88"/>
        <v>2.7559055118110236</v>
      </c>
      <c r="R1066" s="6">
        <f t="shared" si="89"/>
        <v>2460.3220000000001</v>
      </c>
      <c r="S1066" s="6">
        <f t="shared" si="90"/>
        <v>2.4387048000000001E-3</v>
      </c>
      <c r="T1066" t="str">
        <f t="shared" si="86"/>
        <v>Ipe S4S E4E 1x3 Short</v>
      </c>
    </row>
    <row r="1067" spans="1:20" x14ac:dyDescent="0.25">
      <c r="A1067" t="s">
        <v>1351</v>
      </c>
      <c r="B1067" t="s">
        <v>1425</v>
      </c>
      <c r="C1067" t="s">
        <v>524</v>
      </c>
      <c r="D1067" t="s">
        <v>438</v>
      </c>
      <c r="E1067" t="s">
        <v>1444</v>
      </c>
      <c r="F1067" t="s">
        <v>1427</v>
      </c>
      <c r="G1067" t="s">
        <v>1351</v>
      </c>
      <c r="H1067" t="s">
        <v>373</v>
      </c>
      <c r="I1067" t="s">
        <v>289</v>
      </c>
      <c r="J1067" t="s">
        <v>582</v>
      </c>
      <c r="K1067">
        <v>7</v>
      </c>
      <c r="L1067" s="6">
        <v>2.1335999999999999</v>
      </c>
      <c r="M1067" s="7">
        <v>19.05</v>
      </c>
      <c r="N1067" s="7">
        <v>70</v>
      </c>
      <c r="O1067" s="7">
        <f t="shared" si="87"/>
        <v>84</v>
      </c>
      <c r="P1067" s="7">
        <f t="shared" si="88"/>
        <v>0.75000000000000011</v>
      </c>
      <c r="Q1067" s="7">
        <f t="shared" si="88"/>
        <v>2.7559055118110236</v>
      </c>
      <c r="R1067" s="6">
        <f t="shared" si="89"/>
        <v>2460.3220000000001</v>
      </c>
      <c r="S1067" s="6">
        <f t="shared" si="90"/>
        <v>2.8451556E-3</v>
      </c>
      <c r="T1067" t="str">
        <f t="shared" si="86"/>
        <v>Ipe S4S E4E 1x3 Short</v>
      </c>
    </row>
    <row r="1068" spans="1:20" x14ac:dyDescent="0.25">
      <c r="A1068" t="s">
        <v>1351</v>
      </c>
      <c r="B1068" t="s">
        <v>1425</v>
      </c>
      <c r="C1068" t="s">
        <v>283</v>
      </c>
      <c r="D1068" t="s">
        <v>438</v>
      </c>
      <c r="E1068" t="s">
        <v>1445</v>
      </c>
      <c r="F1068" t="s">
        <v>1427</v>
      </c>
      <c r="G1068" t="s">
        <v>1351</v>
      </c>
      <c r="H1068" t="s">
        <v>373</v>
      </c>
      <c r="I1068" t="s">
        <v>289</v>
      </c>
      <c r="J1068" t="s">
        <v>582</v>
      </c>
      <c r="K1068">
        <v>8</v>
      </c>
      <c r="L1068" s="6">
        <v>2.4384000000000001</v>
      </c>
      <c r="M1068" s="7">
        <v>19.05</v>
      </c>
      <c r="N1068" s="7">
        <v>70</v>
      </c>
      <c r="O1068" s="7">
        <f t="shared" si="87"/>
        <v>96.000000000000014</v>
      </c>
      <c r="P1068" s="7">
        <f t="shared" si="88"/>
        <v>0.75000000000000011</v>
      </c>
      <c r="Q1068" s="7">
        <f t="shared" si="88"/>
        <v>2.7559055118110236</v>
      </c>
      <c r="R1068" s="6">
        <f t="shared" si="89"/>
        <v>2460.3220000000001</v>
      </c>
      <c r="S1068" s="6">
        <f t="shared" si="90"/>
        <v>3.2516063999999999E-3</v>
      </c>
      <c r="T1068" t="str">
        <f t="shared" si="86"/>
        <v>Ipe S4S E4E 1x3 Long</v>
      </c>
    </row>
    <row r="1069" spans="1:20" x14ac:dyDescent="0.25">
      <c r="A1069" t="s">
        <v>1351</v>
      </c>
      <c r="B1069" t="s">
        <v>1425</v>
      </c>
      <c r="C1069" t="s">
        <v>283</v>
      </c>
      <c r="D1069" t="s">
        <v>438</v>
      </c>
      <c r="E1069" t="s">
        <v>1446</v>
      </c>
      <c r="F1069" t="s">
        <v>1427</v>
      </c>
      <c r="G1069" t="s">
        <v>1351</v>
      </c>
      <c r="H1069" t="s">
        <v>373</v>
      </c>
      <c r="I1069" t="s">
        <v>289</v>
      </c>
      <c r="J1069" t="s">
        <v>582</v>
      </c>
      <c r="K1069">
        <v>9</v>
      </c>
      <c r="L1069" s="6">
        <v>2.7431999999999999</v>
      </c>
      <c r="M1069" s="7">
        <v>19.05</v>
      </c>
      <c r="N1069" s="7">
        <v>70</v>
      </c>
      <c r="O1069" s="7">
        <f t="shared" si="87"/>
        <v>108</v>
      </c>
      <c r="P1069" s="7">
        <f t="shared" si="88"/>
        <v>0.75000000000000011</v>
      </c>
      <c r="Q1069" s="7">
        <f t="shared" si="88"/>
        <v>2.7559055118110236</v>
      </c>
      <c r="R1069" s="6">
        <f t="shared" si="89"/>
        <v>2460.3220000000001</v>
      </c>
      <c r="S1069" s="6">
        <f t="shared" si="90"/>
        <v>3.6580572000000002E-3</v>
      </c>
      <c r="T1069" t="str">
        <f t="shared" si="86"/>
        <v>Ipe S4S E4E 1x3 Long</v>
      </c>
    </row>
    <row r="1070" spans="1:20" x14ac:dyDescent="0.25">
      <c r="A1070" t="s">
        <v>1351</v>
      </c>
      <c r="B1070" t="s">
        <v>1447</v>
      </c>
      <c r="C1070" t="s">
        <v>283</v>
      </c>
      <c r="D1070" t="s">
        <v>438</v>
      </c>
      <c r="E1070" t="s">
        <v>116</v>
      </c>
      <c r="F1070" t="s">
        <v>1448</v>
      </c>
      <c r="G1070" t="s">
        <v>1351</v>
      </c>
      <c r="H1070" t="s">
        <v>373</v>
      </c>
      <c r="I1070" t="s">
        <v>289</v>
      </c>
      <c r="J1070" t="s">
        <v>613</v>
      </c>
      <c r="K1070">
        <v>10</v>
      </c>
      <c r="L1070" s="6">
        <v>3.048</v>
      </c>
      <c r="M1070" s="7">
        <v>19.05</v>
      </c>
      <c r="N1070" s="7">
        <v>88.9</v>
      </c>
      <c r="O1070" s="7">
        <f t="shared" si="87"/>
        <v>120</v>
      </c>
      <c r="P1070" s="7">
        <f t="shared" si="88"/>
        <v>0.75000000000000011</v>
      </c>
      <c r="Q1070" s="7">
        <f t="shared" si="88"/>
        <v>3.5000000000000004</v>
      </c>
      <c r="R1070" s="6">
        <f t="shared" si="89"/>
        <v>1937.2619999999999</v>
      </c>
      <c r="S1070" s="6">
        <f t="shared" si="90"/>
        <v>5.1619251600000006E-3</v>
      </c>
      <c r="T1070" t="str">
        <f t="shared" si="86"/>
        <v>Ipe S4S E4E 1x4 Long</v>
      </c>
    </row>
    <row r="1071" spans="1:20" x14ac:dyDescent="0.25">
      <c r="A1071" t="s">
        <v>1351</v>
      </c>
      <c r="B1071" t="s">
        <v>1447</v>
      </c>
      <c r="C1071" t="s">
        <v>283</v>
      </c>
      <c r="D1071" t="s">
        <v>438</v>
      </c>
      <c r="E1071" t="s">
        <v>1449</v>
      </c>
      <c r="F1071" t="s">
        <v>1448</v>
      </c>
      <c r="G1071" t="s">
        <v>1351</v>
      </c>
      <c r="H1071" t="s">
        <v>373</v>
      </c>
      <c r="I1071" t="s">
        <v>289</v>
      </c>
      <c r="J1071" t="s">
        <v>613</v>
      </c>
      <c r="K1071">
        <v>11</v>
      </c>
      <c r="L1071" s="6">
        <v>3.3527999999999998</v>
      </c>
      <c r="M1071" s="7">
        <v>19.05</v>
      </c>
      <c r="N1071" s="7">
        <v>88.9</v>
      </c>
      <c r="O1071" s="7">
        <f t="shared" si="87"/>
        <v>132</v>
      </c>
      <c r="P1071" s="7">
        <f t="shared" si="88"/>
        <v>0.75000000000000011</v>
      </c>
      <c r="Q1071" s="7">
        <f t="shared" si="88"/>
        <v>3.5000000000000004</v>
      </c>
      <c r="R1071" s="6">
        <f t="shared" si="89"/>
        <v>1937.2619999999999</v>
      </c>
      <c r="S1071" s="6">
        <f t="shared" si="90"/>
        <v>5.6781176760000007E-3</v>
      </c>
      <c r="T1071" t="str">
        <f t="shared" si="86"/>
        <v>Ipe S4S E4E 1x4 Long</v>
      </c>
    </row>
    <row r="1072" spans="1:20" x14ac:dyDescent="0.25">
      <c r="A1072" t="s">
        <v>1351</v>
      </c>
      <c r="B1072" t="s">
        <v>1447</v>
      </c>
      <c r="C1072" t="s">
        <v>283</v>
      </c>
      <c r="D1072" t="s">
        <v>438</v>
      </c>
      <c r="E1072" t="s">
        <v>117</v>
      </c>
      <c r="F1072" t="s">
        <v>1448</v>
      </c>
      <c r="G1072" t="s">
        <v>1351</v>
      </c>
      <c r="H1072" t="s">
        <v>373</v>
      </c>
      <c r="I1072" t="s">
        <v>289</v>
      </c>
      <c r="J1072" t="s">
        <v>613</v>
      </c>
      <c r="K1072">
        <v>12</v>
      </c>
      <c r="L1072" s="6">
        <v>3.6576</v>
      </c>
      <c r="M1072" s="7">
        <v>19.05</v>
      </c>
      <c r="N1072" s="7">
        <v>88.9</v>
      </c>
      <c r="O1072" s="7">
        <f t="shared" si="87"/>
        <v>144</v>
      </c>
      <c r="P1072" s="7">
        <f t="shared" si="88"/>
        <v>0.75000000000000011</v>
      </c>
      <c r="Q1072" s="7">
        <f t="shared" si="88"/>
        <v>3.5000000000000004</v>
      </c>
      <c r="R1072" s="6">
        <f t="shared" si="89"/>
        <v>1937.2619999999999</v>
      </c>
      <c r="S1072" s="6">
        <f t="shared" si="90"/>
        <v>6.1943101919999998E-3</v>
      </c>
      <c r="T1072" t="str">
        <f t="shared" si="86"/>
        <v>Ipe S4S E4E 1x4 Long</v>
      </c>
    </row>
    <row r="1073" spans="1:20" x14ac:dyDescent="0.25">
      <c r="A1073" t="s">
        <v>1351</v>
      </c>
      <c r="B1073" t="s">
        <v>1447</v>
      </c>
      <c r="C1073" t="s">
        <v>283</v>
      </c>
      <c r="D1073" t="s">
        <v>438</v>
      </c>
      <c r="E1073" t="s">
        <v>1450</v>
      </c>
      <c r="F1073" t="s">
        <v>1448</v>
      </c>
      <c r="G1073" t="s">
        <v>1351</v>
      </c>
      <c r="H1073" t="s">
        <v>373</v>
      </c>
      <c r="I1073" t="s">
        <v>289</v>
      </c>
      <c r="J1073" t="s">
        <v>613</v>
      </c>
      <c r="K1073">
        <v>13</v>
      </c>
      <c r="L1073" s="6">
        <v>3.9624000000000001</v>
      </c>
      <c r="M1073" s="7">
        <v>19.05</v>
      </c>
      <c r="N1073" s="7">
        <v>88.9</v>
      </c>
      <c r="O1073" s="7">
        <f t="shared" si="87"/>
        <v>156</v>
      </c>
      <c r="P1073" s="7">
        <f t="shared" si="88"/>
        <v>0.75000000000000011</v>
      </c>
      <c r="Q1073" s="7">
        <f t="shared" si="88"/>
        <v>3.5000000000000004</v>
      </c>
      <c r="R1073" s="6">
        <f t="shared" si="89"/>
        <v>1937.2619999999999</v>
      </c>
      <c r="S1073" s="6">
        <f t="shared" si="90"/>
        <v>6.7105027080000008E-3</v>
      </c>
      <c r="T1073" t="str">
        <f t="shared" si="86"/>
        <v>Ipe S4S E4E 1x4 Long</v>
      </c>
    </row>
    <row r="1074" spans="1:20" x14ac:dyDescent="0.25">
      <c r="A1074" t="s">
        <v>1351</v>
      </c>
      <c r="B1074" t="s">
        <v>1447</v>
      </c>
      <c r="C1074" t="s">
        <v>283</v>
      </c>
      <c r="D1074" t="s">
        <v>438</v>
      </c>
      <c r="E1074" t="s">
        <v>1451</v>
      </c>
      <c r="F1074" t="s">
        <v>1448</v>
      </c>
      <c r="G1074" t="s">
        <v>1351</v>
      </c>
      <c r="H1074" t="s">
        <v>373</v>
      </c>
      <c r="I1074" t="s">
        <v>289</v>
      </c>
      <c r="J1074" t="s">
        <v>613</v>
      </c>
      <c r="K1074">
        <v>14</v>
      </c>
      <c r="L1074" s="6">
        <v>4.2671999999999999</v>
      </c>
      <c r="M1074" s="7">
        <v>19.05</v>
      </c>
      <c r="N1074" s="7">
        <v>88.9</v>
      </c>
      <c r="O1074" s="7">
        <f t="shared" si="87"/>
        <v>168</v>
      </c>
      <c r="P1074" s="7">
        <f t="shared" si="88"/>
        <v>0.75000000000000011</v>
      </c>
      <c r="Q1074" s="7">
        <f t="shared" si="88"/>
        <v>3.5000000000000004</v>
      </c>
      <c r="R1074" s="6">
        <f t="shared" si="89"/>
        <v>1937.2619999999999</v>
      </c>
      <c r="S1074" s="6">
        <f t="shared" si="90"/>
        <v>7.226695224E-3</v>
      </c>
      <c r="T1074" t="str">
        <f t="shared" si="86"/>
        <v>Ipe S4S E4E 1x4 Long</v>
      </c>
    </row>
    <row r="1075" spans="1:20" x14ac:dyDescent="0.25">
      <c r="A1075" t="s">
        <v>1351</v>
      </c>
      <c r="B1075" t="s">
        <v>1447</v>
      </c>
      <c r="C1075" t="s">
        <v>283</v>
      </c>
      <c r="D1075" t="s">
        <v>438</v>
      </c>
      <c r="E1075" t="s">
        <v>1452</v>
      </c>
      <c r="F1075" t="s">
        <v>1448</v>
      </c>
      <c r="G1075" t="s">
        <v>1351</v>
      </c>
      <c r="H1075" t="s">
        <v>373</v>
      </c>
      <c r="I1075" t="s">
        <v>289</v>
      </c>
      <c r="J1075" t="s">
        <v>613</v>
      </c>
      <c r="K1075">
        <v>15</v>
      </c>
      <c r="L1075" s="6">
        <v>4.5720000000000001</v>
      </c>
      <c r="M1075" s="7">
        <v>19.05</v>
      </c>
      <c r="N1075" s="7">
        <v>88.9</v>
      </c>
      <c r="O1075" s="7">
        <f t="shared" si="87"/>
        <v>180</v>
      </c>
      <c r="P1075" s="7">
        <f t="shared" si="88"/>
        <v>0.75000000000000011</v>
      </c>
      <c r="Q1075" s="7">
        <f t="shared" si="88"/>
        <v>3.5000000000000004</v>
      </c>
      <c r="R1075" s="6">
        <f t="shared" si="89"/>
        <v>1937.2619999999999</v>
      </c>
      <c r="S1075" s="6">
        <f t="shared" si="90"/>
        <v>7.7428877400000018E-3</v>
      </c>
      <c r="T1075" t="str">
        <f t="shared" si="86"/>
        <v>Ipe S4S E4E 1x4 Long</v>
      </c>
    </row>
    <row r="1076" spans="1:20" x14ac:dyDescent="0.25">
      <c r="A1076" t="s">
        <v>1351</v>
      </c>
      <c r="B1076" t="s">
        <v>1447</v>
      </c>
      <c r="C1076" t="s">
        <v>283</v>
      </c>
      <c r="D1076" t="s">
        <v>438</v>
      </c>
      <c r="E1076" t="s">
        <v>1453</v>
      </c>
      <c r="F1076" t="s">
        <v>1448</v>
      </c>
      <c r="G1076" t="s">
        <v>1351</v>
      </c>
      <c r="H1076" t="s">
        <v>373</v>
      </c>
      <c r="I1076" t="s">
        <v>289</v>
      </c>
      <c r="J1076" t="s">
        <v>613</v>
      </c>
      <c r="K1076">
        <v>16</v>
      </c>
      <c r="L1076" s="6">
        <v>4.8768000000000002</v>
      </c>
      <c r="M1076" s="7">
        <v>19.05</v>
      </c>
      <c r="N1076" s="7">
        <v>88.9</v>
      </c>
      <c r="O1076" s="7">
        <f t="shared" si="87"/>
        <v>192.00000000000003</v>
      </c>
      <c r="P1076" s="7">
        <f t="shared" si="88"/>
        <v>0.75000000000000011</v>
      </c>
      <c r="Q1076" s="7">
        <f t="shared" si="88"/>
        <v>3.5000000000000004</v>
      </c>
      <c r="R1076" s="6">
        <f t="shared" si="89"/>
        <v>1937.2619999999999</v>
      </c>
      <c r="S1076" s="6">
        <f t="shared" si="90"/>
        <v>8.259080256000001E-3</v>
      </c>
      <c r="T1076" t="str">
        <f t="shared" si="86"/>
        <v>Ipe S4S E4E 1x4 Long</v>
      </c>
    </row>
    <row r="1077" spans="1:20" x14ac:dyDescent="0.25">
      <c r="A1077" t="s">
        <v>1351</v>
      </c>
      <c r="B1077" t="s">
        <v>1447</v>
      </c>
      <c r="C1077" t="s">
        <v>283</v>
      </c>
      <c r="D1077" t="s">
        <v>438</v>
      </c>
      <c r="E1077" t="s">
        <v>1454</v>
      </c>
      <c r="F1077" t="s">
        <v>1448</v>
      </c>
      <c r="G1077" t="s">
        <v>1351</v>
      </c>
      <c r="H1077" t="s">
        <v>373</v>
      </c>
      <c r="I1077" t="s">
        <v>289</v>
      </c>
      <c r="J1077" t="s">
        <v>613</v>
      </c>
      <c r="K1077">
        <v>17</v>
      </c>
      <c r="L1077" s="6">
        <v>5.1816000000000004</v>
      </c>
      <c r="M1077" s="7">
        <v>19.05</v>
      </c>
      <c r="N1077" s="7">
        <v>88.9</v>
      </c>
      <c r="O1077" s="7">
        <f t="shared" si="87"/>
        <v>204.00000000000003</v>
      </c>
      <c r="P1077" s="7">
        <f t="shared" si="88"/>
        <v>0.75000000000000011</v>
      </c>
      <c r="Q1077" s="7">
        <f t="shared" si="88"/>
        <v>3.5000000000000004</v>
      </c>
      <c r="R1077" s="6">
        <f t="shared" si="89"/>
        <v>1937.2619999999999</v>
      </c>
      <c r="S1077" s="6">
        <f t="shared" si="90"/>
        <v>8.7752727720000027E-3</v>
      </c>
      <c r="T1077" t="str">
        <f t="shared" si="86"/>
        <v>Ipe S4S E4E 1x4 Long</v>
      </c>
    </row>
    <row r="1078" spans="1:20" x14ac:dyDescent="0.25">
      <c r="A1078" t="s">
        <v>1351</v>
      </c>
      <c r="B1078" t="s">
        <v>1447</v>
      </c>
      <c r="C1078" t="s">
        <v>283</v>
      </c>
      <c r="D1078" t="s">
        <v>438</v>
      </c>
      <c r="E1078" t="s">
        <v>118</v>
      </c>
      <c r="F1078" t="s">
        <v>1448</v>
      </c>
      <c r="G1078" t="s">
        <v>1351</v>
      </c>
      <c r="H1078" t="s">
        <v>373</v>
      </c>
      <c r="I1078" t="s">
        <v>289</v>
      </c>
      <c r="J1078" t="s">
        <v>613</v>
      </c>
      <c r="K1078">
        <v>18</v>
      </c>
      <c r="L1078" s="6">
        <v>5.4863999999999997</v>
      </c>
      <c r="M1078" s="7">
        <v>19.05</v>
      </c>
      <c r="N1078" s="7">
        <v>88.9</v>
      </c>
      <c r="O1078" s="7">
        <f t="shared" si="87"/>
        <v>216</v>
      </c>
      <c r="P1078" s="7">
        <f t="shared" si="88"/>
        <v>0.75000000000000011</v>
      </c>
      <c r="Q1078" s="7">
        <f t="shared" si="88"/>
        <v>3.5000000000000004</v>
      </c>
      <c r="R1078" s="6">
        <f t="shared" si="89"/>
        <v>1937.2619999999999</v>
      </c>
      <c r="S1078" s="6">
        <f t="shared" si="90"/>
        <v>9.2914652880000011E-3</v>
      </c>
      <c r="T1078" t="str">
        <f t="shared" si="86"/>
        <v>Ipe S4S E4E 1x4 Long</v>
      </c>
    </row>
    <row r="1079" spans="1:20" x14ac:dyDescent="0.25">
      <c r="A1079" t="s">
        <v>1351</v>
      </c>
      <c r="B1079" t="s">
        <v>1447</v>
      </c>
      <c r="C1079" t="s">
        <v>283</v>
      </c>
      <c r="D1079" t="s">
        <v>438</v>
      </c>
      <c r="E1079" t="s">
        <v>1455</v>
      </c>
      <c r="F1079" t="s">
        <v>1448</v>
      </c>
      <c r="G1079" t="s">
        <v>1351</v>
      </c>
      <c r="H1079" t="s">
        <v>373</v>
      </c>
      <c r="I1079" t="s">
        <v>289</v>
      </c>
      <c r="J1079" t="s">
        <v>613</v>
      </c>
      <c r="K1079">
        <v>19</v>
      </c>
      <c r="L1079" s="6">
        <v>5.7911999999999999</v>
      </c>
      <c r="M1079" s="7">
        <v>19.05</v>
      </c>
      <c r="N1079" s="7">
        <v>88.9</v>
      </c>
      <c r="O1079" s="7">
        <f t="shared" si="87"/>
        <v>228</v>
      </c>
      <c r="P1079" s="7">
        <f t="shared" si="88"/>
        <v>0.75000000000000011</v>
      </c>
      <c r="Q1079" s="7">
        <f t="shared" si="88"/>
        <v>3.5000000000000004</v>
      </c>
      <c r="R1079" s="6">
        <f t="shared" si="89"/>
        <v>1937.2619999999999</v>
      </c>
      <c r="S1079" s="6">
        <f t="shared" si="90"/>
        <v>9.8076578040000011E-3</v>
      </c>
      <c r="T1079" t="str">
        <f t="shared" si="86"/>
        <v>Ipe S4S E4E 1x4 Long</v>
      </c>
    </row>
    <row r="1080" spans="1:20" x14ac:dyDescent="0.25">
      <c r="A1080" t="s">
        <v>1351</v>
      </c>
      <c r="B1080" t="s">
        <v>1447</v>
      </c>
      <c r="C1080" t="s">
        <v>283</v>
      </c>
      <c r="D1080" t="s">
        <v>438</v>
      </c>
      <c r="E1080" t="s">
        <v>1456</v>
      </c>
      <c r="F1080" t="s">
        <v>1448</v>
      </c>
      <c r="G1080" t="s">
        <v>1351</v>
      </c>
      <c r="H1080" t="s">
        <v>373</v>
      </c>
      <c r="I1080" t="s">
        <v>289</v>
      </c>
      <c r="J1080" t="s">
        <v>613</v>
      </c>
      <c r="K1080">
        <v>20</v>
      </c>
      <c r="L1080" s="6">
        <v>6.0960000000000001</v>
      </c>
      <c r="M1080" s="7">
        <v>19.05</v>
      </c>
      <c r="N1080" s="7">
        <v>88.9</v>
      </c>
      <c r="O1080" s="7">
        <f t="shared" si="87"/>
        <v>240</v>
      </c>
      <c r="P1080" s="7">
        <f t="shared" si="88"/>
        <v>0.75000000000000011</v>
      </c>
      <c r="Q1080" s="7">
        <f t="shared" si="88"/>
        <v>3.5000000000000004</v>
      </c>
      <c r="R1080" s="6">
        <f t="shared" si="89"/>
        <v>1937.2619999999999</v>
      </c>
      <c r="S1080" s="6">
        <f t="shared" si="90"/>
        <v>1.0323850320000001E-2</v>
      </c>
      <c r="T1080" t="str">
        <f t="shared" si="86"/>
        <v>Ipe S4S E4E 1x4 Long</v>
      </c>
    </row>
    <row r="1081" spans="1:20" x14ac:dyDescent="0.25">
      <c r="A1081" t="s">
        <v>1351</v>
      </c>
      <c r="B1081" t="s">
        <v>1447</v>
      </c>
      <c r="C1081" t="s">
        <v>283</v>
      </c>
      <c r="D1081" t="s">
        <v>438</v>
      </c>
      <c r="E1081" t="s">
        <v>1457</v>
      </c>
      <c r="F1081" t="s">
        <v>1448</v>
      </c>
      <c r="G1081" t="s">
        <v>1351</v>
      </c>
      <c r="H1081" t="s">
        <v>373</v>
      </c>
      <c r="I1081" t="s">
        <v>289</v>
      </c>
      <c r="J1081" t="s">
        <v>613</v>
      </c>
      <c r="K1081">
        <v>21</v>
      </c>
      <c r="L1081" s="6">
        <v>6.4008000000000003</v>
      </c>
      <c r="M1081" s="7">
        <v>19.05</v>
      </c>
      <c r="N1081" s="7">
        <v>88.9</v>
      </c>
      <c r="O1081" s="7">
        <f t="shared" si="87"/>
        <v>252.00000000000003</v>
      </c>
      <c r="P1081" s="7">
        <f t="shared" si="88"/>
        <v>0.75000000000000011</v>
      </c>
      <c r="Q1081" s="7">
        <f t="shared" si="88"/>
        <v>3.5000000000000004</v>
      </c>
      <c r="R1081" s="6">
        <f t="shared" si="89"/>
        <v>1937.2619999999999</v>
      </c>
      <c r="S1081" s="6">
        <f t="shared" si="90"/>
        <v>1.0840042836000001E-2</v>
      </c>
      <c r="T1081" t="str">
        <f t="shared" si="86"/>
        <v>Ipe S4S E4E 1x4 Long</v>
      </c>
    </row>
    <row r="1082" spans="1:20" x14ac:dyDescent="0.25">
      <c r="A1082" t="s">
        <v>1351</v>
      </c>
      <c r="B1082" t="s">
        <v>1447</v>
      </c>
      <c r="C1082" t="s">
        <v>283</v>
      </c>
      <c r="D1082" t="s">
        <v>438</v>
      </c>
      <c r="E1082" t="s">
        <v>1458</v>
      </c>
      <c r="F1082" t="s">
        <v>1448</v>
      </c>
      <c r="G1082" t="s">
        <v>1351</v>
      </c>
      <c r="H1082" t="s">
        <v>373</v>
      </c>
      <c r="I1082" t="s">
        <v>289</v>
      </c>
      <c r="J1082" t="s">
        <v>613</v>
      </c>
      <c r="K1082">
        <v>22</v>
      </c>
      <c r="L1082" s="6">
        <v>6.7055999999999996</v>
      </c>
      <c r="M1082" s="7">
        <v>19.05</v>
      </c>
      <c r="N1082" s="7">
        <v>88.9</v>
      </c>
      <c r="O1082" s="7">
        <f t="shared" si="87"/>
        <v>264</v>
      </c>
      <c r="P1082" s="7">
        <f t="shared" si="88"/>
        <v>0.75000000000000011</v>
      </c>
      <c r="Q1082" s="7">
        <f t="shared" si="88"/>
        <v>3.5000000000000004</v>
      </c>
      <c r="R1082" s="6">
        <f t="shared" si="89"/>
        <v>1937.2619999999999</v>
      </c>
      <c r="S1082" s="6">
        <f t="shared" si="90"/>
        <v>1.1356235352000001E-2</v>
      </c>
      <c r="T1082" t="str">
        <f t="shared" si="86"/>
        <v>Ipe S4S E4E 1x4 Long</v>
      </c>
    </row>
    <row r="1083" spans="1:20" x14ac:dyDescent="0.25">
      <c r="A1083" t="s">
        <v>1351</v>
      </c>
      <c r="B1083" t="s">
        <v>1447</v>
      </c>
      <c r="C1083" t="s">
        <v>524</v>
      </c>
      <c r="D1083" t="s">
        <v>438</v>
      </c>
      <c r="E1083" t="s">
        <v>1459</v>
      </c>
      <c r="F1083" t="s">
        <v>1448</v>
      </c>
      <c r="G1083" t="s">
        <v>1351</v>
      </c>
      <c r="H1083" t="s">
        <v>373</v>
      </c>
      <c r="I1083" t="s">
        <v>289</v>
      </c>
      <c r="J1083" t="s">
        <v>613</v>
      </c>
      <c r="K1083">
        <v>3</v>
      </c>
      <c r="L1083" s="6">
        <v>0.91439999999999999</v>
      </c>
      <c r="M1083" s="7">
        <v>19.05</v>
      </c>
      <c r="N1083" s="7">
        <v>88.9</v>
      </c>
      <c r="O1083" s="7">
        <f t="shared" si="87"/>
        <v>36</v>
      </c>
      <c r="P1083" s="7">
        <f t="shared" si="88"/>
        <v>0.75000000000000011</v>
      </c>
      <c r="Q1083" s="7">
        <f t="shared" si="88"/>
        <v>3.5000000000000004</v>
      </c>
      <c r="R1083" s="6">
        <f t="shared" si="89"/>
        <v>1937.2619999999999</v>
      </c>
      <c r="S1083" s="6">
        <f t="shared" si="90"/>
        <v>1.548577548E-3</v>
      </c>
      <c r="T1083" t="str">
        <f t="shared" si="86"/>
        <v>Ipe S4S E4E 1x4 Short</v>
      </c>
    </row>
    <row r="1084" spans="1:20" x14ac:dyDescent="0.25">
      <c r="A1084" t="s">
        <v>1351</v>
      </c>
      <c r="B1084" t="s">
        <v>1447</v>
      </c>
      <c r="C1084" t="s">
        <v>524</v>
      </c>
      <c r="D1084" t="s">
        <v>438</v>
      </c>
      <c r="E1084" t="s">
        <v>1460</v>
      </c>
      <c r="F1084" t="s">
        <v>1448</v>
      </c>
      <c r="G1084" t="s">
        <v>1351</v>
      </c>
      <c r="H1084" t="s">
        <v>373</v>
      </c>
      <c r="I1084" t="s">
        <v>289</v>
      </c>
      <c r="J1084" t="s">
        <v>613</v>
      </c>
      <c r="K1084">
        <v>4</v>
      </c>
      <c r="L1084" s="6">
        <v>1.2192000000000001</v>
      </c>
      <c r="M1084" s="7">
        <v>19.05</v>
      </c>
      <c r="N1084" s="7">
        <v>88.9</v>
      </c>
      <c r="O1084" s="7">
        <f t="shared" si="87"/>
        <v>48.000000000000007</v>
      </c>
      <c r="P1084" s="7">
        <f t="shared" si="88"/>
        <v>0.75000000000000011</v>
      </c>
      <c r="Q1084" s="7">
        <f t="shared" si="88"/>
        <v>3.5000000000000004</v>
      </c>
      <c r="R1084" s="6">
        <f t="shared" si="89"/>
        <v>1937.2619999999999</v>
      </c>
      <c r="S1084" s="6">
        <f t="shared" si="90"/>
        <v>2.0647700640000002E-3</v>
      </c>
      <c r="T1084" t="str">
        <f t="shared" si="86"/>
        <v>Ipe S4S E4E 1x4 Short</v>
      </c>
    </row>
    <row r="1085" spans="1:20" x14ac:dyDescent="0.25">
      <c r="A1085" t="s">
        <v>1351</v>
      </c>
      <c r="B1085" t="s">
        <v>1447</v>
      </c>
      <c r="C1085" t="s">
        <v>524</v>
      </c>
      <c r="D1085" t="s">
        <v>438</v>
      </c>
      <c r="E1085" t="s">
        <v>1461</v>
      </c>
      <c r="F1085" t="s">
        <v>1448</v>
      </c>
      <c r="G1085" t="s">
        <v>1351</v>
      </c>
      <c r="H1085" t="s">
        <v>373</v>
      </c>
      <c r="I1085" t="s">
        <v>289</v>
      </c>
      <c r="J1085" t="s">
        <v>613</v>
      </c>
      <c r="K1085">
        <v>5</v>
      </c>
      <c r="L1085" s="6">
        <v>1.524</v>
      </c>
      <c r="M1085" s="7">
        <v>19.05</v>
      </c>
      <c r="N1085" s="7">
        <v>88.9</v>
      </c>
      <c r="O1085" s="7">
        <f t="shared" si="87"/>
        <v>60</v>
      </c>
      <c r="P1085" s="7">
        <f t="shared" si="88"/>
        <v>0.75000000000000011</v>
      </c>
      <c r="Q1085" s="7">
        <f t="shared" si="88"/>
        <v>3.5000000000000004</v>
      </c>
      <c r="R1085" s="6">
        <f t="shared" si="89"/>
        <v>1937.2619999999999</v>
      </c>
      <c r="S1085" s="6">
        <f t="shared" si="90"/>
        <v>2.5809625800000003E-3</v>
      </c>
      <c r="T1085" t="str">
        <f t="shared" si="86"/>
        <v>Ipe S4S E4E 1x4 Short</v>
      </c>
    </row>
    <row r="1086" spans="1:20" x14ac:dyDescent="0.25">
      <c r="A1086" t="s">
        <v>1351</v>
      </c>
      <c r="B1086" t="s">
        <v>1447</v>
      </c>
      <c r="C1086" t="s">
        <v>524</v>
      </c>
      <c r="D1086" t="s">
        <v>438</v>
      </c>
      <c r="E1086" t="s">
        <v>1462</v>
      </c>
      <c r="F1086" t="s">
        <v>1448</v>
      </c>
      <c r="G1086" t="s">
        <v>1351</v>
      </c>
      <c r="H1086" t="s">
        <v>373</v>
      </c>
      <c r="I1086" t="s">
        <v>289</v>
      </c>
      <c r="J1086" t="s">
        <v>613</v>
      </c>
      <c r="K1086">
        <v>6</v>
      </c>
      <c r="L1086" s="6">
        <v>1.8288</v>
      </c>
      <c r="M1086" s="7">
        <v>19.05</v>
      </c>
      <c r="N1086" s="7">
        <v>88.9</v>
      </c>
      <c r="O1086" s="7">
        <f t="shared" si="87"/>
        <v>72</v>
      </c>
      <c r="P1086" s="7">
        <f t="shared" si="88"/>
        <v>0.75000000000000011</v>
      </c>
      <c r="Q1086" s="7">
        <f t="shared" si="88"/>
        <v>3.5000000000000004</v>
      </c>
      <c r="R1086" s="6">
        <f t="shared" si="89"/>
        <v>1937.2619999999999</v>
      </c>
      <c r="S1086" s="6">
        <f t="shared" si="90"/>
        <v>3.0971550959999999E-3</v>
      </c>
      <c r="T1086" t="str">
        <f t="shared" si="86"/>
        <v>Ipe S4S E4E 1x4 Short</v>
      </c>
    </row>
    <row r="1087" spans="1:20" x14ac:dyDescent="0.25">
      <c r="A1087" t="s">
        <v>1351</v>
      </c>
      <c r="B1087" t="s">
        <v>1447</v>
      </c>
      <c r="C1087" t="s">
        <v>524</v>
      </c>
      <c r="D1087" t="s">
        <v>438</v>
      </c>
      <c r="E1087" t="s">
        <v>1463</v>
      </c>
      <c r="F1087" t="s">
        <v>1448</v>
      </c>
      <c r="G1087" t="s">
        <v>1351</v>
      </c>
      <c r="H1087" t="s">
        <v>373</v>
      </c>
      <c r="I1087" t="s">
        <v>289</v>
      </c>
      <c r="J1087" t="s">
        <v>613</v>
      </c>
      <c r="K1087">
        <v>7</v>
      </c>
      <c r="L1087" s="6">
        <v>2.1335999999999999</v>
      </c>
      <c r="M1087" s="7">
        <v>19.05</v>
      </c>
      <c r="N1087" s="7">
        <v>88.9</v>
      </c>
      <c r="O1087" s="7">
        <f t="shared" si="87"/>
        <v>84</v>
      </c>
      <c r="P1087" s="7">
        <f t="shared" si="88"/>
        <v>0.75000000000000011</v>
      </c>
      <c r="Q1087" s="7">
        <f t="shared" si="88"/>
        <v>3.5000000000000004</v>
      </c>
      <c r="R1087" s="6">
        <f t="shared" si="89"/>
        <v>1937.2619999999999</v>
      </c>
      <c r="S1087" s="6">
        <f t="shared" si="90"/>
        <v>3.613347612E-3</v>
      </c>
      <c r="T1087" t="str">
        <f t="shared" si="86"/>
        <v>Ipe S4S E4E 1x4 Short</v>
      </c>
    </row>
    <row r="1088" spans="1:20" x14ac:dyDescent="0.25">
      <c r="A1088" t="s">
        <v>1351</v>
      </c>
      <c r="B1088" t="s">
        <v>1447</v>
      </c>
      <c r="C1088" t="s">
        <v>283</v>
      </c>
      <c r="D1088" t="s">
        <v>438</v>
      </c>
      <c r="E1088" t="s">
        <v>1464</v>
      </c>
      <c r="F1088" t="s">
        <v>1448</v>
      </c>
      <c r="G1088" t="s">
        <v>1351</v>
      </c>
      <c r="H1088" t="s">
        <v>373</v>
      </c>
      <c r="I1088" t="s">
        <v>289</v>
      </c>
      <c r="J1088" t="s">
        <v>613</v>
      </c>
      <c r="K1088">
        <v>8</v>
      </c>
      <c r="L1088" s="6">
        <v>2.4384000000000001</v>
      </c>
      <c r="M1088" s="7">
        <v>19.05</v>
      </c>
      <c r="N1088" s="7">
        <v>88.9</v>
      </c>
      <c r="O1088" s="7">
        <f t="shared" si="87"/>
        <v>96.000000000000014</v>
      </c>
      <c r="P1088" s="7">
        <f t="shared" si="88"/>
        <v>0.75000000000000011</v>
      </c>
      <c r="Q1088" s="7">
        <f t="shared" si="88"/>
        <v>3.5000000000000004</v>
      </c>
      <c r="R1088" s="6">
        <f t="shared" si="89"/>
        <v>1937.2619999999999</v>
      </c>
      <c r="S1088" s="6">
        <f t="shared" si="90"/>
        <v>4.1295401280000005E-3</v>
      </c>
      <c r="T1088" t="str">
        <f t="shared" si="86"/>
        <v>Ipe S4S E4E 1x4 Long</v>
      </c>
    </row>
    <row r="1089" spans="1:20" x14ac:dyDescent="0.25">
      <c r="A1089" t="s">
        <v>1351</v>
      </c>
      <c r="B1089" t="s">
        <v>1447</v>
      </c>
      <c r="C1089" t="s">
        <v>283</v>
      </c>
      <c r="D1089" t="s">
        <v>438</v>
      </c>
      <c r="E1089" t="s">
        <v>1465</v>
      </c>
      <c r="F1089" t="s">
        <v>1448</v>
      </c>
      <c r="G1089" t="s">
        <v>1351</v>
      </c>
      <c r="H1089" t="s">
        <v>373</v>
      </c>
      <c r="I1089" t="s">
        <v>289</v>
      </c>
      <c r="J1089" t="s">
        <v>613</v>
      </c>
      <c r="K1089">
        <v>9</v>
      </c>
      <c r="L1089" s="6">
        <v>2.7431999999999999</v>
      </c>
      <c r="M1089" s="7">
        <v>19.05</v>
      </c>
      <c r="N1089" s="7">
        <v>88.9</v>
      </c>
      <c r="O1089" s="7">
        <f t="shared" si="87"/>
        <v>108</v>
      </c>
      <c r="P1089" s="7">
        <f t="shared" si="88"/>
        <v>0.75000000000000011</v>
      </c>
      <c r="Q1089" s="7">
        <f t="shared" si="88"/>
        <v>3.5000000000000004</v>
      </c>
      <c r="R1089" s="6">
        <f t="shared" si="89"/>
        <v>1937.2619999999999</v>
      </c>
      <c r="S1089" s="6">
        <f t="shared" si="90"/>
        <v>4.6457326440000005E-3</v>
      </c>
      <c r="T1089" t="str">
        <f t="shared" si="86"/>
        <v>Ipe S4S E4E 1x4 Long</v>
      </c>
    </row>
    <row r="1090" spans="1:20" x14ac:dyDescent="0.25">
      <c r="A1090" t="s">
        <v>1351</v>
      </c>
      <c r="B1090" t="s">
        <v>1466</v>
      </c>
      <c r="C1090" t="s">
        <v>283</v>
      </c>
      <c r="D1090" t="s">
        <v>438</v>
      </c>
      <c r="E1090" t="s">
        <v>1467</v>
      </c>
      <c r="F1090" t="s">
        <v>1468</v>
      </c>
      <c r="G1090" t="s">
        <v>1351</v>
      </c>
      <c r="H1090" t="s">
        <v>373</v>
      </c>
      <c r="I1090" t="s">
        <v>289</v>
      </c>
      <c r="J1090" t="s">
        <v>637</v>
      </c>
      <c r="K1090">
        <v>10</v>
      </c>
      <c r="L1090" s="6">
        <v>3.048</v>
      </c>
      <c r="M1090" s="7">
        <v>21</v>
      </c>
      <c r="N1090" s="7">
        <v>145</v>
      </c>
      <c r="O1090" s="7">
        <f t="shared" si="87"/>
        <v>120</v>
      </c>
      <c r="P1090" s="7">
        <f t="shared" si="88"/>
        <v>0.82677165354330717</v>
      </c>
      <c r="Q1090" s="7">
        <f t="shared" si="88"/>
        <v>5.7086614173228352</v>
      </c>
      <c r="R1090" s="6">
        <f t="shared" si="89"/>
        <v>1077.452</v>
      </c>
      <c r="S1090" s="6">
        <f t="shared" si="90"/>
        <v>9.2811600000000001E-3</v>
      </c>
      <c r="T1090" t="str">
        <f t="shared" ref="T1090:T1153" si="91">F1090&amp;" "&amp;C1090</f>
        <v>Ipe S4S E4E 1x6 Plus Long</v>
      </c>
    </row>
    <row r="1091" spans="1:20" x14ac:dyDescent="0.25">
      <c r="A1091" t="s">
        <v>1351</v>
      </c>
      <c r="B1091" t="s">
        <v>1466</v>
      </c>
      <c r="C1091" t="s">
        <v>283</v>
      </c>
      <c r="D1091" t="s">
        <v>438</v>
      </c>
      <c r="E1091" t="s">
        <v>1469</v>
      </c>
      <c r="F1091" t="s">
        <v>1468</v>
      </c>
      <c r="G1091" t="s">
        <v>1351</v>
      </c>
      <c r="H1091" t="s">
        <v>373</v>
      </c>
      <c r="I1091" t="s">
        <v>289</v>
      </c>
      <c r="J1091" t="s">
        <v>637</v>
      </c>
      <c r="K1091">
        <v>11</v>
      </c>
      <c r="L1091" s="6">
        <v>3.3528000000000002</v>
      </c>
      <c r="M1091" s="7">
        <v>21</v>
      </c>
      <c r="N1091" s="7">
        <v>145</v>
      </c>
      <c r="O1091" s="7">
        <f t="shared" si="87"/>
        <v>132</v>
      </c>
      <c r="P1091" s="7">
        <f t="shared" si="88"/>
        <v>0.82677165354330717</v>
      </c>
      <c r="Q1091" s="7">
        <f t="shared" si="88"/>
        <v>5.7086614173228352</v>
      </c>
      <c r="R1091" s="6">
        <f t="shared" si="89"/>
        <v>1077.452</v>
      </c>
      <c r="S1091" s="6">
        <f t="shared" si="90"/>
        <v>1.0209276E-2</v>
      </c>
      <c r="T1091" t="str">
        <f t="shared" si="91"/>
        <v>Ipe S4S E4E 1x6 Plus Long</v>
      </c>
    </row>
    <row r="1092" spans="1:20" x14ac:dyDescent="0.25">
      <c r="A1092" t="s">
        <v>1351</v>
      </c>
      <c r="B1092" t="s">
        <v>1466</v>
      </c>
      <c r="C1092" t="s">
        <v>283</v>
      </c>
      <c r="D1092" t="s">
        <v>438</v>
      </c>
      <c r="E1092" t="s">
        <v>1470</v>
      </c>
      <c r="F1092" t="s">
        <v>1468</v>
      </c>
      <c r="G1092" t="s">
        <v>1351</v>
      </c>
      <c r="H1092" t="s">
        <v>373</v>
      </c>
      <c r="I1092" t="s">
        <v>289</v>
      </c>
      <c r="J1092" t="s">
        <v>637</v>
      </c>
      <c r="K1092">
        <v>12</v>
      </c>
      <c r="L1092" s="6">
        <v>3.6576000000000004</v>
      </c>
      <c r="M1092" s="7">
        <v>21</v>
      </c>
      <c r="N1092" s="7">
        <v>145</v>
      </c>
      <c r="O1092" s="7">
        <f t="shared" si="87"/>
        <v>144.00000000000003</v>
      </c>
      <c r="P1092" s="7">
        <f t="shared" si="88"/>
        <v>0.82677165354330717</v>
      </c>
      <c r="Q1092" s="7">
        <f t="shared" si="88"/>
        <v>5.7086614173228352</v>
      </c>
      <c r="R1092" s="6">
        <f t="shared" si="89"/>
        <v>1077.452</v>
      </c>
      <c r="S1092" s="6">
        <f t="shared" si="90"/>
        <v>1.1137391999999999E-2</v>
      </c>
      <c r="T1092" t="str">
        <f t="shared" si="91"/>
        <v>Ipe S4S E4E 1x6 Plus Long</v>
      </c>
    </row>
    <row r="1093" spans="1:20" x14ac:dyDescent="0.25">
      <c r="A1093" t="s">
        <v>1351</v>
      </c>
      <c r="B1093" t="s">
        <v>1466</v>
      </c>
      <c r="C1093" t="s">
        <v>283</v>
      </c>
      <c r="D1093" t="s">
        <v>438</v>
      </c>
      <c r="E1093" t="s">
        <v>1471</v>
      </c>
      <c r="F1093" t="s">
        <v>1468</v>
      </c>
      <c r="G1093" t="s">
        <v>1351</v>
      </c>
      <c r="H1093" t="s">
        <v>373</v>
      </c>
      <c r="I1093" t="s">
        <v>289</v>
      </c>
      <c r="J1093" t="s">
        <v>637</v>
      </c>
      <c r="K1093">
        <v>13</v>
      </c>
      <c r="L1093" s="6">
        <v>3.9624000000000001</v>
      </c>
      <c r="M1093" s="7">
        <v>21</v>
      </c>
      <c r="N1093" s="7">
        <v>145</v>
      </c>
      <c r="O1093" s="7">
        <f t="shared" si="87"/>
        <v>156</v>
      </c>
      <c r="P1093" s="7">
        <f t="shared" si="88"/>
        <v>0.82677165354330717</v>
      </c>
      <c r="Q1093" s="7">
        <f t="shared" si="88"/>
        <v>5.7086614173228352</v>
      </c>
      <c r="R1093" s="6">
        <f t="shared" si="89"/>
        <v>1077.452</v>
      </c>
      <c r="S1093" s="6">
        <f t="shared" si="90"/>
        <v>1.2065508000000001E-2</v>
      </c>
      <c r="T1093" t="str">
        <f t="shared" si="91"/>
        <v>Ipe S4S E4E 1x6 Plus Long</v>
      </c>
    </row>
    <row r="1094" spans="1:20" x14ac:dyDescent="0.25">
      <c r="A1094" t="s">
        <v>1351</v>
      </c>
      <c r="B1094" t="s">
        <v>1466</v>
      </c>
      <c r="C1094" t="s">
        <v>283</v>
      </c>
      <c r="D1094" t="s">
        <v>438</v>
      </c>
      <c r="E1094" t="s">
        <v>1472</v>
      </c>
      <c r="F1094" t="s">
        <v>1468</v>
      </c>
      <c r="G1094" t="s">
        <v>1351</v>
      </c>
      <c r="H1094" t="s">
        <v>373</v>
      </c>
      <c r="I1094" t="s">
        <v>289</v>
      </c>
      <c r="J1094" t="s">
        <v>637</v>
      </c>
      <c r="K1094">
        <v>14</v>
      </c>
      <c r="L1094" s="6">
        <v>4.2671999999999999</v>
      </c>
      <c r="M1094" s="7">
        <v>21</v>
      </c>
      <c r="N1094" s="7">
        <v>145</v>
      </c>
      <c r="O1094" s="7">
        <f t="shared" si="87"/>
        <v>168</v>
      </c>
      <c r="P1094" s="7">
        <f t="shared" si="88"/>
        <v>0.82677165354330717</v>
      </c>
      <c r="Q1094" s="7">
        <f t="shared" si="88"/>
        <v>5.7086614173228352</v>
      </c>
      <c r="R1094" s="6">
        <f t="shared" si="89"/>
        <v>1077.452</v>
      </c>
      <c r="S1094" s="6">
        <f t="shared" si="90"/>
        <v>1.2993624E-2</v>
      </c>
      <c r="T1094" t="str">
        <f t="shared" si="91"/>
        <v>Ipe S4S E4E 1x6 Plus Long</v>
      </c>
    </row>
    <row r="1095" spans="1:20" x14ac:dyDescent="0.25">
      <c r="A1095" t="s">
        <v>1351</v>
      </c>
      <c r="B1095" t="s">
        <v>1466</v>
      </c>
      <c r="C1095" t="s">
        <v>283</v>
      </c>
      <c r="D1095" t="s">
        <v>438</v>
      </c>
      <c r="E1095" t="s">
        <v>1473</v>
      </c>
      <c r="F1095" t="s">
        <v>1468</v>
      </c>
      <c r="G1095" t="s">
        <v>1351</v>
      </c>
      <c r="H1095" t="s">
        <v>373</v>
      </c>
      <c r="I1095" t="s">
        <v>289</v>
      </c>
      <c r="J1095" t="s">
        <v>637</v>
      </c>
      <c r="K1095">
        <v>15</v>
      </c>
      <c r="L1095" s="6">
        <v>4.5720000000000001</v>
      </c>
      <c r="M1095" s="7">
        <v>21</v>
      </c>
      <c r="N1095" s="7">
        <v>145</v>
      </c>
      <c r="O1095" s="7">
        <f t="shared" si="87"/>
        <v>180</v>
      </c>
      <c r="P1095" s="7">
        <f t="shared" si="88"/>
        <v>0.82677165354330717</v>
      </c>
      <c r="Q1095" s="7">
        <f t="shared" si="88"/>
        <v>5.7086614173228352</v>
      </c>
      <c r="R1095" s="6">
        <f t="shared" si="89"/>
        <v>1077.452</v>
      </c>
      <c r="S1095" s="6">
        <f t="shared" si="90"/>
        <v>1.392174E-2</v>
      </c>
      <c r="T1095" t="str">
        <f t="shared" si="91"/>
        <v>Ipe S4S E4E 1x6 Plus Long</v>
      </c>
    </row>
    <row r="1096" spans="1:20" x14ac:dyDescent="0.25">
      <c r="A1096" t="s">
        <v>1351</v>
      </c>
      <c r="B1096" t="s">
        <v>1466</v>
      </c>
      <c r="C1096" t="s">
        <v>283</v>
      </c>
      <c r="D1096" t="s">
        <v>438</v>
      </c>
      <c r="E1096" t="s">
        <v>1474</v>
      </c>
      <c r="F1096" t="s">
        <v>1468</v>
      </c>
      <c r="G1096" t="s">
        <v>1351</v>
      </c>
      <c r="H1096" t="s">
        <v>373</v>
      </c>
      <c r="I1096" t="s">
        <v>289</v>
      </c>
      <c r="J1096" t="s">
        <v>637</v>
      </c>
      <c r="K1096">
        <v>16</v>
      </c>
      <c r="L1096" s="6">
        <v>4.8768000000000002</v>
      </c>
      <c r="M1096" s="7">
        <v>21</v>
      </c>
      <c r="N1096" s="7">
        <v>145</v>
      </c>
      <c r="O1096" s="7">
        <f t="shared" si="87"/>
        <v>192.00000000000003</v>
      </c>
      <c r="P1096" s="7">
        <f t="shared" si="88"/>
        <v>0.82677165354330717</v>
      </c>
      <c r="Q1096" s="7">
        <f t="shared" si="88"/>
        <v>5.7086614173228352</v>
      </c>
      <c r="R1096" s="6">
        <f t="shared" si="89"/>
        <v>1077.452</v>
      </c>
      <c r="S1096" s="6">
        <f t="shared" si="90"/>
        <v>1.4849856E-2</v>
      </c>
      <c r="T1096" t="str">
        <f t="shared" si="91"/>
        <v>Ipe S4S E4E 1x6 Plus Long</v>
      </c>
    </row>
    <row r="1097" spans="1:20" x14ac:dyDescent="0.25">
      <c r="A1097" t="s">
        <v>1351</v>
      </c>
      <c r="B1097" t="s">
        <v>1466</v>
      </c>
      <c r="C1097" t="s">
        <v>283</v>
      </c>
      <c r="D1097" t="s">
        <v>438</v>
      </c>
      <c r="E1097" t="s">
        <v>1475</v>
      </c>
      <c r="F1097" t="s">
        <v>1468</v>
      </c>
      <c r="G1097" t="s">
        <v>1351</v>
      </c>
      <c r="H1097" t="s">
        <v>373</v>
      </c>
      <c r="I1097" t="s">
        <v>289</v>
      </c>
      <c r="J1097" t="s">
        <v>637</v>
      </c>
      <c r="K1097">
        <v>17</v>
      </c>
      <c r="L1097" s="6">
        <v>5.1816000000000004</v>
      </c>
      <c r="M1097" s="7">
        <v>21</v>
      </c>
      <c r="N1097" s="7">
        <v>145</v>
      </c>
      <c r="O1097" s="7">
        <f t="shared" si="87"/>
        <v>204.00000000000003</v>
      </c>
      <c r="P1097" s="7">
        <f t="shared" si="88"/>
        <v>0.82677165354330717</v>
      </c>
      <c r="Q1097" s="7">
        <f t="shared" si="88"/>
        <v>5.7086614173228352</v>
      </c>
      <c r="R1097" s="6">
        <f t="shared" si="89"/>
        <v>1077.452</v>
      </c>
      <c r="S1097" s="6">
        <f t="shared" si="90"/>
        <v>1.5777972000000001E-2</v>
      </c>
      <c r="T1097" t="str">
        <f t="shared" si="91"/>
        <v>Ipe S4S E4E 1x6 Plus Long</v>
      </c>
    </row>
    <row r="1098" spans="1:20" x14ac:dyDescent="0.25">
      <c r="A1098" t="s">
        <v>1351</v>
      </c>
      <c r="B1098" t="s">
        <v>1466</v>
      </c>
      <c r="C1098" t="s">
        <v>283</v>
      </c>
      <c r="D1098" t="s">
        <v>438</v>
      </c>
      <c r="E1098" t="s">
        <v>1476</v>
      </c>
      <c r="F1098" t="s">
        <v>1468</v>
      </c>
      <c r="G1098" t="s">
        <v>1351</v>
      </c>
      <c r="H1098" t="s">
        <v>373</v>
      </c>
      <c r="I1098" t="s">
        <v>289</v>
      </c>
      <c r="J1098" t="s">
        <v>637</v>
      </c>
      <c r="K1098">
        <v>18</v>
      </c>
      <c r="L1098" s="6">
        <v>5.4864000000000006</v>
      </c>
      <c r="M1098" s="7">
        <v>21</v>
      </c>
      <c r="N1098" s="7">
        <v>145</v>
      </c>
      <c r="O1098" s="7">
        <f t="shared" si="87"/>
        <v>216.00000000000003</v>
      </c>
      <c r="P1098" s="7">
        <f t="shared" si="88"/>
        <v>0.82677165354330717</v>
      </c>
      <c r="Q1098" s="7">
        <f t="shared" si="88"/>
        <v>5.7086614173228352</v>
      </c>
      <c r="R1098" s="6">
        <f t="shared" si="89"/>
        <v>1077.452</v>
      </c>
      <c r="S1098" s="6">
        <f t="shared" si="90"/>
        <v>1.6706088000000001E-2</v>
      </c>
      <c r="T1098" t="str">
        <f t="shared" si="91"/>
        <v>Ipe S4S E4E 1x6 Plus Long</v>
      </c>
    </row>
    <row r="1099" spans="1:20" x14ac:dyDescent="0.25">
      <c r="A1099" t="s">
        <v>1351</v>
      </c>
      <c r="B1099" t="s">
        <v>1466</v>
      </c>
      <c r="C1099" t="s">
        <v>283</v>
      </c>
      <c r="D1099" t="s">
        <v>438</v>
      </c>
      <c r="E1099" t="s">
        <v>1477</v>
      </c>
      <c r="F1099" t="s">
        <v>1468</v>
      </c>
      <c r="G1099" t="s">
        <v>1351</v>
      </c>
      <c r="H1099" t="s">
        <v>373</v>
      </c>
      <c r="I1099" t="s">
        <v>289</v>
      </c>
      <c r="J1099" t="s">
        <v>637</v>
      </c>
      <c r="K1099">
        <v>19</v>
      </c>
      <c r="L1099" s="6">
        <v>5.7911999999999999</v>
      </c>
      <c r="M1099" s="7">
        <v>21</v>
      </c>
      <c r="N1099" s="7">
        <v>145</v>
      </c>
      <c r="O1099" s="7">
        <f t="shared" si="87"/>
        <v>228</v>
      </c>
      <c r="P1099" s="7">
        <f t="shared" si="88"/>
        <v>0.82677165354330717</v>
      </c>
      <c r="Q1099" s="7">
        <f t="shared" si="88"/>
        <v>5.7086614173228352</v>
      </c>
      <c r="R1099" s="6">
        <f t="shared" si="89"/>
        <v>1077.452</v>
      </c>
      <c r="S1099" s="6">
        <f t="shared" si="90"/>
        <v>1.7634204000000001E-2</v>
      </c>
      <c r="T1099" t="str">
        <f t="shared" si="91"/>
        <v>Ipe S4S E4E 1x6 Plus Long</v>
      </c>
    </row>
    <row r="1100" spans="1:20" x14ac:dyDescent="0.25">
      <c r="A1100" t="s">
        <v>1351</v>
      </c>
      <c r="B1100" t="s">
        <v>1466</v>
      </c>
      <c r="C1100" t="s">
        <v>283</v>
      </c>
      <c r="D1100" t="s">
        <v>438</v>
      </c>
      <c r="E1100" t="s">
        <v>1478</v>
      </c>
      <c r="F1100" t="s">
        <v>1468</v>
      </c>
      <c r="G1100" t="s">
        <v>1351</v>
      </c>
      <c r="H1100" t="s">
        <v>373</v>
      </c>
      <c r="I1100" t="s">
        <v>289</v>
      </c>
      <c r="J1100" t="s">
        <v>637</v>
      </c>
      <c r="K1100">
        <v>20</v>
      </c>
      <c r="L1100" s="6">
        <v>6.0960000000000001</v>
      </c>
      <c r="M1100" s="7">
        <v>21</v>
      </c>
      <c r="N1100" s="7">
        <v>145</v>
      </c>
      <c r="O1100" s="7">
        <f t="shared" si="87"/>
        <v>240</v>
      </c>
      <c r="P1100" s="7">
        <f t="shared" si="88"/>
        <v>0.82677165354330717</v>
      </c>
      <c r="Q1100" s="7">
        <f t="shared" si="88"/>
        <v>5.7086614173228352</v>
      </c>
      <c r="R1100" s="6">
        <f t="shared" si="89"/>
        <v>1077.452</v>
      </c>
      <c r="S1100" s="6">
        <f t="shared" si="90"/>
        <v>1.856232E-2</v>
      </c>
      <c r="T1100" t="str">
        <f t="shared" si="91"/>
        <v>Ipe S4S E4E 1x6 Plus Long</v>
      </c>
    </row>
    <row r="1101" spans="1:20" x14ac:dyDescent="0.25">
      <c r="A1101" t="s">
        <v>1351</v>
      </c>
      <c r="B1101" t="s">
        <v>1466</v>
      </c>
      <c r="C1101" t="s">
        <v>283</v>
      </c>
      <c r="D1101" t="s">
        <v>438</v>
      </c>
      <c r="E1101" t="s">
        <v>1479</v>
      </c>
      <c r="F1101" t="s">
        <v>1468</v>
      </c>
      <c r="G1101" t="s">
        <v>1351</v>
      </c>
      <c r="H1101" t="s">
        <v>373</v>
      </c>
      <c r="I1101" t="s">
        <v>289</v>
      </c>
      <c r="J1101" t="s">
        <v>637</v>
      </c>
      <c r="K1101">
        <v>21</v>
      </c>
      <c r="L1101" s="6">
        <v>6.4008000000000003</v>
      </c>
      <c r="M1101" s="7">
        <v>21</v>
      </c>
      <c r="N1101" s="7">
        <v>145</v>
      </c>
      <c r="O1101" s="7">
        <f t="shared" si="87"/>
        <v>252.00000000000003</v>
      </c>
      <c r="P1101" s="7">
        <f t="shared" si="88"/>
        <v>0.82677165354330717</v>
      </c>
      <c r="Q1101" s="7">
        <f t="shared" si="88"/>
        <v>5.7086614173228352</v>
      </c>
      <c r="R1101" s="6">
        <f t="shared" si="89"/>
        <v>1077.452</v>
      </c>
      <c r="S1101" s="6">
        <f t="shared" si="90"/>
        <v>1.9490436E-2</v>
      </c>
      <c r="T1101" t="str">
        <f t="shared" si="91"/>
        <v>Ipe S4S E4E 1x6 Plus Long</v>
      </c>
    </row>
    <row r="1102" spans="1:20" x14ac:dyDescent="0.25">
      <c r="A1102" t="s">
        <v>1351</v>
      </c>
      <c r="B1102" t="s">
        <v>1466</v>
      </c>
      <c r="C1102" t="s">
        <v>283</v>
      </c>
      <c r="D1102" t="s">
        <v>438</v>
      </c>
      <c r="E1102" t="s">
        <v>1480</v>
      </c>
      <c r="F1102" t="s">
        <v>1468</v>
      </c>
      <c r="G1102" t="s">
        <v>1351</v>
      </c>
      <c r="H1102" t="s">
        <v>373</v>
      </c>
      <c r="I1102" t="s">
        <v>289</v>
      </c>
      <c r="J1102" t="s">
        <v>637</v>
      </c>
      <c r="K1102">
        <v>22</v>
      </c>
      <c r="L1102" s="6">
        <v>6.7056000000000004</v>
      </c>
      <c r="M1102" s="7">
        <v>21</v>
      </c>
      <c r="N1102" s="7">
        <v>145</v>
      </c>
      <c r="O1102" s="7">
        <f t="shared" si="87"/>
        <v>264</v>
      </c>
      <c r="P1102" s="7">
        <f t="shared" si="88"/>
        <v>0.82677165354330717</v>
      </c>
      <c r="Q1102" s="7">
        <f t="shared" si="88"/>
        <v>5.7086614173228352</v>
      </c>
      <c r="R1102" s="6">
        <f t="shared" si="89"/>
        <v>1077.452</v>
      </c>
      <c r="S1102" s="6">
        <f t="shared" si="90"/>
        <v>2.0418552E-2</v>
      </c>
      <c r="T1102" t="str">
        <f t="shared" si="91"/>
        <v>Ipe S4S E4E 1x6 Plus Long</v>
      </c>
    </row>
    <row r="1103" spans="1:20" x14ac:dyDescent="0.25">
      <c r="A1103" t="s">
        <v>1351</v>
      </c>
      <c r="B1103" t="s">
        <v>1466</v>
      </c>
      <c r="C1103" t="s">
        <v>283</v>
      </c>
      <c r="D1103" t="s">
        <v>438</v>
      </c>
      <c r="E1103" t="s">
        <v>1481</v>
      </c>
      <c r="F1103" t="s">
        <v>1468</v>
      </c>
      <c r="G1103" t="s">
        <v>1351</v>
      </c>
      <c r="H1103" t="s">
        <v>373</v>
      </c>
      <c r="I1103" t="s">
        <v>289</v>
      </c>
      <c r="J1103" t="s">
        <v>637</v>
      </c>
      <c r="K1103">
        <v>23</v>
      </c>
      <c r="L1103" s="6">
        <v>7.0104000000000006</v>
      </c>
      <c r="M1103" s="7">
        <v>21</v>
      </c>
      <c r="N1103" s="7">
        <v>145</v>
      </c>
      <c r="O1103" s="7">
        <f t="shared" si="87"/>
        <v>276.00000000000006</v>
      </c>
      <c r="P1103" s="7">
        <f t="shared" si="88"/>
        <v>0.82677165354330717</v>
      </c>
      <c r="Q1103" s="7">
        <f t="shared" si="88"/>
        <v>5.7086614173228352</v>
      </c>
      <c r="R1103" s="6">
        <f t="shared" si="89"/>
        <v>1077.452</v>
      </c>
      <c r="S1103" s="6">
        <f t="shared" si="90"/>
        <v>2.1346668000000003E-2</v>
      </c>
      <c r="T1103" t="str">
        <f t="shared" si="91"/>
        <v>Ipe S4S E4E 1x6 Plus Long</v>
      </c>
    </row>
    <row r="1104" spans="1:20" x14ac:dyDescent="0.25">
      <c r="A1104" t="s">
        <v>1351</v>
      </c>
      <c r="B1104" t="s">
        <v>1466</v>
      </c>
      <c r="C1104" t="s">
        <v>283</v>
      </c>
      <c r="D1104" t="s">
        <v>438</v>
      </c>
      <c r="E1104" t="s">
        <v>1482</v>
      </c>
      <c r="F1104" t="s">
        <v>1468</v>
      </c>
      <c r="G1104" t="s">
        <v>1351</v>
      </c>
      <c r="H1104" t="s">
        <v>373</v>
      </c>
      <c r="I1104" t="s">
        <v>289</v>
      </c>
      <c r="J1104" t="s">
        <v>637</v>
      </c>
      <c r="K1104">
        <v>24</v>
      </c>
      <c r="L1104" s="6">
        <v>7.3152000000000008</v>
      </c>
      <c r="M1104" s="7">
        <v>21</v>
      </c>
      <c r="N1104" s="7">
        <v>145</v>
      </c>
      <c r="O1104" s="7">
        <f t="shared" si="87"/>
        <v>288.00000000000006</v>
      </c>
      <c r="P1104" s="7">
        <f t="shared" si="88"/>
        <v>0.82677165354330717</v>
      </c>
      <c r="Q1104" s="7">
        <f t="shared" si="88"/>
        <v>5.7086614173228352</v>
      </c>
      <c r="R1104" s="6">
        <f t="shared" si="89"/>
        <v>1077.452</v>
      </c>
      <c r="S1104" s="6">
        <f t="shared" si="90"/>
        <v>2.2274783999999999E-2</v>
      </c>
      <c r="T1104" t="str">
        <f t="shared" si="91"/>
        <v>Ipe S4S E4E 1x6 Plus Long</v>
      </c>
    </row>
    <row r="1105" spans="1:20" x14ac:dyDescent="0.25">
      <c r="A1105" t="s">
        <v>1351</v>
      </c>
      <c r="B1105" t="s">
        <v>1466</v>
      </c>
      <c r="C1105" t="s">
        <v>524</v>
      </c>
      <c r="D1105" t="s">
        <v>438</v>
      </c>
      <c r="E1105" t="s">
        <v>1483</v>
      </c>
      <c r="F1105" t="s">
        <v>1468</v>
      </c>
      <c r="G1105" t="s">
        <v>1351</v>
      </c>
      <c r="H1105" t="s">
        <v>373</v>
      </c>
      <c r="I1105" t="s">
        <v>289</v>
      </c>
      <c r="J1105" t="s">
        <v>637</v>
      </c>
      <c r="K1105">
        <v>3</v>
      </c>
      <c r="L1105" s="6">
        <v>0.9144000000000001</v>
      </c>
      <c r="M1105" s="7">
        <v>21</v>
      </c>
      <c r="N1105" s="7">
        <v>145</v>
      </c>
      <c r="O1105" s="7">
        <f t="shared" si="87"/>
        <v>36.000000000000007</v>
      </c>
      <c r="P1105" s="7">
        <f t="shared" si="88"/>
        <v>0.82677165354330717</v>
      </c>
      <c r="Q1105" s="7">
        <f t="shared" si="88"/>
        <v>5.7086614173228352</v>
      </c>
      <c r="R1105" s="6">
        <f t="shared" si="89"/>
        <v>1077.452</v>
      </c>
      <c r="S1105" s="6">
        <f t="shared" si="90"/>
        <v>2.7843479999999999E-3</v>
      </c>
      <c r="T1105" t="str">
        <f t="shared" si="91"/>
        <v>Ipe S4S E4E 1x6 Plus Short</v>
      </c>
    </row>
    <row r="1106" spans="1:20" x14ac:dyDescent="0.25">
      <c r="A1106" t="s">
        <v>1351</v>
      </c>
      <c r="B1106" t="s">
        <v>1466</v>
      </c>
      <c r="C1106" t="s">
        <v>524</v>
      </c>
      <c r="D1106" t="s">
        <v>438</v>
      </c>
      <c r="E1106" t="s">
        <v>1484</v>
      </c>
      <c r="F1106" t="s">
        <v>1468</v>
      </c>
      <c r="G1106" t="s">
        <v>1351</v>
      </c>
      <c r="H1106" t="s">
        <v>373</v>
      </c>
      <c r="I1106" t="s">
        <v>289</v>
      </c>
      <c r="J1106" t="s">
        <v>637</v>
      </c>
      <c r="K1106">
        <v>4</v>
      </c>
      <c r="L1106" s="6">
        <v>1.2192000000000001</v>
      </c>
      <c r="M1106" s="7">
        <v>21</v>
      </c>
      <c r="N1106" s="7">
        <v>145</v>
      </c>
      <c r="O1106" s="7">
        <f t="shared" si="87"/>
        <v>48.000000000000007</v>
      </c>
      <c r="P1106" s="7">
        <f t="shared" si="88"/>
        <v>0.82677165354330717</v>
      </c>
      <c r="Q1106" s="7">
        <f t="shared" si="88"/>
        <v>5.7086614173228352</v>
      </c>
      <c r="R1106" s="6">
        <f t="shared" si="89"/>
        <v>1077.452</v>
      </c>
      <c r="S1106" s="6">
        <f t="shared" si="90"/>
        <v>3.712464E-3</v>
      </c>
      <c r="T1106" t="str">
        <f t="shared" si="91"/>
        <v>Ipe S4S E4E 1x6 Plus Short</v>
      </c>
    </row>
    <row r="1107" spans="1:20" x14ac:dyDescent="0.25">
      <c r="A1107" t="s">
        <v>1351</v>
      </c>
      <c r="B1107" t="s">
        <v>1466</v>
      </c>
      <c r="C1107" t="s">
        <v>524</v>
      </c>
      <c r="D1107" t="s">
        <v>438</v>
      </c>
      <c r="E1107" t="s">
        <v>1485</v>
      </c>
      <c r="F1107" t="s">
        <v>1468</v>
      </c>
      <c r="G1107" t="s">
        <v>1351</v>
      </c>
      <c r="H1107" t="s">
        <v>373</v>
      </c>
      <c r="I1107" t="s">
        <v>289</v>
      </c>
      <c r="J1107" t="s">
        <v>637</v>
      </c>
      <c r="K1107">
        <v>5</v>
      </c>
      <c r="L1107" s="6">
        <v>1.524</v>
      </c>
      <c r="M1107" s="7">
        <v>21</v>
      </c>
      <c r="N1107" s="7">
        <v>145</v>
      </c>
      <c r="O1107" s="7">
        <f t="shared" si="87"/>
        <v>60</v>
      </c>
      <c r="P1107" s="7">
        <f t="shared" si="88"/>
        <v>0.82677165354330717</v>
      </c>
      <c r="Q1107" s="7">
        <f t="shared" si="88"/>
        <v>5.7086614173228352</v>
      </c>
      <c r="R1107" s="6">
        <f t="shared" si="89"/>
        <v>1077.452</v>
      </c>
      <c r="S1107" s="6">
        <f t="shared" si="90"/>
        <v>4.6405800000000001E-3</v>
      </c>
      <c r="T1107" t="str">
        <f t="shared" si="91"/>
        <v>Ipe S4S E4E 1x6 Plus Short</v>
      </c>
    </row>
    <row r="1108" spans="1:20" x14ac:dyDescent="0.25">
      <c r="A1108" t="s">
        <v>1351</v>
      </c>
      <c r="B1108" t="s">
        <v>1466</v>
      </c>
      <c r="C1108" t="s">
        <v>524</v>
      </c>
      <c r="D1108" t="s">
        <v>438</v>
      </c>
      <c r="E1108" t="s">
        <v>1486</v>
      </c>
      <c r="F1108" t="s">
        <v>1468</v>
      </c>
      <c r="G1108" t="s">
        <v>1351</v>
      </c>
      <c r="H1108" t="s">
        <v>373</v>
      </c>
      <c r="I1108" t="s">
        <v>289</v>
      </c>
      <c r="J1108" t="s">
        <v>637</v>
      </c>
      <c r="K1108">
        <v>6</v>
      </c>
      <c r="L1108" s="6">
        <v>1.8288000000000002</v>
      </c>
      <c r="M1108" s="7">
        <v>21</v>
      </c>
      <c r="N1108" s="7">
        <v>145</v>
      </c>
      <c r="O1108" s="7">
        <f t="shared" si="87"/>
        <v>72.000000000000014</v>
      </c>
      <c r="P1108" s="7">
        <f t="shared" si="88"/>
        <v>0.82677165354330717</v>
      </c>
      <c r="Q1108" s="7">
        <f t="shared" si="88"/>
        <v>5.7086614173228352</v>
      </c>
      <c r="R1108" s="6">
        <f t="shared" si="89"/>
        <v>1077.452</v>
      </c>
      <c r="S1108" s="6">
        <f t="shared" si="90"/>
        <v>5.5686959999999997E-3</v>
      </c>
      <c r="T1108" t="str">
        <f t="shared" si="91"/>
        <v>Ipe S4S E4E 1x6 Plus Short</v>
      </c>
    </row>
    <row r="1109" spans="1:20" x14ac:dyDescent="0.25">
      <c r="A1109" t="s">
        <v>1351</v>
      </c>
      <c r="B1109" t="s">
        <v>1466</v>
      </c>
      <c r="C1109" t="s">
        <v>524</v>
      </c>
      <c r="D1109" t="s">
        <v>438</v>
      </c>
      <c r="E1109" t="s">
        <v>1487</v>
      </c>
      <c r="F1109" t="s">
        <v>1468</v>
      </c>
      <c r="G1109" t="s">
        <v>1351</v>
      </c>
      <c r="H1109" t="s">
        <v>373</v>
      </c>
      <c r="I1109" t="s">
        <v>289</v>
      </c>
      <c r="J1109" t="s">
        <v>637</v>
      </c>
      <c r="K1109">
        <v>7</v>
      </c>
      <c r="L1109" s="6">
        <v>2.1335999999999999</v>
      </c>
      <c r="M1109" s="7">
        <v>21</v>
      </c>
      <c r="N1109" s="7">
        <v>145</v>
      </c>
      <c r="O1109" s="7">
        <f t="shared" si="87"/>
        <v>84</v>
      </c>
      <c r="P1109" s="7">
        <f t="shared" si="88"/>
        <v>0.82677165354330717</v>
      </c>
      <c r="Q1109" s="7">
        <f t="shared" si="88"/>
        <v>5.7086614173228352</v>
      </c>
      <c r="R1109" s="6">
        <f t="shared" si="89"/>
        <v>1077.452</v>
      </c>
      <c r="S1109" s="6">
        <f t="shared" si="90"/>
        <v>6.4968120000000002E-3</v>
      </c>
      <c r="T1109" t="str">
        <f t="shared" si="91"/>
        <v>Ipe S4S E4E 1x6 Plus Short</v>
      </c>
    </row>
    <row r="1110" spans="1:20" x14ac:dyDescent="0.25">
      <c r="A1110" t="s">
        <v>1351</v>
      </c>
      <c r="B1110" t="s">
        <v>1466</v>
      </c>
      <c r="C1110" t="s">
        <v>283</v>
      </c>
      <c r="D1110" t="s">
        <v>438</v>
      </c>
      <c r="E1110" t="s">
        <v>1488</v>
      </c>
      <c r="F1110" t="s">
        <v>1468</v>
      </c>
      <c r="G1110" t="s">
        <v>1351</v>
      </c>
      <c r="H1110" t="s">
        <v>373</v>
      </c>
      <c r="I1110" t="s">
        <v>289</v>
      </c>
      <c r="J1110" t="s">
        <v>637</v>
      </c>
      <c r="K1110">
        <v>8</v>
      </c>
      <c r="L1110" s="6">
        <v>2.4384000000000001</v>
      </c>
      <c r="M1110" s="7">
        <v>21</v>
      </c>
      <c r="N1110" s="7">
        <v>145</v>
      </c>
      <c r="O1110" s="7">
        <f t="shared" si="87"/>
        <v>96.000000000000014</v>
      </c>
      <c r="P1110" s="7">
        <f t="shared" si="88"/>
        <v>0.82677165354330717</v>
      </c>
      <c r="Q1110" s="7">
        <f t="shared" si="88"/>
        <v>5.7086614173228352</v>
      </c>
      <c r="R1110" s="6">
        <f t="shared" si="89"/>
        <v>1077.452</v>
      </c>
      <c r="S1110" s="6">
        <f t="shared" si="90"/>
        <v>7.4249279999999999E-3</v>
      </c>
      <c r="T1110" t="str">
        <f t="shared" si="91"/>
        <v>Ipe S4S E4E 1x6 Plus Long</v>
      </c>
    </row>
    <row r="1111" spans="1:20" x14ac:dyDescent="0.25">
      <c r="A1111" t="s">
        <v>1351</v>
      </c>
      <c r="B1111" t="s">
        <v>1466</v>
      </c>
      <c r="C1111" t="s">
        <v>283</v>
      </c>
      <c r="D1111" t="s">
        <v>438</v>
      </c>
      <c r="E1111" t="s">
        <v>1489</v>
      </c>
      <c r="F1111" t="s">
        <v>1468</v>
      </c>
      <c r="G1111" t="s">
        <v>1351</v>
      </c>
      <c r="H1111" t="s">
        <v>373</v>
      </c>
      <c r="I1111" t="s">
        <v>289</v>
      </c>
      <c r="J1111" t="s">
        <v>637</v>
      </c>
      <c r="K1111">
        <v>9</v>
      </c>
      <c r="L1111" s="6">
        <v>2.7432000000000003</v>
      </c>
      <c r="M1111" s="7">
        <v>21</v>
      </c>
      <c r="N1111" s="7">
        <v>145</v>
      </c>
      <c r="O1111" s="7">
        <f t="shared" si="87"/>
        <v>108.00000000000001</v>
      </c>
      <c r="P1111" s="7">
        <f t="shared" si="88"/>
        <v>0.82677165354330717</v>
      </c>
      <c r="Q1111" s="7">
        <f t="shared" si="88"/>
        <v>5.7086614173228352</v>
      </c>
      <c r="R1111" s="6">
        <f t="shared" si="89"/>
        <v>1077.452</v>
      </c>
      <c r="S1111" s="6">
        <f t="shared" si="90"/>
        <v>8.3530440000000004E-3</v>
      </c>
      <c r="T1111" t="str">
        <f t="shared" si="91"/>
        <v>Ipe S4S E4E 1x6 Plus Long</v>
      </c>
    </row>
    <row r="1112" spans="1:20" x14ac:dyDescent="0.25">
      <c r="A1112" t="s">
        <v>1351</v>
      </c>
      <c r="B1112" t="s">
        <v>1490</v>
      </c>
      <c r="C1112" t="s">
        <v>283</v>
      </c>
      <c r="D1112" t="s">
        <v>438</v>
      </c>
      <c r="E1112" t="s">
        <v>215</v>
      </c>
      <c r="F1112" t="s">
        <v>1491</v>
      </c>
      <c r="G1112" t="s">
        <v>1351</v>
      </c>
      <c r="H1112" t="s">
        <v>373</v>
      </c>
      <c r="I1112" t="s">
        <v>289</v>
      </c>
      <c r="J1112" t="s">
        <v>344</v>
      </c>
      <c r="K1112">
        <v>10</v>
      </c>
      <c r="L1112" s="6">
        <v>3.048</v>
      </c>
      <c r="M1112" s="7">
        <v>19.05</v>
      </c>
      <c r="N1112" s="7">
        <v>139.69999999999999</v>
      </c>
      <c r="O1112" s="7">
        <f t="shared" si="87"/>
        <v>120</v>
      </c>
      <c r="P1112" s="7">
        <f t="shared" si="88"/>
        <v>0.75000000000000011</v>
      </c>
      <c r="Q1112" s="7">
        <f t="shared" si="88"/>
        <v>5.5</v>
      </c>
      <c r="R1112" s="6">
        <f t="shared" si="89"/>
        <v>1232.8030000000001</v>
      </c>
      <c r="S1112" s="6">
        <f t="shared" si="90"/>
        <v>8.1115966799999994E-3</v>
      </c>
      <c r="T1112" t="str">
        <f t="shared" si="91"/>
        <v>Ipe S4S E4E 1x6 Long</v>
      </c>
    </row>
    <row r="1113" spans="1:20" x14ac:dyDescent="0.25">
      <c r="A1113" t="s">
        <v>1351</v>
      </c>
      <c r="B1113" t="s">
        <v>1490</v>
      </c>
      <c r="C1113" t="s">
        <v>283</v>
      </c>
      <c r="D1113" t="s">
        <v>438</v>
      </c>
      <c r="E1113" t="s">
        <v>1492</v>
      </c>
      <c r="F1113" t="s">
        <v>1491</v>
      </c>
      <c r="G1113" t="s">
        <v>1351</v>
      </c>
      <c r="H1113" t="s">
        <v>373</v>
      </c>
      <c r="I1113" t="s">
        <v>289</v>
      </c>
      <c r="J1113" t="s">
        <v>344</v>
      </c>
      <c r="K1113">
        <v>11</v>
      </c>
      <c r="L1113" s="6">
        <v>3.3527999999999998</v>
      </c>
      <c r="M1113" s="7">
        <v>19.05</v>
      </c>
      <c r="N1113" s="7">
        <v>139.69999999999999</v>
      </c>
      <c r="O1113" s="7">
        <f t="shared" si="87"/>
        <v>132</v>
      </c>
      <c r="P1113" s="7">
        <f t="shared" si="88"/>
        <v>0.75000000000000011</v>
      </c>
      <c r="Q1113" s="7">
        <f t="shared" si="88"/>
        <v>5.5</v>
      </c>
      <c r="R1113" s="6">
        <f t="shared" si="89"/>
        <v>1232.8030000000001</v>
      </c>
      <c r="S1113" s="6">
        <f t="shared" si="90"/>
        <v>8.922756347999999E-3</v>
      </c>
      <c r="T1113" t="str">
        <f t="shared" si="91"/>
        <v>Ipe S4S E4E 1x6 Long</v>
      </c>
    </row>
    <row r="1114" spans="1:20" x14ac:dyDescent="0.25">
      <c r="A1114" t="s">
        <v>1351</v>
      </c>
      <c r="B1114" t="s">
        <v>1490</v>
      </c>
      <c r="C1114" t="s">
        <v>283</v>
      </c>
      <c r="D1114" t="s">
        <v>438</v>
      </c>
      <c r="E1114" t="s">
        <v>203</v>
      </c>
      <c r="F1114" t="s">
        <v>1491</v>
      </c>
      <c r="G1114" t="s">
        <v>1351</v>
      </c>
      <c r="H1114" t="s">
        <v>373</v>
      </c>
      <c r="I1114" t="s">
        <v>289</v>
      </c>
      <c r="J1114" t="s">
        <v>344</v>
      </c>
      <c r="K1114">
        <v>12</v>
      </c>
      <c r="L1114" s="6">
        <v>3.6576</v>
      </c>
      <c r="M1114" s="7">
        <v>19.05</v>
      </c>
      <c r="N1114" s="7">
        <v>139.69999999999999</v>
      </c>
      <c r="O1114" s="7">
        <f t="shared" si="87"/>
        <v>144</v>
      </c>
      <c r="P1114" s="7">
        <f t="shared" si="88"/>
        <v>0.75000000000000011</v>
      </c>
      <c r="Q1114" s="7">
        <f t="shared" si="88"/>
        <v>5.5</v>
      </c>
      <c r="R1114" s="6">
        <f t="shared" si="89"/>
        <v>1232.8030000000001</v>
      </c>
      <c r="S1114" s="6">
        <f t="shared" si="90"/>
        <v>9.7339160159999986E-3</v>
      </c>
      <c r="T1114" t="str">
        <f t="shared" si="91"/>
        <v>Ipe S4S E4E 1x6 Long</v>
      </c>
    </row>
    <row r="1115" spans="1:20" x14ac:dyDescent="0.25">
      <c r="A1115" t="s">
        <v>1351</v>
      </c>
      <c r="B1115" t="s">
        <v>1490</v>
      </c>
      <c r="C1115" t="s">
        <v>283</v>
      </c>
      <c r="D1115" t="s">
        <v>438</v>
      </c>
      <c r="E1115" t="s">
        <v>1493</v>
      </c>
      <c r="F1115" t="s">
        <v>1491</v>
      </c>
      <c r="G1115" t="s">
        <v>1351</v>
      </c>
      <c r="H1115" t="s">
        <v>373</v>
      </c>
      <c r="I1115" t="s">
        <v>289</v>
      </c>
      <c r="J1115" t="s">
        <v>344</v>
      </c>
      <c r="K1115">
        <v>13</v>
      </c>
      <c r="L1115" s="6">
        <v>3.9624000000000001</v>
      </c>
      <c r="M1115" s="7">
        <v>19.05</v>
      </c>
      <c r="N1115" s="7">
        <v>139.69999999999999</v>
      </c>
      <c r="O1115" s="7">
        <f t="shared" si="87"/>
        <v>156</v>
      </c>
      <c r="P1115" s="7">
        <f t="shared" si="88"/>
        <v>0.75000000000000011</v>
      </c>
      <c r="Q1115" s="7">
        <f t="shared" si="88"/>
        <v>5.5</v>
      </c>
      <c r="R1115" s="6">
        <f t="shared" si="89"/>
        <v>1232.8030000000001</v>
      </c>
      <c r="S1115" s="6">
        <f t="shared" si="90"/>
        <v>1.0545075684E-2</v>
      </c>
      <c r="T1115" t="str">
        <f t="shared" si="91"/>
        <v>Ipe S4S E4E 1x6 Long</v>
      </c>
    </row>
    <row r="1116" spans="1:20" x14ac:dyDescent="0.25">
      <c r="A1116" t="s">
        <v>1351</v>
      </c>
      <c r="B1116" t="s">
        <v>1490</v>
      </c>
      <c r="C1116" t="s">
        <v>283</v>
      </c>
      <c r="D1116" t="s">
        <v>438</v>
      </c>
      <c r="E1116" t="s">
        <v>216</v>
      </c>
      <c r="F1116" t="s">
        <v>1491</v>
      </c>
      <c r="G1116" t="s">
        <v>1351</v>
      </c>
      <c r="H1116" t="s">
        <v>373</v>
      </c>
      <c r="I1116" t="s">
        <v>289</v>
      </c>
      <c r="J1116" t="s">
        <v>344</v>
      </c>
      <c r="K1116">
        <v>14</v>
      </c>
      <c r="L1116" s="6">
        <v>4.2671999999999999</v>
      </c>
      <c r="M1116" s="7">
        <v>19.05</v>
      </c>
      <c r="N1116" s="7">
        <v>139.69999999999999</v>
      </c>
      <c r="O1116" s="7">
        <f t="shared" si="87"/>
        <v>168</v>
      </c>
      <c r="P1116" s="7">
        <f t="shared" si="88"/>
        <v>0.75000000000000011</v>
      </c>
      <c r="Q1116" s="7">
        <f t="shared" si="88"/>
        <v>5.5</v>
      </c>
      <c r="R1116" s="6">
        <f t="shared" si="89"/>
        <v>1232.8030000000001</v>
      </c>
      <c r="S1116" s="6">
        <f t="shared" si="90"/>
        <v>1.1356235352E-2</v>
      </c>
      <c r="T1116" t="str">
        <f t="shared" si="91"/>
        <v>Ipe S4S E4E 1x6 Long</v>
      </c>
    </row>
    <row r="1117" spans="1:20" x14ac:dyDescent="0.25">
      <c r="A1117" t="s">
        <v>1351</v>
      </c>
      <c r="B1117" t="s">
        <v>1490</v>
      </c>
      <c r="C1117" t="s">
        <v>283</v>
      </c>
      <c r="D1117" t="s">
        <v>438</v>
      </c>
      <c r="E1117" t="s">
        <v>1494</v>
      </c>
      <c r="F1117" t="s">
        <v>1491</v>
      </c>
      <c r="G1117" t="s">
        <v>1351</v>
      </c>
      <c r="H1117" t="s">
        <v>373</v>
      </c>
      <c r="I1117" t="s">
        <v>289</v>
      </c>
      <c r="J1117" t="s">
        <v>344</v>
      </c>
      <c r="K1117">
        <v>15</v>
      </c>
      <c r="L1117" s="6">
        <v>4.5720000000000001</v>
      </c>
      <c r="M1117" s="7">
        <v>19.05</v>
      </c>
      <c r="N1117" s="7">
        <v>139.69999999999999</v>
      </c>
      <c r="O1117" s="7">
        <f t="shared" si="87"/>
        <v>180</v>
      </c>
      <c r="P1117" s="7">
        <f t="shared" si="88"/>
        <v>0.75000000000000011</v>
      </c>
      <c r="Q1117" s="7">
        <f t="shared" si="88"/>
        <v>5.5</v>
      </c>
      <c r="R1117" s="6">
        <f t="shared" si="89"/>
        <v>1232.8030000000001</v>
      </c>
      <c r="S1117" s="6">
        <f t="shared" si="90"/>
        <v>1.2167395020000001E-2</v>
      </c>
      <c r="T1117" t="str">
        <f t="shared" si="91"/>
        <v>Ipe S4S E4E 1x6 Long</v>
      </c>
    </row>
    <row r="1118" spans="1:20" x14ac:dyDescent="0.25">
      <c r="A1118" t="s">
        <v>1351</v>
      </c>
      <c r="B1118" t="s">
        <v>1490</v>
      </c>
      <c r="C1118" t="s">
        <v>283</v>
      </c>
      <c r="D1118" t="s">
        <v>438</v>
      </c>
      <c r="E1118" t="s">
        <v>204</v>
      </c>
      <c r="F1118" t="s">
        <v>1491</v>
      </c>
      <c r="G1118" t="s">
        <v>1351</v>
      </c>
      <c r="H1118" t="s">
        <v>373</v>
      </c>
      <c r="I1118" t="s">
        <v>289</v>
      </c>
      <c r="J1118" t="s">
        <v>344</v>
      </c>
      <c r="K1118">
        <v>16</v>
      </c>
      <c r="L1118" s="6">
        <v>4.8768000000000002</v>
      </c>
      <c r="M1118" s="7">
        <v>19.05</v>
      </c>
      <c r="N1118" s="7">
        <v>139.69999999999999</v>
      </c>
      <c r="O1118" s="7">
        <f t="shared" ref="O1118:O1181" si="92">L1118/0.0254</f>
        <v>192.00000000000003</v>
      </c>
      <c r="P1118" s="7">
        <f t="shared" ref="P1118:Q1181" si="93">M1118/25.4</f>
        <v>0.75000000000000011</v>
      </c>
      <c r="Q1118" s="7">
        <f t="shared" si="93"/>
        <v>5.5</v>
      </c>
      <c r="R1118" s="6">
        <f t="shared" ref="R1118:R1181" si="94">ROUND(IFERROR(1/((M1118*N1118*0.3048)/1000000),0),3)</f>
        <v>1232.8030000000001</v>
      </c>
      <c r="S1118" s="6">
        <f t="shared" ref="S1118:S1181" si="95">L1118*M1118/1000*N1118/1000</f>
        <v>1.2978554687999999E-2</v>
      </c>
      <c r="T1118" t="str">
        <f t="shared" si="91"/>
        <v>Ipe S4S E4E 1x6 Long</v>
      </c>
    </row>
    <row r="1119" spans="1:20" x14ac:dyDescent="0.25">
      <c r="A1119" t="s">
        <v>1351</v>
      </c>
      <c r="B1119" t="s">
        <v>1490</v>
      </c>
      <c r="C1119" t="s">
        <v>283</v>
      </c>
      <c r="D1119" t="s">
        <v>438</v>
      </c>
      <c r="E1119" t="s">
        <v>1495</v>
      </c>
      <c r="F1119" t="s">
        <v>1491</v>
      </c>
      <c r="G1119" t="s">
        <v>1351</v>
      </c>
      <c r="H1119" t="s">
        <v>373</v>
      </c>
      <c r="I1119" t="s">
        <v>289</v>
      </c>
      <c r="J1119" t="s">
        <v>344</v>
      </c>
      <c r="K1119">
        <v>17</v>
      </c>
      <c r="L1119" s="6">
        <v>5.1816000000000004</v>
      </c>
      <c r="M1119" s="7">
        <v>19.05</v>
      </c>
      <c r="N1119" s="7">
        <v>139.69999999999999</v>
      </c>
      <c r="O1119" s="7">
        <f t="shared" si="92"/>
        <v>204.00000000000003</v>
      </c>
      <c r="P1119" s="7">
        <f t="shared" si="93"/>
        <v>0.75000000000000011</v>
      </c>
      <c r="Q1119" s="7">
        <f t="shared" si="93"/>
        <v>5.5</v>
      </c>
      <c r="R1119" s="6">
        <f t="shared" si="94"/>
        <v>1232.8030000000001</v>
      </c>
      <c r="S1119" s="6">
        <f t="shared" si="95"/>
        <v>1.3789714356000002E-2</v>
      </c>
      <c r="T1119" t="str">
        <f t="shared" si="91"/>
        <v>Ipe S4S E4E 1x6 Long</v>
      </c>
    </row>
    <row r="1120" spans="1:20" x14ac:dyDescent="0.25">
      <c r="A1120" t="s">
        <v>1351</v>
      </c>
      <c r="B1120" t="s">
        <v>1490</v>
      </c>
      <c r="C1120" t="s">
        <v>283</v>
      </c>
      <c r="D1120" t="s">
        <v>438</v>
      </c>
      <c r="E1120" t="s">
        <v>217</v>
      </c>
      <c r="F1120" t="s">
        <v>1491</v>
      </c>
      <c r="G1120" t="s">
        <v>1351</v>
      </c>
      <c r="H1120" t="s">
        <v>373</v>
      </c>
      <c r="I1120" t="s">
        <v>289</v>
      </c>
      <c r="J1120" t="s">
        <v>344</v>
      </c>
      <c r="K1120">
        <v>18</v>
      </c>
      <c r="L1120" s="6">
        <v>5.4863999999999997</v>
      </c>
      <c r="M1120" s="7">
        <v>19.05</v>
      </c>
      <c r="N1120" s="7">
        <v>139.69999999999999</v>
      </c>
      <c r="O1120" s="7">
        <f t="shared" si="92"/>
        <v>216</v>
      </c>
      <c r="P1120" s="7">
        <f t="shared" si="93"/>
        <v>0.75000000000000011</v>
      </c>
      <c r="Q1120" s="7">
        <f t="shared" si="93"/>
        <v>5.5</v>
      </c>
      <c r="R1120" s="6">
        <f t="shared" si="94"/>
        <v>1232.8030000000001</v>
      </c>
      <c r="S1120" s="6">
        <f t="shared" si="95"/>
        <v>1.4600874024E-2</v>
      </c>
      <c r="T1120" t="str">
        <f t="shared" si="91"/>
        <v>Ipe S4S E4E 1x6 Long</v>
      </c>
    </row>
    <row r="1121" spans="1:20" x14ac:dyDescent="0.25">
      <c r="A1121" t="s">
        <v>1351</v>
      </c>
      <c r="B1121" t="s">
        <v>1490</v>
      </c>
      <c r="C1121" t="s">
        <v>283</v>
      </c>
      <c r="D1121" t="s">
        <v>438</v>
      </c>
      <c r="E1121" t="s">
        <v>1496</v>
      </c>
      <c r="F1121" t="s">
        <v>1491</v>
      </c>
      <c r="G1121" t="s">
        <v>1351</v>
      </c>
      <c r="H1121" t="s">
        <v>373</v>
      </c>
      <c r="I1121" t="s">
        <v>289</v>
      </c>
      <c r="J1121" t="s">
        <v>344</v>
      </c>
      <c r="K1121">
        <v>19</v>
      </c>
      <c r="L1121" s="6">
        <v>5.7911999999999999</v>
      </c>
      <c r="M1121" s="7">
        <v>19.05</v>
      </c>
      <c r="N1121" s="7">
        <v>139.69999999999999</v>
      </c>
      <c r="O1121" s="7">
        <f t="shared" si="92"/>
        <v>228</v>
      </c>
      <c r="P1121" s="7">
        <f t="shared" si="93"/>
        <v>0.75000000000000011</v>
      </c>
      <c r="Q1121" s="7">
        <f t="shared" si="93"/>
        <v>5.5</v>
      </c>
      <c r="R1121" s="6">
        <f t="shared" si="94"/>
        <v>1232.8030000000001</v>
      </c>
      <c r="S1121" s="6">
        <f t="shared" si="95"/>
        <v>1.5412033691999999E-2</v>
      </c>
      <c r="T1121" t="str">
        <f t="shared" si="91"/>
        <v>Ipe S4S E4E 1x6 Long</v>
      </c>
    </row>
    <row r="1122" spans="1:20" x14ac:dyDescent="0.25">
      <c r="A1122" t="s">
        <v>1351</v>
      </c>
      <c r="B1122" t="s">
        <v>1490</v>
      </c>
      <c r="C1122" t="s">
        <v>283</v>
      </c>
      <c r="D1122" t="s">
        <v>438</v>
      </c>
      <c r="E1122" t="s">
        <v>218</v>
      </c>
      <c r="F1122" t="s">
        <v>1491</v>
      </c>
      <c r="G1122" t="s">
        <v>1351</v>
      </c>
      <c r="H1122" t="s">
        <v>373</v>
      </c>
      <c r="I1122" t="s">
        <v>289</v>
      </c>
      <c r="J1122" t="s">
        <v>344</v>
      </c>
      <c r="K1122">
        <v>20</v>
      </c>
      <c r="L1122" s="6">
        <v>6.0960000000000001</v>
      </c>
      <c r="M1122" s="7">
        <v>19.05</v>
      </c>
      <c r="N1122" s="7">
        <v>139.69999999999999</v>
      </c>
      <c r="O1122" s="7">
        <f t="shared" si="92"/>
        <v>240</v>
      </c>
      <c r="P1122" s="7">
        <f t="shared" si="93"/>
        <v>0.75000000000000011</v>
      </c>
      <c r="Q1122" s="7">
        <f t="shared" si="93"/>
        <v>5.5</v>
      </c>
      <c r="R1122" s="6">
        <f t="shared" si="94"/>
        <v>1232.8030000000001</v>
      </c>
      <c r="S1122" s="6">
        <f t="shared" si="95"/>
        <v>1.6223193359999999E-2</v>
      </c>
      <c r="T1122" t="str">
        <f t="shared" si="91"/>
        <v>Ipe S4S E4E 1x6 Long</v>
      </c>
    </row>
    <row r="1123" spans="1:20" x14ac:dyDescent="0.25">
      <c r="A1123" t="s">
        <v>1351</v>
      </c>
      <c r="B1123" t="s">
        <v>1490</v>
      </c>
      <c r="C1123" t="s">
        <v>283</v>
      </c>
      <c r="D1123" t="s">
        <v>438</v>
      </c>
      <c r="E1123" t="s">
        <v>1497</v>
      </c>
      <c r="F1123" t="s">
        <v>1491</v>
      </c>
      <c r="G1123" t="s">
        <v>1351</v>
      </c>
      <c r="H1123" t="s">
        <v>373</v>
      </c>
      <c r="I1123" t="s">
        <v>289</v>
      </c>
      <c r="J1123" t="s">
        <v>344</v>
      </c>
      <c r="K1123">
        <v>21</v>
      </c>
      <c r="L1123" s="6">
        <v>6.4008000000000003</v>
      </c>
      <c r="M1123" s="7">
        <v>19.05</v>
      </c>
      <c r="N1123" s="7">
        <v>139.69999999999999</v>
      </c>
      <c r="O1123" s="7">
        <f t="shared" si="92"/>
        <v>252.00000000000003</v>
      </c>
      <c r="P1123" s="7">
        <f t="shared" si="93"/>
        <v>0.75000000000000011</v>
      </c>
      <c r="Q1123" s="7">
        <f t="shared" si="93"/>
        <v>5.5</v>
      </c>
      <c r="R1123" s="6">
        <f t="shared" si="94"/>
        <v>1232.8030000000001</v>
      </c>
      <c r="S1123" s="6">
        <f t="shared" si="95"/>
        <v>1.7034353028E-2</v>
      </c>
      <c r="T1123" t="str">
        <f t="shared" si="91"/>
        <v>Ipe S4S E4E 1x6 Long</v>
      </c>
    </row>
    <row r="1124" spans="1:20" x14ac:dyDescent="0.25">
      <c r="A1124" t="s">
        <v>1351</v>
      </c>
      <c r="B1124" t="s">
        <v>1490</v>
      </c>
      <c r="C1124" t="s">
        <v>283</v>
      </c>
      <c r="D1124" t="s">
        <v>438</v>
      </c>
      <c r="E1124" t="s">
        <v>219</v>
      </c>
      <c r="F1124" t="s">
        <v>1491</v>
      </c>
      <c r="G1124" t="s">
        <v>1351</v>
      </c>
      <c r="H1124" t="s">
        <v>373</v>
      </c>
      <c r="I1124" t="s">
        <v>289</v>
      </c>
      <c r="J1124" t="s">
        <v>344</v>
      </c>
      <c r="K1124">
        <v>22</v>
      </c>
      <c r="L1124" s="6">
        <v>6.7055999999999996</v>
      </c>
      <c r="M1124" s="7">
        <v>19.05</v>
      </c>
      <c r="N1124" s="7">
        <v>139.69999999999999</v>
      </c>
      <c r="O1124" s="7">
        <f t="shared" si="92"/>
        <v>264</v>
      </c>
      <c r="P1124" s="7">
        <f t="shared" si="93"/>
        <v>0.75000000000000011</v>
      </c>
      <c r="Q1124" s="7">
        <f t="shared" si="93"/>
        <v>5.5</v>
      </c>
      <c r="R1124" s="6">
        <f t="shared" si="94"/>
        <v>1232.8030000000001</v>
      </c>
      <c r="S1124" s="6">
        <f t="shared" si="95"/>
        <v>1.7845512695999998E-2</v>
      </c>
      <c r="T1124" t="str">
        <f t="shared" si="91"/>
        <v>Ipe S4S E4E 1x6 Long</v>
      </c>
    </row>
    <row r="1125" spans="1:20" x14ac:dyDescent="0.25">
      <c r="A1125" t="s">
        <v>1351</v>
      </c>
      <c r="B1125" t="s">
        <v>1490</v>
      </c>
      <c r="C1125" t="s">
        <v>524</v>
      </c>
      <c r="D1125" t="s">
        <v>438</v>
      </c>
      <c r="E1125" t="s">
        <v>1498</v>
      </c>
      <c r="F1125" t="s">
        <v>1491</v>
      </c>
      <c r="G1125" t="s">
        <v>1351</v>
      </c>
      <c r="H1125" t="s">
        <v>373</v>
      </c>
      <c r="I1125" t="s">
        <v>289</v>
      </c>
      <c r="J1125" t="s">
        <v>344</v>
      </c>
      <c r="K1125">
        <v>3</v>
      </c>
      <c r="L1125" s="6">
        <v>0.91439999999999999</v>
      </c>
      <c r="M1125" s="7">
        <v>19.05</v>
      </c>
      <c r="N1125" s="7">
        <v>139.69999999999999</v>
      </c>
      <c r="O1125" s="7">
        <f t="shared" si="92"/>
        <v>36</v>
      </c>
      <c r="P1125" s="7">
        <f t="shared" si="93"/>
        <v>0.75000000000000011</v>
      </c>
      <c r="Q1125" s="7">
        <f t="shared" si="93"/>
        <v>5.5</v>
      </c>
      <c r="R1125" s="6">
        <f t="shared" si="94"/>
        <v>1232.8030000000001</v>
      </c>
      <c r="S1125" s="6">
        <f t="shared" si="95"/>
        <v>2.4334790039999997E-3</v>
      </c>
      <c r="T1125" t="str">
        <f t="shared" si="91"/>
        <v>Ipe S4S E4E 1x6 Short</v>
      </c>
    </row>
    <row r="1126" spans="1:20" x14ac:dyDescent="0.25">
      <c r="A1126" t="s">
        <v>1351</v>
      </c>
      <c r="B1126" t="s">
        <v>1490</v>
      </c>
      <c r="C1126" t="s">
        <v>524</v>
      </c>
      <c r="D1126" t="s">
        <v>438</v>
      </c>
      <c r="E1126" t="s">
        <v>131</v>
      </c>
      <c r="F1126" t="s">
        <v>1491</v>
      </c>
      <c r="G1126" t="s">
        <v>1351</v>
      </c>
      <c r="H1126" t="s">
        <v>373</v>
      </c>
      <c r="I1126" t="s">
        <v>289</v>
      </c>
      <c r="J1126" t="s">
        <v>344</v>
      </c>
      <c r="K1126">
        <v>4</v>
      </c>
      <c r="L1126" s="6">
        <v>1.2192000000000001</v>
      </c>
      <c r="M1126" s="7">
        <v>19.05</v>
      </c>
      <c r="N1126" s="7">
        <v>139.69999999999999</v>
      </c>
      <c r="O1126" s="7">
        <f t="shared" si="92"/>
        <v>48.000000000000007</v>
      </c>
      <c r="P1126" s="7">
        <f t="shared" si="93"/>
        <v>0.75000000000000011</v>
      </c>
      <c r="Q1126" s="7">
        <f t="shared" si="93"/>
        <v>5.5</v>
      </c>
      <c r="R1126" s="6">
        <f t="shared" si="94"/>
        <v>1232.8030000000001</v>
      </c>
      <c r="S1126" s="6">
        <f t="shared" si="95"/>
        <v>3.2446386719999997E-3</v>
      </c>
      <c r="T1126" t="str">
        <f t="shared" si="91"/>
        <v>Ipe S4S E4E 1x6 Short</v>
      </c>
    </row>
    <row r="1127" spans="1:20" x14ac:dyDescent="0.25">
      <c r="A1127" t="s">
        <v>1351</v>
      </c>
      <c r="B1127" t="s">
        <v>1490</v>
      </c>
      <c r="C1127" t="s">
        <v>524</v>
      </c>
      <c r="D1127" t="s">
        <v>438</v>
      </c>
      <c r="E1127" t="s">
        <v>1499</v>
      </c>
      <c r="F1127" t="s">
        <v>1491</v>
      </c>
      <c r="G1127" t="s">
        <v>1351</v>
      </c>
      <c r="H1127" t="s">
        <v>373</v>
      </c>
      <c r="I1127" t="s">
        <v>289</v>
      </c>
      <c r="J1127" t="s">
        <v>344</v>
      </c>
      <c r="K1127">
        <v>5</v>
      </c>
      <c r="L1127" s="6">
        <v>1.524</v>
      </c>
      <c r="M1127" s="7">
        <v>19.05</v>
      </c>
      <c r="N1127" s="7">
        <v>139.69999999999999</v>
      </c>
      <c r="O1127" s="7">
        <f t="shared" si="92"/>
        <v>60</v>
      </c>
      <c r="P1127" s="7">
        <f t="shared" si="93"/>
        <v>0.75000000000000011</v>
      </c>
      <c r="Q1127" s="7">
        <f t="shared" si="93"/>
        <v>5.5</v>
      </c>
      <c r="R1127" s="6">
        <f t="shared" si="94"/>
        <v>1232.8030000000001</v>
      </c>
      <c r="S1127" s="6">
        <f t="shared" si="95"/>
        <v>4.0557983399999997E-3</v>
      </c>
      <c r="T1127" t="str">
        <f t="shared" si="91"/>
        <v>Ipe S4S E4E 1x6 Short</v>
      </c>
    </row>
    <row r="1128" spans="1:20" x14ac:dyDescent="0.25">
      <c r="A1128" t="s">
        <v>1351</v>
      </c>
      <c r="B1128" t="s">
        <v>1490</v>
      </c>
      <c r="C1128" t="s">
        <v>524</v>
      </c>
      <c r="D1128" t="s">
        <v>438</v>
      </c>
      <c r="E1128" t="s">
        <v>132</v>
      </c>
      <c r="F1128" t="s">
        <v>1491</v>
      </c>
      <c r="G1128" t="s">
        <v>1351</v>
      </c>
      <c r="H1128" t="s">
        <v>373</v>
      </c>
      <c r="I1128" t="s">
        <v>289</v>
      </c>
      <c r="J1128" t="s">
        <v>344</v>
      </c>
      <c r="K1128">
        <v>6</v>
      </c>
      <c r="L1128" s="6">
        <v>1.8288</v>
      </c>
      <c r="M1128" s="7">
        <v>19.05</v>
      </c>
      <c r="N1128" s="7">
        <v>139.69999999999999</v>
      </c>
      <c r="O1128" s="7">
        <f t="shared" si="92"/>
        <v>72</v>
      </c>
      <c r="P1128" s="7">
        <f t="shared" si="93"/>
        <v>0.75000000000000011</v>
      </c>
      <c r="Q1128" s="7">
        <f t="shared" si="93"/>
        <v>5.5</v>
      </c>
      <c r="R1128" s="6">
        <f t="shared" si="94"/>
        <v>1232.8030000000001</v>
      </c>
      <c r="S1128" s="6">
        <f t="shared" si="95"/>
        <v>4.8669580079999993E-3</v>
      </c>
      <c r="T1128" t="str">
        <f t="shared" si="91"/>
        <v>Ipe S4S E4E 1x6 Short</v>
      </c>
    </row>
    <row r="1129" spans="1:20" x14ac:dyDescent="0.25">
      <c r="A1129" t="s">
        <v>1351</v>
      </c>
      <c r="B1129" t="s">
        <v>1490</v>
      </c>
      <c r="C1129" t="s">
        <v>524</v>
      </c>
      <c r="D1129" t="s">
        <v>438</v>
      </c>
      <c r="E1129" t="s">
        <v>1500</v>
      </c>
      <c r="F1129" t="s">
        <v>1491</v>
      </c>
      <c r="G1129" t="s">
        <v>1351</v>
      </c>
      <c r="H1129" t="s">
        <v>373</v>
      </c>
      <c r="I1129" t="s">
        <v>289</v>
      </c>
      <c r="J1129" t="s">
        <v>344</v>
      </c>
      <c r="K1129">
        <v>7</v>
      </c>
      <c r="L1129" s="6">
        <v>2.1335999999999999</v>
      </c>
      <c r="M1129" s="7">
        <v>19.05</v>
      </c>
      <c r="N1129" s="7">
        <v>139.69999999999999</v>
      </c>
      <c r="O1129" s="7">
        <f t="shared" si="92"/>
        <v>84</v>
      </c>
      <c r="P1129" s="7">
        <f t="shared" si="93"/>
        <v>0.75000000000000011</v>
      </c>
      <c r="Q1129" s="7">
        <f t="shared" si="93"/>
        <v>5.5</v>
      </c>
      <c r="R1129" s="6">
        <f t="shared" si="94"/>
        <v>1232.8030000000001</v>
      </c>
      <c r="S1129" s="6">
        <f t="shared" si="95"/>
        <v>5.6781176759999998E-3</v>
      </c>
      <c r="T1129" t="str">
        <f t="shared" si="91"/>
        <v>Ipe S4S E4E 1x6 Short</v>
      </c>
    </row>
    <row r="1130" spans="1:20" x14ac:dyDescent="0.25">
      <c r="A1130" t="s">
        <v>1351</v>
      </c>
      <c r="B1130" t="s">
        <v>1490</v>
      </c>
      <c r="C1130" t="s">
        <v>283</v>
      </c>
      <c r="D1130" t="s">
        <v>438</v>
      </c>
      <c r="E1130" t="s">
        <v>7</v>
      </c>
      <c r="F1130" t="s">
        <v>1491</v>
      </c>
      <c r="G1130" t="s">
        <v>1351</v>
      </c>
      <c r="H1130" t="s">
        <v>373</v>
      </c>
      <c r="I1130" t="s">
        <v>289</v>
      </c>
      <c r="J1130" t="s">
        <v>344</v>
      </c>
      <c r="K1130">
        <v>8</v>
      </c>
      <c r="L1130" s="6">
        <v>2.4384000000000001</v>
      </c>
      <c r="M1130" s="7">
        <v>19.05</v>
      </c>
      <c r="N1130" s="7">
        <v>139.69999999999999</v>
      </c>
      <c r="O1130" s="7">
        <f t="shared" si="92"/>
        <v>96.000000000000014</v>
      </c>
      <c r="P1130" s="7">
        <f t="shared" si="93"/>
        <v>0.75000000000000011</v>
      </c>
      <c r="Q1130" s="7">
        <f t="shared" si="93"/>
        <v>5.5</v>
      </c>
      <c r="R1130" s="6">
        <f t="shared" si="94"/>
        <v>1232.8030000000001</v>
      </c>
      <c r="S1130" s="6">
        <f t="shared" si="95"/>
        <v>6.4892773439999994E-3</v>
      </c>
      <c r="T1130" t="str">
        <f t="shared" si="91"/>
        <v>Ipe S4S E4E 1x6 Long</v>
      </c>
    </row>
    <row r="1131" spans="1:20" x14ac:dyDescent="0.25">
      <c r="A1131" t="s">
        <v>1351</v>
      </c>
      <c r="B1131" t="s">
        <v>1490</v>
      </c>
      <c r="C1131" t="s">
        <v>283</v>
      </c>
      <c r="D1131" t="s">
        <v>438</v>
      </c>
      <c r="E1131" t="s">
        <v>1501</v>
      </c>
      <c r="F1131" t="s">
        <v>1491</v>
      </c>
      <c r="G1131" t="s">
        <v>1351</v>
      </c>
      <c r="H1131" t="s">
        <v>373</v>
      </c>
      <c r="I1131" t="s">
        <v>289</v>
      </c>
      <c r="J1131" t="s">
        <v>344</v>
      </c>
      <c r="K1131">
        <v>9</v>
      </c>
      <c r="L1131" s="6">
        <v>2.7431999999999999</v>
      </c>
      <c r="M1131" s="7">
        <v>19.05</v>
      </c>
      <c r="N1131" s="7">
        <v>139.69999999999999</v>
      </c>
      <c r="O1131" s="7">
        <f t="shared" si="92"/>
        <v>108</v>
      </c>
      <c r="P1131" s="7">
        <f t="shared" si="93"/>
        <v>0.75000000000000011</v>
      </c>
      <c r="Q1131" s="7">
        <f t="shared" si="93"/>
        <v>5.5</v>
      </c>
      <c r="R1131" s="6">
        <f t="shared" si="94"/>
        <v>1232.8030000000001</v>
      </c>
      <c r="S1131" s="6">
        <f t="shared" si="95"/>
        <v>7.3004370119999999E-3</v>
      </c>
      <c r="T1131" t="str">
        <f t="shared" si="91"/>
        <v>Ipe S4S E4E 1x6 Long</v>
      </c>
    </row>
    <row r="1132" spans="1:20" x14ac:dyDescent="0.25">
      <c r="A1132" t="s">
        <v>1351</v>
      </c>
      <c r="B1132" t="s">
        <v>1502</v>
      </c>
      <c r="C1132" t="s">
        <v>283</v>
      </c>
      <c r="D1132" t="s">
        <v>438</v>
      </c>
      <c r="E1132" t="s">
        <v>181</v>
      </c>
      <c r="F1132" t="s">
        <v>1503</v>
      </c>
      <c r="G1132" t="s">
        <v>1351</v>
      </c>
      <c r="H1132" t="s">
        <v>373</v>
      </c>
      <c r="I1132" t="s">
        <v>289</v>
      </c>
      <c r="J1132" t="s">
        <v>672</v>
      </c>
      <c r="K1132">
        <v>10</v>
      </c>
      <c r="L1132" s="6">
        <v>3.048</v>
      </c>
      <c r="M1132" s="7">
        <v>19.05</v>
      </c>
      <c r="N1132" s="7">
        <v>184.15</v>
      </c>
      <c r="O1132" s="7">
        <f t="shared" si="92"/>
        <v>120</v>
      </c>
      <c r="P1132" s="7">
        <f t="shared" si="93"/>
        <v>0.75000000000000011</v>
      </c>
      <c r="Q1132" s="7">
        <f t="shared" si="93"/>
        <v>7.2500000000000009</v>
      </c>
      <c r="R1132" s="6">
        <f t="shared" si="94"/>
        <v>935.23</v>
      </c>
      <c r="S1132" s="6">
        <f t="shared" si="95"/>
        <v>1.0692559260000001E-2</v>
      </c>
      <c r="T1132" t="str">
        <f t="shared" si="91"/>
        <v>Ipe S4S E4E 1x8 Long</v>
      </c>
    </row>
    <row r="1133" spans="1:20" x14ac:dyDescent="0.25">
      <c r="A1133" t="s">
        <v>1351</v>
      </c>
      <c r="B1133" t="s">
        <v>1502</v>
      </c>
      <c r="C1133" t="s">
        <v>283</v>
      </c>
      <c r="D1133" t="s">
        <v>438</v>
      </c>
      <c r="E1133" t="s">
        <v>1504</v>
      </c>
      <c r="F1133" t="s">
        <v>1503</v>
      </c>
      <c r="G1133" t="s">
        <v>1351</v>
      </c>
      <c r="H1133" t="s">
        <v>373</v>
      </c>
      <c r="I1133" t="s">
        <v>289</v>
      </c>
      <c r="J1133" t="s">
        <v>672</v>
      </c>
      <c r="K1133">
        <v>11</v>
      </c>
      <c r="L1133" s="6">
        <v>3.3527999999999998</v>
      </c>
      <c r="M1133" s="7">
        <v>19.05</v>
      </c>
      <c r="N1133" s="7">
        <v>184.15</v>
      </c>
      <c r="O1133" s="7">
        <f t="shared" si="92"/>
        <v>132</v>
      </c>
      <c r="P1133" s="7">
        <f t="shared" si="93"/>
        <v>0.75000000000000011</v>
      </c>
      <c r="Q1133" s="7">
        <f t="shared" si="93"/>
        <v>7.2500000000000009</v>
      </c>
      <c r="R1133" s="6">
        <f t="shared" si="94"/>
        <v>935.23</v>
      </c>
      <c r="S1133" s="6">
        <f t="shared" si="95"/>
        <v>1.1761815186E-2</v>
      </c>
      <c r="T1133" t="str">
        <f t="shared" si="91"/>
        <v>Ipe S4S E4E 1x8 Long</v>
      </c>
    </row>
    <row r="1134" spans="1:20" x14ac:dyDescent="0.25">
      <c r="A1134" t="s">
        <v>1351</v>
      </c>
      <c r="B1134" t="s">
        <v>1502</v>
      </c>
      <c r="C1134" t="s">
        <v>283</v>
      </c>
      <c r="D1134" t="s">
        <v>438</v>
      </c>
      <c r="E1134" t="s">
        <v>182</v>
      </c>
      <c r="F1134" t="s">
        <v>1503</v>
      </c>
      <c r="G1134" t="s">
        <v>1351</v>
      </c>
      <c r="H1134" t="s">
        <v>373</v>
      </c>
      <c r="I1134" t="s">
        <v>289</v>
      </c>
      <c r="J1134" t="s">
        <v>672</v>
      </c>
      <c r="K1134">
        <v>12</v>
      </c>
      <c r="L1134" s="6">
        <v>3.6576</v>
      </c>
      <c r="M1134" s="7">
        <v>19.05</v>
      </c>
      <c r="N1134" s="7">
        <v>184.15</v>
      </c>
      <c r="O1134" s="7">
        <f t="shared" si="92"/>
        <v>144</v>
      </c>
      <c r="P1134" s="7">
        <f t="shared" si="93"/>
        <v>0.75000000000000011</v>
      </c>
      <c r="Q1134" s="7">
        <f t="shared" si="93"/>
        <v>7.2500000000000009</v>
      </c>
      <c r="R1134" s="6">
        <f t="shared" si="94"/>
        <v>935.23</v>
      </c>
      <c r="S1134" s="6">
        <f t="shared" si="95"/>
        <v>1.2831071112000001E-2</v>
      </c>
      <c r="T1134" t="str">
        <f t="shared" si="91"/>
        <v>Ipe S4S E4E 1x8 Long</v>
      </c>
    </row>
    <row r="1135" spans="1:20" x14ac:dyDescent="0.25">
      <c r="A1135" t="s">
        <v>1351</v>
      </c>
      <c r="B1135" t="s">
        <v>1502</v>
      </c>
      <c r="C1135" t="s">
        <v>283</v>
      </c>
      <c r="D1135" t="s">
        <v>438</v>
      </c>
      <c r="E1135" t="s">
        <v>1505</v>
      </c>
      <c r="F1135" t="s">
        <v>1503</v>
      </c>
      <c r="G1135" t="s">
        <v>1351</v>
      </c>
      <c r="H1135" t="s">
        <v>373</v>
      </c>
      <c r="I1135" t="s">
        <v>289</v>
      </c>
      <c r="J1135" t="s">
        <v>672</v>
      </c>
      <c r="K1135">
        <v>13</v>
      </c>
      <c r="L1135" s="6">
        <v>3.9624000000000001</v>
      </c>
      <c r="M1135" s="7">
        <v>19.05</v>
      </c>
      <c r="N1135" s="7">
        <v>184.15</v>
      </c>
      <c r="O1135" s="7">
        <f t="shared" si="92"/>
        <v>156</v>
      </c>
      <c r="P1135" s="7">
        <f t="shared" si="93"/>
        <v>0.75000000000000011</v>
      </c>
      <c r="Q1135" s="7">
        <f t="shared" si="93"/>
        <v>7.2500000000000009</v>
      </c>
      <c r="R1135" s="6">
        <f t="shared" si="94"/>
        <v>935.23</v>
      </c>
      <c r="S1135" s="6">
        <f t="shared" si="95"/>
        <v>1.3900327037999999E-2</v>
      </c>
      <c r="T1135" t="str">
        <f t="shared" si="91"/>
        <v>Ipe S4S E4E 1x8 Long</v>
      </c>
    </row>
    <row r="1136" spans="1:20" x14ac:dyDescent="0.25">
      <c r="A1136" t="s">
        <v>1351</v>
      </c>
      <c r="B1136" t="s">
        <v>1502</v>
      </c>
      <c r="C1136" t="s">
        <v>283</v>
      </c>
      <c r="D1136" t="s">
        <v>438</v>
      </c>
      <c r="E1136" t="s">
        <v>1506</v>
      </c>
      <c r="F1136" t="s">
        <v>1503</v>
      </c>
      <c r="G1136" t="s">
        <v>1351</v>
      </c>
      <c r="H1136" t="s">
        <v>373</v>
      </c>
      <c r="I1136" t="s">
        <v>289</v>
      </c>
      <c r="J1136" t="s">
        <v>672</v>
      </c>
      <c r="K1136">
        <v>14</v>
      </c>
      <c r="L1136" s="6">
        <v>4.2671999999999999</v>
      </c>
      <c r="M1136" s="7">
        <v>19.05</v>
      </c>
      <c r="N1136" s="7">
        <v>184.15</v>
      </c>
      <c r="O1136" s="7">
        <f t="shared" si="92"/>
        <v>168</v>
      </c>
      <c r="P1136" s="7">
        <f t="shared" si="93"/>
        <v>0.75000000000000011</v>
      </c>
      <c r="Q1136" s="7">
        <f t="shared" si="93"/>
        <v>7.2500000000000009</v>
      </c>
      <c r="R1136" s="6">
        <f t="shared" si="94"/>
        <v>935.23</v>
      </c>
      <c r="S1136" s="6">
        <f t="shared" si="95"/>
        <v>1.4969582964E-2</v>
      </c>
      <c r="T1136" t="str">
        <f t="shared" si="91"/>
        <v>Ipe S4S E4E 1x8 Long</v>
      </c>
    </row>
    <row r="1137" spans="1:20" x14ac:dyDescent="0.25">
      <c r="A1137" t="s">
        <v>1351</v>
      </c>
      <c r="B1137" t="s">
        <v>1502</v>
      </c>
      <c r="C1137" t="s">
        <v>283</v>
      </c>
      <c r="D1137" t="s">
        <v>438</v>
      </c>
      <c r="E1137" t="s">
        <v>1507</v>
      </c>
      <c r="F1137" t="s">
        <v>1503</v>
      </c>
      <c r="G1137" t="s">
        <v>1351</v>
      </c>
      <c r="H1137" t="s">
        <v>373</v>
      </c>
      <c r="I1137" t="s">
        <v>289</v>
      </c>
      <c r="J1137" t="s">
        <v>672</v>
      </c>
      <c r="K1137">
        <v>15</v>
      </c>
      <c r="L1137" s="6">
        <v>4.5720000000000001</v>
      </c>
      <c r="M1137" s="7">
        <v>19.05</v>
      </c>
      <c r="N1137" s="7">
        <v>184.15</v>
      </c>
      <c r="O1137" s="7">
        <f t="shared" si="92"/>
        <v>180</v>
      </c>
      <c r="P1137" s="7">
        <f t="shared" si="93"/>
        <v>0.75000000000000011</v>
      </c>
      <c r="Q1137" s="7">
        <f t="shared" si="93"/>
        <v>7.2500000000000009</v>
      </c>
      <c r="R1137" s="6">
        <f t="shared" si="94"/>
        <v>935.23</v>
      </c>
      <c r="S1137" s="6">
        <f t="shared" si="95"/>
        <v>1.603883889E-2</v>
      </c>
      <c r="T1137" t="str">
        <f t="shared" si="91"/>
        <v>Ipe S4S E4E 1x8 Long</v>
      </c>
    </row>
    <row r="1138" spans="1:20" x14ac:dyDescent="0.25">
      <c r="A1138" t="s">
        <v>1351</v>
      </c>
      <c r="B1138" t="s">
        <v>1502</v>
      </c>
      <c r="C1138" t="s">
        <v>283</v>
      </c>
      <c r="D1138" t="s">
        <v>438</v>
      </c>
      <c r="E1138" t="s">
        <v>183</v>
      </c>
      <c r="F1138" t="s">
        <v>1503</v>
      </c>
      <c r="G1138" t="s">
        <v>1351</v>
      </c>
      <c r="H1138" t="s">
        <v>373</v>
      </c>
      <c r="I1138" t="s">
        <v>289</v>
      </c>
      <c r="J1138" t="s">
        <v>672</v>
      </c>
      <c r="K1138">
        <v>16</v>
      </c>
      <c r="L1138" s="6">
        <v>4.8768000000000002</v>
      </c>
      <c r="M1138" s="7">
        <v>19.05</v>
      </c>
      <c r="N1138" s="7">
        <v>184.15</v>
      </c>
      <c r="O1138" s="7">
        <f t="shared" si="92"/>
        <v>192.00000000000003</v>
      </c>
      <c r="P1138" s="7">
        <f t="shared" si="93"/>
        <v>0.75000000000000011</v>
      </c>
      <c r="Q1138" s="7">
        <f t="shared" si="93"/>
        <v>7.2500000000000009</v>
      </c>
      <c r="R1138" s="6">
        <f t="shared" si="94"/>
        <v>935.23</v>
      </c>
      <c r="S1138" s="6">
        <f t="shared" si="95"/>
        <v>1.7108094816000001E-2</v>
      </c>
      <c r="T1138" t="str">
        <f t="shared" si="91"/>
        <v>Ipe S4S E4E 1x8 Long</v>
      </c>
    </row>
    <row r="1139" spans="1:20" x14ac:dyDescent="0.25">
      <c r="A1139" t="s">
        <v>1351</v>
      </c>
      <c r="B1139" t="s">
        <v>1502</v>
      </c>
      <c r="C1139" t="s">
        <v>283</v>
      </c>
      <c r="D1139" t="s">
        <v>438</v>
      </c>
      <c r="E1139" t="s">
        <v>1508</v>
      </c>
      <c r="F1139" t="s">
        <v>1503</v>
      </c>
      <c r="G1139" t="s">
        <v>1351</v>
      </c>
      <c r="H1139" t="s">
        <v>373</v>
      </c>
      <c r="I1139" t="s">
        <v>289</v>
      </c>
      <c r="J1139" t="s">
        <v>672</v>
      </c>
      <c r="K1139">
        <v>17</v>
      </c>
      <c r="L1139" s="6">
        <v>5.1816000000000004</v>
      </c>
      <c r="M1139" s="7">
        <v>19.05</v>
      </c>
      <c r="N1139" s="7">
        <v>184.15</v>
      </c>
      <c r="O1139" s="7">
        <f t="shared" si="92"/>
        <v>204.00000000000003</v>
      </c>
      <c r="P1139" s="7">
        <f t="shared" si="93"/>
        <v>0.75000000000000011</v>
      </c>
      <c r="Q1139" s="7">
        <f t="shared" si="93"/>
        <v>7.2500000000000009</v>
      </c>
      <c r="R1139" s="6">
        <f t="shared" si="94"/>
        <v>935.23</v>
      </c>
      <c r="S1139" s="6">
        <f t="shared" si="95"/>
        <v>1.8177350742000005E-2</v>
      </c>
      <c r="T1139" t="str">
        <f t="shared" si="91"/>
        <v>Ipe S4S E4E 1x8 Long</v>
      </c>
    </row>
    <row r="1140" spans="1:20" x14ac:dyDescent="0.25">
      <c r="A1140" t="s">
        <v>1351</v>
      </c>
      <c r="B1140" t="s">
        <v>1502</v>
      </c>
      <c r="C1140" t="s">
        <v>283</v>
      </c>
      <c r="D1140" t="s">
        <v>438</v>
      </c>
      <c r="E1140" t="s">
        <v>1509</v>
      </c>
      <c r="F1140" t="s">
        <v>1503</v>
      </c>
      <c r="G1140" t="s">
        <v>1351</v>
      </c>
      <c r="H1140" t="s">
        <v>373</v>
      </c>
      <c r="I1140" t="s">
        <v>289</v>
      </c>
      <c r="J1140" t="s">
        <v>672</v>
      </c>
      <c r="K1140">
        <v>18</v>
      </c>
      <c r="L1140" s="6">
        <v>5.4863999999999997</v>
      </c>
      <c r="M1140" s="7">
        <v>19.05</v>
      </c>
      <c r="N1140" s="7">
        <v>184.15</v>
      </c>
      <c r="O1140" s="7">
        <f t="shared" si="92"/>
        <v>216</v>
      </c>
      <c r="P1140" s="7">
        <f t="shared" si="93"/>
        <v>0.75000000000000011</v>
      </c>
      <c r="Q1140" s="7">
        <f t="shared" si="93"/>
        <v>7.2500000000000009</v>
      </c>
      <c r="R1140" s="6">
        <f t="shared" si="94"/>
        <v>935.23</v>
      </c>
      <c r="S1140" s="6">
        <f t="shared" si="95"/>
        <v>1.9246606668000002E-2</v>
      </c>
      <c r="T1140" t="str">
        <f t="shared" si="91"/>
        <v>Ipe S4S E4E 1x8 Long</v>
      </c>
    </row>
    <row r="1141" spans="1:20" x14ac:dyDescent="0.25">
      <c r="A1141" t="s">
        <v>1351</v>
      </c>
      <c r="B1141" t="s">
        <v>1502</v>
      </c>
      <c r="C1141" t="s">
        <v>283</v>
      </c>
      <c r="D1141" t="s">
        <v>438</v>
      </c>
      <c r="E1141" t="s">
        <v>1510</v>
      </c>
      <c r="F1141" t="s">
        <v>1503</v>
      </c>
      <c r="G1141" t="s">
        <v>1351</v>
      </c>
      <c r="H1141" t="s">
        <v>373</v>
      </c>
      <c r="I1141" t="s">
        <v>289</v>
      </c>
      <c r="J1141" t="s">
        <v>672</v>
      </c>
      <c r="K1141">
        <v>19</v>
      </c>
      <c r="L1141" s="6">
        <v>5.7911999999999999</v>
      </c>
      <c r="M1141" s="7">
        <v>19.05</v>
      </c>
      <c r="N1141" s="7">
        <v>184.15</v>
      </c>
      <c r="O1141" s="7">
        <f t="shared" si="92"/>
        <v>228</v>
      </c>
      <c r="P1141" s="7">
        <f t="shared" si="93"/>
        <v>0.75000000000000011</v>
      </c>
      <c r="Q1141" s="7">
        <f t="shared" si="93"/>
        <v>7.2500000000000009</v>
      </c>
      <c r="R1141" s="6">
        <f t="shared" si="94"/>
        <v>935.23</v>
      </c>
      <c r="S1141" s="6">
        <f t="shared" si="95"/>
        <v>2.0315862594000002E-2</v>
      </c>
      <c r="T1141" t="str">
        <f t="shared" si="91"/>
        <v>Ipe S4S E4E 1x8 Long</v>
      </c>
    </row>
    <row r="1142" spans="1:20" x14ac:dyDescent="0.25">
      <c r="A1142" t="s">
        <v>1351</v>
      </c>
      <c r="B1142" t="s">
        <v>1502</v>
      </c>
      <c r="C1142" t="s">
        <v>283</v>
      </c>
      <c r="D1142" t="s">
        <v>438</v>
      </c>
      <c r="E1142" t="s">
        <v>1511</v>
      </c>
      <c r="F1142" t="s">
        <v>1503</v>
      </c>
      <c r="G1142" t="s">
        <v>1351</v>
      </c>
      <c r="H1142" t="s">
        <v>373</v>
      </c>
      <c r="I1142" t="s">
        <v>289</v>
      </c>
      <c r="J1142" t="s">
        <v>672</v>
      </c>
      <c r="K1142">
        <v>20</v>
      </c>
      <c r="L1142" s="6">
        <v>6.0960000000000001</v>
      </c>
      <c r="M1142" s="7">
        <v>19.05</v>
      </c>
      <c r="N1142" s="7">
        <v>184.15</v>
      </c>
      <c r="O1142" s="7">
        <f t="shared" si="92"/>
        <v>240</v>
      </c>
      <c r="P1142" s="7">
        <f t="shared" si="93"/>
        <v>0.75000000000000011</v>
      </c>
      <c r="Q1142" s="7">
        <f t="shared" si="93"/>
        <v>7.2500000000000009</v>
      </c>
      <c r="R1142" s="6">
        <f t="shared" si="94"/>
        <v>935.23</v>
      </c>
      <c r="S1142" s="6">
        <f t="shared" si="95"/>
        <v>2.1385118520000003E-2</v>
      </c>
      <c r="T1142" t="str">
        <f t="shared" si="91"/>
        <v>Ipe S4S E4E 1x8 Long</v>
      </c>
    </row>
    <row r="1143" spans="1:20" x14ac:dyDescent="0.25">
      <c r="A1143" t="s">
        <v>1351</v>
      </c>
      <c r="B1143" t="s">
        <v>1502</v>
      </c>
      <c r="C1143" t="s">
        <v>283</v>
      </c>
      <c r="D1143" t="s">
        <v>438</v>
      </c>
      <c r="E1143" t="s">
        <v>1512</v>
      </c>
      <c r="F1143" t="s">
        <v>1503</v>
      </c>
      <c r="G1143" t="s">
        <v>1351</v>
      </c>
      <c r="H1143" t="s">
        <v>373</v>
      </c>
      <c r="I1143" t="s">
        <v>289</v>
      </c>
      <c r="J1143" t="s">
        <v>672</v>
      </c>
      <c r="K1143">
        <v>21</v>
      </c>
      <c r="L1143" s="6">
        <v>6.4008000000000003</v>
      </c>
      <c r="M1143" s="7">
        <v>19.05</v>
      </c>
      <c r="N1143" s="7">
        <v>184.15</v>
      </c>
      <c r="O1143" s="7">
        <f t="shared" si="92"/>
        <v>252.00000000000003</v>
      </c>
      <c r="P1143" s="7">
        <f t="shared" si="93"/>
        <v>0.75000000000000011</v>
      </c>
      <c r="Q1143" s="7">
        <f t="shared" si="93"/>
        <v>7.2500000000000009</v>
      </c>
      <c r="R1143" s="6">
        <f t="shared" si="94"/>
        <v>935.23</v>
      </c>
      <c r="S1143" s="6">
        <f t="shared" si="95"/>
        <v>2.2454374446000003E-2</v>
      </c>
      <c r="T1143" t="str">
        <f t="shared" si="91"/>
        <v>Ipe S4S E4E 1x8 Long</v>
      </c>
    </row>
    <row r="1144" spans="1:20" x14ac:dyDescent="0.25">
      <c r="A1144" t="s">
        <v>1351</v>
      </c>
      <c r="B1144" t="s">
        <v>1502</v>
      </c>
      <c r="C1144" t="s">
        <v>283</v>
      </c>
      <c r="D1144" t="s">
        <v>438</v>
      </c>
      <c r="E1144" t="s">
        <v>1513</v>
      </c>
      <c r="F1144" t="s">
        <v>1503</v>
      </c>
      <c r="G1144" t="s">
        <v>1351</v>
      </c>
      <c r="H1144" t="s">
        <v>373</v>
      </c>
      <c r="I1144" t="s">
        <v>289</v>
      </c>
      <c r="J1144" t="s">
        <v>672</v>
      </c>
      <c r="K1144">
        <v>22</v>
      </c>
      <c r="L1144" s="6">
        <v>6.7055999999999996</v>
      </c>
      <c r="M1144" s="7">
        <v>19.05</v>
      </c>
      <c r="N1144" s="7">
        <v>184.15</v>
      </c>
      <c r="O1144" s="7">
        <f t="shared" si="92"/>
        <v>264</v>
      </c>
      <c r="P1144" s="7">
        <f t="shared" si="93"/>
        <v>0.75000000000000011</v>
      </c>
      <c r="Q1144" s="7">
        <f t="shared" si="93"/>
        <v>7.2500000000000009</v>
      </c>
      <c r="R1144" s="6">
        <f t="shared" si="94"/>
        <v>935.23</v>
      </c>
      <c r="S1144" s="6">
        <f t="shared" si="95"/>
        <v>2.3523630372E-2</v>
      </c>
      <c r="T1144" t="str">
        <f t="shared" si="91"/>
        <v>Ipe S4S E4E 1x8 Long</v>
      </c>
    </row>
    <row r="1145" spans="1:20" x14ac:dyDescent="0.25">
      <c r="A1145" t="s">
        <v>1351</v>
      </c>
      <c r="B1145" t="s">
        <v>1502</v>
      </c>
      <c r="C1145" t="s">
        <v>524</v>
      </c>
      <c r="D1145" t="s">
        <v>438</v>
      </c>
      <c r="E1145" t="s">
        <v>1514</v>
      </c>
      <c r="F1145" t="s">
        <v>1503</v>
      </c>
      <c r="G1145" t="s">
        <v>1351</v>
      </c>
      <c r="H1145" t="s">
        <v>373</v>
      </c>
      <c r="I1145" t="s">
        <v>289</v>
      </c>
      <c r="J1145" t="s">
        <v>672</v>
      </c>
      <c r="K1145">
        <v>3</v>
      </c>
      <c r="L1145" s="6">
        <v>0.91439999999999999</v>
      </c>
      <c r="M1145" s="7">
        <v>19.05</v>
      </c>
      <c r="N1145" s="7">
        <v>184.15</v>
      </c>
      <c r="O1145" s="7">
        <f t="shared" si="92"/>
        <v>36</v>
      </c>
      <c r="P1145" s="7">
        <f t="shared" si="93"/>
        <v>0.75000000000000011</v>
      </c>
      <c r="Q1145" s="7">
        <f t="shared" si="93"/>
        <v>7.2500000000000009</v>
      </c>
      <c r="R1145" s="6">
        <f t="shared" si="94"/>
        <v>935.23</v>
      </c>
      <c r="S1145" s="6">
        <f t="shared" si="95"/>
        <v>3.2077677780000002E-3</v>
      </c>
      <c r="T1145" t="str">
        <f t="shared" si="91"/>
        <v>Ipe S4S E4E 1x8 Short</v>
      </c>
    </row>
    <row r="1146" spans="1:20" x14ac:dyDescent="0.25">
      <c r="A1146" t="s">
        <v>1351</v>
      </c>
      <c r="B1146" t="s">
        <v>1502</v>
      </c>
      <c r="C1146" t="s">
        <v>524</v>
      </c>
      <c r="D1146" t="s">
        <v>438</v>
      </c>
      <c r="E1146" t="s">
        <v>1515</v>
      </c>
      <c r="F1146" t="s">
        <v>1503</v>
      </c>
      <c r="G1146" t="s">
        <v>1351</v>
      </c>
      <c r="H1146" t="s">
        <v>373</v>
      </c>
      <c r="I1146" t="s">
        <v>289</v>
      </c>
      <c r="J1146" t="s">
        <v>672</v>
      </c>
      <c r="K1146">
        <v>4</v>
      </c>
      <c r="L1146" s="6">
        <v>1.2192000000000001</v>
      </c>
      <c r="M1146" s="7">
        <v>19.05</v>
      </c>
      <c r="N1146" s="7">
        <v>184.15</v>
      </c>
      <c r="O1146" s="7">
        <f t="shared" si="92"/>
        <v>48.000000000000007</v>
      </c>
      <c r="P1146" s="7">
        <f t="shared" si="93"/>
        <v>0.75000000000000011</v>
      </c>
      <c r="Q1146" s="7">
        <f t="shared" si="93"/>
        <v>7.2500000000000009</v>
      </c>
      <c r="R1146" s="6">
        <f t="shared" si="94"/>
        <v>935.23</v>
      </c>
      <c r="S1146" s="6">
        <f t="shared" si="95"/>
        <v>4.2770237040000002E-3</v>
      </c>
      <c r="T1146" t="str">
        <f t="shared" si="91"/>
        <v>Ipe S4S E4E 1x8 Short</v>
      </c>
    </row>
    <row r="1147" spans="1:20" x14ac:dyDescent="0.25">
      <c r="A1147" t="s">
        <v>1351</v>
      </c>
      <c r="B1147" t="s">
        <v>1502</v>
      </c>
      <c r="C1147" t="s">
        <v>524</v>
      </c>
      <c r="D1147" t="s">
        <v>438</v>
      </c>
      <c r="E1147" t="s">
        <v>1516</v>
      </c>
      <c r="F1147" t="s">
        <v>1503</v>
      </c>
      <c r="G1147" t="s">
        <v>1351</v>
      </c>
      <c r="H1147" t="s">
        <v>373</v>
      </c>
      <c r="I1147" t="s">
        <v>289</v>
      </c>
      <c r="J1147" t="s">
        <v>672</v>
      </c>
      <c r="K1147">
        <v>5</v>
      </c>
      <c r="L1147" s="6">
        <v>1.524</v>
      </c>
      <c r="M1147" s="7">
        <v>19.05</v>
      </c>
      <c r="N1147" s="7">
        <v>184.15</v>
      </c>
      <c r="O1147" s="7">
        <f t="shared" si="92"/>
        <v>60</v>
      </c>
      <c r="P1147" s="7">
        <f t="shared" si="93"/>
        <v>0.75000000000000011</v>
      </c>
      <c r="Q1147" s="7">
        <f t="shared" si="93"/>
        <v>7.2500000000000009</v>
      </c>
      <c r="R1147" s="6">
        <f t="shared" si="94"/>
        <v>935.23</v>
      </c>
      <c r="S1147" s="6">
        <f t="shared" si="95"/>
        <v>5.3462796300000007E-3</v>
      </c>
      <c r="T1147" t="str">
        <f t="shared" si="91"/>
        <v>Ipe S4S E4E 1x8 Short</v>
      </c>
    </row>
    <row r="1148" spans="1:20" x14ac:dyDescent="0.25">
      <c r="A1148" t="s">
        <v>1351</v>
      </c>
      <c r="B1148" t="s">
        <v>1502</v>
      </c>
      <c r="C1148" t="s">
        <v>524</v>
      </c>
      <c r="D1148" t="s">
        <v>438</v>
      </c>
      <c r="E1148" t="s">
        <v>1517</v>
      </c>
      <c r="F1148" t="s">
        <v>1503</v>
      </c>
      <c r="G1148" t="s">
        <v>1351</v>
      </c>
      <c r="H1148" t="s">
        <v>373</v>
      </c>
      <c r="I1148" t="s">
        <v>289</v>
      </c>
      <c r="J1148" t="s">
        <v>672</v>
      </c>
      <c r="K1148">
        <v>6</v>
      </c>
      <c r="L1148" s="6">
        <v>1.8288</v>
      </c>
      <c r="M1148" s="7">
        <v>19.05</v>
      </c>
      <c r="N1148" s="7">
        <v>184.15</v>
      </c>
      <c r="O1148" s="7">
        <f t="shared" si="92"/>
        <v>72</v>
      </c>
      <c r="P1148" s="7">
        <f t="shared" si="93"/>
        <v>0.75000000000000011</v>
      </c>
      <c r="Q1148" s="7">
        <f t="shared" si="93"/>
        <v>7.2500000000000009</v>
      </c>
      <c r="R1148" s="6">
        <f t="shared" si="94"/>
        <v>935.23</v>
      </c>
      <c r="S1148" s="6">
        <f t="shared" si="95"/>
        <v>6.4155355560000004E-3</v>
      </c>
      <c r="T1148" t="str">
        <f t="shared" si="91"/>
        <v>Ipe S4S E4E 1x8 Short</v>
      </c>
    </row>
    <row r="1149" spans="1:20" x14ac:dyDescent="0.25">
      <c r="A1149" t="s">
        <v>1351</v>
      </c>
      <c r="B1149" t="s">
        <v>1502</v>
      </c>
      <c r="C1149" t="s">
        <v>524</v>
      </c>
      <c r="D1149" t="s">
        <v>438</v>
      </c>
      <c r="E1149" t="s">
        <v>1518</v>
      </c>
      <c r="F1149" t="s">
        <v>1503</v>
      </c>
      <c r="G1149" t="s">
        <v>1351</v>
      </c>
      <c r="H1149" t="s">
        <v>373</v>
      </c>
      <c r="I1149" t="s">
        <v>289</v>
      </c>
      <c r="J1149" t="s">
        <v>672</v>
      </c>
      <c r="K1149">
        <v>7</v>
      </c>
      <c r="L1149" s="6">
        <v>2.1335999999999999</v>
      </c>
      <c r="M1149" s="7">
        <v>19.05</v>
      </c>
      <c r="N1149" s="7">
        <v>184.15</v>
      </c>
      <c r="O1149" s="7">
        <f t="shared" si="92"/>
        <v>84</v>
      </c>
      <c r="P1149" s="7">
        <f t="shared" si="93"/>
        <v>0.75000000000000011</v>
      </c>
      <c r="Q1149" s="7">
        <f t="shared" si="93"/>
        <v>7.2500000000000009</v>
      </c>
      <c r="R1149" s="6">
        <f t="shared" si="94"/>
        <v>935.23</v>
      </c>
      <c r="S1149" s="6">
        <f t="shared" si="95"/>
        <v>7.484791482E-3</v>
      </c>
      <c r="T1149" t="str">
        <f t="shared" si="91"/>
        <v>Ipe S4S E4E 1x8 Short</v>
      </c>
    </row>
    <row r="1150" spans="1:20" x14ac:dyDescent="0.25">
      <c r="A1150" t="s">
        <v>1351</v>
      </c>
      <c r="B1150" t="s">
        <v>1502</v>
      </c>
      <c r="C1150" t="s">
        <v>283</v>
      </c>
      <c r="D1150" t="s">
        <v>438</v>
      </c>
      <c r="E1150" t="s">
        <v>1519</v>
      </c>
      <c r="F1150" t="s">
        <v>1503</v>
      </c>
      <c r="G1150" t="s">
        <v>1351</v>
      </c>
      <c r="H1150" t="s">
        <v>373</v>
      </c>
      <c r="I1150" t="s">
        <v>289</v>
      </c>
      <c r="J1150" t="s">
        <v>672</v>
      </c>
      <c r="K1150">
        <v>8</v>
      </c>
      <c r="L1150" s="6">
        <v>2.4384000000000001</v>
      </c>
      <c r="M1150" s="7">
        <v>19.05</v>
      </c>
      <c r="N1150" s="7">
        <v>184.15</v>
      </c>
      <c r="O1150" s="7">
        <f t="shared" si="92"/>
        <v>96.000000000000014</v>
      </c>
      <c r="P1150" s="7">
        <f t="shared" si="93"/>
        <v>0.75000000000000011</v>
      </c>
      <c r="Q1150" s="7">
        <f t="shared" si="93"/>
        <v>7.2500000000000009</v>
      </c>
      <c r="R1150" s="6">
        <f t="shared" si="94"/>
        <v>935.23</v>
      </c>
      <c r="S1150" s="6">
        <f t="shared" si="95"/>
        <v>8.5540474080000005E-3</v>
      </c>
      <c r="T1150" t="str">
        <f t="shared" si="91"/>
        <v>Ipe S4S E4E 1x8 Long</v>
      </c>
    </row>
    <row r="1151" spans="1:20" x14ac:dyDescent="0.25">
      <c r="A1151" t="s">
        <v>1351</v>
      </c>
      <c r="B1151" t="s">
        <v>1502</v>
      </c>
      <c r="C1151" t="s">
        <v>283</v>
      </c>
      <c r="D1151" t="s">
        <v>438</v>
      </c>
      <c r="E1151" t="s">
        <v>1520</v>
      </c>
      <c r="F1151" t="s">
        <v>1503</v>
      </c>
      <c r="G1151" t="s">
        <v>1351</v>
      </c>
      <c r="H1151" t="s">
        <v>373</v>
      </c>
      <c r="I1151" t="s">
        <v>289</v>
      </c>
      <c r="J1151" t="s">
        <v>672</v>
      </c>
      <c r="K1151">
        <v>9</v>
      </c>
      <c r="L1151" s="6">
        <v>2.7431999999999999</v>
      </c>
      <c r="M1151" s="7">
        <v>19.05</v>
      </c>
      <c r="N1151" s="7">
        <v>184.15</v>
      </c>
      <c r="O1151" s="7">
        <f t="shared" si="92"/>
        <v>108</v>
      </c>
      <c r="P1151" s="7">
        <f t="shared" si="93"/>
        <v>0.75000000000000011</v>
      </c>
      <c r="Q1151" s="7">
        <f t="shared" si="93"/>
        <v>7.2500000000000009</v>
      </c>
      <c r="R1151" s="6">
        <f t="shared" si="94"/>
        <v>935.23</v>
      </c>
      <c r="S1151" s="6">
        <f t="shared" si="95"/>
        <v>9.623303334000001E-3</v>
      </c>
      <c r="T1151" t="str">
        <f t="shared" si="91"/>
        <v>Ipe S4S E4E 1x8 Long</v>
      </c>
    </row>
    <row r="1152" spans="1:20" x14ac:dyDescent="0.25">
      <c r="A1152" t="s">
        <v>1351</v>
      </c>
      <c r="B1152" t="s">
        <v>1521</v>
      </c>
      <c r="C1152" t="s">
        <v>283</v>
      </c>
      <c r="D1152" t="s">
        <v>438</v>
      </c>
      <c r="E1152" t="s">
        <v>1522</v>
      </c>
      <c r="F1152" t="s">
        <v>1523</v>
      </c>
      <c r="G1152" t="s">
        <v>1351</v>
      </c>
      <c r="H1152" t="s">
        <v>373</v>
      </c>
      <c r="I1152" t="s">
        <v>289</v>
      </c>
      <c r="J1152" t="s">
        <v>714</v>
      </c>
      <c r="K1152">
        <v>10</v>
      </c>
      <c r="L1152" s="6">
        <v>3.048</v>
      </c>
      <c r="M1152">
        <v>38.1</v>
      </c>
      <c r="N1152">
        <v>234.95</v>
      </c>
      <c r="O1152" s="7">
        <f t="shared" si="92"/>
        <v>120</v>
      </c>
      <c r="P1152" s="7">
        <f t="shared" si="93"/>
        <v>1.5000000000000002</v>
      </c>
      <c r="Q1152" s="7">
        <f t="shared" si="93"/>
        <v>9.25</v>
      </c>
      <c r="R1152" s="6">
        <f t="shared" si="94"/>
        <v>366.50900000000001</v>
      </c>
      <c r="S1152" s="6">
        <f t="shared" si="95"/>
        <v>2.7284461560000004E-2</v>
      </c>
      <c r="T1152" t="str">
        <f t="shared" si="91"/>
        <v>Ipe S4S E4E 2x10 Long</v>
      </c>
    </row>
    <row r="1153" spans="1:20" x14ac:dyDescent="0.25">
      <c r="A1153" t="s">
        <v>1351</v>
      </c>
      <c r="B1153" t="s">
        <v>1521</v>
      </c>
      <c r="C1153" t="s">
        <v>283</v>
      </c>
      <c r="D1153" t="s">
        <v>438</v>
      </c>
      <c r="E1153" t="s">
        <v>1524</v>
      </c>
      <c r="F1153" t="s">
        <v>1523</v>
      </c>
      <c r="G1153" t="s">
        <v>1351</v>
      </c>
      <c r="H1153" t="s">
        <v>373</v>
      </c>
      <c r="I1153" t="s">
        <v>289</v>
      </c>
      <c r="J1153" t="s">
        <v>714</v>
      </c>
      <c r="K1153">
        <v>11</v>
      </c>
      <c r="L1153" s="6">
        <v>3.3527999999999998</v>
      </c>
      <c r="M1153" s="7">
        <v>38.1</v>
      </c>
      <c r="N1153" s="7">
        <v>234.95</v>
      </c>
      <c r="O1153" s="7">
        <f t="shared" si="92"/>
        <v>132</v>
      </c>
      <c r="P1153" s="7">
        <f t="shared" si="93"/>
        <v>1.5000000000000002</v>
      </c>
      <c r="Q1153" s="7">
        <f t="shared" si="93"/>
        <v>9.25</v>
      </c>
      <c r="R1153" s="6">
        <f t="shared" si="94"/>
        <v>366.50900000000001</v>
      </c>
      <c r="S1153" s="6">
        <f t="shared" si="95"/>
        <v>3.0012907715999997E-2</v>
      </c>
      <c r="T1153" t="str">
        <f t="shared" si="91"/>
        <v>Ipe S4S E4E 2x10 Long</v>
      </c>
    </row>
    <row r="1154" spans="1:20" x14ac:dyDescent="0.25">
      <c r="A1154" t="s">
        <v>1351</v>
      </c>
      <c r="B1154" t="s">
        <v>1521</v>
      </c>
      <c r="C1154" t="s">
        <v>283</v>
      </c>
      <c r="D1154" t="s">
        <v>438</v>
      </c>
      <c r="E1154" t="s">
        <v>56</v>
      </c>
      <c r="F1154" t="s">
        <v>1523</v>
      </c>
      <c r="G1154" t="s">
        <v>1351</v>
      </c>
      <c r="H1154" t="s">
        <v>373</v>
      </c>
      <c r="I1154" t="s">
        <v>289</v>
      </c>
      <c r="J1154" t="s">
        <v>714</v>
      </c>
      <c r="K1154">
        <v>12</v>
      </c>
      <c r="L1154" s="6">
        <v>3.6576</v>
      </c>
      <c r="M1154" s="7">
        <v>38.1</v>
      </c>
      <c r="N1154" s="7">
        <v>234.95</v>
      </c>
      <c r="O1154" s="7">
        <f t="shared" si="92"/>
        <v>144</v>
      </c>
      <c r="P1154" s="7">
        <f t="shared" si="93"/>
        <v>1.5000000000000002</v>
      </c>
      <c r="Q1154" s="7">
        <f t="shared" si="93"/>
        <v>9.25</v>
      </c>
      <c r="R1154" s="6">
        <f t="shared" si="94"/>
        <v>366.50900000000001</v>
      </c>
      <c r="S1154" s="6">
        <f t="shared" si="95"/>
        <v>3.2741353872000001E-2</v>
      </c>
      <c r="T1154" t="str">
        <f t="shared" ref="T1154:T1217" si="96">F1154&amp;" "&amp;C1154</f>
        <v>Ipe S4S E4E 2x10 Long</v>
      </c>
    </row>
    <row r="1155" spans="1:20" x14ac:dyDescent="0.25">
      <c r="A1155" t="s">
        <v>1351</v>
      </c>
      <c r="B1155" t="s">
        <v>1521</v>
      </c>
      <c r="C1155" t="s">
        <v>283</v>
      </c>
      <c r="D1155" t="s">
        <v>438</v>
      </c>
      <c r="E1155" t="s">
        <v>1525</v>
      </c>
      <c r="F1155" t="s">
        <v>1523</v>
      </c>
      <c r="G1155" t="s">
        <v>1351</v>
      </c>
      <c r="H1155" t="s">
        <v>373</v>
      </c>
      <c r="I1155" t="s">
        <v>289</v>
      </c>
      <c r="J1155" t="s">
        <v>714</v>
      </c>
      <c r="K1155">
        <v>13</v>
      </c>
      <c r="L1155" s="6">
        <v>3.9624000000000001</v>
      </c>
      <c r="M1155" s="7">
        <v>38.1</v>
      </c>
      <c r="N1155" s="7">
        <v>234.95</v>
      </c>
      <c r="O1155" s="7">
        <f t="shared" si="92"/>
        <v>156</v>
      </c>
      <c r="P1155" s="7">
        <f t="shared" si="93"/>
        <v>1.5000000000000002</v>
      </c>
      <c r="Q1155" s="7">
        <f t="shared" si="93"/>
        <v>9.25</v>
      </c>
      <c r="R1155" s="6">
        <f t="shared" si="94"/>
        <v>366.50900000000001</v>
      </c>
      <c r="S1155" s="6">
        <f t="shared" si="95"/>
        <v>3.5469800028000001E-2</v>
      </c>
      <c r="T1155" t="str">
        <f t="shared" si="96"/>
        <v>Ipe S4S E4E 2x10 Long</v>
      </c>
    </row>
    <row r="1156" spans="1:20" x14ac:dyDescent="0.25">
      <c r="A1156" t="s">
        <v>1351</v>
      </c>
      <c r="B1156" t="s">
        <v>1521</v>
      </c>
      <c r="C1156" t="s">
        <v>283</v>
      </c>
      <c r="D1156" t="s">
        <v>438</v>
      </c>
      <c r="E1156" t="s">
        <v>1526</v>
      </c>
      <c r="F1156" t="s">
        <v>1523</v>
      </c>
      <c r="G1156" t="s">
        <v>1351</v>
      </c>
      <c r="H1156" t="s">
        <v>373</v>
      </c>
      <c r="I1156" t="s">
        <v>289</v>
      </c>
      <c r="J1156" t="s">
        <v>714</v>
      </c>
      <c r="K1156">
        <v>14</v>
      </c>
      <c r="L1156" s="6">
        <v>4.2671999999999999</v>
      </c>
      <c r="M1156" s="7">
        <v>38.1</v>
      </c>
      <c r="N1156" s="7">
        <v>234.95</v>
      </c>
      <c r="O1156" s="7">
        <f t="shared" si="92"/>
        <v>168</v>
      </c>
      <c r="P1156" s="7">
        <f t="shared" si="93"/>
        <v>1.5000000000000002</v>
      </c>
      <c r="Q1156" s="7">
        <f t="shared" si="93"/>
        <v>9.25</v>
      </c>
      <c r="R1156" s="6">
        <f t="shared" si="94"/>
        <v>366.50900000000001</v>
      </c>
      <c r="S1156" s="6">
        <f t="shared" si="95"/>
        <v>3.8198246184000001E-2</v>
      </c>
      <c r="T1156" t="str">
        <f t="shared" si="96"/>
        <v>Ipe S4S E4E 2x10 Long</v>
      </c>
    </row>
    <row r="1157" spans="1:20" x14ac:dyDescent="0.25">
      <c r="A1157" t="s">
        <v>1351</v>
      </c>
      <c r="B1157" t="s">
        <v>1521</v>
      </c>
      <c r="C1157" t="s">
        <v>283</v>
      </c>
      <c r="D1157" t="s">
        <v>438</v>
      </c>
      <c r="E1157" t="s">
        <v>1527</v>
      </c>
      <c r="F1157" t="s">
        <v>1523</v>
      </c>
      <c r="G1157" t="s">
        <v>1351</v>
      </c>
      <c r="H1157" t="s">
        <v>373</v>
      </c>
      <c r="I1157" t="s">
        <v>289</v>
      </c>
      <c r="J1157" t="s">
        <v>714</v>
      </c>
      <c r="K1157">
        <v>15</v>
      </c>
      <c r="L1157" s="6">
        <v>4.5720000000000001</v>
      </c>
      <c r="M1157" s="7">
        <v>38.1</v>
      </c>
      <c r="N1157" s="7">
        <v>234.95</v>
      </c>
      <c r="O1157" s="7">
        <f t="shared" si="92"/>
        <v>180</v>
      </c>
      <c r="P1157" s="7">
        <f t="shared" si="93"/>
        <v>1.5000000000000002</v>
      </c>
      <c r="Q1157" s="7">
        <f t="shared" si="93"/>
        <v>9.25</v>
      </c>
      <c r="R1157" s="6">
        <f t="shared" si="94"/>
        <v>366.50900000000001</v>
      </c>
      <c r="S1157" s="6">
        <f t="shared" si="95"/>
        <v>4.0926692340000001E-2</v>
      </c>
      <c r="T1157" t="str">
        <f t="shared" si="96"/>
        <v>Ipe S4S E4E 2x10 Long</v>
      </c>
    </row>
    <row r="1158" spans="1:20" x14ac:dyDescent="0.25">
      <c r="A1158" t="s">
        <v>1351</v>
      </c>
      <c r="B1158" t="s">
        <v>1521</v>
      </c>
      <c r="C1158" t="s">
        <v>283</v>
      </c>
      <c r="D1158" t="s">
        <v>438</v>
      </c>
      <c r="E1158" t="s">
        <v>1528</v>
      </c>
      <c r="F1158" t="s">
        <v>1523</v>
      </c>
      <c r="G1158" t="s">
        <v>1351</v>
      </c>
      <c r="H1158" t="s">
        <v>373</v>
      </c>
      <c r="I1158" t="s">
        <v>289</v>
      </c>
      <c r="J1158" t="s">
        <v>714</v>
      </c>
      <c r="K1158">
        <v>16</v>
      </c>
      <c r="L1158" s="6">
        <v>4.8768000000000002</v>
      </c>
      <c r="M1158" s="7">
        <v>38.1</v>
      </c>
      <c r="N1158" s="7">
        <v>234.95</v>
      </c>
      <c r="O1158" s="7">
        <f t="shared" si="92"/>
        <v>192.00000000000003</v>
      </c>
      <c r="P1158" s="7">
        <f t="shared" si="93"/>
        <v>1.5000000000000002</v>
      </c>
      <c r="Q1158" s="7">
        <f t="shared" si="93"/>
        <v>9.25</v>
      </c>
      <c r="R1158" s="6">
        <f t="shared" si="94"/>
        <v>366.50900000000001</v>
      </c>
      <c r="S1158" s="6">
        <f t="shared" si="95"/>
        <v>4.3655138496000001E-2</v>
      </c>
      <c r="T1158" t="str">
        <f t="shared" si="96"/>
        <v>Ipe S4S E4E 2x10 Long</v>
      </c>
    </row>
    <row r="1159" spans="1:20" x14ac:dyDescent="0.25">
      <c r="A1159" t="s">
        <v>1351</v>
      </c>
      <c r="B1159" t="s">
        <v>1521</v>
      </c>
      <c r="C1159" t="s">
        <v>283</v>
      </c>
      <c r="D1159" t="s">
        <v>438</v>
      </c>
      <c r="E1159" t="s">
        <v>1529</v>
      </c>
      <c r="F1159" t="s">
        <v>1523</v>
      </c>
      <c r="G1159" t="s">
        <v>1351</v>
      </c>
      <c r="H1159" t="s">
        <v>373</v>
      </c>
      <c r="I1159" t="s">
        <v>289</v>
      </c>
      <c r="J1159" t="s">
        <v>714</v>
      </c>
      <c r="K1159">
        <v>17</v>
      </c>
      <c r="L1159" s="6">
        <v>5.1816000000000004</v>
      </c>
      <c r="M1159" s="7">
        <v>38.1</v>
      </c>
      <c r="N1159" s="7">
        <v>234.95</v>
      </c>
      <c r="O1159" s="7">
        <f t="shared" si="92"/>
        <v>204.00000000000003</v>
      </c>
      <c r="P1159" s="7">
        <f t="shared" si="93"/>
        <v>1.5000000000000002</v>
      </c>
      <c r="Q1159" s="7">
        <f t="shared" si="93"/>
        <v>9.25</v>
      </c>
      <c r="R1159" s="6">
        <f t="shared" si="94"/>
        <v>366.50900000000001</v>
      </c>
      <c r="S1159" s="6">
        <f t="shared" si="95"/>
        <v>4.6383584652000001E-2</v>
      </c>
      <c r="T1159" t="str">
        <f t="shared" si="96"/>
        <v>Ipe S4S E4E 2x10 Long</v>
      </c>
    </row>
    <row r="1160" spans="1:20" x14ac:dyDescent="0.25">
      <c r="A1160" t="s">
        <v>1351</v>
      </c>
      <c r="B1160" t="s">
        <v>1521</v>
      </c>
      <c r="C1160" t="s">
        <v>283</v>
      </c>
      <c r="D1160" t="s">
        <v>438</v>
      </c>
      <c r="E1160" t="s">
        <v>1530</v>
      </c>
      <c r="F1160" t="s">
        <v>1523</v>
      </c>
      <c r="G1160" t="s">
        <v>1351</v>
      </c>
      <c r="H1160" t="s">
        <v>373</v>
      </c>
      <c r="I1160" t="s">
        <v>289</v>
      </c>
      <c r="J1160" t="s">
        <v>714</v>
      </c>
      <c r="K1160">
        <v>18</v>
      </c>
      <c r="L1160" s="6">
        <v>5.4863999999999997</v>
      </c>
      <c r="M1160" s="7">
        <v>38.1</v>
      </c>
      <c r="N1160" s="7">
        <v>234.95</v>
      </c>
      <c r="O1160" s="7">
        <f t="shared" si="92"/>
        <v>216</v>
      </c>
      <c r="P1160" s="7">
        <f t="shared" si="93"/>
        <v>1.5000000000000002</v>
      </c>
      <c r="Q1160" s="7">
        <f t="shared" si="93"/>
        <v>9.25</v>
      </c>
      <c r="R1160" s="6">
        <f t="shared" si="94"/>
        <v>366.50900000000001</v>
      </c>
      <c r="S1160" s="6">
        <f t="shared" si="95"/>
        <v>4.9112030808000001E-2</v>
      </c>
      <c r="T1160" t="str">
        <f t="shared" si="96"/>
        <v>Ipe S4S E4E 2x10 Long</v>
      </c>
    </row>
    <row r="1161" spans="1:20" x14ac:dyDescent="0.25">
      <c r="A1161" t="s">
        <v>1351</v>
      </c>
      <c r="B1161" t="s">
        <v>1521</v>
      </c>
      <c r="C1161" t="s">
        <v>283</v>
      </c>
      <c r="D1161" t="s">
        <v>438</v>
      </c>
      <c r="E1161" t="s">
        <v>1531</v>
      </c>
      <c r="F1161" t="s">
        <v>1523</v>
      </c>
      <c r="G1161" t="s">
        <v>1351</v>
      </c>
      <c r="H1161" t="s">
        <v>373</v>
      </c>
      <c r="I1161" t="s">
        <v>289</v>
      </c>
      <c r="J1161" t="s">
        <v>714</v>
      </c>
      <c r="K1161">
        <v>19</v>
      </c>
      <c r="L1161" s="6">
        <v>5.7911999999999999</v>
      </c>
      <c r="M1161" s="7">
        <v>38.1</v>
      </c>
      <c r="N1161" s="7">
        <v>234.95</v>
      </c>
      <c r="O1161" s="7">
        <f t="shared" si="92"/>
        <v>228</v>
      </c>
      <c r="P1161" s="7">
        <f t="shared" si="93"/>
        <v>1.5000000000000002</v>
      </c>
      <c r="Q1161" s="7">
        <f t="shared" si="93"/>
        <v>9.25</v>
      </c>
      <c r="R1161" s="6">
        <f t="shared" si="94"/>
        <v>366.50900000000001</v>
      </c>
      <c r="S1161" s="6">
        <f t="shared" si="95"/>
        <v>5.1840476964000001E-2</v>
      </c>
      <c r="T1161" t="str">
        <f t="shared" si="96"/>
        <v>Ipe S4S E4E 2x10 Long</v>
      </c>
    </row>
    <row r="1162" spans="1:20" x14ac:dyDescent="0.25">
      <c r="A1162" t="s">
        <v>1351</v>
      </c>
      <c r="B1162" t="s">
        <v>1521</v>
      </c>
      <c r="C1162" t="s">
        <v>283</v>
      </c>
      <c r="D1162" t="s">
        <v>438</v>
      </c>
      <c r="E1162" t="s">
        <v>57</v>
      </c>
      <c r="F1162" t="s">
        <v>1523</v>
      </c>
      <c r="G1162" t="s">
        <v>1351</v>
      </c>
      <c r="H1162" t="s">
        <v>373</v>
      </c>
      <c r="I1162" t="s">
        <v>289</v>
      </c>
      <c r="J1162" t="s">
        <v>714</v>
      </c>
      <c r="K1162">
        <v>20</v>
      </c>
      <c r="L1162" s="6">
        <v>6.0960000000000001</v>
      </c>
      <c r="M1162" s="7">
        <v>38.1</v>
      </c>
      <c r="N1162" s="7">
        <v>234.95</v>
      </c>
      <c r="O1162" s="7">
        <f t="shared" si="92"/>
        <v>240</v>
      </c>
      <c r="P1162" s="7">
        <f t="shared" si="93"/>
        <v>1.5000000000000002</v>
      </c>
      <c r="Q1162" s="7">
        <f t="shared" si="93"/>
        <v>9.25</v>
      </c>
      <c r="R1162" s="6">
        <f t="shared" si="94"/>
        <v>366.50900000000001</v>
      </c>
      <c r="S1162" s="6">
        <f t="shared" si="95"/>
        <v>5.4568923120000008E-2</v>
      </c>
      <c r="T1162" t="str">
        <f t="shared" si="96"/>
        <v>Ipe S4S E4E 2x10 Long</v>
      </c>
    </row>
    <row r="1163" spans="1:20" x14ac:dyDescent="0.25">
      <c r="A1163" t="s">
        <v>1351</v>
      </c>
      <c r="B1163" t="s">
        <v>1521</v>
      </c>
      <c r="C1163" t="s">
        <v>283</v>
      </c>
      <c r="D1163" t="s">
        <v>438</v>
      </c>
      <c r="E1163" t="s">
        <v>1532</v>
      </c>
      <c r="F1163" t="s">
        <v>1523</v>
      </c>
      <c r="G1163" t="s">
        <v>1351</v>
      </c>
      <c r="H1163" t="s">
        <v>373</v>
      </c>
      <c r="I1163" t="s">
        <v>289</v>
      </c>
      <c r="J1163" t="s">
        <v>714</v>
      </c>
      <c r="K1163">
        <v>21</v>
      </c>
      <c r="L1163" s="6">
        <v>6.4008000000000003</v>
      </c>
      <c r="M1163" s="7">
        <v>38.1</v>
      </c>
      <c r="N1163" s="7">
        <v>234.95</v>
      </c>
      <c r="O1163" s="7">
        <f t="shared" si="92"/>
        <v>252.00000000000003</v>
      </c>
      <c r="P1163" s="7">
        <f t="shared" si="93"/>
        <v>1.5000000000000002</v>
      </c>
      <c r="Q1163" s="7">
        <f t="shared" si="93"/>
        <v>9.25</v>
      </c>
      <c r="R1163" s="6">
        <f t="shared" si="94"/>
        <v>366.50900000000001</v>
      </c>
      <c r="S1163" s="6">
        <f t="shared" si="95"/>
        <v>5.7297369276000001E-2</v>
      </c>
      <c r="T1163" t="str">
        <f t="shared" si="96"/>
        <v>Ipe S4S E4E 2x10 Long</v>
      </c>
    </row>
    <row r="1164" spans="1:20" x14ac:dyDescent="0.25">
      <c r="A1164" t="s">
        <v>1351</v>
      </c>
      <c r="B1164" t="s">
        <v>1521</v>
      </c>
      <c r="C1164" t="s">
        <v>283</v>
      </c>
      <c r="D1164" t="s">
        <v>438</v>
      </c>
      <c r="E1164" t="s">
        <v>1533</v>
      </c>
      <c r="F1164" t="s">
        <v>1523</v>
      </c>
      <c r="G1164" t="s">
        <v>1351</v>
      </c>
      <c r="H1164" t="s">
        <v>373</v>
      </c>
      <c r="I1164" t="s">
        <v>289</v>
      </c>
      <c r="J1164" t="s">
        <v>714</v>
      </c>
      <c r="K1164">
        <v>22</v>
      </c>
      <c r="L1164" s="6">
        <v>6.7055999999999996</v>
      </c>
      <c r="M1164" s="7">
        <v>38.1</v>
      </c>
      <c r="N1164" s="7">
        <v>234.95</v>
      </c>
      <c r="O1164" s="7">
        <f t="shared" si="92"/>
        <v>264</v>
      </c>
      <c r="P1164" s="7">
        <f t="shared" si="93"/>
        <v>1.5000000000000002</v>
      </c>
      <c r="Q1164" s="7">
        <f t="shared" si="93"/>
        <v>9.25</v>
      </c>
      <c r="R1164" s="6">
        <f t="shared" si="94"/>
        <v>366.50900000000001</v>
      </c>
      <c r="S1164" s="6">
        <f t="shared" si="95"/>
        <v>6.0025815431999995E-2</v>
      </c>
      <c r="T1164" t="str">
        <f t="shared" si="96"/>
        <v>Ipe S4S E4E 2x10 Long</v>
      </c>
    </row>
    <row r="1165" spans="1:20" x14ac:dyDescent="0.25">
      <c r="A1165" t="s">
        <v>1351</v>
      </c>
      <c r="B1165" t="s">
        <v>1521</v>
      </c>
      <c r="C1165" t="s">
        <v>524</v>
      </c>
      <c r="D1165" t="s">
        <v>438</v>
      </c>
      <c r="E1165" t="s">
        <v>1534</v>
      </c>
      <c r="F1165" t="s">
        <v>1523</v>
      </c>
      <c r="G1165" t="s">
        <v>1351</v>
      </c>
      <c r="H1165" t="s">
        <v>373</v>
      </c>
      <c r="I1165" t="s">
        <v>289</v>
      </c>
      <c r="J1165" t="s">
        <v>714</v>
      </c>
      <c r="K1165">
        <v>3</v>
      </c>
      <c r="L1165" s="6">
        <v>0.91439999999999999</v>
      </c>
      <c r="M1165" s="7">
        <v>38.1</v>
      </c>
      <c r="N1165" s="7">
        <v>234.95</v>
      </c>
      <c r="O1165" s="7">
        <f t="shared" si="92"/>
        <v>36</v>
      </c>
      <c r="P1165" s="7">
        <f t="shared" si="93"/>
        <v>1.5000000000000002</v>
      </c>
      <c r="Q1165" s="7">
        <f t="shared" si="93"/>
        <v>9.25</v>
      </c>
      <c r="R1165" s="6">
        <f t="shared" si="94"/>
        <v>366.50900000000001</v>
      </c>
      <c r="S1165" s="6">
        <f t="shared" si="95"/>
        <v>8.1853384680000002E-3</v>
      </c>
      <c r="T1165" t="str">
        <f t="shared" si="96"/>
        <v>Ipe S4S E4E 2x10 Short</v>
      </c>
    </row>
    <row r="1166" spans="1:20" x14ac:dyDescent="0.25">
      <c r="A1166" t="s">
        <v>1351</v>
      </c>
      <c r="B1166" t="s">
        <v>1521</v>
      </c>
      <c r="C1166" t="s">
        <v>524</v>
      </c>
      <c r="D1166" t="s">
        <v>438</v>
      </c>
      <c r="E1166" t="s">
        <v>1535</v>
      </c>
      <c r="F1166" t="s">
        <v>1523</v>
      </c>
      <c r="G1166" t="s">
        <v>1351</v>
      </c>
      <c r="H1166" t="s">
        <v>373</v>
      </c>
      <c r="I1166" t="s">
        <v>289</v>
      </c>
      <c r="J1166" t="s">
        <v>714</v>
      </c>
      <c r="K1166">
        <v>4</v>
      </c>
      <c r="L1166" s="6">
        <v>1.2192000000000001</v>
      </c>
      <c r="M1166" s="7">
        <v>38.1</v>
      </c>
      <c r="N1166" s="7">
        <v>234.95</v>
      </c>
      <c r="O1166" s="7">
        <f t="shared" si="92"/>
        <v>48.000000000000007</v>
      </c>
      <c r="P1166" s="7">
        <f t="shared" si="93"/>
        <v>1.5000000000000002</v>
      </c>
      <c r="Q1166" s="7">
        <f t="shared" si="93"/>
        <v>9.25</v>
      </c>
      <c r="R1166" s="6">
        <f t="shared" si="94"/>
        <v>366.50900000000001</v>
      </c>
      <c r="S1166" s="6">
        <f t="shared" si="95"/>
        <v>1.0913784624E-2</v>
      </c>
      <c r="T1166" t="str">
        <f t="shared" si="96"/>
        <v>Ipe S4S E4E 2x10 Short</v>
      </c>
    </row>
    <row r="1167" spans="1:20" x14ac:dyDescent="0.25">
      <c r="A1167" t="s">
        <v>1351</v>
      </c>
      <c r="B1167" t="s">
        <v>1521</v>
      </c>
      <c r="C1167" t="s">
        <v>524</v>
      </c>
      <c r="D1167" t="s">
        <v>438</v>
      </c>
      <c r="E1167" t="s">
        <v>1536</v>
      </c>
      <c r="F1167" t="s">
        <v>1523</v>
      </c>
      <c r="G1167" t="s">
        <v>1351</v>
      </c>
      <c r="H1167" t="s">
        <v>373</v>
      </c>
      <c r="I1167" t="s">
        <v>289</v>
      </c>
      <c r="J1167" t="s">
        <v>714</v>
      </c>
      <c r="K1167">
        <v>5</v>
      </c>
      <c r="L1167" s="6">
        <v>1.524</v>
      </c>
      <c r="M1167" s="7">
        <v>38.1</v>
      </c>
      <c r="N1167" s="7">
        <v>234.95</v>
      </c>
      <c r="O1167" s="7">
        <f t="shared" si="92"/>
        <v>60</v>
      </c>
      <c r="P1167" s="7">
        <f t="shared" si="93"/>
        <v>1.5000000000000002</v>
      </c>
      <c r="Q1167" s="7">
        <f t="shared" si="93"/>
        <v>9.25</v>
      </c>
      <c r="R1167" s="6">
        <f t="shared" si="94"/>
        <v>366.50900000000001</v>
      </c>
      <c r="S1167" s="6">
        <f t="shared" si="95"/>
        <v>1.3642230780000002E-2</v>
      </c>
      <c r="T1167" t="str">
        <f t="shared" si="96"/>
        <v>Ipe S4S E4E 2x10 Short</v>
      </c>
    </row>
    <row r="1168" spans="1:20" x14ac:dyDescent="0.25">
      <c r="A1168" t="s">
        <v>1351</v>
      </c>
      <c r="B1168" t="s">
        <v>1521</v>
      </c>
      <c r="C1168" t="s">
        <v>524</v>
      </c>
      <c r="D1168" t="s">
        <v>438</v>
      </c>
      <c r="E1168" t="s">
        <v>1537</v>
      </c>
      <c r="F1168" t="s">
        <v>1523</v>
      </c>
      <c r="G1168" t="s">
        <v>1351</v>
      </c>
      <c r="H1168" t="s">
        <v>373</v>
      </c>
      <c r="I1168" t="s">
        <v>289</v>
      </c>
      <c r="J1168" t="s">
        <v>714</v>
      </c>
      <c r="K1168">
        <v>6</v>
      </c>
      <c r="L1168" s="6">
        <v>1.8288</v>
      </c>
      <c r="M1168" s="7">
        <v>38.1</v>
      </c>
      <c r="N1168" s="7">
        <v>234.95</v>
      </c>
      <c r="O1168" s="7">
        <f t="shared" si="92"/>
        <v>72</v>
      </c>
      <c r="P1168" s="7">
        <f t="shared" si="93"/>
        <v>1.5000000000000002</v>
      </c>
      <c r="Q1168" s="7">
        <f t="shared" si="93"/>
        <v>9.25</v>
      </c>
      <c r="R1168" s="6">
        <f t="shared" si="94"/>
        <v>366.50900000000001</v>
      </c>
      <c r="S1168" s="6">
        <f t="shared" si="95"/>
        <v>1.6370676936E-2</v>
      </c>
      <c r="T1168" t="str">
        <f t="shared" si="96"/>
        <v>Ipe S4S E4E 2x10 Short</v>
      </c>
    </row>
    <row r="1169" spans="1:20" x14ac:dyDescent="0.25">
      <c r="A1169" t="s">
        <v>1351</v>
      </c>
      <c r="B1169" t="s">
        <v>1521</v>
      </c>
      <c r="C1169" t="s">
        <v>524</v>
      </c>
      <c r="D1169" t="s">
        <v>438</v>
      </c>
      <c r="E1169" t="s">
        <v>1538</v>
      </c>
      <c r="F1169" t="s">
        <v>1523</v>
      </c>
      <c r="G1169" t="s">
        <v>1351</v>
      </c>
      <c r="H1169" t="s">
        <v>373</v>
      </c>
      <c r="I1169" t="s">
        <v>289</v>
      </c>
      <c r="J1169" t="s">
        <v>714</v>
      </c>
      <c r="K1169">
        <v>7</v>
      </c>
      <c r="L1169" s="6">
        <v>2.1335999999999999</v>
      </c>
      <c r="M1169" s="7">
        <v>38.1</v>
      </c>
      <c r="N1169" s="7">
        <v>234.95</v>
      </c>
      <c r="O1169" s="7">
        <f t="shared" si="92"/>
        <v>84</v>
      </c>
      <c r="P1169" s="7">
        <f t="shared" si="93"/>
        <v>1.5000000000000002</v>
      </c>
      <c r="Q1169" s="7">
        <f t="shared" si="93"/>
        <v>9.25</v>
      </c>
      <c r="R1169" s="6">
        <f t="shared" si="94"/>
        <v>366.50900000000001</v>
      </c>
      <c r="S1169" s="6">
        <f t="shared" si="95"/>
        <v>1.9099123092E-2</v>
      </c>
      <c r="T1169" t="str">
        <f t="shared" si="96"/>
        <v>Ipe S4S E4E 2x10 Short</v>
      </c>
    </row>
    <row r="1170" spans="1:20" x14ac:dyDescent="0.25">
      <c r="A1170" t="s">
        <v>1351</v>
      </c>
      <c r="B1170" t="s">
        <v>1521</v>
      </c>
      <c r="C1170" t="s">
        <v>283</v>
      </c>
      <c r="D1170" t="s">
        <v>438</v>
      </c>
      <c r="E1170" t="s">
        <v>1539</v>
      </c>
      <c r="F1170" t="s">
        <v>1523</v>
      </c>
      <c r="G1170" t="s">
        <v>1351</v>
      </c>
      <c r="H1170" t="s">
        <v>373</v>
      </c>
      <c r="I1170" t="s">
        <v>289</v>
      </c>
      <c r="J1170" t="s">
        <v>714</v>
      </c>
      <c r="K1170">
        <v>8</v>
      </c>
      <c r="L1170" s="6">
        <v>2.4384000000000001</v>
      </c>
      <c r="M1170" s="7">
        <v>38.1</v>
      </c>
      <c r="N1170" s="7">
        <v>234.95</v>
      </c>
      <c r="O1170" s="7">
        <f t="shared" si="92"/>
        <v>96.000000000000014</v>
      </c>
      <c r="P1170" s="7">
        <f t="shared" si="93"/>
        <v>1.5000000000000002</v>
      </c>
      <c r="Q1170" s="7">
        <f t="shared" si="93"/>
        <v>9.25</v>
      </c>
      <c r="R1170" s="6">
        <f t="shared" si="94"/>
        <v>366.50900000000001</v>
      </c>
      <c r="S1170" s="6">
        <f t="shared" si="95"/>
        <v>2.1827569248000001E-2</v>
      </c>
      <c r="T1170" t="str">
        <f t="shared" si="96"/>
        <v>Ipe S4S E4E 2x10 Long</v>
      </c>
    </row>
    <row r="1171" spans="1:20" x14ac:dyDescent="0.25">
      <c r="A1171" t="s">
        <v>1351</v>
      </c>
      <c r="B1171" t="s">
        <v>1521</v>
      </c>
      <c r="C1171" t="s">
        <v>283</v>
      </c>
      <c r="D1171" t="s">
        <v>438</v>
      </c>
      <c r="E1171" t="s">
        <v>1540</v>
      </c>
      <c r="F1171" t="s">
        <v>1523</v>
      </c>
      <c r="G1171" t="s">
        <v>1351</v>
      </c>
      <c r="H1171" t="s">
        <v>373</v>
      </c>
      <c r="I1171" t="s">
        <v>289</v>
      </c>
      <c r="J1171" t="s">
        <v>714</v>
      </c>
      <c r="K1171">
        <v>9</v>
      </c>
      <c r="L1171" s="6">
        <v>2.7431999999999999</v>
      </c>
      <c r="M1171" s="7">
        <v>38.1</v>
      </c>
      <c r="N1171" s="7">
        <v>234.95</v>
      </c>
      <c r="O1171" s="7">
        <f t="shared" si="92"/>
        <v>108</v>
      </c>
      <c r="P1171" s="7">
        <f t="shared" si="93"/>
        <v>1.5000000000000002</v>
      </c>
      <c r="Q1171" s="7">
        <f t="shared" si="93"/>
        <v>9.25</v>
      </c>
      <c r="R1171" s="6">
        <f t="shared" si="94"/>
        <v>366.50900000000001</v>
      </c>
      <c r="S1171" s="6">
        <f t="shared" si="95"/>
        <v>2.4556015404000001E-2</v>
      </c>
      <c r="T1171" t="str">
        <f t="shared" si="96"/>
        <v>Ipe S4S E4E 2x10 Long</v>
      </c>
    </row>
    <row r="1172" spans="1:20" x14ac:dyDescent="0.25">
      <c r="A1172" t="s">
        <v>1351</v>
      </c>
      <c r="B1172" t="s">
        <v>1541</v>
      </c>
      <c r="C1172" t="s">
        <v>283</v>
      </c>
      <c r="D1172" t="s">
        <v>438</v>
      </c>
      <c r="E1172" t="s">
        <v>1542</v>
      </c>
      <c r="F1172" t="s">
        <v>1543</v>
      </c>
      <c r="G1172" t="s">
        <v>1351</v>
      </c>
      <c r="H1172" t="s">
        <v>373</v>
      </c>
      <c r="I1172" t="s">
        <v>289</v>
      </c>
      <c r="J1172" t="s">
        <v>739</v>
      </c>
      <c r="K1172">
        <v>10</v>
      </c>
      <c r="L1172" s="6">
        <v>3.048</v>
      </c>
      <c r="M1172" s="7">
        <v>38.1</v>
      </c>
      <c r="N1172" s="7">
        <v>285.75</v>
      </c>
      <c r="O1172" s="7">
        <f t="shared" si="92"/>
        <v>120</v>
      </c>
      <c r="P1172" s="7">
        <f t="shared" si="93"/>
        <v>1.5000000000000002</v>
      </c>
      <c r="Q1172" s="7">
        <f t="shared" si="93"/>
        <v>11.25</v>
      </c>
      <c r="R1172" s="6">
        <f t="shared" si="94"/>
        <v>301.35199999999998</v>
      </c>
      <c r="S1172" s="6">
        <f t="shared" si="95"/>
        <v>3.3183804600000005E-2</v>
      </c>
      <c r="T1172" t="str">
        <f t="shared" si="96"/>
        <v>Ipe S4S E4E 2x12 Long</v>
      </c>
    </row>
    <row r="1173" spans="1:20" x14ac:dyDescent="0.25">
      <c r="A1173" t="s">
        <v>1351</v>
      </c>
      <c r="B1173" t="s">
        <v>1541</v>
      </c>
      <c r="C1173" t="s">
        <v>283</v>
      </c>
      <c r="D1173" t="s">
        <v>438</v>
      </c>
      <c r="E1173" t="s">
        <v>1544</v>
      </c>
      <c r="F1173" t="s">
        <v>1543</v>
      </c>
      <c r="G1173" t="s">
        <v>1351</v>
      </c>
      <c r="H1173" t="s">
        <v>373</v>
      </c>
      <c r="I1173" t="s">
        <v>289</v>
      </c>
      <c r="J1173" t="s">
        <v>739</v>
      </c>
      <c r="K1173">
        <v>11</v>
      </c>
      <c r="L1173" s="6">
        <v>3.3527999999999998</v>
      </c>
      <c r="M1173" s="7">
        <v>38.1</v>
      </c>
      <c r="N1173" s="7">
        <v>285.75</v>
      </c>
      <c r="O1173" s="7">
        <f t="shared" si="92"/>
        <v>132</v>
      </c>
      <c r="P1173" s="7">
        <f t="shared" si="93"/>
        <v>1.5000000000000002</v>
      </c>
      <c r="Q1173" s="7">
        <f t="shared" si="93"/>
        <v>11.25</v>
      </c>
      <c r="R1173" s="6">
        <f t="shared" si="94"/>
        <v>301.35199999999998</v>
      </c>
      <c r="S1173" s="6">
        <f t="shared" si="95"/>
        <v>3.6502185060000004E-2</v>
      </c>
      <c r="T1173" t="str">
        <f t="shared" si="96"/>
        <v>Ipe S4S E4E 2x12 Long</v>
      </c>
    </row>
    <row r="1174" spans="1:20" x14ac:dyDescent="0.25">
      <c r="A1174" t="s">
        <v>1351</v>
      </c>
      <c r="B1174" t="s">
        <v>1541</v>
      </c>
      <c r="C1174" t="s">
        <v>283</v>
      </c>
      <c r="D1174" t="s">
        <v>438</v>
      </c>
      <c r="E1174" t="s">
        <v>1545</v>
      </c>
      <c r="F1174" t="s">
        <v>1543</v>
      </c>
      <c r="G1174" t="s">
        <v>1351</v>
      </c>
      <c r="H1174" t="s">
        <v>373</v>
      </c>
      <c r="I1174" t="s">
        <v>289</v>
      </c>
      <c r="J1174" t="s">
        <v>739</v>
      </c>
      <c r="K1174">
        <v>12</v>
      </c>
      <c r="L1174" s="6">
        <v>3.6576</v>
      </c>
      <c r="M1174" s="7">
        <v>38.1</v>
      </c>
      <c r="N1174" s="7">
        <v>285.75</v>
      </c>
      <c r="O1174" s="7">
        <f t="shared" si="92"/>
        <v>144</v>
      </c>
      <c r="P1174" s="7">
        <f t="shared" si="93"/>
        <v>1.5000000000000002</v>
      </c>
      <c r="Q1174" s="7">
        <f t="shared" si="93"/>
        <v>11.25</v>
      </c>
      <c r="R1174" s="6">
        <f t="shared" si="94"/>
        <v>301.35199999999998</v>
      </c>
      <c r="S1174" s="6">
        <f t="shared" si="95"/>
        <v>3.9820565519999997E-2</v>
      </c>
      <c r="T1174" t="str">
        <f t="shared" si="96"/>
        <v>Ipe S4S E4E 2x12 Long</v>
      </c>
    </row>
    <row r="1175" spans="1:20" x14ac:dyDescent="0.25">
      <c r="A1175" t="s">
        <v>1351</v>
      </c>
      <c r="B1175" t="s">
        <v>1541</v>
      </c>
      <c r="C1175" t="s">
        <v>283</v>
      </c>
      <c r="D1175" t="s">
        <v>438</v>
      </c>
      <c r="E1175" t="s">
        <v>1546</v>
      </c>
      <c r="F1175" t="s">
        <v>1543</v>
      </c>
      <c r="G1175" t="s">
        <v>1351</v>
      </c>
      <c r="H1175" t="s">
        <v>373</v>
      </c>
      <c r="I1175" t="s">
        <v>289</v>
      </c>
      <c r="J1175" t="s">
        <v>739</v>
      </c>
      <c r="K1175">
        <v>13</v>
      </c>
      <c r="L1175" s="6">
        <v>3.9624000000000001</v>
      </c>
      <c r="M1175" s="7">
        <v>38.1</v>
      </c>
      <c r="N1175" s="7">
        <v>285.75</v>
      </c>
      <c r="O1175" s="7">
        <f t="shared" si="92"/>
        <v>156</v>
      </c>
      <c r="P1175" s="7">
        <f t="shared" si="93"/>
        <v>1.5000000000000002</v>
      </c>
      <c r="Q1175" s="7">
        <f t="shared" si="93"/>
        <v>11.25</v>
      </c>
      <c r="R1175" s="6">
        <f t="shared" si="94"/>
        <v>301.35199999999998</v>
      </c>
      <c r="S1175" s="6">
        <f t="shared" si="95"/>
        <v>4.3138945980000003E-2</v>
      </c>
      <c r="T1175" t="str">
        <f t="shared" si="96"/>
        <v>Ipe S4S E4E 2x12 Long</v>
      </c>
    </row>
    <row r="1176" spans="1:20" x14ac:dyDescent="0.25">
      <c r="A1176" t="s">
        <v>1351</v>
      </c>
      <c r="B1176" t="s">
        <v>1541</v>
      </c>
      <c r="C1176" t="s">
        <v>283</v>
      </c>
      <c r="D1176" t="s">
        <v>438</v>
      </c>
      <c r="E1176" t="s">
        <v>1547</v>
      </c>
      <c r="F1176" t="s">
        <v>1543</v>
      </c>
      <c r="G1176" t="s">
        <v>1351</v>
      </c>
      <c r="H1176" t="s">
        <v>373</v>
      </c>
      <c r="I1176" t="s">
        <v>289</v>
      </c>
      <c r="J1176" t="s">
        <v>739</v>
      </c>
      <c r="K1176">
        <v>14</v>
      </c>
      <c r="L1176" s="6">
        <v>4.2671999999999999</v>
      </c>
      <c r="M1176" s="7">
        <v>38.1</v>
      </c>
      <c r="N1176" s="7">
        <v>285.75</v>
      </c>
      <c r="O1176" s="7">
        <f t="shared" si="92"/>
        <v>168</v>
      </c>
      <c r="P1176" s="7">
        <f t="shared" si="93"/>
        <v>1.5000000000000002</v>
      </c>
      <c r="Q1176" s="7">
        <f t="shared" si="93"/>
        <v>11.25</v>
      </c>
      <c r="R1176" s="6">
        <f t="shared" si="94"/>
        <v>301.35199999999998</v>
      </c>
      <c r="S1176" s="6">
        <f t="shared" si="95"/>
        <v>4.6457326440000002E-2</v>
      </c>
      <c r="T1176" t="str">
        <f t="shared" si="96"/>
        <v>Ipe S4S E4E 2x12 Long</v>
      </c>
    </row>
    <row r="1177" spans="1:20" x14ac:dyDescent="0.25">
      <c r="A1177" t="s">
        <v>1351</v>
      </c>
      <c r="B1177" t="s">
        <v>1541</v>
      </c>
      <c r="C1177" t="s">
        <v>283</v>
      </c>
      <c r="D1177" t="s">
        <v>438</v>
      </c>
      <c r="E1177" t="s">
        <v>1548</v>
      </c>
      <c r="F1177" t="s">
        <v>1543</v>
      </c>
      <c r="G1177" t="s">
        <v>1351</v>
      </c>
      <c r="H1177" t="s">
        <v>373</v>
      </c>
      <c r="I1177" t="s">
        <v>289</v>
      </c>
      <c r="J1177" t="s">
        <v>739</v>
      </c>
      <c r="K1177">
        <v>15</v>
      </c>
      <c r="L1177" s="6">
        <v>4.5720000000000001</v>
      </c>
      <c r="M1177" s="7">
        <v>38.1</v>
      </c>
      <c r="N1177" s="7">
        <v>285.75</v>
      </c>
      <c r="O1177" s="7">
        <f t="shared" si="92"/>
        <v>180</v>
      </c>
      <c r="P1177" s="7">
        <f t="shared" si="93"/>
        <v>1.5000000000000002</v>
      </c>
      <c r="Q1177" s="7">
        <f t="shared" si="93"/>
        <v>11.25</v>
      </c>
      <c r="R1177" s="6">
        <f t="shared" si="94"/>
        <v>301.35199999999998</v>
      </c>
      <c r="S1177" s="6">
        <f t="shared" si="95"/>
        <v>4.9775706900000001E-2</v>
      </c>
      <c r="T1177" t="str">
        <f t="shared" si="96"/>
        <v>Ipe S4S E4E 2x12 Long</v>
      </c>
    </row>
    <row r="1178" spans="1:20" x14ac:dyDescent="0.25">
      <c r="A1178" t="s">
        <v>1351</v>
      </c>
      <c r="B1178" t="s">
        <v>1541</v>
      </c>
      <c r="C1178" t="s">
        <v>283</v>
      </c>
      <c r="D1178" t="s">
        <v>438</v>
      </c>
      <c r="E1178" t="s">
        <v>1549</v>
      </c>
      <c r="F1178" t="s">
        <v>1543</v>
      </c>
      <c r="G1178" t="s">
        <v>1351</v>
      </c>
      <c r="H1178" t="s">
        <v>373</v>
      </c>
      <c r="I1178" t="s">
        <v>289</v>
      </c>
      <c r="J1178" t="s">
        <v>739</v>
      </c>
      <c r="K1178">
        <v>16</v>
      </c>
      <c r="L1178" s="6">
        <v>4.8768000000000002</v>
      </c>
      <c r="M1178" s="7">
        <v>38.1</v>
      </c>
      <c r="N1178" s="7">
        <v>285.75</v>
      </c>
      <c r="O1178" s="7">
        <f t="shared" si="92"/>
        <v>192.00000000000003</v>
      </c>
      <c r="P1178" s="7">
        <f t="shared" si="93"/>
        <v>1.5000000000000002</v>
      </c>
      <c r="Q1178" s="7">
        <f t="shared" si="93"/>
        <v>11.25</v>
      </c>
      <c r="R1178" s="6">
        <f t="shared" si="94"/>
        <v>301.35199999999998</v>
      </c>
      <c r="S1178" s="6">
        <f t="shared" si="95"/>
        <v>5.309408736E-2</v>
      </c>
      <c r="T1178" t="str">
        <f t="shared" si="96"/>
        <v>Ipe S4S E4E 2x12 Long</v>
      </c>
    </row>
    <row r="1179" spans="1:20" x14ac:dyDescent="0.25">
      <c r="A1179" t="s">
        <v>1351</v>
      </c>
      <c r="B1179" t="s">
        <v>1541</v>
      </c>
      <c r="C1179" t="s">
        <v>283</v>
      </c>
      <c r="D1179" t="s">
        <v>438</v>
      </c>
      <c r="E1179" t="s">
        <v>1550</v>
      </c>
      <c r="F1179" t="s">
        <v>1543</v>
      </c>
      <c r="G1179" t="s">
        <v>1351</v>
      </c>
      <c r="H1179" t="s">
        <v>373</v>
      </c>
      <c r="I1179" t="s">
        <v>289</v>
      </c>
      <c r="J1179" t="s">
        <v>739</v>
      </c>
      <c r="K1179">
        <v>17</v>
      </c>
      <c r="L1179" s="6">
        <v>5.1816000000000004</v>
      </c>
      <c r="M1179" s="7">
        <v>38.1</v>
      </c>
      <c r="N1179" s="7">
        <v>285.75</v>
      </c>
      <c r="O1179" s="7">
        <f t="shared" si="92"/>
        <v>204.00000000000003</v>
      </c>
      <c r="P1179" s="7">
        <f t="shared" si="93"/>
        <v>1.5000000000000002</v>
      </c>
      <c r="Q1179" s="7">
        <f t="shared" si="93"/>
        <v>11.25</v>
      </c>
      <c r="R1179" s="6">
        <f t="shared" si="94"/>
        <v>301.35199999999998</v>
      </c>
      <c r="S1179" s="6">
        <f t="shared" si="95"/>
        <v>5.6412467820000013E-2</v>
      </c>
      <c r="T1179" t="str">
        <f t="shared" si="96"/>
        <v>Ipe S4S E4E 2x12 Long</v>
      </c>
    </row>
    <row r="1180" spans="1:20" x14ac:dyDescent="0.25">
      <c r="A1180" t="s">
        <v>1351</v>
      </c>
      <c r="B1180" t="s">
        <v>1541</v>
      </c>
      <c r="C1180" t="s">
        <v>283</v>
      </c>
      <c r="D1180" t="s">
        <v>438</v>
      </c>
      <c r="E1180" t="s">
        <v>1551</v>
      </c>
      <c r="F1180" t="s">
        <v>1543</v>
      </c>
      <c r="G1180" t="s">
        <v>1351</v>
      </c>
      <c r="H1180" t="s">
        <v>373</v>
      </c>
      <c r="I1180" t="s">
        <v>289</v>
      </c>
      <c r="J1180" t="s">
        <v>739</v>
      </c>
      <c r="K1180">
        <v>18</v>
      </c>
      <c r="L1180" s="6">
        <v>5.4863999999999997</v>
      </c>
      <c r="M1180" s="7">
        <v>38.1</v>
      </c>
      <c r="N1180" s="7">
        <v>285.75</v>
      </c>
      <c r="O1180" s="7">
        <f t="shared" si="92"/>
        <v>216</v>
      </c>
      <c r="P1180" s="7">
        <f t="shared" si="93"/>
        <v>1.5000000000000002</v>
      </c>
      <c r="Q1180" s="7">
        <f t="shared" si="93"/>
        <v>11.25</v>
      </c>
      <c r="R1180" s="6">
        <f t="shared" si="94"/>
        <v>301.35199999999998</v>
      </c>
      <c r="S1180" s="6">
        <f t="shared" si="95"/>
        <v>5.9730848279999998E-2</v>
      </c>
      <c r="T1180" t="str">
        <f t="shared" si="96"/>
        <v>Ipe S4S E4E 2x12 Long</v>
      </c>
    </row>
    <row r="1181" spans="1:20" x14ac:dyDescent="0.25">
      <c r="A1181" t="s">
        <v>1351</v>
      </c>
      <c r="B1181" t="s">
        <v>1541</v>
      </c>
      <c r="C1181" t="s">
        <v>283</v>
      </c>
      <c r="D1181" t="s">
        <v>438</v>
      </c>
      <c r="E1181" t="s">
        <v>1552</v>
      </c>
      <c r="F1181" t="s">
        <v>1543</v>
      </c>
      <c r="G1181" t="s">
        <v>1351</v>
      </c>
      <c r="H1181" t="s">
        <v>373</v>
      </c>
      <c r="I1181" t="s">
        <v>289</v>
      </c>
      <c r="J1181" t="s">
        <v>739</v>
      </c>
      <c r="K1181">
        <v>19</v>
      </c>
      <c r="L1181" s="6">
        <v>5.7911999999999999</v>
      </c>
      <c r="M1181" s="7">
        <v>38.1</v>
      </c>
      <c r="N1181" s="7">
        <v>285.75</v>
      </c>
      <c r="O1181" s="7">
        <f t="shared" si="92"/>
        <v>228</v>
      </c>
      <c r="P1181" s="7">
        <f t="shared" si="93"/>
        <v>1.5000000000000002</v>
      </c>
      <c r="Q1181" s="7">
        <f t="shared" si="93"/>
        <v>11.25</v>
      </c>
      <c r="R1181" s="6">
        <f t="shared" si="94"/>
        <v>301.35199999999998</v>
      </c>
      <c r="S1181" s="6">
        <f t="shared" si="95"/>
        <v>6.3049228740000005E-2</v>
      </c>
      <c r="T1181" t="str">
        <f t="shared" si="96"/>
        <v>Ipe S4S E4E 2x12 Long</v>
      </c>
    </row>
    <row r="1182" spans="1:20" x14ac:dyDescent="0.25">
      <c r="A1182" t="s">
        <v>1351</v>
      </c>
      <c r="B1182" t="s">
        <v>1541</v>
      </c>
      <c r="C1182" t="s">
        <v>283</v>
      </c>
      <c r="D1182" t="s">
        <v>438</v>
      </c>
      <c r="E1182" t="s">
        <v>1553</v>
      </c>
      <c r="F1182" t="s">
        <v>1543</v>
      </c>
      <c r="G1182" t="s">
        <v>1351</v>
      </c>
      <c r="H1182" t="s">
        <v>373</v>
      </c>
      <c r="I1182" t="s">
        <v>289</v>
      </c>
      <c r="J1182" t="s">
        <v>739</v>
      </c>
      <c r="K1182">
        <v>20</v>
      </c>
      <c r="L1182" s="6">
        <v>6.0960000000000001</v>
      </c>
      <c r="M1182" s="7">
        <v>38.1</v>
      </c>
      <c r="N1182" s="7">
        <v>285.75</v>
      </c>
      <c r="O1182" s="7">
        <f t="shared" ref="O1182:O1245" si="97">L1182/0.0254</f>
        <v>240</v>
      </c>
      <c r="P1182" s="7">
        <f t="shared" ref="P1182:Q1245" si="98">M1182/25.4</f>
        <v>1.5000000000000002</v>
      </c>
      <c r="Q1182" s="7">
        <f t="shared" si="98"/>
        <v>11.25</v>
      </c>
      <c r="R1182" s="6">
        <f t="shared" ref="R1182:R1245" si="99">ROUND(IFERROR(1/((M1182*N1182*0.3048)/1000000),0),3)</f>
        <v>301.35199999999998</v>
      </c>
      <c r="S1182" s="6">
        <f t="shared" ref="S1182:S1245" si="100">L1182*M1182/1000*N1182/1000</f>
        <v>6.6367609200000011E-2</v>
      </c>
      <c r="T1182" t="str">
        <f t="shared" si="96"/>
        <v>Ipe S4S E4E 2x12 Long</v>
      </c>
    </row>
    <row r="1183" spans="1:20" x14ac:dyDescent="0.25">
      <c r="A1183" t="s">
        <v>1351</v>
      </c>
      <c r="B1183" t="s">
        <v>1541</v>
      </c>
      <c r="C1183" t="s">
        <v>283</v>
      </c>
      <c r="D1183" t="s">
        <v>438</v>
      </c>
      <c r="E1183" t="s">
        <v>1554</v>
      </c>
      <c r="F1183" t="s">
        <v>1543</v>
      </c>
      <c r="G1183" t="s">
        <v>1351</v>
      </c>
      <c r="H1183" t="s">
        <v>373</v>
      </c>
      <c r="I1183" t="s">
        <v>289</v>
      </c>
      <c r="J1183" t="s">
        <v>739</v>
      </c>
      <c r="K1183">
        <v>21</v>
      </c>
      <c r="L1183" s="6">
        <v>6.4008000000000003</v>
      </c>
      <c r="M1183" s="7">
        <v>38.1</v>
      </c>
      <c r="N1183" s="7">
        <v>285.75</v>
      </c>
      <c r="O1183" s="7">
        <f t="shared" si="97"/>
        <v>252.00000000000003</v>
      </c>
      <c r="P1183" s="7">
        <f t="shared" si="98"/>
        <v>1.5000000000000002</v>
      </c>
      <c r="Q1183" s="7">
        <f t="shared" si="98"/>
        <v>11.25</v>
      </c>
      <c r="R1183" s="6">
        <f t="shared" si="99"/>
        <v>301.35199999999998</v>
      </c>
      <c r="S1183" s="6">
        <f t="shared" si="100"/>
        <v>6.9685989660000003E-2</v>
      </c>
      <c r="T1183" t="str">
        <f t="shared" si="96"/>
        <v>Ipe S4S E4E 2x12 Long</v>
      </c>
    </row>
    <row r="1184" spans="1:20" x14ac:dyDescent="0.25">
      <c r="A1184" t="s">
        <v>1351</v>
      </c>
      <c r="B1184" t="s">
        <v>1541</v>
      </c>
      <c r="C1184" t="s">
        <v>283</v>
      </c>
      <c r="D1184" t="s">
        <v>438</v>
      </c>
      <c r="E1184" t="s">
        <v>1555</v>
      </c>
      <c r="F1184" t="s">
        <v>1543</v>
      </c>
      <c r="G1184" t="s">
        <v>1351</v>
      </c>
      <c r="H1184" t="s">
        <v>373</v>
      </c>
      <c r="I1184" t="s">
        <v>289</v>
      </c>
      <c r="J1184" t="s">
        <v>739</v>
      </c>
      <c r="K1184">
        <v>22</v>
      </c>
      <c r="L1184" s="6">
        <v>6.7055999999999996</v>
      </c>
      <c r="M1184" s="7">
        <v>38.1</v>
      </c>
      <c r="N1184" s="7">
        <v>285.75</v>
      </c>
      <c r="O1184" s="7">
        <f t="shared" si="97"/>
        <v>264</v>
      </c>
      <c r="P1184" s="7">
        <f t="shared" si="98"/>
        <v>1.5000000000000002</v>
      </c>
      <c r="Q1184" s="7">
        <f t="shared" si="98"/>
        <v>11.25</v>
      </c>
      <c r="R1184" s="6">
        <f t="shared" si="99"/>
        <v>301.35199999999998</v>
      </c>
      <c r="S1184" s="6">
        <f t="shared" si="100"/>
        <v>7.3004370120000009E-2</v>
      </c>
      <c r="T1184" t="str">
        <f t="shared" si="96"/>
        <v>Ipe S4S E4E 2x12 Long</v>
      </c>
    </row>
    <row r="1185" spans="1:20" x14ac:dyDescent="0.25">
      <c r="A1185" t="s">
        <v>1351</v>
      </c>
      <c r="B1185" t="s">
        <v>1541</v>
      </c>
      <c r="C1185" t="s">
        <v>283</v>
      </c>
      <c r="D1185" t="s">
        <v>438</v>
      </c>
      <c r="E1185" t="s">
        <v>1556</v>
      </c>
      <c r="F1185" t="s">
        <v>1543</v>
      </c>
      <c r="G1185" t="s">
        <v>1351</v>
      </c>
      <c r="H1185" t="s">
        <v>373</v>
      </c>
      <c r="I1185" t="s">
        <v>289</v>
      </c>
      <c r="J1185" t="s">
        <v>739</v>
      </c>
      <c r="K1185">
        <v>24</v>
      </c>
      <c r="L1185" s="6">
        <v>7.3152000000000008</v>
      </c>
      <c r="M1185" s="7">
        <v>38.1</v>
      </c>
      <c r="N1185" s="7">
        <v>285.75</v>
      </c>
      <c r="O1185" s="7">
        <f t="shared" si="97"/>
        <v>288.00000000000006</v>
      </c>
      <c r="P1185" s="7">
        <f t="shared" si="98"/>
        <v>1.5000000000000002</v>
      </c>
      <c r="Q1185" s="7">
        <f t="shared" si="98"/>
        <v>11.25</v>
      </c>
      <c r="R1185" s="6">
        <f t="shared" si="99"/>
        <v>301.35199999999998</v>
      </c>
      <c r="S1185" s="6">
        <f t="shared" si="100"/>
        <v>7.9641131040000007E-2</v>
      </c>
      <c r="T1185" t="str">
        <f t="shared" si="96"/>
        <v>Ipe S4S E4E 2x12 Long</v>
      </c>
    </row>
    <row r="1186" spans="1:20" x14ac:dyDescent="0.25">
      <c r="A1186" t="s">
        <v>1351</v>
      </c>
      <c r="B1186" t="s">
        <v>1541</v>
      </c>
      <c r="C1186" t="s">
        <v>524</v>
      </c>
      <c r="D1186" t="s">
        <v>438</v>
      </c>
      <c r="E1186" t="s">
        <v>1557</v>
      </c>
      <c r="F1186" t="s">
        <v>1543</v>
      </c>
      <c r="G1186" t="s">
        <v>1351</v>
      </c>
      <c r="H1186" t="s">
        <v>373</v>
      </c>
      <c r="I1186" t="s">
        <v>289</v>
      </c>
      <c r="J1186" t="s">
        <v>739</v>
      </c>
      <c r="K1186">
        <v>3</v>
      </c>
      <c r="L1186" s="6">
        <v>0.91439999999999999</v>
      </c>
      <c r="M1186" s="7">
        <v>38.1</v>
      </c>
      <c r="N1186" s="7">
        <v>285.75</v>
      </c>
      <c r="O1186" s="7">
        <f t="shared" si="97"/>
        <v>36</v>
      </c>
      <c r="P1186" s="7">
        <f t="shared" si="98"/>
        <v>1.5000000000000002</v>
      </c>
      <c r="Q1186" s="7">
        <f t="shared" si="98"/>
        <v>11.25</v>
      </c>
      <c r="R1186" s="6">
        <f t="shared" si="99"/>
        <v>301.35199999999998</v>
      </c>
      <c r="S1186" s="6">
        <f t="shared" si="100"/>
        <v>9.9551413799999992E-3</v>
      </c>
      <c r="T1186" t="str">
        <f t="shared" si="96"/>
        <v>Ipe S4S E4E 2x12 Short</v>
      </c>
    </row>
    <row r="1187" spans="1:20" x14ac:dyDescent="0.25">
      <c r="A1187" t="s">
        <v>1351</v>
      </c>
      <c r="B1187" t="s">
        <v>1541</v>
      </c>
      <c r="C1187" t="s">
        <v>524</v>
      </c>
      <c r="D1187" t="s">
        <v>438</v>
      </c>
      <c r="E1187" t="s">
        <v>1558</v>
      </c>
      <c r="F1187" t="s">
        <v>1543</v>
      </c>
      <c r="G1187" t="s">
        <v>1351</v>
      </c>
      <c r="H1187" t="s">
        <v>373</v>
      </c>
      <c r="I1187" t="s">
        <v>289</v>
      </c>
      <c r="J1187" t="s">
        <v>739</v>
      </c>
      <c r="K1187">
        <v>4</v>
      </c>
      <c r="L1187" s="6">
        <v>1.2192000000000001</v>
      </c>
      <c r="M1187" s="7">
        <v>38.1</v>
      </c>
      <c r="N1187" s="7">
        <v>285.75</v>
      </c>
      <c r="O1187" s="7">
        <f t="shared" si="97"/>
        <v>48.000000000000007</v>
      </c>
      <c r="P1187" s="7">
        <f t="shared" si="98"/>
        <v>1.5000000000000002</v>
      </c>
      <c r="Q1187" s="7">
        <f t="shared" si="98"/>
        <v>11.25</v>
      </c>
      <c r="R1187" s="6">
        <f t="shared" si="99"/>
        <v>301.35199999999998</v>
      </c>
      <c r="S1187" s="6">
        <f t="shared" si="100"/>
        <v>1.327352184E-2</v>
      </c>
      <c r="T1187" t="str">
        <f t="shared" si="96"/>
        <v>Ipe S4S E4E 2x12 Short</v>
      </c>
    </row>
    <row r="1188" spans="1:20" x14ac:dyDescent="0.25">
      <c r="A1188" t="s">
        <v>1351</v>
      </c>
      <c r="B1188" t="s">
        <v>1541</v>
      </c>
      <c r="C1188" t="s">
        <v>524</v>
      </c>
      <c r="D1188" t="s">
        <v>438</v>
      </c>
      <c r="E1188" t="s">
        <v>1559</v>
      </c>
      <c r="F1188" t="s">
        <v>1543</v>
      </c>
      <c r="G1188" t="s">
        <v>1351</v>
      </c>
      <c r="H1188" t="s">
        <v>373</v>
      </c>
      <c r="I1188" t="s">
        <v>289</v>
      </c>
      <c r="J1188" t="s">
        <v>739</v>
      </c>
      <c r="K1188">
        <v>5</v>
      </c>
      <c r="L1188" s="6">
        <v>1.524</v>
      </c>
      <c r="M1188" s="7">
        <v>38.1</v>
      </c>
      <c r="N1188" s="7">
        <v>285.75</v>
      </c>
      <c r="O1188" s="7">
        <f t="shared" si="97"/>
        <v>60</v>
      </c>
      <c r="P1188" s="7">
        <f t="shared" si="98"/>
        <v>1.5000000000000002</v>
      </c>
      <c r="Q1188" s="7">
        <f t="shared" si="98"/>
        <v>11.25</v>
      </c>
      <c r="R1188" s="6">
        <f t="shared" si="99"/>
        <v>301.35199999999998</v>
      </c>
      <c r="S1188" s="6">
        <f t="shared" si="100"/>
        <v>1.6591902300000003E-2</v>
      </c>
      <c r="T1188" t="str">
        <f t="shared" si="96"/>
        <v>Ipe S4S E4E 2x12 Short</v>
      </c>
    </row>
    <row r="1189" spans="1:20" x14ac:dyDescent="0.25">
      <c r="A1189" t="s">
        <v>1351</v>
      </c>
      <c r="B1189" t="s">
        <v>1541</v>
      </c>
      <c r="C1189" t="s">
        <v>524</v>
      </c>
      <c r="D1189" t="s">
        <v>438</v>
      </c>
      <c r="E1189" t="s">
        <v>1560</v>
      </c>
      <c r="F1189" t="s">
        <v>1543</v>
      </c>
      <c r="G1189" t="s">
        <v>1351</v>
      </c>
      <c r="H1189" t="s">
        <v>373</v>
      </c>
      <c r="I1189" t="s">
        <v>289</v>
      </c>
      <c r="J1189" t="s">
        <v>739</v>
      </c>
      <c r="K1189">
        <v>6</v>
      </c>
      <c r="L1189" s="6">
        <v>1.8288</v>
      </c>
      <c r="M1189" s="7">
        <v>38.1</v>
      </c>
      <c r="N1189" s="7">
        <v>285.75</v>
      </c>
      <c r="O1189" s="7">
        <f t="shared" si="97"/>
        <v>72</v>
      </c>
      <c r="P1189" s="7">
        <f t="shared" si="98"/>
        <v>1.5000000000000002</v>
      </c>
      <c r="Q1189" s="7">
        <f t="shared" si="98"/>
        <v>11.25</v>
      </c>
      <c r="R1189" s="6">
        <f t="shared" si="99"/>
        <v>301.35199999999998</v>
      </c>
      <c r="S1189" s="6">
        <f t="shared" si="100"/>
        <v>1.9910282759999998E-2</v>
      </c>
      <c r="T1189" t="str">
        <f t="shared" si="96"/>
        <v>Ipe S4S E4E 2x12 Short</v>
      </c>
    </row>
    <row r="1190" spans="1:20" x14ac:dyDescent="0.25">
      <c r="A1190" t="s">
        <v>1351</v>
      </c>
      <c r="B1190" t="s">
        <v>1541</v>
      </c>
      <c r="C1190" t="s">
        <v>524</v>
      </c>
      <c r="D1190" t="s">
        <v>438</v>
      </c>
      <c r="E1190" t="s">
        <v>1561</v>
      </c>
      <c r="F1190" t="s">
        <v>1543</v>
      </c>
      <c r="G1190" t="s">
        <v>1351</v>
      </c>
      <c r="H1190" t="s">
        <v>373</v>
      </c>
      <c r="I1190" t="s">
        <v>289</v>
      </c>
      <c r="J1190" t="s">
        <v>739</v>
      </c>
      <c r="K1190">
        <v>7</v>
      </c>
      <c r="L1190" s="6">
        <v>2.1335999999999999</v>
      </c>
      <c r="M1190" s="7">
        <v>38.1</v>
      </c>
      <c r="N1190" s="7">
        <v>285.75</v>
      </c>
      <c r="O1190" s="7">
        <f t="shared" si="97"/>
        <v>84</v>
      </c>
      <c r="P1190" s="7">
        <f t="shared" si="98"/>
        <v>1.5000000000000002</v>
      </c>
      <c r="Q1190" s="7">
        <f t="shared" si="98"/>
        <v>11.25</v>
      </c>
      <c r="R1190" s="6">
        <f t="shared" si="99"/>
        <v>301.35199999999998</v>
      </c>
      <c r="S1190" s="6">
        <f t="shared" si="100"/>
        <v>2.3228663220000001E-2</v>
      </c>
      <c r="T1190" t="str">
        <f t="shared" si="96"/>
        <v>Ipe S4S E4E 2x12 Short</v>
      </c>
    </row>
    <row r="1191" spans="1:20" x14ac:dyDescent="0.25">
      <c r="A1191" t="s">
        <v>1351</v>
      </c>
      <c r="B1191" t="s">
        <v>1541</v>
      </c>
      <c r="C1191" t="s">
        <v>283</v>
      </c>
      <c r="D1191" t="s">
        <v>438</v>
      </c>
      <c r="E1191" t="s">
        <v>1562</v>
      </c>
      <c r="F1191" t="s">
        <v>1543</v>
      </c>
      <c r="G1191" t="s">
        <v>1351</v>
      </c>
      <c r="H1191" t="s">
        <v>373</v>
      </c>
      <c r="I1191" t="s">
        <v>289</v>
      </c>
      <c r="J1191" t="s">
        <v>739</v>
      </c>
      <c r="K1191">
        <v>8</v>
      </c>
      <c r="L1191" s="6">
        <v>2.4384000000000001</v>
      </c>
      <c r="M1191" s="7">
        <v>38.1</v>
      </c>
      <c r="N1191" s="7">
        <v>285.75</v>
      </c>
      <c r="O1191" s="7">
        <f t="shared" si="97"/>
        <v>96.000000000000014</v>
      </c>
      <c r="P1191" s="7">
        <f t="shared" si="98"/>
        <v>1.5000000000000002</v>
      </c>
      <c r="Q1191" s="7">
        <f t="shared" si="98"/>
        <v>11.25</v>
      </c>
      <c r="R1191" s="6">
        <f t="shared" si="99"/>
        <v>301.35199999999998</v>
      </c>
      <c r="S1191" s="6">
        <f t="shared" si="100"/>
        <v>2.654704368E-2</v>
      </c>
      <c r="T1191" t="str">
        <f t="shared" si="96"/>
        <v>Ipe S4S E4E 2x12 Long</v>
      </c>
    </row>
    <row r="1192" spans="1:20" x14ac:dyDescent="0.25">
      <c r="A1192" t="s">
        <v>1351</v>
      </c>
      <c r="B1192" t="s">
        <v>1541</v>
      </c>
      <c r="C1192" t="s">
        <v>283</v>
      </c>
      <c r="D1192" t="s">
        <v>438</v>
      </c>
      <c r="E1192" t="s">
        <v>1563</v>
      </c>
      <c r="F1192" t="s">
        <v>1543</v>
      </c>
      <c r="G1192" t="s">
        <v>1351</v>
      </c>
      <c r="H1192" t="s">
        <v>373</v>
      </c>
      <c r="I1192" t="s">
        <v>289</v>
      </c>
      <c r="J1192" t="s">
        <v>739</v>
      </c>
      <c r="K1192">
        <v>9</v>
      </c>
      <c r="L1192" s="6">
        <v>2.7431999999999999</v>
      </c>
      <c r="M1192" s="7">
        <v>38.1</v>
      </c>
      <c r="N1192" s="7">
        <v>285.75</v>
      </c>
      <c r="O1192" s="7">
        <f t="shared" si="97"/>
        <v>108</v>
      </c>
      <c r="P1192" s="7">
        <f t="shared" si="98"/>
        <v>1.5000000000000002</v>
      </c>
      <c r="Q1192" s="7">
        <f t="shared" si="98"/>
        <v>11.25</v>
      </c>
      <c r="R1192" s="6">
        <f t="shared" si="99"/>
        <v>301.35199999999998</v>
      </c>
      <c r="S1192" s="6">
        <f t="shared" si="100"/>
        <v>2.9865424139999999E-2</v>
      </c>
      <c r="T1192" t="str">
        <f t="shared" si="96"/>
        <v>Ipe S4S E4E 2x12 Long</v>
      </c>
    </row>
    <row r="1193" spans="1:20" x14ac:dyDescent="0.25">
      <c r="A1193" t="s">
        <v>1351</v>
      </c>
      <c r="B1193" t="s">
        <v>1564</v>
      </c>
      <c r="C1193" t="s">
        <v>283</v>
      </c>
      <c r="D1193" t="s">
        <v>438</v>
      </c>
      <c r="E1193" t="s">
        <v>1565</v>
      </c>
      <c r="F1193" t="s">
        <v>1566</v>
      </c>
      <c r="G1193" t="s">
        <v>1351</v>
      </c>
      <c r="H1193" t="s">
        <v>373</v>
      </c>
      <c r="I1193" t="s">
        <v>289</v>
      </c>
      <c r="J1193" t="s">
        <v>764</v>
      </c>
      <c r="K1193">
        <v>10</v>
      </c>
      <c r="L1193" s="6">
        <v>3.048</v>
      </c>
      <c r="M1193" s="7">
        <v>38.1</v>
      </c>
      <c r="N1193" s="7">
        <v>38.1</v>
      </c>
      <c r="O1193" s="7">
        <f t="shared" si="97"/>
        <v>120</v>
      </c>
      <c r="P1193" s="7">
        <f t="shared" si="98"/>
        <v>1.5000000000000002</v>
      </c>
      <c r="Q1193" s="7">
        <f t="shared" si="98"/>
        <v>1.5000000000000002</v>
      </c>
      <c r="R1193" s="6">
        <f t="shared" si="99"/>
        <v>2260.1390000000001</v>
      </c>
      <c r="S1193" s="6">
        <f t="shared" si="100"/>
        <v>4.4245072800000009E-3</v>
      </c>
      <c r="T1193" t="str">
        <f t="shared" si="96"/>
        <v>Ipe S4S E4E 2x2 Long</v>
      </c>
    </row>
    <row r="1194" spans="1:20" x14ac:dyDescent="0.25">
      <c r="A1194" t="s">
        <v>1351</v>
      </c>
      <c r="B1194" t="s">
        <v>1564</v>
      </c>
      <c r="C1194" t="s">
        <v>283</v>
      </c>
      <c r="D1194" t="s">
        <v>438</v>
      </c>
      <c r="E1194" t="s">
        <v>1567</v>
      </c>
      <c r="F1194" t="s">
        <v>1566</v>
      </c>
      <c r="G1194" t="s">
        <v>1351</v>
      </c>
      <c r="H1194" t="s">
        <v>373</v>
      </c>
      <c r="I1194" t="s">
        <v>289</v>
      </c>
      <c r="J1194" t="s">
        <v>764</v>
      </c>
      <c r="K1194">
        <v>11</v>
      </c>
      <c r="L1194" s="6">
        <v>3.3527999999999998</v>
      </c>
      <c r="M1194" s="7">
        <v>38.1</v>
      </c>
      <c r="N1194" s="7">
        <v>38.1</v>
      </c>
      <c r="O1194" s="7">
        <f t="shared" si="97"/>
        <v>132</v>
      </c>
      <c r="P1194" s="7">
        <f t="shared" si="98"/>
        <v>1.5000000000000002</v>
      </c>
      <c r="Q1194" s="7">
        <f t="shared" si="98"/>
        <v>1.5000000000000002</v>
      </c>
      <c r="R1194" s="6">
        <f t="shared" si="99"/>
        <v>2260.1390000000001</v>
      </c>
      <c r="S1194" s="6">
        <f t="shared" si="100"/>
        <v>4.8669580080000002E-3</v>
      </c>
      <c r="T1194" t="str">
        <f t="shared" si="96"/>
        <v>Ipe S4S E4E 2x2 Long</v>
      </c>
    </row>
    <row r="1195" spans="1:20" x14ac:dyDescent="0.25">
      <c r="A1195" t="s">
        <v>1351</v>
      </c>
      <c r="B1195" t="s">
        <v>1564</v>
      </c>
      <c r="C1195" t="s">
        <v>283</v>
      </c>
      <c r="D1195" t="s">
        <v>438</v>
      </c>
      <c r="E1195" t="s">
        <v>124</v>
      </c>
      <c r="F1195" t="s">
        <v>1566</v>
      </c>
      <c r="G1195" t="s">
        <v>1351</v>
      </c>
      <c r="H1195" t="s">
        <v>373</v>
      </c>
      <c r="I1195" t="s">
        <v>289</v>
      </c>
      <c r="J1195" t="s">
        <v>764</v>
      </c>
      <c r="K1195">
        <v>12</v>
      </c>
      <c r="L1195" s="6">
        <v>3.6576</v>
      </c>
      <c r="M1195" s="7">
        <v>38.1</v>
      </c>
      <c r="N1195" s="7">
        <v>38.1</v>
      </c>
      <c r="O1195" s="7">
        <f t="shared" si="97"/>
        <v>144</v>
      </c>
      <c r="P1195" s="7">
        <f t="shared" si="98"/>
        <v>1.5000000000000002</v>
      </c>
      <c r="Q1195" s="7">
        <f t="shared" si="98"/>
        <v>1.5000000000000002</v>
      </c>
      <c r="R1195" s="6">
        <f t="shared" si="99"/>
        <v>2260.1390000000001</v>
      </c>
      <c r="S1195" s="6">
        <f t="shared" si="100"/>
        <v>5.3094087360000004E-3</v>
      </c>
      <c r="T1195" t="str">
        <f t="shared" si="96"/>
        <v>Ipe S4S E4E 2x2 Long</v>
      </c>
    </row>
    <row r="1196" spans="1:20" x14ac:dyDescent="0.25">
      <c r="A1196" t="s">
        <v>1351</v>
      </c>
      <c r="B1196" t="s">
        <v>1564</v>
      </c>
      <c r="C1196" t="s">
        <v>283</v>
      </c>
      <c r="D1196" t="s">
        <v>438</v>
      </c>
      <c r="E1196" t="s">
        <v>1568</v>
      </c>
      <c r="F1196" t="s">
        <v>1566</v>
      </c>
      <c r="G1196" t="s">
        <v>1351</v>
      </c>
      <c r="H1196" t="s">
        <v>373</v>
      </c>
      <c r="I1196" t="s">
        <v>289</v>
      </c>
      <c r="J1196" t="s">
        <v>764</v>
      </c>
      <c r="K1196">
        <v>13</v>
      </c>
      <c r="L1196" s="6">
        <v>3.9624000000000001</v>
      </c>
      <c r="M1196" s="7">
        <v>38.1</v>
      </c>
      <c r="N1196" s="7">
        <v>38.1</v>
      </c>
      <c r="O1196" s="7">
        <f t="shared" si="97"/>
        <v>156</v>
      </c>
      <c r="P1196" s="7">
        <f t="shared" si="98"/>
        <v>1.5000000000000002</v>
      </c>
      <c r="Q1196" s="7">
        <f t="shared" si="98"/>
        <v>1.5000000000000002</v>
      </c>
      <c r="R1196" s="6">
        <f t="shared" si="99"/>
        <v>2260.1390000000001</v>
      </c>
      <c r="S1196" s="6">
        <f t="shared" si="100"/>
        <v>5.7518594640000005E-3</v>
      </c>
      <c r="T1196" t="str">
        <f t="shared" si="96"/>
        <v>Ipe S4S E4E 2x2 Long</v>
      </c>
    </row>
    <row r="1197" spans="1:20" x14ac:dyDescent="0.25">
      <c r="A1197" t="s">
        <v>1351</v>
      </c>
      <c r="B1197" t="s">
        <v>1564</v>
      </c>
      <c r="C1197" t="s">
        <v>283</v>
      </c>
      <c r="D1197" t="s">
        <v>438</v>
      </c>
      <c r="E1197" t="s">
        <v>1569</v>
      </c>
      <c r="F1197" t="s">
        <v>1566</v>
      </c>
      <c r="G1197" t="s">
        <v>1351</v>
      </c>
      <c r="H1197" t="s">
        <v>373</v>
      </c>
      <c r="I1197" t="s">
        <v>289</v>
      </c>
      <c r="J1197" t="s">
        <v>764</v>
      </c>
      <c r="K1197">
        <v>14</v>
      </c>
      <c r="L1197" s="6">
        <v>4.2671999999999999</v>
      </c>
      <c r="M1197" s="7">
        <v>38.1</v>
      </c>
      <c r="N1197" s="7">
        <v>38.1</v>
      </c>
      <c r="O1197" s="7">
        <f t="shared" si="97"/>
        <v>168</v>
      </c>
      <c r="P1197" s="7">
        <f t="shared" si="98"/>
        <v>1.5000000000000002</v>
      </c>
      <c r="Q1197" s="7">
        <f t="shared" si="98"/>
        <v>1.5000000000000002</v>
      </c>
      <c r="R1197" s="6">
        <f t="shared" si="99"/>
        <v>2260.1390000000001</v>
      </c>
      <c r="S1197" s="6">
        <f t="shared" si="100"/>
        <v>6.1943101920000007E-3</v>
      </c>
      <c r="T1197" t="str">
        <f t="shared" si="96"/>
        <v>Ipe S4S E4E 2x2 Long</v>
      </c>
    </row>
    <row r="1198" spans="1:20" x14ac:dyDescent="0.25">
      <c r="A1198" t="s">
        <v>1351</v>
      </c>
      <c r="B1198" t="s">
        <v>1564</v>
      </c>
      <c r="C1198" t="s">
        <v>283</v>
      </c>
      <c r="D1198" t="s">
        <v>438</v>
      </c>
      <c r="E1198" t="s">
        <v>1570</v>
      </c>
      <c r="F1198" t="s">
        <v>1566</v>
      </c>
      <c r="G1198" t="s">
        <v>1351</v>
      </c>
      <c r="H1198" t="s">
        <v>373</v>
      </c>
      <c r="I1198" t="s">
        <v>289</v>
      </c>
      <c r="J1198" t="s">
        <v>764</v>
      </c>
      <c r="K1198">
        <v>15</v>
      </c>
      <c r="L1198" s="6">
        <v>4.5720000000000001</v>
      </c>
      <c r="M1198" s="7">
        <v>38.1</v>
      </c>
      <c r="N1198" s="7">
        <v>38.1</v>
      </c>
      <c r="O1198" s="7">
        <f t="shared" si="97"/>
        <v>180</v>
      </c>
      <c r="P1198" s="7">
        <f t="shared" si="98"/>
        <v>1.5000000000000002</v>
      </c>
      <c r="Q1198" s="7">
        <f t="shared" si="98"/>
        <v>1.5000000000000002</v>
      </c>
      <c r="R1198" s="6">
        <f t="shared" si="99"/>
        <v>2260.1390000000001</v>
      </c>
      <c r="S1198" s="6">
        <f t="shared" si="100"/>
        <v>6.6367609200000009E-3</v>
      </c>
      <c r="T1198" t="str">
        <f t="shared" si="96"/>
        <v>Ipe S4S E4E 2x2 Long</v>
      </c>
    </row>
    <row r="1199" spans="1:20" x14ac:dyDescent="0.25">
      <c r="A1199" t="s">
        <v>1351</v>
      </c>
      <c r="B1199" t="s">
        <v>1564</v>
      </c>
      <c r="C1199" t="s">
        <v>283</v>
      </c>
      <c r="D1199" t="s">
        <v>438</v>
      </c>
      <c r="E1199" t="s">
        <v>1571</v>
      </c>
      <c r="F1199" t="s">
        <v>1566</v>
      </c>
      <c r="G1199" t="s">
        <v>1351</v>
      </c>
      <c r="H1199" t="s">
        <v>373</v>
      </c>
      <c r="I1199" t="s">
        <v>289</v>
      </c>
      <c r="J1199" t="s">
        <v>764</v>
      </c>
      <c r="K1199">
        <v>16</v>
      </c>
      <c r="L1199" s="6">
        <v>4.8768000000000002</v>
      </c>
      <c r="M1199" s="7">
        <v>38.1</v>
      </c>
      <c r="N1199" s="7">
        <v>38.1</v>
      </c>
      <c r="O1199" s="7">
        <f t="shared" si="97"/>
        <v>192.00000000000003</v>
      </c>
      <c r="P1199" s="7">
        <f t="shared" si="98"/>
        <v>1.5000000000000002</v>
      </c>
      <c r="Q1199" s="7">
        <f t="shared" si="98"/>
        <v>1.5000000000000002</v>
      </c>
      <c r="R1199" s="6">
        <f t="shared" si="99"/>
        <v>2260.1390000000001</v>
      </c>
      <c r="S1199" s="6">
        <f t="shared" si="100"/>
        <v>7.0792116480000011E-3</v>
      </c>
      <c r="T1199" t="str">
        <f t="shared" si="96"/>
        <v>Ipe S4S E4E 2x2 Long</v>
      </c>
    </row>
    <row r="1200" spans="1:20" x14ac:dyDescent="0.25">
      <c r="A1200" t="s">
        <v>1351</v>
      </c>
      <c r="B1200" t="s">
        <v>1564</v>
      </c>
      <c r="C1200" t="s">
        <v>283</v>
      </c>
      <c r="D1200" t="s">
        <v>438</v>
      </c>
      <c r="E1200" t="s">
        <v>1572</v>
      </c>
      <c r="F1200" t="s">
        <v>1566</v>
      </c>
      <c r="G1200" t="s">
        <v>1351</v>
      </c>
      <c r="H1200" t="s">
        <v>373</v>
      </c>
      <c r="I1200" t="s">
        <v>289</v>
      </c>
      <c r="J1200" t="s">
        <v>764</v>
      </c>
      <c r="K1200">
        <v>17</v>
      </c>
      <c r="L1200" s="6">
        <v>5.1816000000000004</v>
      </c>
      <c r="M1200" s="7">
        <v>38.1</v>
      </c>
      <c r="N1200" s="7">
        <v>38.1</v>
      </c>
      <c r="O1200" s="7">
        <f t="shared" si="97"/>
        <v>204.00000000000003</v>
      </c>
      <c r="P1200" s="7">
        <f t="shared" si="98"/>
        <v>1.5000000000000002</v>
      </c>
      <c r="Q1200" s="7">
        <f t="shared" si="98"/>
        <v>1.5000000000000002</v>
      </c>
      <c r="R1200" s="6">
        <f t="shared" si="99"/>
        <v>2260.1390000000001</v>
      </c>
      <c r="S1200" s="6">
        <f t="shared" si="100"/>
        <v>7.5216623760000021E-3</v>
      </c>
      <c r="T1200" t="str">
        <f t="shared" si="96"/>
        <v>Ipe S4S E4E 2x2 Long</v>
      </c>
    </row>
    <row r="1201" spans="1:20" x14ac:dyDescent="0.25">
      <c r="A1201" t="s">
        <v>1351</v>
      </c>
      <c r="B1201" t="s">
        <v>1564</v>
      </c>
      <c r="C1201" t="s">
        <v>283</v>
      </c>
      <c r="D1201" t="s">
        <v>438</v>
      </c>
      <c r="E1201" t="s">
        <v>125</v>
      </c>
      <c r="F1201" t="s">
        <v>1566</v>
      </c>
      <c r="G1201" t="s">
        <v>1351</v>
      </c>
      <c r="H1201" t="s">
        <v>373</v>
      </c>
      <c r="I1201" t="s">
        <v>289</v>
      </c>
      <c r="J1201" t="s">
        <v>764</v>
      </c>
      <c r="K1201">
        <v>18</v>
      </c>
      <c r="L1201" s="6">
        <v>5.4863999999999997</v>
      </c>
      <c r="M1201" s="7">
        <v>38.1</v>
      </c>
      <c r="N1201" s="7">
        <v>38.1</v>
      </c>
      <c r="O1201" s="7">
        <f t="shared" si="97"/>
        <v>216</v>
      </c>
      <c r="P1201" s="7">
        <f t="shared" si="98"/>
        <v>1.5000000000000002</v>
      </c>
      <c r="Q1201" s="7">
        <f t="shared" si="98"/>
        <v>1.5000000000000002</v>
      </c>
      <c r="R1201" s="6">
        <f t="shared" si="99"/>
        <v>2260.1390000000001</v>
      </c>
      <c r="S1201" s="6">
        <f t="shared" si="100"/>
        <v>7.9641131039999997E-3</v>
      </c>
      <c r="T1201" t="str">
        <f t="shared" si="96"/>
        <v>Ipe S4S E4E 2x2 Long</v>
      </c>
    </row>
    <row r="1202" spans="1:20" x14ac:dyDescent="0.25">
      <c r="A1202" t="s">
        <v>1351</v>
      </c>
      <c r="B1202" t="s">
        <v>1564</v>
      </c>
      <c r="C1202" t="s">
        <v>283</v>
      </c>
      <c r="D1202" t="s">
        <v>438</v>
      </c>
      <c r="E1202" t="s">
        <v>1573</v>
      </c>
      <c r="F1202" t="s">
        <v>1566</v>
      </c>
      <c r="G1202" t="s">
        <v>1351</v>
      </c>
      <c r="H1202" t="s">
        <v>373</v>
      </c>
      <c r="I1202" t="s">
        <v>289</v>
      </c>
      <c r="J1202" t="s">
        <v>764</v>
      </c>
      <c r="K1202">
        <v>19</v>
      </c>
      <c r="L1202" s="6">
        <v>5.7911999999999999</v>
      </c>
      <c r="M1202" s="7">
        <v>38.1</v>
      </c>
      <c r="N1202" s="7">
        <v>38.1</v>
      </c>
      <c r="O1202" s="7">
        <f t="shared" si="97"/>
        <v>228</v>
      </c>
      <c r="P1202" s="7">
        <f t="shared" si="98"/>
        <v>1.5000000000000002</v>
      </c>
      <c r="Q1202" s="7">
        <f t="shared" si="98"/>
        <v>1.5000000000000002</v>
      </c>
      <c r="R1202" s="6">
        <f t="shared" si="99"/>
        <v>2260.1390000000001</v>
      </c>
      <c r="S1202" s="6">
        <f t="shared" si="100"/>
        <v>8.4065638320000007E-3</v>
      </c>
      <c r="T1202" t="str">
        <f t="shared" si="96"/>
        <v>Ipe S4S E4E 2x2 Long</v>
      </c>
    </row>
    <row r="1203" spans="1:20" x14ac:dyDescent="0.25">
      <c r="A1203" t="s">
        <v>1351</v>
      </c>
      <c r="B1203" t="s">
        <v>1564</v>
      </c>
      <c r="C1203" t="s">
        <v>283</v>
      </c>
      <c r="D1203" t="s">
        <v>438</v>
      </c>
      <c r="E1203" t="s">
        <v>1574</v>
      </c>
      <c r="F1203" t="s">
        <v>1566</v>
      </c>
      <c r="G1203" t="s">
        <v>1351</v>
      </c>
      <c r="H1203" t="s">
        <v>373</v>
      </c>
      <c r="I1203" t="s">
        <v>289</v>
      </c>
      <c r="J1203" t="s">
        <v>764</v>
      </c>
      <c r="K1203">
        <v>20</v>
      </c>
      <c r="L1203" s="6">
        <v>6.0960000000000001</v>
      </c>
      <c r="M1203" s="7">
        <v>38.1</v>
      </c>
      <c r="N1203" s="7">
        <v>38.1</v>
      </c>
      <c r="O1203" s="7">
        <f t="shared" si="97"/>
        <v>240</v>
      </c>
      <c r="P1203" s="7">
        <f t="shared" si="98"/>
        <v>1.5000000000000002</v>
      </c>
      <c r="Q1203" s="7">
        <f t="shared" si="98"/>
        <v>1.5000000000000002</v>
      </c>
      <c r="R1203" s="6">
        <f t="shared" si="99"/>
        <v>2260.1390000000001</v>
      </c>
      <c r="S1203" s="6">
        <f t="shared" si="100"/>
        <v>8.8490145600000018E-3</v>
      </c>
      <c r="T1203" t="str">
        <f t="shared" si="96"/>
        <v>Ipe S4S E4E 2x2 Long</v>
      </c>
    </row>
    <row r="1204" spans="1:20" x14ac:dyDescent="0.25">
      <c r="A1204" t="s">
        <v>1351</v>
      </c>
      <c r="B1204" t="s">
        <v>1564</v>
      </c>
      <c r="C1204" t="s">
        <v>283</v>
      </c>
      <c r="D1204" t="s">
        <v>438</v>
      </c>
      <c r="E1204" t="s">
        <v>1575</v>
      </c>
      <c r="F1204" t="s">
        <v>1566</v>
      </c>
      <c r="G1204" t="s">
        <v>1351</v>
      </c>
      <c r="H1204" t="s">
        <v>373</v>
      </c>
      <c r="I1204" t="s">
        <v>289</v>
      </c>
      <c r="J1204" t="s">
        <v>764</v>
      </c>
      <c r="K1204">
        <v>21</v>
      </c>
      <c r="L1204" s="6">
        <v>6.4008000000000003</v>
      </c>
      <c r="M1204" s="7">
        <v>38.1</v>
      </c>
      <c r="N1204" s="7">
        <v>38.1</v>
      </c>
      <c r="O1204" s="7">
        <f t="shared" si="97"/>
        <v>252.00000000000003</v>
      </c>
      <c r="P1204" s="7">
        <f t="shared" si="98"/>
        <v>1.5000000000000002</v>
      </c>
      <c r="Q1204" s="7">
        <f t="shared" si="98"/>
        <v>1.5000000000000002</v>
      </c>
      <c r="R1204" s="6">
        <f t="shared" si="99"/>
        <v>2260.1390000000001</v>
      </c>
      <c r="S1204" s="6">
        <f t="shared" si="100"/>
        <v>9.2914652880000011E-3</v>
      </c>
      <c r="T1204" t="str">
        <f t="shared" si="96"/>
        <v>Ipe S4S E4E 2x2 Long</v>
      </c>
    </row>
    <row r="1205" spans="1:20" x14ac:dyDescent="0.25">
      <c r="A1205" t="s">
        <v>1351</v>
      </c>
      <c r="B1205" t="s">
        <v>1564</v>
      </c>
      <c r="C1205" t="s">
        <v>283</v>
      </c>
      <c r="D1205" t="s">
        <v>438</v>
      </c>
      <c r="E1205" t="s">
        <v>1576</v>
      </c>
      <c r="F1205" t="s">
        <v>1566</v>
      </c>
      <c r="G1205" t="s">
        <v>1351</v>
      </c>
      <c r="H1205" t="s">
        <v>373</v>
      </c>
      <c r="I1205" t="s">
        <v>289</v>
      </c>
      <c r="J1205" t="s">
        <v>764</v>
      </c>
      <c r="K1205">
        <v>22</v>
      </c>
      <c r="L1205" s="6">
        <v>6.7055999999999996</v>
      </c>
      <c r="M1205" s="7">
        <v>38.1</v>
      </c>
      <c r="N1205" s="7">
        <v>38.1</v>
      </c>
      <c r="O1205" s="7">
        <f t="shared" si="97"/>
        <v>264</v>
      </c>
      <c r="P1205" s="7">
        <f t="shared" si="98"/>
        <v>1.5000000000000002</v>
      </c>
      <c r="Q1205" s="7">
        <f t="shared" si="98"/>
        <v>1.5000000000000002</v>
      </c>
      <c r="R1205" s="6">
        <f t="shared" si="99"/>
        <v>2260.1390000000001</v>
      </c>
      <c r="S1205" s="6">
        <f t="shared" si="100"/>
        <v>9.7339160160000004E-3</v>
      </c>
      <c r="T1205" t="str">
        <f t="shared" si="96"/>
        <v>Ipe S4S E4E 2x2 Long</v>
      </c>
    </row>
    <row r="1206" spans="1:20" x14ac:dyDescent="0.25">
      <c r="A1206" t="s">
        <v>1351</v>
      </c>
      <c r="B1206" t="s">
        <v>1564</v>
      </c>
      <c r="C1206" t="s">
        <v>524</v>
      </c>
      <c r="D1206" t="s">
        <v>438</v>
      </c>
      <c r="E1206" t="s">
        <v>1577</v>
      </c>
      <c r="F1206" t="s">
        <v>1566</v>
      </c>
      <c r="G1206" t="s">
        <v>1351</v>
      </c>
      <c r="H1206" t="s">
        <v>373</v>
      </c>
      <c r="I1206" t="s">
        <v>289</v>
      </c>
      <c r="J1206" t="s">
        <v>764</v>
      </c>
      <c r="K1206">
        <v>3</v>
      </c>
      <c r="L1206" s="6">
        <v>0.91439999999999999</v>
      </c>
      <c r="M1206" s="7">
        <v>38.1</v>
      </c>
      <c r="N1206" s="7">
        <v>38.1</v>
      </c>
      <c r="O1206" s="7">
        <f t="shared" si="97"/>
        <v>36</v>
      </c>
      <c r="P1206" s="7">
        <f t="shared" si="98"/>
        <v>1.5000000000000002</v>
      </c>
      <c r="Q1206" s="7">
        <f t="shared" si="98"/>
        <v>1.5000000000000002</v>
      </c>
      <c r="R1206" s="6">
        <f t="shared" si="99"/>
        <v>2260.1390000000001</v>
      </c>
      <c r="S1206" s="6">
        <f t="shared" si="100"/>
        <v>1.3273521840000001E-3</v>
      </c>
      <c r="T1206" t="str">
        <f t="shared" si="96"/>
        <v>Ipe S4S E4E 2x2 Short</v>
      </c>
    </row>
    <row r="1207" spans="1:20" x14ac:dyDescent="0.25">
      <c r="A1207" t="s">
        <v>1351</v>
      </c>
      <c r="B1207" t="s">
        <v>1564</v>
      </c>
      <c r="C1207" t="s">
        <v>524</v>
      </c>
      <c r="D1207" t="s">
        <v>438</v>
      </c>
      <c r="E1207" t="s">
        <v>1578</v>
      </c>
      <c r="F1207" t="s">
        <v>1566</v>
      </c>
      <c r="G1207" t="s">
        <v>1351</v>
      </c>
      <c r="H1207" t="s">
        <v>373</v>
      </c>
      <c r="I1207" t="s">
        <v>289</v>
      </c>
      <c r="J1207" t="s">
        <v>764</v>
      </c>
      <c r="K1207">
        <v>4</v>
      </c>
      <c r="L1207" s="6">
        <v>1.2192000000000001</v>
      </c>
      <c r="M1207" s="7">
        <v>38.1</v>
      </c>
      <c r="N1207" s="7">
        <v>38.1</v>
      </c>
      <c r="O1207" s="7">
        <f t="shared" si="97"/>
        <v>48.000000000000007</v>
      </c>
      <c r="P1207" s="7">
        <f t="shared" si="98"/>
        <v>1.5000000000000002</v>
      </c>
      <c r="Q1207" s="7">
        <f t="shared" si="98"/>
        <v>1.5000000000000002</v>
      </c>
      <c r="R1207" s="6">
        <f t="shared" si="99"/>
        <v>2260.1390000000001</v>
      </c>
      <c r="S1207" s="6">
        <f t="shared" si="100"/>
        <v>1.7698029120000003E-3</v>
      </c>
      <c r="T1207" t="str">
        <f t="shared" si="96"/>
        <v>Ipe S4S E4E 2x2 Short</v>
      </c>
    </row>
    <row r="1208" spans="1:20" x14ac:dyDescent="0.25">
      <c r="A1208" t="s">
        <v>1351</v>
      </c>
      <c r="B1208" t="s">
        <v>1564</v>
      </c>
      <c r="C1208" t="s">
        <v>524</v>
      </c>
      <c r="D1208" t="s">
        <v>438</v>
      </c>
      <c r="E1208" t="s">
        <v>1579</v>
      </c>
      <c r="F1208" t="s">
        <v>1566</v>
      </c>
      <c r="G1208" t="s">
        <v>1351</v>
      </c>
      <c r="H1208" t="s">
        <v>373</v>
      </c>
      <c r="I1208" t="s">
        <v>289</v>
      </c>
      <c r="J1208" t="s">
        <v>764</v>
      </c>
      <c r="K1208">
        <v>5</v>
      </c>
      <c r="L1208" s="6">
        <v>1.524</v>
      </c>
      <c r="M1208" s="7">
        <v>38.1</v>
      </c>
      <c r="N1208" s="7">
        <v>38.1</v>
      </c>
      <c r="O1208" s="7">
        <f t="shared" si="97"/>
        <v>60</v>
      </c>
      <c r="P1208" s="7">
        <f t="shared" si="98"/>
        <v>1.5000000000000002</v>
      </c>
      <c r="Q1208" s="7">
        <f t="shared" si="98"/>
        <v>1.5000000000000002</v>
      </c>
      <c r="R1208" s="6">
        <f t="shared" si="99"/>
        <v>2260.1390000000001</v>
      </c>
      <c r="S1208" s="6">
        <f t="shared" si="100"/>
        <v>2.2122536400000004E-3</v>
      </c>
      <c r="T1208" t="str">
        <f t="shared" si="96"/>
        <v>Ipe S4S E4E 2x2 Short</v>
      </c>
    </row>
    <row r="1209" spans="1:20" x14ac:dyDescent="0.25">
      <c r="A1209" t="s">
        <v>1351</v>
      </c>
      <c r="B1209" t="s">
        <v>1564</v>
      </c>
      <c r="C1209" t="s">
        <v>524</v>
      </c>
      <c r="D1209" t="s">
        <v>438</v>
      </c>
      <c r="E1209" t="s">
        <v>1580</v>
      </c>
      <c r="F1209" t="s">
        <v>1566</v>
      </c>
      <c r="G1209" t="s">
        <v>1351</v>
      </c>
      <c r="H1209" t="s">
        <v>373</v>
      </c>
      <c r="I1209" t="s">
        <v>289</v>
      </c>
      <c r="J1209" t="s">
        <v>764</v>
      </c>
      <c r="K1209">
        <v>6</v>
      </c>
      <c r="L1209" s="6">
        <v>1.8288</v>
      </c>
      <c r="M1209" s="7">
        <v>38.1</v>
      </c>
      <c r="N1209" s="7">
        <v>38.1</v>
      </c>
      <c r="O1209" s="7">
        <f t="shared" si="97"/>
        <v>72</v>
      </c>
      <c r="P1209" s="7">
        <f t="shared" si="98"/>
        <v>1.5000000000000002</v>
      </c>
      <c r="Q1209" s="7">
        <f t="shared" si="98"/>
        <v>1.5000000000000002</v>
      </c>
      <c r="R1209" s="6">
        <f t="shared" si="99"/>
        <v>2260.1390000000001</v>
      </c>
      <c r="S1209" s="6">
        <f t="shared" si="100"/>
        <v>2.6547043680000002E-3</v>
      </c>
      <c r="T1209" t="str">
        <f t="shared" si="96"/>
        <v>Ipe S4S E4E 2x2 Short</v>
      </c>
    </row>
    <row r="1210" spans="1:20" x14ac:dyDescent="0.25">
      <c r="A1210" t="s">
        <v>1351</v>
      </c>
      <c r="B1210" t="s">
        <v>1564</v>
      </c>
      <c r="C1210" t="s">
        <v>524</v>
      </c>
      <c r="D1210" t="s">
        <v>438</v>
      </c>
      <c r="E1210" t="s">
        <v>1581</v>
      </c>
      <c r="F1210" t="s">
        <v>1566</v>
      </c>
      <c r="G1210" t="s">
        <v>1351</v>
      </c>
      <c r="H1210" t="s">
        <v>373</v>
      </c>
      <c r="I1210" t="s">
        <v>289</v>
      </c>
      <c r="J1210" t="s">
        <v>764</v>
      </c>
      <c r="K1210">
        <v>7</v>
      </c>
      <c r="L1210" s="6">
        <v>2.1335999999999999</v>
      </c>
      <c r="M1210" s="7">
        <v>38.1</v>
      </c>
      <c r="N1210" s="7">
        <v>38.1</v>
      </c>
      <c r="O1210" s="7">
        <f t="shared" si="97"/>
        <v>84</v>
      </c>
      <c r="P1210" s="7">
        <f t="shared" si="98"/>
        <v>1.5000000000000002</v>
      </c>
      <c r="Q1210" s="7">
        <f t="shared" si="98"/>
        <v>1.5000000000000002</v>
      </c>
      <c r="R1210" s="6">
        <f t="shared" si="99"/>
        <v>2260.1390000000001</v>
      </c>
      <c r="S1210" s="6">
        <f t="shared" si="100"/>
        <v>3.0971550960000004E-3</v>
      </c>
      <c r="T1210" t="str">
        <f t="shared" si="96"/>
        <v>Ipe S4S E4E 2x2 Short</v>
      </c>
    </row>
    <row r="1211" spans="1:20" x14ac:dyDescent="0.25">
      <c r="A1211" t="s">
        <v>1351</v>
      </c>
      <c r="B1211" t="s">
        <v>1564</v>
      </c>
      <c r="C1211" t="s">
        <v>283</v>
      </c>
      <c r="D1211" t="s">
        <v>438</v>
      </c>
      <c r="E1211" t="s">
        <v>1582</v>
      </c>
      <c r="F1211" t="s">
        <v>1566</v>
      </c>
      <c r="G1211" t="s">
        <v>1351</v>
      </c>
      <c r="H1211" t="s">
        <v>373</v>
      </c>
      <c r="I1211" t="s">
        <v>289</v>
      </c>
      <c r="J1211" t="s">
        <v>764</v>
      </c>
      <c r="K1211">
        <v>8</v>
      </c>
      <c r="L1211" s="6">
        <v>2.4384000000000001</v>
      </c>
      <c r="M1211" s="7">
        <v>38.1</v>
      </c>
      <c r="N1211" s="7">
        <v>38.1</v>
      </c>
      <c r="O1211" s="7">
        <f t="shared" si="97"/>
        <v>96.000000000000014</v>
      </c>
      <c r="P1211" s="7">
        <f t="shared" si="98"/>
        <v>1.5000000000000002</v>
      </c>
      <c r="Q1211" s="7">
        <f t="shared" si="98"/>
        <v>1.5000000000000002</v>
      </c>
      <c r="R1211" s="6">
        <f t="shared" si="99"/>
        <v>2260.1390000000001</v>
      </c>
      <c r="S1211" s="6">
        <f t="shared" si="100"/>
        <v>3.5396058240000005E-3</v>
      </c>
      <c r="T1211" t="str">
        <f t="shared" si="96"/>
        <v>Ipe S4S E4E 2x2 Long</v>
      </c>
    </row>
    <row r="1212" spans="1:20" x14ac:dyDescent="0.25">
      <c r="A1212" t="s">
        <v>1351</v>
      </c>
      <c r="B1212" t="s">
        <v>1564</v>
      </c>
      <c r="C1212" t="s">
        <v>283</v>
      </c>
      <c r="D1212" t="s">
        <v>438</v>
      </c>
      <c r="E1212" t="s">
        <v>1583</v>
      </c>
      <c r="F1212" t="s">
        <v>1566</v>
      </c>
      <c r="G1212" t="s">
        <v>1351</v>
      </c>
      <c r="H1212" t="s">
        <v>373</v>
      </c>
      <c r="I1212" t="s">
        <v>289</v>
      </c>
      <c r="J1212" t="s">
        <v>764</v>
      </c>
      <c r="K1212">
        <v>9</v>
      </c>
      <c r="L1212" s="6">
        <v>2.7431999999999999</v>
      </c>
      <c r="M1212" s="7">
        <v>38.1</v>
      </c>
      <c r="N1212" s="7">
        <v>38.1</v>
      </c>
      <c r="O1212" s="7">
        <f t="shared" si="97"/>
        <v>108</v>
      </c>
      <c r="P1212" s="7">
        <f t="shared" si="98"/>
        <v>1.5000000000000002</v>
      </c>
      <c r="Q1212" s="7">
        <f t="shared" si="98"/>
        <v>1.5000000000000002</v>
      </c>
      <c r="R1212" s="6">
        <f t="shared" si="99"/>
        <v>2260.1390000000001</v>
      </c>
      <c r="S1212" s="6">
        <f t="shared" si="100"/>
        <v>3.9820565519999998E-3</v>
      </c>
      <c r="T1212" t="str">
        <f t="shared" si="96"/>
        <v>Ipe S4S E4E 2x2 Long</v>
      </c>
    </row>
    <row r="1213" spans="1:20" x14ac:dyDescent="0.25">
      <c r="A1213" t="s">
        <v>1351</v>
      </c>
      <c r="B1213" t="s">
        <v>1584</v>
      </c>
      <c r="C1213" t="s">
        <v>283</v>
      </c>
      <c r="D1213" t="s">
        <v>438</v>
      </c>
      <c r="E1213" t="s">
        <v>126</v>
      </c>
      <c r="F1213" t="s">
        <v>1585</v>
      </c>
      <c r="G1213" t="s">
        <v>1351</v>
      </c>
      <c r="H1213" t="s">
        <v>373</v>
      </c>
      <c r="I1213" t="s">
        <v>289</v>
      </c>
      <c r="J1213" t="s">
        <v>796</v>
      </c>
      <c r="K1213">
        <v>10</v>
      </c>
      <c r="L1213" s="6">
        <v>3.048</v>
      </c>
      <c r="M1213" s="7">
        <v>38.1</v>
      </c>
      <c r="N1213" s="7">
        <v>88.9</v>
      </c>
      <c r="O1213" s="7">
        <f t="shared" si="97"/>
        <v>120</v>
      </c>
      <c r="P1213" s="7">
        <f t="shared" si="98"/>
        <v>1.5000000000000002</v>
      </c>
      <c r="Q1213" s="7">
        <f t="shared" si="98"/>
        <v>3.5000000000000004</v>
      </c>
      <c r="R1213" s="6">
        <f t="shared" si="99"/>
        <v>968.63099999999997</v>
      </c>
      <c r="S1213" s="6">
        <f t="shared" si="100"/>
        <v>1.0323850320000001E-2</v>
      </c>
      <c r="T1213" t="str">
        <f t="shared" si="96"/>
        <v>Ipe S4S E4E 2x4 Long</v>
      </c>
    </row>
    <row r="1214" spans="1:20" x14ac:dyDescent="0.25">
      <c r="A1214" t="s">
        <v>1351</v>
      </c>
      <c r="B1214" t="s">
        <v>1584</v>
      </c>
      <c r="C1214" t="s">
        <v>283</v>
      </c>
      <c r="D1214" t="s">
        <v>438</v>
      </c>
      <c r="E1214" t="s">
        <v>1586</v>
      </c>
      <c r="F1214" t="s">
        <v>1585</v>
      </c>
      <c r="G1214" t="s">
        <v>1351</v>
      </c>
      <c r="H1214" t="s">
        <v>373</v>
      </c>
      <c r="I1214" t="s">
        <v>289</v>
      </c>
      <c r="J1214" t="s">
        <v>796</v>
      </c>
      <c r="K1214">
        <v>10</v>
      </c>
      <c r="L1214" s="6">
        <v>3.048</v>
      </c>
      <c r="M1214" s="7">
        <v>38.1</v>
      </c>
      <c r="N1214" s="7">
        <v>88.9</v>
      </c>
      <c r="O1214" s="7">
        <f t="shared" si="97"/>
        <v>120</v>
      </c>
      <c r="P1214" s="7">
        <f t="shared" si="98"/>
        <v>1.5000000000000002</v>
      </c>
      <c r="Q1214" s="7">
        <f t="shared" si="98"/>
        <v>3.5000000000000004</v>
      </c>
      <c r="R1214" s="6">
        <f t="shared" si="99"/>
        <v>968.63099999999997</v>
      </c>
      <c r="S1214" s="6">
        <f t="shared" si="100"/>
        <v>1.0323850320000001E-2</v>
      </c>
      <c r="T1214" t="str">
        <f t="shared" si="96"/>
        <v>Ipe S4S E4E 2x4 Long</v>
      </c>
    </row>
    <row r="1215" spans="1:20" x14ac:dyDescent="0.25">
      <c r="A1215" t="s">
        <v>1351</v>
      </c>
      <c r="B1215" t="s">
        <v>1584</v>
      </c>
      <c r="C1215" t="s">
        <v>283</v>
      </c>
      <c r="D1215" t="s">
        <v>438</v>
      </c>
      <c r="E1215" t="s">
        <v>1587</v>
      </c>
      <c r="F1215" t="s">
        <v>1585</v>
      </c>
      <c r="G1215" t="s">
        <v>1351</v>
      </c>
      <c r="H1215" t="s">
        <v>373</v>
      </c>
      <c r="I1215" t="s">
        <v>289</v>
      </c>
      <c r="J1215" t="s">
        <v>796</v>
      </c>
      <c r="K1215">
        <v>11</v>
      </c>
      <c r="L1215" s="6">
        <v>3.3527999999999998</v>
      </c>
      <c r="M1215" s="7">
        <v>38.1</v>
      </c>
      <c r="N1215" s="7">
        <v>88.9</v>
      </c>
      <c r="O1215" s="7">
        <f t="shared" si="97"/>
        <v>132</v>
      </c>
      <c r="P1215" s="7">
        <f t="shared" si="98"/>
        <v>1.5000000000000002</v>
      </c>
      <c r="Q1215" s="7">
        <f t="shared" si="98"/>
        <v>3.5000000000000004</v>
      </c>
      <c r="R1215" s="6">
        <f t="shared" si="99"/>
        <v>968.63099999999997</v>
      </c>
      <c r="S1215" s="6">
        <f t="shared" si="100"/>
        <v>1.1356235352000001E-2</v>
      </c>
      <c r="T1215" t="str">
        <f t="shared" si="96"/>
        <v>Ipe S4S E4E 2x4 Long</v>
      </c>
    </row>
    <row r="1216" spans="1:20" x14ac:dyDescent="0.25">
      <c r="A1216" t="s">
        <v>1351</v>
      </c>
      <c r="B1216" t="s">
        <v>1584</v>
      </c>
      <c r="C1216" t="s">
        <v>283</v>
      </c>
      <c r="D1216" t="s">
        <v>438</v>
      </c>
      <c r="E1216" t="s">
        <v>1588</v>
      </c>
      <c r="F1216" t="s">
        <v>1585</v>
      </c>
      <c r="G1216" t="s">
        <v>1351</v>
      </c>
      <c r="H1216" t="s">
        <v>373</v>
      </c>
      <c r="I1216" t="s">
        <v>289</v>
      </c>
      <c r="J1216" t="s">
        <v>796</v>
      </c>
      <c r="K1216">
        <v>11</v>
      </c>
      <c r="L1216" s="6">
        <v>3.3527999999999998</v>
      </c>
      <c r="M1216" s="7">
        <v>38.1</v>
      </c>
      <c r="N1216" s="7">
        <v>88.9</v>
      </c>
      <c r="O1216" s="7">
        <f t="shared" si="97"/>
        <v>132</v>
      </c>
      <c r="P1216" s="7">
        <f t="shared" si="98"/>
        <v>1.5000000000000002</v>
      </c>
      <c r="Q1216" s="7">
        <f t="shared" si="98"/>
        <v>3.5000000000000004</v>
      </c>
      <c r="R1216" s="6">
        <f t="shared" si="99"/>
        <v>968.63099999999997</v>
      </c>
      <c r="S1216" s="6">
        <f t="shared" si="100"/>
        <v>1.1356235352000001E-2</v>
      </c>
      <c r="T1216" t="str">
        <f t="shared" si="96"/>
        <v>Ipe S4S E4E 2x4 Long</v>
      </c>
    </row>
    <row r="1217" spans="1:20" x14ac:dyDescent="0.25">
      <c r="A1217" t="s">
        <v>1351</v>
      </c>
      <c r="B1217" t="s">
        <v>1584</v>
      </c>
      <c r="C1217" t="s">
        <v>283</v>
      </c>
      <c r="D1217" t="s">
        <v>438</v>
      </c>
      <c r="E1217" t="s">
        <v>1589</v>
      </c>
      <c r="F1217" t="s">
        <v>1585</v>
      </c>
      <c r="G1217" t="s">
        <v>1351</v>
      </c>
      <c r="H1217" t="s">
        <v>373</v>
      </c>
      <c r="I1217" t="s">
        <v>289</v>
      </c>
      <c r="J1217" t="s">
        <v>796</v>
      </c>
      <c r="K1217">
        <v>12</v>
      </c>
      <c r="L1217" s="6">
        <v>3.6576</v>
      </c>
      <c r="M1217" s="7">
        <v>38.1</v>
      </c>
      <c r="N1217" s="7">
        <v>88.9</v>
      </c>
      <c r="O1217" s="7">
        <f t="shared" si="97"/>
        <v>144</v>
      </c>
      <c r="P1217" s="7">
        <f t="shared" si="98"/>
        <v>1.5000000000000002</v>
      </c>
      <c r="Q1217" s="7">
        <f t="shared" si="98"/>
        <v>3.5000000000000004</v>
      </c>
      <c r="R1217" s="6">
        <f t="shared" si="99"/>
        <v>968.63099999999997</v>
      </c>
      <c r="S1217" s="6">
        <f t="shared" si="100"/>
        <v>1.2388620384E-2</v>
      </c>
      <c r="T1217" t="str">
        <f t="shared" si="96"/>
        <v>Ipe S4S E4E 2x4 Long</v>
      </c>
    </row>
    <row r="1218" spans="1:20" x14ac:dyDescent="0.25">
      <c r="A1218" t="s">
        <v>1351</v>
      </c>
      <c r="B1218" t="s">
        <v>1584</v>
      </c>
      <c r="C1218" t="s">
        <v>283</v>
      </c>
      <c r="D1218" t="s">
        <v>438</v>
      </c>
      <c r="E1218" t="s">
        <v>1590</v>
      </c>
      <c r="F1218" t="s">
        <v>1585</v>
      </c>
      <c r="G1218" t="s">
        <v>1351</v>
      </c>
      <c r="H1218" t="s">
        <v>373</v>
      </c>
      <c r="I1218" t="s">
        <v>289</v>
      </c>
      <c r="J1218" t="s">
        <v>796</v>
      </c>
      <c r="K1218">
        <v>12</v>
      </c>
      <c r="L1218" s="6">
        <v>3.6576</v>
      </c>
      <c r="M1218" s="7">
        <v>38.1</v>
      </c>
      <c r="N1218" s="7">
        <v>88.9</v>
      </c>
      <c r="O1218" s="7">
        <f t="shared" si="97"/>
        <v>144</v>
      </c>
      <c r="P1218" s="7">
        <f t="shared" si="98"/>
        <v>1.5000000000000002</v>
      </c>
      <c r="Q1218" s="7">
        <f t="shared" si="98"/>
        <v>3.5000000000000004</v>
      </c>
      <c r="R1218" s="6">
        <f t="shared" si="99"/>
        <v>968.63099999999997</v>
      </c>
      <c r="S1218" s="6">
        <f t="shared" si="100"/>
        <v>1.2388620384E-2</v>
      </c>
      <c r="T1218" t="str">
        <f t="shared" ref="T1218:T1281" si="101">F1218&amp;" "&amp;C1218</f>
        <v>Ipe S4S E4E 2x4 Long</v>
      </c>
    </row>
    <row r="1219" spans="1:20" x14ac:dyDescent="0.25">
      <c r="A1219" t="s">
        <v>1351</v>
      </c>
      <c r="B1219" t="s">
        <v>1584</v>
      </c>
      <c r="C1219" t="s">
        <v>283</v>
      </c>
      <c r="D1219" t="s">
        <v>438</v>
      </c>
      <c r="E1219" t="s">
        <v>1591</v>
      </c>
      <c r="F1219" t="s">
        <v>1585</v>
      </c>
      <c r="G1219" t="s">
        <v>1351</v>
      </c>
      <c r="H1219" t="s">
        <v>373</v>
      </c>
      <c r="I1219" t="s">
        <v>289</v>
      </c>
      <c r="J1219" t="s">
        <v>796</v>
      </c>
      <c r="K1219">
        <v>13</v>
      </c>
      <c r="L1219" s="6">
        <v>3.9624000000000001</v>
      </c>
      <c r="M1219" s="7">
        <v>38.1</v>
      </c>
      <c r="N1219" s="7">
        <v>88.9</v>
      </c>
      <c r="O1219" s="7">
        <f t="shared" si="97"/>
        <v>156</v>
      </c>
      <c r="P1219" s="7">
        <f t="shared" si="98"/>
        <v>1.5000000000000002</v>
      </c>
      <c r="Q1219" s="7">
        <f t="shared" si="98"/>
        <v>3.5000000000000004</v>
      </c>
      <c r="R1219" s="6">
        <f t="shared" si="99"/>
        <v>968.63099999999997</v>
      </c>
      <c r="S1219" s="6">
        <f t="shared" si="100"/>
        <v>1.3421005416000002E-2</v>
      </c>
      <c r="T1219" t="str">
        <f t="shared" si="101"/>
        <v>Ipe S4S E4E 2x4 Long</v>
      </c>
    </row>
    <row r="1220" spans="1:20" x14ac:dyDescent="0.25">
      <c r="A1220" t="s">
        <v>1351</v>
      </c>
      <c r="B1220" t="s">
        <v>1584</v>
      </c>
      <c r="C1220" t="s">
        <v>283</v>
      </c>
      <c r="D1220" t="s">
        <v>438</v>
      </c>
      <c r="E1220" t="s">
        <v>1592</v>
      </c>
      <c r="F1220" t="s">
        <v>1585</v>
      </c>
      <c r="G1220" t="s">
        <v>1351</v>
      </c>
      <c r="H1220" t="s">
        <v>373</v>
      </c>
      <c r="I1220" t="s">
        <v>289</v>
      </c>
      <c r="J1220" t="s">
        <v>796</v>
      </c>
      <c r="K1220">
        <v>13</v>
      </c>
      <c r="L1220" s="6">
        <v>3.9624000000000001</v>
      </c>
      <c r="M1220" s="7">
        <v>38.1</v>
      </c>
      <c r="N1220" s="7">
        <v>88.9</v>
      </c>
      <c r="O1220" s="7">
        <f t="shared" si="97"/>
        <v>156</v>
      </c>
      <c r="P1220" s="7">
        <f t="shared" si="98"/>
        <v>1.5000000000000002</v>
      </c>
      <c r="Q1220" s="7">
        <f t="shared" si="98"/>
        <v>3.5000000000000004</v>
      </c>
      <c r="R1220" s="6">
        <f t="shared" si="99"/>
        <v>968.63099999999997</v>
      </c>
      <c r="S1220" s="6">
        <f t="shared" si="100"/>
        <v>1.3421005416000002E-2</v>
      </c>
      <c r="T1220" t="str">
        <f t="shared" si="101"/>
        <v>Ipe S4S E4E 2x4 Long</v>
      </c>
    </row>
    <row r="1221" spans="1:20" x14ac:dyDescent="0.25">
      <c r="A1221" t="s">
        <v>1351</v>
      </c>
      <c r="B1221" t="s">
        <v>1584</v>
      </c>
      <c r="C1221" t="s">
        <v>283</v>
      </c>
      <c r="D1221" t="s">
        <v>438</v>
      </c>
      <c r="E1221" t="s">
        <v>127</v>
      </c>
      <c r="F1221" t="s">
        <v>1585</v>
      </c>
      <c r="G1221" t="s">
        <v>1351</v>
      </c>
      <c r="H1221" t="s">
        <v>373</v>
      </c>
      <c r="I1221" t="s">
        <v>289</v>
      </c>
      <c r="J1221" t="s">
        <v>796</v>
      </c>
      <c r="K1221">
        <v>14</v>
      </c>
      <c r="L1221" s="6">
        <v>4.2671999999999999</v>
      </c>
      <c r="M1221" s="7">
        <v>38.1</v>
      </c>
      <c r="N1221" s="7">
        <v>88.9</v>
      </c>
      <c r="O1221" s="7">
        <f t="shared" si="97"/>
        <v>168</v>
      </c>
      <c r="P1221" s="7">
        <f t="shared" si="98"/>
        <v>1.5000000000000002</v>
      </c>
      <c r="Q1221" s="7">
        <f t="shared" si="98"/>
        <v>3.5000000000000004</v>
      </c>
      <c r="R1221" s="6">
        <f t="shared" si="99"/>
        <v>968.63099999999997</v>
      </c>
      <c r="S1221" s="6">
        <f t="shared" si="100"/>
        <v>1.4453390448E-2</v>
      </c>
      <c r="T1221" t="str">
        <f t="shared" si="101"/>
        <v>Ipe S4S E4E 2x4 Long</v>
      </c>
    </row>
    <row r="1222" spans="1:20" x14ac:dyDescent="0.25">
      <c r="A1222" t="s">
        <v>1351</v>
      </c>
      <c r="B1222" t="s">
        <v>1584</v>
      </c>
      <c r="C1222" t="s">
        <v>283</v>
      </c>
      <c r="D1222" t="s">
        <v>438</v>
      </c>
      <c r="E1222" t="s">
        <v>1593</v>
      </c>
      <c r="F1222" t="s">
        <v>1585</v>
      </c>
      <c r="G1222" t="s">
        <v>1351</v>
      </c>
      <c r="H1222" t="s">
        <v>373</v>
      </c>
      <c r="I1222" t="s">
        <v>289</v>
      </c>
      <c r="J1222" t="s">
        <v>796</v>
      </c>
      <c r="K1222">
        <v>14</v>
      </c>
      <c r="L1222" s="6">
        <v>4.2671999999999999</v>
      </c>
      <c r="M1222" s="7">
        <v>38.1</v>
      </c>
      <c r="N1222" s="7">
        <v>88.9</v>
      </c>
      <c r="O1222" s="7">
        <f t="shared" si="97"/>
        <v>168</v>
      </c>
      <c r="P1222" s="7">
        <f t="shared" si="98"/>
        <v>1.5000000000000002</v>
      </c>
      <c r="Q1222" s="7">
        <f t="shared" si="98"/>
        <v>3.5000000000000004</v>
      </c>
      <c r="R1222" s="6">
        <f t="shared" si="99"/>
        <v>968.63099999999997</v>
      </c>
      <c r="S1222" s="6">
        <f t="shared" si="100"/>
        <v>1.4453390448E-2</v>
      </c>
      <c r="T1222" t="str">
        <f t="shared" si="101"/>
        <v>Ipe S4S E4E 2x4 Long</v>
      </c>
    </row>
    <row r="1223" spans="1:20" x14ac:dyDescent="0.25">
      <c r="A1223" t="s">
        <v>1351</v>
      </c>
      <c r="B1223" t="s">
        <v>1584</v>
      </c>
      <c r="C1223" t="s">
        <v>283</v>
      </c>
      <c r="D1223" t="s">
        <v>438</v>
      </c>
      <c r="E1223" t="s">
        <v>1594</v>
      </c>
      <c r="F1223" t="s">
        <v>1585</v>
      </c>
      <c r="G1223" t="s">
        <v>1351</v>
      </c>
      <c r="H1223" t="s">
        <v>373</v>
      </c>
      <c r="I1223" t="s">
        <v>289</v>
      </c>
      <c r="J1223" t="s">
        <v>796</v>
      </c>
      <c r="K1223">
        <v>15</v>
      </c>
      <c r="L1223" s="6">
        <v>4.5720000000000001</v>
      </c>
      <c r="M1223" s="7">
        <v>38.1</v>
      </c>
      <c r="N1223" s="7">
        <v>88.9</v>
      </c>
      <c r="O1223" s="7">
        <f t="shared" si="97"/>
        <v>180</v>
      </c>
      <c r="P1223" s="7">
        <f t="shared" si="98"/>
        <v>1.5000000000000002</v>
      </c>
      <c r="Q1223" s="7">
        <f t="shared" si="98"/>
        <v>3.5000000000000004</v>
      </c>
      <c r="R1223" s="6">
        <f t="shared" si="99"/>
        <v>968.63099999999997</v>
      </c>
      <c r="S1223" s="6">
        <f t="shared" si="100"/>
        <v>1.5485775480000004E-2</v>
      </c>
      <c r="T1223" t="str">
        <f t="shared" si="101"/>
        <v>Ipe S4S E4E 2x4 Long</v>
      </c>
    </row>
    <row r="1224" spans="1:20" x14ac:dyDescent="0.25">
      <c r="A1224" t="s">
        <v>1351</v>
      </c>
      <c r="B1224" t="s">
        <v>1584</v>
      </c>
      <c r="C1224" t="s">
        <v>283</v>
      </c>
      <c r="D1224" t="s">
        <v>438</v>
      </c>
      <c r="E1224" t="s">
        <v>1595</v>
      </c>
      <c r="F1224" t="s">
        <v>1585</v>
      </c>
      <c r="G1224" t="s">
        <v>1351</v>
      </c>
      <c r="H1224" t="s">
        <v>373</v>
      </c>
      <c r="I1224" t="s">
        <v>289</v>
      </c>
      <c r="J1224" t="s">
        <v>796</v>
      </c>
      <c r="K1224">
        <v>15</v>
      </c>
      <c r="L1224" s="6">
        <v>4.5720000000000001</v>
      </c>
      <c r="M1224" s="7">
        <v>38.1</v>
      </c>
      <c r="N1224" s="7">
        <v>88.9</v>
      </c>
      <c r="O1224" s="7">
        <f t="shared" si="97"/>
        <v>180</v>
      </c>
      <c r="P1224" s="7">
        <f t="shared" si="98"/>
        <v>1.5000000000000002</v>
      </c>
      <c r="Q1224" s="7">
        <f t="shared" si="98"/>
        <v>3.5000000000000004</v>
      </c>
      <c r="R1224" s="6">
        <f t="shared" si="99"/>
        <v>968.63099999999997</v>
      </c>
      <c r="S1224" s="6">
        <f t="shared" si="100"/>
        <v>1.5485775480000004E-2</v>
      </c>
      <c r="T1224" t="str">
        <f t="shared" si="101"/>
        <v>Ipe S4S E4E 2x4 Long</v>
      </c>
    </row>
    <row r="1225" spans="1:20" x14ac:dyDescent="0.25">
      <c r="A1225" t="s">
        <v>1351</v>
      </c>
      <c r="B1225" t="s">
        <v>1584</v>
      </c>
      <c r="C1225" t="s">
        <v>283</v>
      </c>
      <c r="D1225" t="s">
        <v>438</v>
      </c>
      <c r="E1225" t="s">
        <v>1596</v>
      </c>
      <c r="F1225" t="s">
        <v>1585</v>
      </c>
      <c r="G1225" t="s">
        <v>1351</v>
      </c>
      <c r="H1225" t="s">
        <v>373</v>
      </c>
      <c r="I1225" t="s">
        <v>289</v>
      </c>
      <c r="J1225" t="s">
        <v>796</v>
      </c>
      <c r="K1225">
        <v>16</v>
      </c>
      <c r="L1225" s="6">
        <v>4.8768000000000002</v>
      </c>
      <c r="M1225" s="7">
        <v>38.1</v>
      </c>
      <c r="N1225" s="7">
        <v>88.9</v>
      </c>
      <c r="O1225" s="7">
        <f t="shared" si="97"/>
        <v>192.00000000000003</v>
      </c>
      <c r="P1225" s="7">
        <f t="shared" si="98"/>
        <v>1.5000000000000002</v>
      </c>
      <c r="Q1225" s="7">
        <f t="shared" si="98"/>
        <v>3.5000000000000004</v>
      </c>
      <c r="R1225" s="6">
        <f t="shared" si="99"/>
        <v>968.63099999999997</v>
      </c>
      <c r="S1225" s="6">
        <f t="shared" si="100"/>
        <v>1.6518160512000002E-2</v>
      </c>
      <c r="T1225" t="str">
        <f t="shared" si="101"/>
        <v>Ipe S4S E4E 2x4 Long</v>
      </c>
    </row>
    <row r="1226" spans="1:20" x14ac:dyDescent="0.25">
      <c r="A1226" t="s">
        <v>1351</v>
      </c>
      <c r="B1226" t="s">
        <v>1584</v>
      </c>
      <c r="C1226" t="s">
        <v>283</v>
      </c>
      <c r="D1226" t="s">
        <v>438</v>
      </c>
      <c r="E1226" t="s">
        <v>1597</v>
      </c>
      <c r="F1226" t="s">
        <v>1585</v>
      </c>
      <c r="G1226" t="s">
        <v>1351</v>
      </c>
      <c r="H1226" t="s">
        <v>373</v>
      </c>
      <c r="I1226" t="s">
        <v>289</v>
      </c>
      <c r="J1226" t="s">
        <v>796</v>
      </c>
      <c r="K1226">
        <v>16</v>
      </c>
      <c r="L1226" s="6">
        <v>4.8768000000000002</v>
      </c>
      <c r="M1226" s="7">
        <v>38.1</v>
      </c>
      <c r="N1226" s="7">
        <v>88.9</v>
      </c>
      <c r="O1226" s="7">
        <f t="shared" si="97"/>
        <v>192.00000000000003</v>
      </c>
      <c r="P1226" s="7">
        <f t="shared" si="98"/>
        <v>1.5000000000000002</v>
      </c>
      <c r="Q1226" s="7">
        <f t="shared" si="98"/>
        <v>3.5000000000000004</v>
      </c>
      <c r="R1226" s="6">
        <f t="shared" si="99"/>
        <v>968.63099999999997</v>
      </c>
      <c r="S1226" s="6">
        <f t="shared" si="100"/>
        <v>1.6518160512000002E-2</v>
      </c>
      <c r="T1226" t="str">
        <f t="shared" si="101"/>
        <v>Ipe S4S E4E 2x4 Long</v>
      </c>
    </row>
    <row r="1227" spans="1:20" x14ac:dyDescent="0.25">
      <c r="A1227" t="s">
        <v>1351</v>
      </c>
      <c r="B1227" t="s">
        <v>1584</v>
      </c>
      <c r="C1227" t="s">
        <v>283</v>
      </c>
      <c r="D1227" t="s">
        <v>438</v>
      </c>
      <c r="E1227" t="s">
        <v>1598</v>
      </c>
      <c r="F1227" t="s">
        <v>1585</v>
      </c>
      <c r="G1227" t="s">
        <v>1351</v>
      </c>
      <c r="H1227" t="s">
        <v>373</v>
      </c>
      <c r="I1227" t="s">
        <v>289</v>
      </c>
      <c r="J1227" t="s">
        <v>796</v>
      </c>
      <c r="K1227">
        <v>17</v>
      </c>
      <c r="L1227" s="6">
        <v>5.1816000000000004</v>
      </c>
      <c r="M1227" s="7">
        <v>38.1</v>
      </c>
      <c r="N1227" s="7">
        <v>88.9</v>
      </c>
      <c r="O1227" s="7">
        <f t="shared" si="97"/>
        <v>204.00000000000003</v>
      </c>
      <c r="P1227" s="7">
        <f t="shared" si="98"/>
        <v>1.5000000000000002</v>
      </c>
      <c r="Q1227" s="7">
        <f t="shared" si="98"/>
        <v>3.5000000000000004</v>
      </c>
      <c r="R1227" s="6">
        <f t="shared" si="99"/>
        <v>968.63099999999997</v>
      </c>
      <c r="S1227" s="6">
        <f t="shared" si="100"/>
        <v>1.7550545544000005E-2</v>
      </c>
      <c r="T1227" t="str">
        <f t="shared" si="101"/>
        <v>Ipe S4S E4E 2x4 Long</v>
      </c>
    </row>
    <row r="1228" spans="1:20" x14ac:dyDescent="0.25">
      <c r="A1228" t="s">
        <v>1351</v>
      </c>
      <c r="B1228" t="s">
        <v>1584</v>
      </c>
      <c r="C1228" t="s">
        <v>283</v>
      </c>
      <c r="D1228" t="s">
        <v>438</v>
      </c>
      <c r="E1228" t="s">
        <v>1599</v>
      </c>
      <c r="F1228" t="s">
        <v>1585</v>
      </c>
      <c r="G1228" t="s">
        <v>1351</v>
      </c>
      <c r="H1228" t="s">
        <v>373</v>
      </c>
      <c r="I1228" t="s">
        <v>289</v>
      </c>
      <c r="J1228" t="s">
        <v>796</v>
      </c>
      <c r="K1228">
        <v>17</v>
      </c>
      <c r="L1228" s="6">
        <v>5.1816000000000004</v>
      </c>
      <c r="M1228" s="7">
        <v>38.1</v>
      </c>
      <c r="N1228" s="7">
        <v>88.9</v>
      </c>
      <c r="O1228" s="7">
        <f t="shared" si="97"/>
        <v>204.00000000000003</v>
      </c>
      <c r="P1228" s="7">
        <f t="shared" si="98"/>
        <v>1.5000000000000002</v>
      </c>
      <c r="Q1228" s="7">
        <f t="shared" si="98"/>
        <v>3.5000000000000004</v>
      </c>
      <c r="R1228" s="6">
        <f t="shared" si="99"/>
        <v>968.63099999999997</v>
      </c>
      <c r="S1228" s="6">
        <f t="shared" si="100"/>
        <v>1.7550545544000005E-2</v>
      </c>
      <c r="T1228" t="str">
        <f t="shared" si="101"/>
        <v>Ipe S4S E4E 2x4 Long</v>
      </c>
    </row>
    <row r="1229" spans="1:20" x14ac:dyDescent="0.25">
      <c r="A1229" t="s">
        <v>1351</v>
      </c>
      <c r="B1229" t="s">
        <v>1584</v>
      </c>
      <c r="C1229" t="s">
        <v>283</v>
      </c>
      <c r="D1229" t="s">
        <v>438</v>
      </c>
      <c r="E1229" t="s">
        <v>189</v>
      </c>
      <c r="F1229" t="s">
        <v>1585</v>
      </c>
      <c r="G1229" t="s">
        <v>1351</v>
      </c>
      <c r="H1229" t="s">
        <v>373</v>
      </c>
      <c r="I1229" t="s">
        <v>289</v>
      </c>
      <c r="J1229" t="s">
        <v>796</v>
      </c>
      <c r="K1229">
        <v>18</v>
      </c>
      <c r="L1229" s="6">
        <v>5.4863999999999997</v>
      </c>
      <c r="M1229" s="7">
        <v>38.1</v>
      </c>
      <c r="N1229" s="7">
        <v>88.9</v>
      </c>
      <c r="O1229" s="7">
        <f t="shared" si="97"/>
        <v>216</v>
      </c>
      <c r="P1229" s="7">
        <f t="shared" si="98"/>
        <v>1.5000000000000002</v>
      </c>
      <c r="Q1229" s="7">
        <f t="shared" si="98"/>
        <v>3.5000000000000004</v>
      </c>
      <c r="R1229" s="6">
        <f t="shared" si="99"/>
        <v>968.63099999999997</v>
      </c>
      <c r="S1229" s="6">
        <f t="shared" si="100"/>
        <v>1.8582930576000002E-2</v>
      </c>
      <c r="T1229" t="str">
        <f t="shared" si="101"/>
        <v>Ipe S4S E4E 2x4 Long</v>
      </c>
    </row>
    <row r="1230" spans="1:20" x14ac:dyDescent="0.25">
      <c r="A1230" t="s">
        <v>1351</v>
      </c>
      <c r="B1230" t="s">
        <v>1584</v>
      </c>
      <c r="C1230" t="s">
        <v>283</v>
      </c>
      <c r="D1230" t="s">
        <v>438</v>
      </c>
      <c r="E1230" t="s">
        <v>1600</v>
      </c>
      <c r="F1230" t="s">
        <v>1585</v>
      </c>
      <c r="G1230" t="s">
        <v>1351</v>
      </c>
      <c r="H1230" t="s">
        <v>373</v>
      </c>
      <c r="I1230" t="s">
        <v>289</v>
      </c>
      <c r="J1230" t="s">
        <v>796</v>
      </c>
      <c r="K1230">
        <v>18</v>
      </c>
      <c r="L1230" s="6">
        <v>5.4863999999999997</v>
      </c>
      <c r="M1230" s="7">
        <v>38.1</v>
      </c>
      <c r="N1230" s="7">
        <v>88.9</v>
      </c>
      <c r="O1230" s="7">
        <f t="shared" si="97"/>
        <v>216</v>
      </c>
      <c r="P1230" s="7">
        <f t="shared" si="98"/>
        <v>1.5000000000000002</v>
      </c>
      <c r="Q1230" s="7">
        <f t="shared" si="98"/>
        <v>3.5000000000000004</v>
      </c>
      <c r="R1230" s="6">
        <f t="shared" si="99"/>
        <v>968.63099999999997</v>
      </c>
      <c r="S1230" s="6">
        <f t="shared" si="100"/>
        <v>1.8582930576000002E-2</v>
      </c>
      <c r="T1230" t="str">
        <f t="shared" si="101"/>
        <v>Ipe S4S E4E 2x4 Long</v>
      </c>
    </row>
    <row r="1231" spans="1:20" x14ac:dyDescent="0.25">
      <c r="A1231" t="s">
        <v>1351</v>
      </c>
      <c r="B1231" t="s">
        <v>1584</v>
      </c>
      <c r="C1231" t="s">
        <v>283</v>
      </c>
      <c r="D1231" t="s">
        <v>438</v>
      </c>
      <c r="E1231" t="s">
        <v>1601</v>
      </c>
      <c r="F1231" t="s">
        <v>1585</v>
      </c>
      <c r="G1231" t="s">
        <v>1351</v>
      </c>
      <c r="H1231" t="s">
        <v>373</v>
      </c>
      <c r="I1231" t="s">
        <v>289</v>
      </c>
      <c r="J1231" t="s">
        <v>796</v>
      </c>
      <c r="K1231">
        <v>19</v>
      </c>
      <c r="L1231" s="6">
        <v>5.7911999999999999</v>
      </c>
      <c r="M1231" s="7">
        <v>38.1</v>
      </c>
      <c r="N1231" s="7">
        <v>88.9</v>
      </c>
      <c r="O1231" s="7">
        <f t="shared" si="97"/>
        <v>228</v>
      </c>
      <c r="P1231" s="7">
        <f t="shared" si="98"/>
        <v>1.5000000000000002</v>
      </c>
      <c r="Q1231" s="7">
        <f t="shared" si="98"/>
        <v>3.5000000000000004</v>
      </c>
      <c r="R1231" s="6">
        <f t="shared" si="99"/>
        <v>968.63099999999997</v>
      </c>
      <c r="S1231" s="6">
        <f t="shared" si="100"/>
        <v>1.9615315608000002E-2</v>
      </c>
      <c r="T1231" t="str">
        <f t="shared" si="101"/>
        <v>Ipe S4S E4E 2x4 Long</v>
      </c>
    </row>
    <row r="1232" spans="1:20" x14ac:dyDescent="0.25">
      <c r="A1232" t="s">
        <v>1351</v>
      </c>
      <c r="B1232" t="s">
        <v>1584</v>
      </c>
      <c r="C1232" t="s">
        <v>283</v>
      </c>
      <c r="D1232" t="s">
        <v>438</v>
      </c>
      <c r="E1232" t="s">
        <v>1602</v>
      </c>
      <c r="F1232" t="s">
        <v>1585</v>
      </c>
      <c r="G1232" t="s">
        <v>1351</v>
      </c>
      <c r="H1232" t="s">
        <v>373</v>
      </c>
      <c r="I1232" t="s">
        <v>289</v>
      </c>
      <c r="J1232" t="s">
        <v>796</v>
      </c>
      <c r="K1232">
        <v>19</v>
      </c>
      <c r="L1232" s="6">
        <v>5.7911999999999999</v>
      </c>
      <c r="M1232" s="7">
        <v>38.1</v>
      </c>
      <c r="N1232" s="7">
        <v>88.9</v>
      </c>
      <c r="O1232" s="7">
        <f t="shared" si="97"/>
        <v>228</v>
      </c>
      <c r="P1232" s="7">
        <f t="shared" si="98"/>
        <v>1.5000000000000002</v>
      </c>
      <c r="Q1232" s="7">
        <f t="shared" si="98"/>
        <v>3.5000000000000004</v>
      </c>
      <c r="R1232" s="6">
        <f t="shared" si="99"/>
        <v>968.63099999999997</v>
      </c>
      <c r="S1232" s="6">
        <f t="shared" si="100"/>
        <v>1.9615315608000002E-2</v>
      </c>
      <c r="T1232" t="str">
        <f t="shared" si="101"/>
        <v>Ipe S4S E4E 2x4 Long</v>
      </c>
    </row>
    <row r="1233" spans="1:20" x14ac:dyDescent="0.25">
      <c r="A1233" t="s">
        <v>1351</v>
      </c>
      <c r="B1233" t="s">
        <v>1584</v>
      </c>
      <c r="C1233" t="s">
        <v>283</v>
      </c>
      <c r="D1233" t="s">
        <v>438</v>
      </c>
      <c r="E1233" t="s">
        <v>190</v>
      </c>
      <c r="F1233" t="s">
        <v>1585</v>
      </c>
      <c r="G1233" t="s">
        <v>1351</v>
      </c>
      <c r="H1233" t="s">
        <v>373</v>
      </c>
      <c r="I1233" t="s">
        <v>289</v>
      </c>
      <c r="J1233" t="s">
        <v>796</v>
      </c>
      <c r="K1233">
        <v>20</v>
      </c>
      <c r="L1233" s="6">
        <v>6.0960000000000001</v>
      </c>
      <c r="M1233" s="7">
        <v>38.1</v>
      </c>
      <c r="N1233" s="7">
        <v>88.9</v>
      </c>
      <c r="O1233" s="7">
        <f t="shared" si="97"/>
        <v>240</v>
      </c>
      <c r="P1233" s="7">
        <f t="shared" si="98"/>
        <v>1.5000000000000002</v>
      </c>
      <c r="Q1233" s="7">
        <f t="shared" si="98"/>
        <v>3.5000000000000004</v>
      </c>
      <c r="R1233" s="6">
        <f t="shared" si="99"/>
        <v>968.63099999999997</v>
      </c>
      <c r="S1233" s="6">
        <f t="shared" si="100"/>
        <v>2.0647700640000002E-2</v>
      </c>
      <c r="T1233" t="str">
        <f t="shared" si="101"/>
        <v>Ipe S4S E4E 2x4 Long</v>
      </c>
    </row>
    <row r="1234" spans="1:20" x14ac:dyDescent="0.25">
      <c r="A1234" t="s">
        <v>1351</v>
      </c>
      <c r="B1234" t="s">
        <v>1584</v>
      </c>
      <c r="C1234" t="s">
        <v>283</v>
      </c>
      <c r="D1234" t="s">
        <v>438</v>
      </c>
      <c r="E1234" t="s">
        <v>1603</v>
      </c>
      <c r="F1234" t="s">
        <v>1585</v>
      </c>
      <c r="G1234" t="s">
        <v>1351</v>
      </c>
      <c r="H1234" t="s">
        <v>373</v>
      </c>
      <c r="I1234" t="s">
        <v>289</v>
      </c>
      <c r="J1234" t="s">
        <v>796</v>
      </c>
      <c r="K1234">
        <v>20</v>
      </c>
      <c r="L1234" s="6">
        <v>6.0960000000000001</v>
      </c>
      <c r="M1234" s="7">
        <v>38.1</v>
      </c>
      <c r="N1234" s="7">
        <v>88.9</v>
      </c>
      <c r="O1234" s="7">
        <f t="shared" si="97"/>
        <v>240</v>
      </c>
      <c r="P1234" s="7">
        <f t="shared" si="98"/>
        <v>1.5000000000000002</v>
      </c>
      <c r="Q1234" s="7">
        <f t="shared" si="98"/>
        <v>3.5000000000000004</v>
      </c>
      <c r="R1234" s="6">
        <f t="shared" si="99"/>
        <v>968.63099999999997</v>
      </c>
      <c r="S1234" s="6">
        <f t="shared" si="100"/>
        <v>2.0647700640000002E-2</v>
      </c>
      <c r="T1234" t="str">
        <f t="shared" si="101"/>
        <v>Ipe S4S E4E 2x4 Long</v>
      </c>
    </row>
    <row r="1235" spans="1:20" x14ac:dyDescent="0.25">
      <c r="A1235" t="s">
        <v>1351</v>
      </c>
      <c r="B1235" t="s">
        <v>1584</v>
      </c>
      <c r="C1235" t="s">
        <v>283</v>
      </c>
      <c r="D1235" t="s">
        <v>438</v>
      </c>
      <c r="E1235" t="s">
        <v>1604</v>
      </c>
      <c r="F1235" t="s">
        <v>1585</v>
      </c>
      <c r="G1235" t="s">
        <v>1351</v>
      </c>
      <c r="H1235" t="s">
        <v>373</v>
      </c>
      <c r="I1235" t="s">
        <v>289</v>
      </c>
      <c r="J1235" t="s">
        <v>796</v>
      </c>
      <c r="K1235">
        <v>21</v>
      </c>
      <c r="L1235" s="6">
        <v>6.4008000000000003</v>
      </c>
      <c r="M1235" s="7">
        <v>38.1</v>
      </c>
      <c r="N1235" s="7">
        <v>88.9</v>
      </c>
      <c r="O1235" s="7">
        <f t="shared" si="97"/>
        <v>252.00000000000003</v>
      </c>
      <c r="P1235" s="7">
        <f t="shared" si="98"/>
        <v>1.5000000000000002</v>
      </c>
      <c r="Q1235" s="7">
        <f t="shared" si="98"/>
        <v>3.5000000000000004</v>
      </c>
      <c r="R1235" s="6">
        <f t="shared" si="99"/>
        <v>968.63099999999997</v>
      </c>
      <c r="S1235" s="6">
        <f t="shared" si="100"/>
        <v>2.1680085672000003E-2</v>
      </c>
      <c r="T1235" t="str">
        <f t="shared" si="101"/>
        <v>Ipe S4S E4E 2x4 Long</v>
      </c>
    </row>
    <row r="1236" spans="1:20" x14ac:dyDescent="0.25">
      <c r="A1236" t="s">
        <v>1351</v>
      </c>
      <c r="B1236" t="s">
        <v>1584</v>
      </c>
      <c r="C1236" t="s">
        <v>283</v>
      </c>
      <c r="D1236" t="s">
        <v>438</v>
      </c>
      <c r="E1236" t="s">
        <v>1605</v>
      </c>
      <c r="F1236" t="s">
        <v>1585</v>
      </c>
      <c r="G1236" t="s">
        <v>1351</v>
      </c>
      <c r="H1236" t="s">
        <v>373</v>
      </c>
      <c r="I1236" t="s">
        <v>289</v>
      </c>
      <c r="J1236" t="s">
        <v>796</v>
      </c>
      <c r="K1236">
        <v>21</v>
      </c>
      <c r="L1236" s="6">
        <v>6.4008000000000003</v>
      </c>
      <c r="M1236" s="7">
        <v>38.1</v>
      </c>
      <c r="N1236" s="7">
        <v>88.9</v>
      </c>
      <c r="O1236" s="7">
        <f t="shared" si="97"/>
        <v>252.00000000000003</v>
      </c>
      <c r="P1236" s="7">
        <f t="shared" si="98"/>
        <v>1.5000000000000002</v>
      </c>
      <c r="Q1236" s="7">
        <f t="shared" si="98"/>
        <v>3.5000000000000004</v>
      </c>
      <c r="R1236" s="6">
        <f t="shared" si="99"/>
        <v>968.63099999999997</v>
      </c>
      <c r="S1236" s="6">
        <f t="shared" si="100"/>
        <v>2.1680085672000003E-2</v>
      </c>
      <c r="T1236" t="str">
        <f t="shared" si="101"/>
        <v>Ipe S4S E4E 2x4 Long</v>
      </c>
    </row>
    <row r="1237" spans="1:20" x14ac:dyDescent="0.25">
      <c r="A1237" t="s">
        <v>1351</v>
      </c>
      <c r="B1237" t="s">
        <v>1584</v>
      </c>
      <c r="C1237" t="s">
        <v>283</v>
      </c>
      <c r="D1237" t="s">
        <v>438</v>
      </c>
      <c r="E1237" t="s">
        <v>1606</v>
      </c>
      <c r="F1237" t="s">
        <v>1585</v>
      </c>
      <c r="G1237" t="s">
        <v>1351</v>
      </c>
      <c r="H1237" t="s">
        <v>373</v>
      </c>
      <c r="I1237" t="s">
        <v>289</v>
      </c>
      <c r="J1237" t="s">
        <v>796</v>
      </c>
      <c r="K1237">
        <v>22</v>
      </c>
      <c r="L1237" s="6">
        <v>6.7055999999999996</v>
      </c>
      <c r="M1237" s="7">
        <v>38.1</v>
      </c>
      <c r="N1237" s="7">
        <v>88.9</v>
      </c>
      <c r="O1237" s="7">
        <f t="shared" si="97"/>
        <v>264</v>
      </c>
      <c r="P1237" s="7">
        <f t="shared" si="98"/>
        <v>1.5000000000000002</v>
      </c>
      <c r="Q1237" s="7">
        <f t="shared" si="98"/>
        <v>3.5000000000000004</v>
      </c>
      <c r="R1237" s="6">
        <f t="shared" si="99"/>
        <v>968.63099999999997</v>
      </c>
      <c r="S1237" s="6">
        <f t="shared" si="100"/>
        <v>2.2712470704000003E-2</v>
      </c>
      <c r="T1237" t="str">
        <f t="shared" si="101"/>
        <v>Ipe S4S E4E 2x4 Long</v>
      </c>
    </row>
    <row r="1238" spans="1:20" x14ac:dyDescent="0.25">
      <c r="A1238" t="s">
        <v>1351</v>
      </c>
      <c r="B1238" t="s">
        <v>1584</v>
      </c>
      <c r="C1238" t="s">
        <v>283</v>
      </c>
      <c r="D1238" t="s">
        <v>438</v>
      </c>
      <c r="E1238" t="s">
        <v>1607</v>
      </c>
      <c r="F1238" t="s">
        <v>1585</v>
      </c>
      <c r="G1238" t="s">
        <v>1351</v>
      </c>
      <c r="H1238" t="s">
        <v>373</v>
      </c>
      <c r="I1238" t="s">
        <v>289</v>
      </c>
      <c r="J1238" t="s">
        <v>796</v>
      </c>
      <c r="K1238">
        <v>22</v>
      </c>
      <c r="L1238" s="6">
        <v>6.7055999999999996</v>
      </c>
      <c r="M1238" s="7">
        <v>38.1</v>
      </c>
      <c r="N1238" s="7">
        <v>88.9</v>
      </c>
      <c r="O1238" s="7">
        <f t="shared" si="97"/>
        <v>264</v>
      </c>
      <c r="P1238" s="7">
        <f t="shared" si="98"/>
        <v>1.5000000000000002</v>
      </c>
      <c r="Q1238" s="7">
        <f t="shared" si="98"/>
        <v>3.5000000000000004</v>
      </c>
      <c r="R1238" s="6">
        <f t="shared" si="99"/>
        <v>968.63099999999997</v>
      </c>
      <c r="S1238" s="6">
        <f t="shared" si="100"/>
        <v>2.2712470704000003E-2</v>
      </c>
      <c r="T1238" t="str">
        <f t="shared" si="101"/>
        <v>Ipe S4S E4E 2x4 Long</v>
      </c>
    </row>
    <row r="1239" spans="1:20" x14ac:dyDescent="0.25">
      <c r="A1239" t="s">
        <v>1351</v>
      </c>
      <c r="B1239" t="s">
        <v>1584</v>
      </c>
      <c r="C1239" t="s">
        <v>524</v>
      </c>
      <c r="D1239" t="s">
        <v>438</v>
      </c>
      <c r="E1239" t="s">
        <v>1608</v>
      </c>
      <c r="F1239" t="s">
        <v>1585</v>
      </c>
      <c r="G1239" t="s">
        <v>1351</v>
      </c>
      <c r="H1239" t="s">
        <v>373</v>
      </c>
      <c r="I1239" t="s">
        <v>289</v>
      </c>
      <c r="J1239" t="s">
        <v>796</v>
      </c>
      <c r="K1239">
        <v>3</v>
      </c>
      <c r="L1239" s="6">
        <v>0.91439999999999999</v>
      </c>
      <c r="M1239" s="7">
        <v>38.1</v>
      </c>
      <c r="N1239" s="7">
        <v>88.9</v>
      </c>
      <c r="O1239" s="7">
        <f t="shared" si="97"/>
        <v>36</v>
      </c>
      <c r="P1239" s="7">
        <f t="shared" si="98"/>
        <v>1.5000000000000002</v>
      </c>
      <c r="Q1239" s="7">
        <f t="shared" si="98"/>
        <v>3.5000000000000004</v>
      </c>
      <c r="R1239" s="6">
        <f t="shared" si="99"/>
        <v>968.63099999999997</v>
      </c>
      <c r="S1239" s="6">
        <f t="shared" si="100"/>
        <v>3.0971550959999999E-3</v>
      </c>
      <c r="T1239" t="str">
        <f t="shared" si="101"/>
        <v>Ipe S4S E4E 2x4 Short</v>
      </c>
    </row>
    <row r="1240" spans="1:20" x14ac:dyDescent="0.25">
      <c r="A1240" t="s">
        <v>1351</v>
      </c>
      <c r="B1240" t="s">
        <v>1584</v>
      </c>
      <c r="C1240" t="s">
        <v>524</v>
      </c>
      <c r="D1240" t="s">
        <v>438</v>
      </c>
      <c r="E1240" t="s">
        <v>1609</v>
      </c>
      <c r="F1240" t="s">
        <v>1585</v>
      </c>
      <c r="G1240" t="s">
        <v>1351</v>
      </c>
      <c r="H1240" t="s">
        <v>373</v>
      </c>
      <c r="I1240" t="s">
        <v>289</v>
      </c>
      <c r="J1240" t="s">
        <v>796</v>
      </c>
      <c r="K1240">
        <v>3</v>
      </c>
      <c r="L1240" s="6">
        <v>0.91439999999999999</v>
      </c>
      <c r="M1240" s="7">
        <v>38.1</v>
      </c>
      <c r="N1240" s="7">
        <v>88.9</v>
      </c>
      <c r="O1240" s="7">
        <f t="shared" si="97"/>
        <v>36</v>
      </c>
      <c r="P1240" s="7">
        <f t="shared" si="98"/>
        <v>1.5000000000000002</v>
      </c>
      <c r="Q1240" s="7">
        <f t="shared" si="98"/>
        <v>3.5000000000000004</v>
      </c>
      <c r="R1240" s="6">
        <f t="shared" si="99"/>
        <v>968.63099999999997</v>
      </c>
      <c r="S1240" s="6">
        <f t="shared" si="100"/>
        <v>3.0971550959999999E-3</v>
      </c>
      <c r="T1240" t="str">
        <f t="shared" si="101"/>
        <v>Ipe S4S E4E 2x4 Short</v>
      </c>
    </row>
    <row r="1241" spans="1:20" x14ac:dyDescent="0.25">
      <c r="A1241" t="s">
        <v>1351</v>
      </c>
      <c r="B1241" t="s">
        <v>1584</v>
      </c>
      <c r="C1241" t="s">
        <v>524</v>
      </c>
      <c r="D1241" t="s">
        <v>438</v>
      </c>
      <c r="E1241" t="s">
        <v>1610</v>
      </c>
      <c r="F1241" t="s">
        <v>1585</v>
      </c>
      <c r="G1241" t="s">
        <v>1351</v>
      </c>
      <c r="H1241" t="s">
        <v>373</v>
      </c>
      <c r="I1241" t="s">
        <v>289</v>
      </c>
      <c r="J1241" t="s">
        <v>796</v>
      </c>
      <c r="K1241">
        <v>4</v>
      </c>
      <c r="L1241" s="6">
        <v>1.2192000000000001</v>
      </c>
      <c r="M1241" s="7">
        <v>38.1</v>
      </c>
      <c r="N1241" s="7">
        <v>88.9</v>
      </c>
      <c r="O1241" s="7">
        <f t="shared" si="97"/>
        <v>48.000000000000007</v>
      </c>
      <c r="P1241" s="7">
        <f t="shared" si="98"/>
        <v>1.5000000000000002</v>
      </c>
      <c r="Q1241" s="7">
        <f t="shared" si="98"/>
        <v>3.5000000000000004</v>
      </c>
      <c r="R1241" s="6">
        <f t="shared" si="99"/>
        <v>968.63099999999997</v>
      </c>
      <c r="S1241" s="6">
        <f t="shared" si="100"/>
        <v>4.1295401280000005E-3</v>
      </c>
      <c r="T1241" t="str">
        <f t="shared" si="101"/>
        <v>Ipe S4S E4E 2x4 Short</v>
      </c>
    </row>
    <row r="1242" spans="1:20" x14ac:dyDescent="0.25">
      <c r="A1242" t="s">
        <v>1351</v>
      </c>
      <c r="B1242" t="s">
        <v>1584</v>
      </c>
      <c r="C1242" t="s">
        <v>524</v>
      </c>
      <c r="D1242" t="s">
        <v>438</v>
      </c>
      <c r="E1242" t="s">
        <v>1611</v>
      </c>
      <c r="F1242" t="s">
        <v>1585</v>
      </c>
      <c r="G1242" t="s">
        <v>1351</v>
      </c>
      <c r="H1242" t="s">
        <v>373</v>
      </c>
      <c r="I1242" t="s">
        <v>289</v>
      </c>
      <c r="J1242" t="s">
        <v>796</v>
      </c>
      <c r="K1242">
        <v>4</v>
      </c>
      <c r="L1242" s="6">
        <v>1.2192000000000001</v>
      </c>
      <c r="M1242" s="7">
        <v>38.1</v>
      </c>
      <c r="N1242" s="7">
        <v>88.9</v>
      </c>
      <c r="O1242" s="7">
        <f t="shared" si="97"/>
        <v>48.000000000000007</v>
      </c>
      <c r="P1242" s="7">
        <f t="shared" si="98"/>
        <v>1.5000000000000002</v>
      </c>
      <c r="Q1242" s="7">
        <f t="shared" si="98"/>
        <v>3.5000000000000004</v>
      </c>
      <c r="R1242" s="6">
        <f t="shared" si="99"/>
        <v>968.63099999999997</v>
      </c>
      <c r="S1242" s="6">
        <f t="shared" si="100"/>
        <v>4.1295401280000005E-3</v>
      </c>
      <c r="T1242" t="str">
        <f t="shared" si="101"/>
        <v>Ipe S4S E4E 2x4 Short</v>
      </c>
    </row>
    <row r="1243" spans="1:20" x14ac:dyDescent="0.25">
      <c r="A1243" t="s">
        <v>1351</v>
      </c>
      <c r="B1243" t="s">
        <v>1584</v>
      </c>
      <c r="C1243" t="s">
        <v>524</v>
      </c>
      <c r="D1243" t="s">
        <v>438</v>
      </c>
      <c r="E1243" t="s">
        <v>1612</v>
      </c>
      <c r="F1243" t="s">
        <v>1585</v>
      </c>
      <c r="G1243" t="s">
        <v>1351</v>
      </c>
      <c r="H1243" t="s">
        <v>373</v>
      </c>
      <c r="I1243" t="s">
        <v>289</v>
      </c>
      <c r="J1243" t="s">
        <v>796</v>
      </c>
      <c r="K1243">
        <v>5</v>
      </c>
      <c r="L1243" s="6">
        <v>1.524</v>
      </c>
      <c r="M1243" s="7">
        <v>38.1</v>
      </c>
      <c r="N1243" s="7">
        <v>88.9</v>
      </c>
      <c r="O1243" s="7">
        <f t="shared" si="97"/>
        <v>60</v>
      </c>
      <c r="P1243" s="7">
        <f t="shared" si="98"/>
        <v>1.5000000000000002</v>
      </c>
      <c r="Q1243" s="7">
        <f t="shared" si="98"/>
        <v>3.5000000000000004</v>
      </c>
      <c r="R1243" s="6">
        <f t="shared" si="99"/>
        <v>968.63099999999997</v>
      </c>
      <c r="S1243" s="6">
        <f t="shared" si="100"/>
        <v>5.1619251600000006E-3</v>
      </c>
      <c r="T1243" t="str">
        <f t="shared" si="101"/>
        <v>Ipe S4S E4E 2x4 Short</v>
      </c>
    </row>
    <row r="1244" spans="1:20" x14ac:dyDescent="0.25">
      <c r="A1244" t="s">
        <v>1351</v>
      </c>
      <c r="B1244" t="s">
        <v>1584</v>
      </c>
      <c r="C1244" t="s">
        <v>524</v>
      </c>
      <c r="D1244" t="s">
        <v>438</v>
      </c>
      <c r="E1244" t="s">
        <v>1613</v>
      </c>
      <c r="F1244" t="s">
        <v>1585</v>
      </c>
      <c r="G1244" t="s">
        <v>1351</v>
      </c>
      <c r="H1244" t="s">
        <v>373</v>
      </c>
      <c r="I1244" t="s">
        <v>289</v>
      </c>
      <c r="J1244" t="s">
        <v>796</v>
      </c>
      <c r="K1244">
        <v>5</v>
      </c>
      <c r="L1244" s="6">
        <v>1.524</v>
      </c>
      <c r="M1244" s="7">
        <v>38.1</v>
      </c>
      <c r="N1244" s="7">
        <v>88.9</v>
      </c>
      <c r="O1244" s="7">
        <f t="shared" si="97"/>
        <v>60</v>
      </c>
      <c r="P1244" s="7">
        <f t="shared" si="98"/>
        <v>1.5000000000000002</v>
      </c>
      <c r="Q1244" s="7">
        <f t="shared" si="98"/>
        <v>3.5000000000000004</v>
      </c>
      <c r="R1244" s="6">
        <f t="shared" si="99"/>
        <v>968.63099999999997</v>
      </c>
      <c r="S1244" s="6">
        <f t="shared" si="100"/>
        <v>5.1619251600000006E-3</v>
      </c>
      <c r="T1244" t="str">
        <f t="shared" si="101"/>
        <v>Ipe S4S E4E 2x4 Short</v>
      </c>
    </row>
    <row r="1245" spans="1:20" x14ac:dyDescent="0.25">
      <c r="A1245" t="s">
        <v>1351</v>
      </c>
      <c r="B1245" t="s">
        <v>1584</v>
      </c>
      <c r="C1245" t="s">
        <v>524</v>
      </c>
      <c r="D1245" t="s">
        <v>438</v>
      </c>
      <c r="E1245" t="s">
        <v>55</v>
      </c>
      <c r="F1245" t="s">
        <v>1585</v>
      </c>
      <c r="G1245" t="s">
        <v>1351</v>
      </c>
      <c r="H1245" t="s">
        <v>373</v>
      </c>
      <c r="I1245" t="s">
        <v>289</v>
      </c>
      <c r="J1245" t="s">
        <v>796</v>
      </c>
      <c r="K1245">
        <v>6</v>
      </c>
      <c r="L1245" s="6">
        <v>1.8288</v>
      </c>
      <c r="M1245" s="7">
        <v>38.1</v>
      </c>
      <c r="N1245" s="7">
        <v>88.9</v>
      </c>
      <c r="O1245" s="7">
        <f t="shared" si="97"/>
        <v>72</v>
      </c>
      <c r="P1245" s="7">
        <f t="shared" si="98"/>
        <v>1.5000000000000002</v>
      </c>
      <c r="Q1245" s="7">
        <f t="shared" si="98"/>
        <v>3.5000000000000004</v>
      </c>
      <c r="R1245" s="6">
        <f t="shared" si="99"/>
        <v>968.63099999999997</v>
      </c>
      <c r="S1245" s="6">
        <f t="shared" si="100"/>
        <v>6.1943101919999998E-3</v>
      </c>
      <c r="T1245" t="str">
        <f t="shared" si="101"/>
        <v>Ipe S4S E4E 2x4 Short</v>
      </c>
    </row>
    <row r="1246" spans="1:20" x14ac:dyDescent="0.25">
      <c r="A1246" t="s">
        <v>1351</v>
      </c>
      <c r="B1246" t="s">
        <v>1584</v>
      </c>
      <c r="C1246" t="s">
        <v>524</v>
      </c>
      <c r="D1246" t="s">
        <v>438</v>
      </c>
      <c r="E1246" t="s">
        <v>1614</v>
      </c>
      <c r="F1246" t="s">
        <v>1585</v>
      </c>
      <c r="G1246" t="s">
        <v>1351</v>
      </c>
      <c r="H1246" t="s">
        <v>373</v>
      </c>
      <c r="I1246" t="s">
        <v>289</v>
      </c>
      <c r="J1246" t="s">
        <v>796</v>
      </c>
      <c r="K1246">
        <v>6</v>
      </c>
      <c r="L1246" s="6">
        <v>1.8288</v>
      </c>
      <c r="M1246" s="7">
        <v>38.1</v>
      </c>
      <c r="N1246" s="7">
        <v>88.9</v>
      </c>
      <c r="O1246" s="7">
        <f t="shared" ref="O1246:O1309" si="102">L1246/0.0254</f>
        <v>72</v>
      </c>
      <c r="P1246" s="7">
        <f t="shared" ref="P1246:Q1309" si="103">M1246/25.4</f>
        <v>1.5000000000000002</v>
      </c>
      <c r="Q1246" s="7">
        <f t="shared" si="103"/>
        <v>3.5000000000000004</v>
      </c>
      <c r="R1246" s="6">
        <f t="shared" ref="R1246:R1309" si="104">ROUND(IFERROR(1/((M1246*N1246*0.3048)/1000000),0),3)</f>
        <v>968.63099999999997</v>
      </c>
      <c r="S1246" s="6">
        <f t="shared" ref="S1246:S1309" si="105">L1246*M1246/1000*N1246/1000</f>
        <v>6.1943101919999998E-3</v>
      </c>
      <c r="T1246" t="str">
        <f t="shared" si="101"/>
        <v>Ipe S4S E4E 2x4 Short</v>
      </c>
    </row>
    <row r="1247" spans="1:20" x14ac:dyDescent="0.25">
      <c r="A1247" t="s">
        <v>1351</v>
      </c>
      <c r="B1247" t="s">
        <v>1584</v>
      </c>
      <c r="C1247" t="s">
        <v>524</v>
      </c>
      <c r="D1247" t="s">
        <v>438</v>
      </c>
      <c r="E1247" t="s">
        <v>1615</v>
      </c>
      <c r="F1247" t="s">
        <v>1585</v>
      </c>
      <c r="G1247" t="s">
        <v>1351</v>
      </c>
      <c r="H1247" t="s">
        <v>373</v>
      </c>
      <c r="I1247" t="s">
        <v>289</v>
      </c>
      <c r="J1247" t="s">
        <v>796</v>
      </c>
      <c r="K1247">
        <v>7</v>
      </c>
      <c r="L1247" s="6">
        <v>2.1335999999999999</v>
      </c>
      <c r="M1247" s="7">
        <v>38.1</v>
      </c>
      <c r="N1247" s="7">
        <v>88.9</v>
      </c>
      <c r="O1247" s="7">
        <f t="shared" si="102"/>
        <v>84</v>
      </c>
      <c r="P1247" s="7">
        <f t="shared" si="103"/>
        <v>1.5000000000000002</v>
      </c>
      <c r="Q1247" s="7">
        <f t="shared" si="103"/>
        <v>3.5000000000000004</v>
      </c>
      <c r="R1247" s="6">
        <f t="shared" si="104"/>
        <v>968.63099999999997</v>
      </c>
      <c r="S1247" s="6">
        <f t="shared" si="105"/>
        <v>7.226695224E-3</v>
      </c>
      <c r="T1247" t="str">
        <f t="shared" si="101"/>
        <v>Ipe S4S E4E 2x4 Short</v>
      </c>
    </row>
    <row r="1248" spans="1:20" x14ac:dyDescent="0.25">
      <c r="A1248" t="s">
        <v>1351</v>
      </c>
      <c r="B1248" t="s">
        <v>1584</v>
      </c>
      <c r="C1248" t="s">
        <v>524</v>
      </c>
      <c r="D1248" t="s">
        <v>438</v>
      </c>
      <c r="E1248" t="s">
        <v>1616</v>
      </c>
      <c r="F1248" t="s">
        <v>1585</v>
      </c>
      <c r="G1248" t="s">
        <v>1351</v>
      </c>
      <c r="H1248" t="s">
        <v>373</v>
      </c>
      <c r="I1248" t="s">
        <v>289</v>
      </c>
      <c r="J1248" t="s">
        <v>796</v>
      </c>
      <c r="K1248">
        <v>7</v>
      </c>
      <c r="L1248" s="6">
        <v>2.1335999999999999</v>
      </c>
      <c r="M1248" s="7">
        <v>38.1</v>
      </c>
      <c r="N1248" s="7">
        <v>88.9</v>
      </c>
      <c r="O1248" s="7">
        <f t="shared" si="102"/>
        <v>84</v>
      </c>
      <c r="P1248" s="7">
        <f t="shared" si="103"/>
        <v>1.5000000000000002</v>
      </c>
      <c r="Q1248" s="7">
        <f t="shared" si="103"/>
        <v>3.5000000000000004</v>
      </c>
      <c r="R1248" s="6">
        <f t="shared" si="104"/>
        <v>968.63099999999997</v>
      </c>
      <c r="S1248" s="6">
        <f t="shared" si="105"/>
        <v>7.226695224E-3</v>
      </c>
      <c r="T1248" t="str">
        <f t="shared" si="101"/>
        <v>Ipe S4S E4E 2x4 Short</v>
      </c>
    </row>
    <row r="1249" spans="1:20" x14ac:dyDescent="0.25">
      <c r="A1249" t="s">
        <v>1351</v>
      </c>
      <c r="B1249" t="s">
        <v>1584</v>
      </c>
      <c r="C1249" t="s">
        <v>283</v>
      </c>
      <c r="D1249" t="s">
        <v>438</v>
      </c>
      <c r="E1249" t="s">
        <v>184</v>
      </c>
      <c r="F1249" t="s">
        <v>1585</v>
      </c>
      <c r="G1249" t="s">
        <v>1351</v>
      </c>
      <c r="H1249" t="s">
        <v>373</v>
      </c>
      <c r="I1249" t="s">
        <v>289</v>
      </c>
      <c r="J1249" t="s">
        <v>796</v>
      </c>
      <c r="K1249">
        <v>8</v>
      </c>
      <c r="L1249" s="6">
        <v>2.4384000000000001</v>
      </c>
      <c r="M1249" s="7">
        <v>38.1</v>
      </c>
      <c r="N1249" s="7">
        <v>88.9</v>
      </c>
      <c r="O1249" s="7">
        <f t="shared" si="102"/>
        <v>96.000000000000014</v>
      </c>
      <c r="P1249" s="7">
        <f t="shared" si="103"/>
        <v>1.5000000000000002</v>
      </c>
      <c r="Q1249" s="7">
        <f t="shared" si="103"/>
        <v>3.5000000000000004</v>
      </c>
      <c r="R1249" s="6">
        <f t="shared" si="104"/>
        <v>968.63099999999997</v>
      </c>
      <c r="S1249" s="6">
        <f t="shared" si="105"/>
        <v>8.259080256000001E-3</v>
      </c>
      <c r="T1249" t="str">
        <f t="shared" si="101"/>
        <v>Ipe S4S E4E 2x4 Long</v>
      </c>
    </row>
    <row r="1250" spans="1:20" x14ac:dyDescent="0.25">
      <c r="A1250" t="s">
        <v>1351</v>
      </c>
      <c r="B1250" t="s">
        <v>1584</v>
      </c>
      <c r="C1250" t="s">
        <v>283</v>
      </c>
      <c r="D1250" t="s">
        <v>438</v>
      </c>
      <c r="E1250" t="s">
        <v>1617</v>
      </c>
      <c r="F1250" t="s">
        <v>1585</v>
      </c>
      <c r="G1250" t="s">
        <v>1351</v>
      </c>
      <c r="H1250" t="s">
        <v>373</v>
      </c>
      <c r="I1250" t="s">
        <v>289</v>
      </c>
      <c r="J1250" t="s">
        <v>796</v>
      </c>
      <c r="K1250">
        <v>8</v>
      </c>
      <c r="L1250" s="6">
        <v>2.4384000000000001</v>
      </c>
      <c r="M1250" s="7">
        <v>38.1</v>
      </c>
      <c r="N1250" s="7">
        <v>88.9</v>
      </c>
      <c r="O1250" s="7">
        <f t="shared" si="102"/>
        <v>96.000000000000014</v>
      </c>
      <c r="P1250" s="7">
        <f t="shared" si="103"/>
        <v>1.5000000000000002</v>
      </c>
      <c r="Q1250" s="7">
        <f t="shared" si="103"/>
        <v>3.5000000000000004</v>
      </c>
      <c r="R1250" s="6">
        <f t="shared" si="104"/>
        <v>968.63099999999997</v>
      </c>
      <c r="S1250" s="6">
        <f t="shared" si="105"/>
        <v>8.259080256000001E-3</v>
      </c>
      <c r="T1250" t="str">
        <f t="shared" si="101"/>
        <v>Ipe S4S E4E 2x4 Long</v>
      </c>
    </row>
    <row r="1251" spans="1:20" x14ac:dyDescent="0.25">
      <c r="A1251" t="s">
        <v>1351</v>
      </c>
      <c r="B1251" t="s">
        <v>1584</v>
      </c>
      <c r="C1251" t="s">
        <v>283</v>
      </c>
      <c r="D1251" t="s">
        <v>438</v>
      </c>
      <c r="E1251" t="s">
        <v>1618</v>
      </c>
      <c r="F1251" t="s">
        <v>1585</v>
      </c>
      <c r="G1251" t="s">
        <v>1351</v>
      </c>
      <c r="H1251" t="s">
        <v>373</v>
      </c>
      <c r="I1251" t="s">
        <v>289</v>
      </c>
      <c r="J1251" t="s">
        <v>796</v>
      </c>
      <c r="K1251">
        <v>9</v>
      </c>
      <c r="L1251" s="6">
        <v>2.7431999999999999</v>
      </c>
      <c r="M1251" s="7">
        <v>38.1</v>
      </c>
      <c r="N1251" s="7">
        <v>88.9</v>
      </c>
      <c r="O1251" s="7">
        <f t="shared" si="102"/>
        <v>108</v>
      </c>
      <c r="P1251" s="7">
        <f t="shared" si="103"/>
        <v>1.5000000000000002</v>
      </c>
      <c r="Q1251" s="7">
        <f t="shared" si="103"/>
        <v>3.5000000000000004</v>
      </c>
      <c r="R1251" s="6">
        <f t="shared" si="104"/>
        <v>968.63099999999997</v>
      </c>
      <c r="S1251" s="6">
        <f t="shared" si="105"/>
        <v>9.2914652880000011E-3</v>
      </c>
      <c r="T1251" t="str">
        <f t="shared" si="101"/>
        <v>Ipe S4S E4E 2x4 Long</v>
      </c>
    </row>
    <row r="1252" spans="1:20" x14ac:dyDescent="0.25">
      <c r="A1252" t="s">
        <v>1351</v>
      </c>
      <c r="B1252" t="s">
        <v>1584</v>
      </c>
      <c r="C1252" t="s">
        <v>283</v>
      </c>
      <c r="D1252" t="s">
        <v>438</v>
      </c>
      <c r="E1252" t="s">
        <v>1619</v>
      </c>
      <c r="F1252" t="s">
        <v>1585</v>
      </c>
      <c r="G1252" t="s">
        <v>1351</v>
      </c>
      <c r="H1252" t="s">
        <v>373</v>
      </c>
      <c r="I1252" t="s">
        <v>289</v>
      </c>
      <c r="J1252" t="s">
        <v>796</v>
      </c>
      <c r="K1252">
        <v>9</v>
      </c>
      <c r="L1252" s="6">
        <v>2.7431999999999999</v>
      </c>
      <c r="M1252" s="7">
        <v>38.1</v>
      </c>
      <c r="N1252" s="7">
        <v>88.9</v>
      </c>
      <c r="O1252" s="7">
        <f t="shared" si="102"/>
        <v>108</v>
      </c>
      <c r="P1252" s="7">
        <f t="shared" si="103"/>
        <v>1.5000000000000002</v>
      </c>
      <c r="Q1252" s="7">
        <f t="shared" si="103"/>
        <v>3.5000000000000004</v>
      </c>
      <c r="R1252" s="6">
        <f t="shared" si="104"/>
        <v>968.63099999999997</v>
      </c>
      <c r="S1252" s="6">
        <f t="shared" si="105"/>
        <v>9.2914652880000011E-3</v>
      </c>
      <c r="T1252" t="str">
        <f t="shared" si="101"/>
        <v>Ipe S4S E4E 2x4 Long</v>
      </c>
    </row>
    <row r="1253" spans="1:20" x14ac:dyDescent="0.25">
      <c r="A1253" t="s">
        <v>1351</v>
      </c>
      <c r="B1253" t="s">
        <v>1620</v>
      </c>
      <c r="C1253" t="s">
        <v>283</v>
      </c>
      <c r="D1253" t="s">
        <v>438</v>
      </c>
      <c r="E1253" t="s">
        <v>128</v>
      </c>
      <c r="F1253" t="s">
        <v>1621</v>
      </c>
      <c r="G1253" t="s">
        <v>1351</v>
      </c>
      <c r="H1253" t="s">
        <v>373</v>
      </c>
      <c r="I1253" t="s">
        <v>289</v>
      </c>
      <c r="J1253" t="s">
        <v>821</v>
      </c>
      <c r="K1253">
        <v>10</v>
      </c>
      <c r="L1253" s="6">
        <v>3.048</v>
      </c>
      <c r="M1253" s="7">
        <v>38.1</v>
      </c>
      <c r="N1253" s="7">
        <v>139.69999999999999</v>
      </c>
      <c r="O1253" s="7">
        <f t="shared" si="102"/>
        <v>120</v>
      </c>
      <c r="P1253" s="7">
        <f t="shared" si="103"/>
        <v>1.5000000000000002</v>
      </c>
      <c r="Q1253" s="7">
        <f t="shared" si="103"/>
        <v>5.5</v>
      </c>
      <c r="R1253" s="6">
        <f t="shared" si="104"/>
        <v>616.40099999999995</v>
      </c>
      <c r="S1253" s="6">
        <f t="shared" si="105"/>
        <v>1.6223193359999999E-2</v>
      </c>
      <c r="T1253" t="str">
        <f t="shared" si="101"/>
        <v>Ipe S4S E4E 2x6 Long</v>
      </c>
    </row>
    <row r="1254" spans="1:20" x14ac:dyDescent="0.25">
      <c r="A1254" t="s">
        <v>1351</v>
      </c>
      <c r="B1254" t="s">
        <v>1620</v>
      </c>
      <c r="C1254" t="s">
        <v>283</v>
      </c>
      <c r="D1254" t="s">
        <v>438</v>
      </c>
      <c r="E1254" t="s">
        <v>1622</v>
      </c>
      <c r="F1254" t="s">
        <v>1621</v>
      </c>
      <c r="G1254" t="s">
        <v>1351</v>
      </c>
      <c r="H1254" t="s">
        <v>373</v>
      </c>
      <c r="I1254" t="s">
        <v>289</v>
      </c>
      <c r="J1254" t="s">
        <v>821</v>
      </c>
      <c r="K1254">
        <v>10</v>
      </c>
      <c r="L1254" s="6">
        <v>3.048</v>
      </c>
      <c r="M1254" s="7">
        <v>38.1</v>
      </c>
      <c r="N1254" s="7">
        <v>139.69999999999999</v>
      </c>
      <c r="O1254" s="7">
        <f t="shared" si="102"/>
        <v>120</v>
      </c>
      <c r="P1254" s="7">
        <f t="shared" si="103"/>
        <v>1.5000000000000002</v>
      </c>
      <c r="Q1254" s="7">
        <f t="shared" si="103"/>
        <v>5.5</v>
      </c>
      <c r="R1254" s="6">
        <f t="shared" si="104"/>
        <v>616.40099999999995</v>
      </c>
      <c r="S1254" s="6">
        <f t="shared" si="105"/>
        <v>1.6223193359999999E-2</v>
      </c>
      <c r="T1254" t="str">
        <f t="shared" si="101"/>
        <v>Ipe S4S E4E 2x6 Long</v>
      </c>
    </row>
    <row r="1255" spans="1:20" x14ac:dyDescent="0.25">
      <c r="A1255" t="s">
        <v>1351</v>
      </c>
      <c r="B1255" t="s">
        <v>1620</v>
      </c>
      <c r="C1255" t="s">
        <v>283</v>
      </c>
      <c r="D1255" t="s">
        <v>438</v>
      </c>
      <c r="E1255" t="s">
        <v>1623</v>
      </c>
      <c r="F1255" t="s">
        <v>1621</v>
      </c>
      <c r="G1255" t="s">
        <v>1351</v>
      </c>
      <c r="H1255" t="s">
        <v>373</v>
      </c>
      <c r="I1255" t="s">
        <v>289</v>
      </c>
      <c r="J1255" t="s">
        <v>821</v>
      </c>
      <c r="K1255">
        <v>11</v>
      </c>
      <c r="L1255" s="6">
        <v>3.3527999999999998</v>
      </c>
      <c r="M1255" s="7">
        <v>38.1</v>
      </c>
      <c r="N1255" s="7">
        <v>139.69999999999999</v>
      </c>
      <c r="O1255" s="7">
        <f t="shared" si="102"/>
        <v>132</v>
      </c>
      <c r="P1255" s="7">
        <f t="shared" si="103"/>
        <v>1.5000000000000002</v>
      </c>
      <c r="Q1255" s="7">
        <f t="shared" si="103"/>
        <v>5.5</v>
      </c>
      <c r="R1255" s="6">
        <f t="shared" si="104"/>
        <v>616.40099999999995</v>
      </c>
      <c r="S1255" s="6">
        <f t="shared" si="105"/>
        <v>1.7845512695999998E-2</v>
      </c>
      <c r="T1255" t="str">
        <f t="shared" si="101"/>
        <v>Ipe S4S E4E 2x6 Long</v>
      </c>
    </row>
    <row r="1256" spans="1:20" x14ac:dyDescent="0.25">
      <c r="A1256" t="s">
        <v>1351</v>
      </c>
      <c r="B1256" t="s">
        <v>1620</v>
      </c>
      <c r="C1256" t="s">
        <v>283</v>
      </c>
      <c r="D1256" t="s">
        <v>438</v>
      </c>
      <c r="E1256" t="s">
        <v>1624</v>
      </c>
      <c r="F1256" t="s">
        <v>1621</v>
      </c>
      <c r="G1256" t="s">
        <v>1351</v>
      </c>
      <c r="H1256" t="s">
        <v>373</v>
      </c>
      <c r="I1256" t="s">
        <v>289</v>
      </c>
      <c r="J1256" t="s">
        <v>821</v>
      </c>
      <c r="K1256">
        <v>11</v>
      </c>
      <c r="L1256" s="6">
        <v>3.3527999999999998</v>
      </c>
      <c r="M1256" s="7">
        <v>38.1</v>
      </c>
      <c r="N1256" s="7">
        <v>139.69999999999999</v>
      </c>
      <c r="O1256" s="7">
        <f t="shared" si="102"/>
        <v>132</v>
      </c>
      <c r="P1256" s="7">
        <f t="shared" si="103"/>
        <v>1.5000000000000002</v>
      </c>
      <c r="Q1256" s="7">
        <f t="shared" si="103"/>
        <v>5.5</v>
      </c>
      <c r="R1256" s="6">
        <f t="shared" si="104"/>
        <v>616.40099999999995</v>
      </c>
      <c r="S1256" s="6">
        <f t="shared" si="105"/>
        <v>1.7845512695999998E-2</v>
      </c>
      <c r="T1256" t="str">
        <f t="shared" si="101"/>
        <v>Ipe S4S E4E 2x6 Long</v>
      </c>
    </row>
    <row r="1257" spans="1:20" x14ac:dyDescent="0.25">
      <c r="A1257" t="s">
        <v>1351</v>
      </c>
      <c r="B1257" t="s">
        <v>1620</v>
      </c>
      <c r="C1257" t="s">
        <v>283</v>
      </c>
      <c r="D1257" t="s">
        <v>438</v>
      </c>
      <c r="E1257" t="s">
        <v>156</v>
      </c>
      <c r="F1257" t="s">
        <v>1621</v>
      </c>
      <c r="G1257" t="s">
        <v>1351</v>
      </c>
      <c r="H1257" t="s">
        <v>373</v>
      </c>
      <c r="I1257" t="s">
        <v>289</v>
      </c>
      <c r="J1257" t="s">
        <v>821</v>
      </c>
      <c r="K1257">
        <v>12</v>
      </c>
      <c r="L1257" s="6">
        <v>3.6576</v>
      </c>
      <c r="M1257" s="7">
        <v>38.1</v>
      </c>
      <c r="N1257" s="7">
        <v>139.69999999999999</v>
      </c>
      <c r="O1257" s="7">
        <f t="shared" si="102"/>
        <v>144</v>
      </c>
      <c r="P1257" s="7">
        <f t="shared" si="103"/>
        <v>1.5000000000000002</v>
      </c>
      <c r="Q1257" s="7">
        <f t="shared" si="103"/>
        <v>5.5</v>
      </c>
      <c r="R1257" s="6">
        <f t="shared" si="104"/>
        <v>616.40099999999995</v>
      </c>
      <c r="S1257" s="6">
        <f t="shared" si="105"/>
        <v>1.9467832031999997E-2</v>
      </c>
      <c r="T1257" t="str">
        <f t="shared" si="101"/>
        <v>Ipe S4S E4E 2x6 Long</v>
      </c>
    </row>
    <row r="1258" spans="1:20" x14ac:dyDescent="0.25">
      <c r="A1258" t="s">
        <v>1351</v>
      </c>
      <c r="B1258" t="s">
        <v>1620</v>
      </c>
      <c r="C1258" t="s">
        <v>283</v>
      </c>
      <c r="D1258" t="s">
        <v>438</v>
      </c>
      <c r="E1258" t="s">
        <v>1625</v>
      </c>
      <c r="F1258" t="s">
        <v>1621</v>
      </c>
      <c r="G1258" t="s">
        <v>1351</v>
      </c>
      <c r="H1258" t="s">
        <v>373</v>
      </c>
      <c r="I1258" t="s">
        <v>289</v>
      </c>
      <c r="J1258" t="s">
        <v>821</v>
      </c>
      <c r="K1258">
        <v>12</v>
      </c>
      <c r="L1258" s="6">
        <v>3.6576</v>
      </c>
      <c r="M1258" s="7">
        <v>38.1</v>
      </c>
      <c r="N1258" s="7">
        <v>139.69999999999999</v>
      </c>
      <c r="O1258" s="7">
        <f t="shared" si="102"/>
        <v>144</v>
      </c>
      <c r="P1258" s="7">
        <f t="shared" si="103"/>
        <v>1.5000000000000002</v>
      </c>
      <c r="Q1258" s="7">
        <f t="shared" si="103"/>
        <v>5.5</v>
      </c>
      <c r="R1258" s="6">
        <f t="shared" si="104"/>
        <v>616.40099999999995</v>
      </c>
      <c r="S1258" s="6">
        <f t="shared" si="105"/>
        <v>1.9467832031999997E-2</v>
      </c>
      <c r="T1258" t="str">
        <f t="shared" si="101"/>
        <v>Ipe S4S E4E 2x6 Long</v>
      </c>
    </row>
    <row r="1259" spans="1:20" x14ac:dyDescent="0.25">
      <c r="A1259" t="s">
        <v>1351</v>
      </c>
      <c r="B1259" t="s">
        <v>1620</v>
      </c>
      <c r="C1259" t="s">
        <v>283</v>
      </c>
      <c r="D1259" t="s">
        <v>438</v>
      </c>
      <c r="E1259" t="s">
        <v>1626</v>
      </c>
      <c r="F1259" t="s">
        <v>1621</v>
      </c>
      <c r="G1259" t="s">
        <v>1351</v>
      </c>
      <c r="H1259" t="s">
        <v>373</v>
      </c>
      <c r="I1259" t="s">
        <v>289</v>
      </c>
      <c r="J1259" t="s">
        <v>821</v>
      </c>
      <c r="K1259">
        <v>13</v>
      </c>
      <c r="L1259" s="6">
        <v>3.9624000000000001</v>
      </c>
      <c r="M1259" s="7">
        <v>38.1</v>
      </c>
      <c r="N1259" s="7">
        <v>139.69999999999999</v>
      </c>
      <c r="O1259" s="7">
        <f t="shared" si="102"/>
        <v>156</v>
      </c>
      <c r="P1259" s="7">
        <f t="shared" si="103"/>
        <v>1.5000000000000002</v>
      </c>
      <c r="Q1259" s="7">
        <f t="shared" si="103"/>
        <v>5.5</v>
      </c>
      <c r="R1259" s="6">
        <f t="shared" si="104"/>
        <v>616.40099999999995</v>
      </c>
      <c r="S1259" s="6">
        <f t="shared" si="105"/>
        <v>2.1090151368E-2</v>
      </c>
      <c r="T1259" t="str">
        <f t="shared" si="101"/>
        <v>Ipe S4S E4E 2x6 Long</v>
      </c>
    </row>
    <row r="1260" spans="1:20" x14ac:dyDescent="0.25">
      <c r="A1260" t="s">
        <v>1351</v>
      </c>
      <c r="B1260" t="s">
        <v>1620</v>
      </c>
      <c r="C1260" t="s">
        <v>283</v>
      </c>
      <c r="D1260" t="s">
        <v>438</v>
      </c>
      <c r="E1260" t="s">
        <v>1627</v>
      </c>
      <c r="F1260" t="s">
        <v>1621</v>
      </c>
      <c r="G1260" t="s">
        <v>1351</v>
      </c>
      <c r="H1260" t="s">
        <v>373</v>
      </c>
      <c r="I1260" t="s">
        <v>289</v>
      </c>
      <c r="J1260" t="s">
        <v>821</v>
      </c>
      <c r="K1260">
        <v>13</v>
      </c>
      <c r="L1260" s="6">
        <v>3.9624000000000001</v>
      </c>
      <c r="M1260" s="7">
        <v>38.1</v>
      </c>
      <c r="N1260" s="7">
        <v>139.69999999999999</v>
      </c>
      <c r="O1260" s="7">
        <f t="shared" si="102"/>
        <v>156</v>
      </c>
      <c r="P1260" s="7">
        <f t="shared" si="103"/>
        <v>1.5000000000000002</v>
      </c>
      <c r="Q1260" s="7">
        <f t="shared" si="103"/>
        <v>5.5</v>
      </c>
      <c r="R1260" s="6">
        <f t="shared" si="104"/>
        <v>616.40099999999995</v>
      </c>
      <c r="S1260" s="6">
        <f t="shared" si="105"/>
        <v>2.1090151368E-2</v>
      </c>
      <c r="T1260" t="str">
        <f t="shared" si="101"/>
        <v>Ipe S4S E4E 2x6 Long</v>
      </c>
    </row>
    <row r="1261" spans="1:20" x14ac:dyDescent="0.25">
      <c r="A1261" t="s">
        <v>1351</v>
      </c>
      <c r="B1261" t="s">
        <v>1620</v>
      </c>
      <c r="C1261" t="s">
        <v>283</v>
      </c>
      <c r="D1261" t="s">
        <v>438</v>
      </c>
      <c r="E1261" t="s">
        <v>185</v>
      </c>
      <c r="F1261" t="s">
        <v>1621</v>
      </c>
      <c r="G1261" t="s">
        <v>1351</v>
      </c>
      <c r="H1261" t="s">
        <v>373</v>
      </c>
      <c r="I1261" t="s">
        <v>289</v>
      </c>
      <c r="J1261" t="s">
        <v>821</v>
      </c>
      <c r="K1261">
        <v>14</v>
      </c>
      <c r="L1261" s="6">
        <v>4.2671999999999999</v>
      </c>
      <c r="M1261" s="7">
        <v>38.1</v>
      </c>
      <c r="N1261" s="7">
        <v>139.69999999999999</v>
      </c>
      <c r="O1261" s="7">
        <f t="shared" si="102"/>
        <v>168</v>
      </c>
      <c r="P1261" s="7">
        <f t="shared" si="103"/>
        <v>1.5000000000000002</v>
      </c>
      <c r="Q1261" s="7">
        <f t="shared" si="103"/>
        <v>5.5</v>
      </c>
      <c r="R1261" s="6">
        <f t="shared" si="104"/>
        <v>616.40099999999995</v>
      </c>
      <c r="S1261" s="6">
        <f t="shared" si="105"/>
        <v>2.2712470703999999E-2</v>
      </c>
      <c r="T1261" t="str">
        <f t="shared" si="101"/>
        <v>Ipe S4S E4E 2x6 Long</v>
      </c>
    </row>
    <row r="1262" spans="1:20" x14ac:dyDescent="0.25">
      <c r="A1262" t="s">
        <v>1351</v>
      </c>
      <c r="B1262" t="s">
        <v>1620</v>
      </c>
      <c r="C1262" t="s">
        <v>283</v>
      </c>
      <c r="D1262" t="s">
        <v>438</v>
      </c>
      <c r="E1262" t="s">
        <v>1628</v>
      </c>
      <c r="F1262" t="s">
        <v>1621</v>
      </c>
      <c r="G1262" t="s">
        <v>1351</v>
      </c>
      <c r="H1262" t="s">
        <v>373</v>
      </c>
      <c r="I1262" t="s">
        <v>289</v>
      </c>
      <c r="J1262" t="s">
        <v>821</v>
      </c>
      <c r="K1262">
        <v>14</v>
      </c>
      <c r="L1262" s="6">
        <v>4.2671999999999999</v>
      </c>
      <c r="M1262" s="7">
        <v>38.1</v>
      </c>
      <c r="N1262" s="7">
        <v>139.69999999999999</v>
      </c>
      <c r="O1262" s="7">
        <f t="shared" si="102"/>
        <v>168</v>
      </c>
      <c r="P1262" s="7">
        <f t="shared" si="103"/>
        <v>1.5000000000000002</v>
      </c>
      <c r="Q1262" s="7">
        <f t="shared" si="103"/>
        <v>5.5</v>
      </c>
      <c r="R1262" s="6">
        <f t="shared" si="104"/>
        <v>616.40099999999995</v>
      </c>
      <c r="S1262" s="6">
        <f t="shared" si="105"/>
        <v>2.2712470703999999E-2</v>
      </c>
      <c r="T1262" t="str">
        <f t="shared" si="101"/>
        <v>Ipe S4S E4E 2x6 Long</v>
      </c>
    </row>
    <row r="1263" spans="1:20" x14ac:dyDescent="0.25">
      <c r="A1263" t="s">
        <v>1351</v>
      </c>
      <c r="B1263" t="s">
        <v>1620</v>
      </c>
      <c r="C1263" t="s">
        <v>283</v>
      </c>
      <c r="D1263" t="s">
        <v>438</v>
      </c>
      <c r="E1263" t="s">
        <v>1629</v>
      </c>
      <c r="F1263" t="s">
        <v>1621</v>
      </c>
      <c r="G1263" t="s">
        <v>1351</v>
      </c>
      <c r="H1263" t="s">
        <v>373</v>
      </c>
      <c r="I1263" t="s">
        <v>289</v>
      </c>
      <c r="J1263" t="s">
        <v>821</v>
      </c>
      <c r="K1263">
        <v>15</v>
      </c>
      <c r="L1263" s="6">
        <v>4.5720000000000001</v>
      </c>
      <c r="M1263" s="7">
        <v>38.1</v>
      </c>
      <c r="N1263" s="7">
        <v>139.69999999999999</v>
      </c>
      <c r="O1263" s="7">
        <f t="shared" si="102"/>
        <v>180</v>
      </c>
      <c r="P1263" s="7">
        <f t="shared" si="103"/>
        <v>1.5000000000000002</v>
      </c>
      <c r="Q1263" s="7">
        <f t="shared" si="103"/>
        <v>5.5</v>
      </c>
      <c r="R1263" s="6">
        <f t="shared" si="104"/>
        <v>616.40099999999995</v>
      </c>
      <c r="S1263" s="6">
        <f t="shared" si="105"/>
        <v>2.4334790040000002E-2</v>
      </c>
      <c r="T1263" t="str">
        <f t="shared" si="101"/>
        <v>Ipe S4S E4E 2x6 Long</v>
      </c>
    </row>
    <row r="1264" spans="1:20" x14ac:dyDescent="0.25">
      <c r="A1264" t="s">
        <v>1351</v>
      </c>
      <c r="B1264" t="s">
        <v>1620</v>
      </c>
      <c r="C1264" t="s">
        <v>283</v>
      </c>
      <c r="D1264" t="s">
        <v>438</v>
      </c>
      <c r="E1264" t="s">
        <v>1630</v>
      </c>
      <c r="F1264" t="s">
        <v>1621</v>
      </c>
      <c r="G1264" t="s">
        <v>1351</v>
      </c>
      <c r="H1264" t="s">
        <v>373</v>
      </c>
      <c r="I1264" t="s">
        <v>289</v>
      </c>
      <c r="J1264" t="s">
        <v>821</v>
      </c>
      <c r="K1264">
        <v>15</v>
      </c>
      <c r="L1264" s="6">
        <v>4.5720000000000001</v>
      </c>
      <c r="M1264" s="7">
        <v>38.1</v>
      </c>
      <c r="N1264" s="7">
        <v>139.69999999999999</v>
      </c>
      <c r="O1264" s="7">
        <f t="shared" si="102"/>
        <v>180</v>
      </c>
      <c r="P1264" s="7">
        <f t="shared" si="103"/>
        <v>1.5000000000000002</v>
      </c>
      <c r="Q1264" s="7">
        <f t="shared" si="103"/>
        <v>5.5</v>
      </c>
      <c r="R1264" s="6">
        <f t="shared" si="104"/>
        <v>616.40099999999995</v>
      </c>
      <c r="S1264" s="6">
        <f t="shared" si="105"/>
        <v>2.4334790040000002E-2</v>
      </c>
      <c r="T1264" t="str">
        <f t="shared" si="101"/>
        <v>Ipe S4S E4E 2x6 Long</v>
      </c>
    </row>
    <row r="1265" spans="1:20" x14ac:dyDescent="0.25">
      <c r="A1265" t="s">
        <v>1351</v>
      </c>
      <c r="B1265" t="s">
        <v>1620</v>
      </c>
      <c r="C1265" t="s">
        <v>283</v>
      </c>
      <c r="D1265" t="s">
        <v>438</v>
      </c>
      <c r="E1265" t="s">
        <v>1631</v>
      </c>
      <c r="F1265" t="s">
        <v>1621</v>
      </c>
      <c r="G1265" t="s">
        <v>1351</v>
      </c>
      <c r="H1265" t="s">
        <v>373</v>
      </c>
      <c r="I1265" t="s">
        <v>289</v>
      </c>
      <c r="J1265" t="s">
        <v>821</v>
      </c>
      <c r="K1265">
        <v>16</v>
      </c>
      <c r="L1265" s="6">
        <v>4.8768000000000002</v>
      </c>
      <c r="M1265" s="7">
        <v>38.1</v>
      </c>
      <c r="N1265" s="7">
        <v>139.69999999999999</v>
      </c>
      <c r="O1265" s="7">
        <f t="shared" si="102"/>
        <v>192.00000000000003</v>
      </c>
      <c r="P1265" s="7">
        <f t="shared" si="103"/>
        <v>1.5000000000000002</v>
      </c>
      <c r="Q1265" s="7">
        <f t="shared" si="103"/>
        <v>5.5</v>
      </c>
      <c r="R1265" s="6">
        <f t="shared" si="104"/>
        <v>616.40099999999995</v>
      </c>
      <c r="S1265" s="6">
        <f t="shared" si="105"/>
        <v>2.5957109375999998E-2</v>
      </c>
      <c r="T1265" t="str">
        <f t="shared" si="101"/>
        <v>Ipe S4S E4E 2x6 Long</v>
      </c>
    </row>
    <row r="1266" spans="1:20" x14ac:dyDescent="0.25">
      <c r="A1266" t="s">
        <v>1351</v>
      </c>
      <c r="B1266" t="s">
        <v>1620</v>
      </c>
      <c r="C1266" t="s">
        <v>283</v>
      </c>
      <c r="D1266" t="s">
        <v>438</v>
      </c>
      <c r="E1266" t="s">
        <v>1632</v>
      </c>
      <c r="F1266" t="s">
        <v>1621</v>
      </c>
      <c r="G1266" t="s">
        <v>1351</v>
      </c>
      <c r="H1266" t="s">
        <v>373</v>
      </c>
      <c r="I1266" t="s">
        <v>289</v>
      </c>
      <c r="J1266" t="s">
        <v>821</v>
      </c>
      <c r="K1266">
        <v>16</v>
      </c>
      <c r="L1266" s="6">
        <v>4.8768000000000002</v>
      </c>
      <c r="M1266" s="7">
        <v>38.1</v>
      </c>
      <c r="N1266" s="7">
        <v>139.69999999999999</v>
      </c>
      <c r="O1266" s="7">
        <f t="shared" si="102"/>
        <v>192.00000000000003</v>
      </c>
      <c r="P1266" s="7">
        <f t="shared" si="103"/>
        <v>1.5000000000000002</v>
      </c>
      <c r="Q1266" s="7">
        <f t="shared" si="103"/>
        <v>5.5</v>
      </c>
      <c r="R1266" s="6">
        <f t="shared" si="104"/>
        <v>616.40099999999995</v>
      </c>
      <c r="S1266" s="6">
        <f t="shared" si="105"/>
        <v>2.5957109375999998E-2</v>
      </c>
      <c r="T1266" t="str">
        <f t="shared" si="101"/>
        <v>Ipe S4S E4E 2x6 Long</v>
      </c>
    </row>
    <row r="1267" spans="1:20" x14ac:dyDescent="0.25">
      <c r="A1267" t="s">
        <v>1351</v>
      </c>
      <c r="B1267" t="s">
        <v>1620</v>
      </c>
      <c r="C1267" t="s">
        <v>283</v>
      </c>
      <c r="D1267" t="s">
        <v>438</v>
      </c>
      <c r="E1267" t="s">
        <v>1633</v>
      </c>
      <c r="F1267" t="s">
        <v>1621</v>
      </c>
      <c r="G1267" t="s">
        <v>1351</v>
      </c>
      <c r="H1267" t="s">
        <v>373</v>
      </c>
      <c r="I1267" t="s">
        <v>289</v>
      </c>
      <c r="J1267" t="s">
        <v>821</v>
      </c>
      <c r="K1267">
        <v>17</v>
      </c>
      <c r="L1267" s="6">
        <v>5.1816000000000004</v>
      </c>
      <c r="M1267" s="7">
        <v>38.1</v>
      </c>
      <c r="N1267" s="7">
        <v>139.69999999999999</v>
      </c>
      <c r="O1267" s="7">
        <f t="shared" si="102"/>
        <v>204.00000000000003</v>
      </c>
      <c r="P1267" s="7">
        <f t="shared" si="103"/>
        <v>1.5000000000000002</v>
      </c>
      <c r="Q1267" s="7">
        <f t="shared" si="103"/>
        <v>5.5</v>
      </c>
      <c r="R1267" s="6">
        <f t="shared" si="104"/>
        <v>616.40099999999995</v>
      </c>
      <c r="S1267" s="6">
        <f t="shared" si="105"/>
        <v>2.7579428712000004E-2</v>
      </c>
      <c r="T1267" t="str">
        <f t="shared" si="101"/>
        <v>Ipe S4S E4E 2x6 Long</v>
      </c>
    </row>
    <row r="1268" spans="1:20" x14ac:dyDescent="0.25">
      <c r="A1268" t="s">
        <v>1351</v>
      </c>
      <c r="B1268" t="s">
        <v>1620</v>
      </c>
      <c r="C1268" t="s">
        <v>283</v>
      </c>
      <c r="D1268" t="s">
        <v>438</v>
      </c>
      <c r="E1268" t="s">
        <v>1634</v>
      </c>
      <c r="F1268" t="s">
        <v>1621</v>
      </c>
      <c r="G1268" t="s">
        <v>1351</v>
      </c>
      <c r="H1268" t="s">
        <v>373</v>
      </c>
      <c r="I1268" t="s">
        <v>289</v>
      </c>
      <c r="J1268" t="s">
        <v>821</v>
      </c>
      <c r="K1268">
        <v>17</v>
      </c>
      <c r="L1268" s="6">
        <v>5.1816000000000004</v>
      </c>
      <c r="M1268" s="7">
        <v>38.1</v>
      </c>
      <c r="N1268" s="7">
        <v>139.69999999999999</v>
      </c>
      <c r="O1268" s="7">
        <f t="shared" si="102"/>
        <v>204.00000000000003</v>
      </c>
      <c r="P1268" s="7">
        <f t="shared" si="103"/>
        <v>1.5000000000000002</v>
      </c>
      <c r="Q1268" s="7">
        <f t="shared" si="103"/>
        <v>5.5</v>
      </c>
      <c r="R1268" s="6">
        <f t="shared" si="104"/>
        <v>616.40099999999995</v>
      </c>
      <c r="S1268" s="6">
        <f t="shared" si="105"/>
        <v>2.7579428712000004E-2</v>
      </c>
      <c r="T1268" t="str">
        <f t="shared" si="101"/>
        <v>Ipe S4S E4E 2x6 Long</v>
      </c>
    </row>
    <row r="1269" spans="1:20" x14ac:dyDescent="0.25">
      <c r="A1269" t="s">
        <v>1351</v>
      </c>
      <c r="B1269" t="s">
        <v>1620</v>
      </c>
      <c r="C1269" t="s">
        <v>283</v>
      </c>
      <c r="D1269" t="s">
        <v>438</v>
      </c>
      <c r="E1269" t="s">
        <v>104</v>
      </c>
      <c r="F1269" t="s">
        <v>1621</v>
      </c>
      <c r="G1269" t="s">
        <v>1351</v>
      </c>
      <c r="H1269" t="s">
        <v>373</v>
      </c>
      <c r="I1269" t="s">
        <v>289</v>
      </c>
      <c r="J1269" t="s">
        <v>821</v>
      </c>
      <c r="K1269">
        <v>18</v>
      </c>
      <c r="L1269" s="6">
        <v>5.4863999999999997</v>
      </c>
      <c r="M1269" s="7">
        <v>38.1</v>
      </c>
      <c r="N1269" s="7">
        <v>139.69999999999999</v>
      </c>
      <c r="O1269" s="7">
        <f t="shared" si="102"/>
        <v>216</v>
      </c>
      <c r="P1269" s="7">
        <f t="shared" si="103"/>
        <v>1.5000000000000002</v>
      </c>
      <c r="Q1269" s="7">
        <f t="shared" si="103"/>
        <v>5.5</v>
      </c>
      <c r="R1269" s="6">
        <f t="shared" si="104"/>
        <v>616.40099999999995</v>
      </c>
      <c r="S1269" s="6">
        <f t="shared" si="105"/>
        <v>2.9201748047999999E-2</v>
      </c>
      <c r="T1269" t="str">
        <f t="shared" si="101"/>
        <v>Ipe S4S E4E 2x6 Long</v>
      </c>
    </row>
    <row r="1270" spans="1:20" x14ac:dyDescent="0.25">
      <c r="A1270" t="s">
        <v>1351</v>
      </c>
      <c r="B1270" t="s">
        <v>1620</v>
      </c>
      <c r="C1270" t="s">
        <v>283</v>
      </c>
      <c r="D1270" t="s">
        <v>438</v>
      </c>
      <c r="E1270" t="s">
        <v>1635</v>
      </c>
      <c r="F1270" t="s">
        <v>1621</v>
      </c>
      <c r="G1270" t="s">
        <v>1351</v>
      </c>
      <c r="H1270" t="s">
        <v>373</v>
      </c>
      <c r="I1270" t="s">
        <v>289</v>
      </c>
      <c r="J1270" t="s">
        <v>821</v>
      </c>
      <c r="K1270">
        <v>18</v>
      </c>
      <c r="L1270" s="6">
        <v>5.4863999999999997</v>
      </c>
      <c r="M1270" s="7">
        <v>38.1</v>
      </c>
      <c r="N1270" s="7">
        <v>139.69999999999999</v>
      </c>
      <c r="O1270" s="7">
        <f t="shared" si="102"/>
        <v>216</v>
      </c>
      <c r="P1270" s="7">
        <f t="shared" si="103"/>
        <v>1.5000000000000002</v>
      </c>
      <c r="Q1270" s="7">
        <f t="shared" si="103"/>
        <v>5.5</v>
      </c>
      <c r="R1270" s="6">
        <f t="shared" si="104"/>
        <v>616.40099999999995</v>
      </c>
      <c r="S1270" s="6">
        <f t="shared" si="105"/>
        <v>2.9201748047999999E-2</v>
      </c>
      <c r="T1270" t="str">
        <f t="shared" si="101"/>
        <v>Ipe S4S E4E 2x6 Long</v>
      </c>
    </row>
    <row r="1271" spans="1:20" x14ac:dyDescent="0.25">
      <c r="A1271" t="s">
        <v>1351</v>
      </c>
      <c r="B1271" t="s">
        <v>1620</v>
      </c>
      <c r="C1271" t="s">
        <v>283</v>
      </c>
      <c r="D1271" t="s">
        <v>438</v>
      </c>
      <c r="E1271" t="s">
        <v>1636</v>
      </c>
      <c r="F1271" t="s">
        <v>1621</v>
      </c>
      <c r="G1271" t="s">
        <v>1351</v>
      </c>
      <c r="H1271" t="s">
        <v>373</v>
      </c>
      <c r="I1271" t="s">
        <v>289</v>
      </c>
      <c r="J1271" t="s">
        <v>821</v>
      </c>
      <c r="K1271">
        <v>19</v>
      </c>
      <c r="L1271" s="6">
        <v>5.7911999999999999</v>
      </c>
      <c r="M1271" s="7">
        <v>38.1</v>
      </c>
      <c r="N1271" s="7">
        <v>139.69999999999999</v>
      </c>
      <c r="O1271" s="7">
        <f t="shared" si="102"/>
        <v>228</v>
      </c>
      <c r="P1271" s="7">
        <f t="shared" si="103"/>
        <v>1.5000000000000002</v>
      </c>
      <c r="Q1271" s="7">
        <f t="shared" si="103"/>
        <v>5.5</v>
      </c>
      <c r="R1271" s="6">
        <f t="shared" si="104"/>
        <v>616.40099999999995</v>
      </c>
      <c r="S1271" s="6">
        <f t="shared" si="105"/>
        <v>3.0824067383999999E-2</v>
      </c>
      <c r="T1271" t="str">
        <f t="shared" si="101"/>
        <v>Ipe S4S E4E 2x6 Long</v>
      </c>
    </row>
    <row r="1272" spans="1:20" x14ac:dyDescent="0.25">
      <c r="A1272" t="s">
        <v>1351</v>
      </c>
      <c r="B1272" t="s">
        <v>1620</v>
      </c>
      <c r="C1272" t="s">
        <v>283</v>
      </c>
      <c r="D1272" t="s">
        <v>438</v>
      </c>
      <c r="E1272" t="s">
        <v>1637</v>
      </c>
      <c r="F1272" t="s">
        <v>1621</v>
      </c>
      <c r="G1272" t="s">
        <v>1351</v>
      </c>
      <c r="H1272" t="s">
        <v>373</v>
      </c>
      <c r="I1272" t="s">
        <v>289</v>
      </c>
      <c r="J1272" t="s">
        <v>821</v>
      </c>
      <c r="K1272">
        <v>19</v>
      </c>
      <c r="L1272" s="6">
        <v>5.7911999999999999</v>
      </c>
      <c r="M1272" s="7">
        <v>38.1</v>
      </c>
      <c r="N1272" s="7">
        <v>139.69999999999999</v>
      </c>
      <c r="O1272" s="7">
        <f t="shared" si="102"/>
        <v>228</v>
      </c>
      <c r="P1272" s="7">
        <f t="shared" si="103"/>
        <v>1.5000000000000002</v>
      </c>
      <c r="Q1272" s="7">
        <f t="shared" si="103"/>
        <v>5.5</v>
      </c>
      <c r="R1272" s="6">
        <f t="shared" si="104"/>
        <v>616.40099999999995</v>
      </c>
      <c r="S1272" s="6">
        <f t="shared" si="105"/>
        <v>3.0824067383999999E-2</v>
      </c>
      <c r="T1272" t="str">
        <f t="shared" si="101"/>
        <v>Ipe S4S E4E 2x6 Long</v>
      </c>
    </row>
    <row r="1273" spans="1:20" x14ac:dyDescent="0.25">
      <c r="A1273" t="s">
        <v>1351</v>
      </c>
      <c r="B1273" t="s">
        <v>1620</v>
      </c>
      <c r="C1273" t="s">
        <v>283</v>
      </c>
      <c r="D1273" t="s">
        <v>438</v>
      </c>
      <c r="E1273" t="s">
        <v>1638</v>
      </c>
      <c r="F1273" t="s">
        <v>1621</v>
      </c>
      <c r="G1273" t="s">
        <v>1351</v>
      </c>
      <c r="H1273" t="s">
        <v>373</v>
      </c>
      <c r="I1273" t="s">
        <v>289</v>
      </c>
      <c r="J1273" t="s">
        <v>821</v>
      </c>
      <c r="K1273">
        <v>20</v>
      </c>
      <c r="L1273" s="6">
        <v>6.0960000000000001</v>
      </c>
      <c r="M1273" s="7">
        <v>38.1</v>
      </c>
      <c r="N1273" s="7">
        <v>139.69999999999999</v>
      </c>
      <c r="O1273" s="7">
        <f t="shared" si="102"/>
        <v>240</v>
      </c>
      <c r="P1273" s="7">
        <f t="shared" si="103"/>
        <v>1.5000000000000002</v>
      </c>
      <c r="Q1273" s="7">
        <f t="shared" si="103"/>
        <v>5.5</v>
      </c>
      <c r="R1273" s="6">
        <f t="shared" si="104"/>
        <v>616.40099999999995</v>
      </c>
      <c r="S1273" s="6">
        <f t="shared" si="105"/>
        <v>3.2446386719999998E-2</v>
      </c>
      <c r="T1273" t="str">
        <f t="shared" si="101"/>
        <v>Ipe S4S E4E 2x6 Long</v>
      </c>
    </row>
    <row r="1274" spans="1:20" x14ac:dyDescent="0.25">
      <c r="A1274" t="s">
        <v>1351</v>
      </c>
      <c r="B1274" t="s">
        <v>1620</v>
      </c>
      <c r="C1274" t="s">
        <v>283</v>
      </c>
      <c r="D1274" t="s">
        <v>438</v>
      </c>
      <c r="E1274" t="s">
        <v>1639</v>
      </c>
      <c r="F1274" t="s">
        <v>1621</v>
      </c>
      <c r="G1274" t="s">
        <v>1351</v>
      </c>
      <c r="H1274" t="s">
        <v>373</v>
      </c>
      <c r="I1274" t="s">
        <v>289</v>
      </c>
      <c r="J1274" t="s">
        <v>821</v>
      </c>
      <c r="K1274">
        <v>20</v>
      </c>
      <c r="L1274" s="6">
        <v>6.0960000000000001</v>
      </c>
      <c r="M1274" s="7">
        <v>38.1</v>
      </c>
      <c r="N1274" s="7">
        <v>139.69999999999999</v>
      </c>
      <c r="O1274" s="7">
        <f t="shared" si="102"/>
        <v>240</v>
      </c>
      <c r="P1274" s="7">
        <f t="shared" si="103"/>
        <v>1.5000000000000002</v>
      </c>
      <c r="Q1274" s="7">
        <f t="shared" si="103"/>
        <v>5.5</v>
      </c>
      <c r="R1274" s="6">
        <f t="shared" si="104"/>
        <v>616.40099999999995</v>
      </c>
      <c r="S1274" s="6">
        <f t="shared" si="105"/>
        <v>3.2446386719999998E-2</v>
      </c>
      <c r="T1274" t="str">
        <f t="shared" si="101"/>
        <v>Ipe S4S E4E 2x6 Long</v>
      </c>
    </row>
    <row r="1275" spans="1:20" x14ac:dyDescent="0.25">
      <c r="A1275" t="s">
        <v>1351</v>
      </c>
      <c r="B1275" t="s">
        <v>1620</v>
      </c>
      <c r="C1275" t="s">
        <v>283</v>
      </c>
      <c r="D1275" t="s">
        <v>438</v>
      </c>
      <c r="E1275" t="s">
        <v>1640</v>
      </c>
      <c r="F1275" t="s">
        <v>1621</v>
      </c>
      <c r="G1275" t="s">
        <v>1351</v>
      </c>
      <c r="H1275" t="s">
        <v>373</v>
      </c>
      <c r="I1275" t="s">
        <v>289</v>
      </c>
      <c r="J1275" t="s">
        <v>821</v>
      </c>
      <c r="K1275">
        <v>21</v>
      </c>
      <c r="L1275" s="6">
        <v>6.4008000000000003</v>
      </c>
      <c r="M1275" s="7">
        <v>38.1</v>
      </c>
      <c r="N1275" s="7">
        <v>139.69999999999999</v>
      </c>
      <c r="O1275" s="7">
        <f t="shared" si="102"/>
        <v>252.00000000000003</v>
      </c>
      <c r="P1275" s="7">
        <f t="shared" si="103"/>
        <v>1.5000000000000002</v>
      </c>
      <c r="Q1275" s="7">
        <f t="shared" si="103"/>
        <v>5.5</v>
      </c>
      <c r="R1275" s="6">
        <f t="shared" si="104"/>
        <v>616.40099999999995</v>
      </c>
      <c r="S1275" s="6">
        <f t="shared" si="105"/>
        <v>3.4068706056E-2</v>
      </c>
      <c r="T1275" t="str">
        <f t="shared" si="101"/>
        <v>Ipe S4S E4E 2x6 Long</v>
      </c>
    </row>
    <row r="1276" spans="1:20" x14ac:dyDescent="0.25">
      <c r="A1276" t="s">
        <v>1351</v>
      </c>
      <c r="B1276" t="s">
        <v>1620</v>
      </c>
      <c r="C1276" t="s">
        <v>283</v>
      </c>
      <c r="D1276" t="s">
        <v>438</v>
      </c>
      <c r="E1276" t="s">
        <v>1641</v>
      </c>
      <c r="F1276" t="s">
        <v>1621</v>
      </c>
      <c r="G1276" t="s">
        <v>1351</v>
      </c>
      <c r="H1276" t="s">
        <v>373</v>
      </c>
      <c r="I1276" t="s">
        <v>289</v>
      </c>
      <c r="J1276" t="s">
        <v>821</v>
      </c>
      <c r="K1276">
        <v>21</v>
      </c>
      <c r="L1276" s="6">
        <v>6.4008000000000003</v>
      </c>
      <c r="M1276" s="7">
        <v>38.1</v>
      </c>
      <c r="N1276" s="7">
        <v>139.69999999999999</v>
      </c>
      <c r="O1276" s="7">
        <f t="shared" si="102"/>
        <v>252.00000000000003</v>
      </c>
      <c r="P1276" s="7">
        <f t="shared" si="103"/>
        <v>1.5000000000000002</v>
      </c>
      <c r="Q1276" s="7">
        <f t="shared" si="103"/>
        <v>5.5</v>
      </c>
      <c r="R1276" s="6">
        <f t="shared" si="104"/>
        <v>616.40099999999995</v>
      </c>
      <c r="S1276" s="6">
        <f t="shared" si="105"/>
        <v>3.4068706056E-2</v>
      </c>
      <c r="T1276" t="str">
        <f t="shared" si="101"/>
        <v>Ipe S4S E4E 2x6 Long</v>
      </c>
    </row>
    <row r="1277" spans="1:20" x14ac:dyDescent="0.25">
      <c r="A1277" t="s">
        <v>1351</v>
      </c>
      <c r="B1277" t="s">
        <v>1620</v>
      </c>
      <c r="C1277" t="s">
        <v>283</v>
      </c>
      <c r="D1277" t="s">
        <v>438</v>
      </c>
      <c r="E1277" t="s">
        <v>1642</v>
      </c>
      <c r="F1277" t="s">
        <v>1621</v>
      </c>
      <c r="G1277" t="s">
        <v>1351</v>
      </c>
      <c r="H1277" t="s">
        <v>373</v>
      </c>
      <c r="I1277" t="s">
        <v>289</v>
      </c>
      <c r="J1277" t="s">
        <v>821</v>
      </c>
      <c r="K1277">
        <v>22</v>
      </c>
      <c r="L1277" s="6">
        <v>6.7055999999999996</v>
      </c>
      <c r="M1277" s="7">
        <v>38.1</v>
      </c>
      <c r="N1277" s="7">
        <v>139.69999999999999</v>
      </c>
      <c r="O1277" s="7">
        <f t="shared" si="102"/>
        <v>264</v>
      </c>
      <c r="P1277" s="7">
        <f t="shared" si="103"/>
        <v>1.5000000000000002</v>
      </c>
      <c r="Q1277" s="7">
        <f t="shared" si="103"/>
        <v>5.5</v>
      </c>
      <c r="R1277" s="6">
        <f t="shared" si="104"/>
        <v>616.40099999999995</v>
      </c>
      <c r="S1277" s="6">
        <f t="shared" si="105"/>
        <v>3.5691025391999996E-2</v>
      </c>
      <c r="T1277" t="str">
        <f t="shared" si="101"/>
        <v>Ipe S4S E4E 2x6 Long</v>
      </c>
    </row>
    <row r="1278" spans="1:20" x14ac:dyDescent="0.25">
      <c r="A1278" t="s">
        <v>1351</v>
      </c>
      <c r="B1278" t="s">
        <v>1620</v>
      </c>
      <c r="C1278" t="s">
        <v>283</v>
      </c>
      <c r="D1278" t="s">
        <v>438</v>
      </c>
      <c r="E1278" t="s">
        <v>1643</v>
      </c>
      <c r="F1278" t="s">
        <v>1621</v>
      </c>
      <c r="G1278" t="s">
        <v>1351</v>
      </c>
      <c r="H1278" t="s">
        <v>373</v>
      </c>
      <c r="I1278" t="s">
        <v>289</v>
      </c>
      <c r="J1278" t="s">
        <v>821</v>
      </c>
      <c r="K1278">
        <v>22</v>
      </c>
      <c r="L1278" s="6">
        <v>6.7055999999999996</v>
      </c>
      <c r="M1278" s="7">
        <v>38.1</v>
      </c>
      <c r="N1278" s="7">
        <v>139.69999999999999</v>
      </c>
      <c r="O1278" s="7">
        <f t="shared" si="102"/>
        <v>264</v>
      </c>
      <c r="P1278" s="7">
        <f t="shared" si="103"/>
        <v>1.5000000000000002</v>
      </c>
      <c r="Q1278" s="7">
        <f t="shared" si="103"/>
        <v>5.5</v>
      </c>
      <c r="R1278" s="6">
        <f t="shared" si="104"/>
        <v>616.40099999999995</v>
      </c>
      <c r="S1278" s="6">
        <f t="shared" si="105"/>
        <v>3.5691025391999996E-2</v>
      </c>
      <c r="T1278" t="str">
        <f t="shared" si="101"/>
        <v>Ipe S4S E4E 2x6 Long</v>
      </c>
    </row>
    <row r="1279" spans="1:20" x14ac:dyDescent="0.25">
      <c r="A1279" t="s">
        <v>1351</v>
      </c>
      <c r="B1279" t="s">
        <v>1620</v>
      </c>
      <c r="C1279" t="s">
        <v>524</v>
      </c>
      <c r="D1279" t="s">
        <v>438</v>
      </c>
      <c r="E1279" t="s">
        <v>1644</v>
      </c>
      <c r="F1279" t="s">
        <v>1621</v>
      </c>
      <c r="G1279" t="s">
        <v>1351</v>
      </c>
      <c r="H1279" t="s">
        <v>373</v>
      </c>
      <c r="I1279" t="s">
        <v>289</v>
      </c>
      <c r="J1279" t="s">
        <v>821</v>
      </c>
      <c r="K1279">
        <v>3</v>
      </c>
      <c r="L1279" s="6">
        <v>0.91439999999999999</v>
      </c>
      <c r="M1279" s="7">
        <v>38.1</v>
      </c>
      <c r="N1279" s="7">
        <v>139.69999999999999</v>
      </c>
      <c r="O1279" s="7">
        <f t="shared" si="102"/>
        <v>36</v>
      </c>
      <c r="P1279" s="7">
        <f t="shared" si="103"/>
        <v>1.5000000000000002</v>
      </c>
      <c r="Q1279" s="7">
        <f t="shared" si="103"/>
        <v>5.5</v>
      </c>
      <c r="R1279" s="6">
        <f t="shared" si="104"/>
        <v>616.40099999999995</v>
      </c>
      <c r="S1279" s="6">
        <f t="shared" si="105"/>
        <v>4.8669580079999993E-3</v>
      </c>
      <c r="T1279" t="str">
        <f t="shared" si="101"/>
        <v>Ipe S4S E4E 2x6 Short</v>
      </c>
    </row>
    <row r="1280" spans="1:20" x14ac:dyDescent="0.25">
      <c r="A1280" t="s">
        <v>1351</v>
      </c>
      <c r="B1280" t="s">
        <v>1620</v>
      </c>
      <c r="C1280" t="s">
        <v>524</v>
      </c>
      <c r="D1280" t="s">
        <v>438</v>
      </c>
      <c r="E1280" t="s">
        <v>1645</v>
      </c>
      <c r="F1280" t="s">
        <v>1621</v>
      </c>
      <c r="G1280" t="s">
        <v>1351</v>
      </c>
      <c r="H1280" t="s">
        <v>373</v>
      </c>
      <c r="I1280" t="s">
        <v>289</v>
      </c>
      <c r="J1280" t="s">
        <v>821</v>
      </c>
      <c r="K1280">
        <v>3</v>
      </c>
      <c r="L1280" s="6">
        <v>0.91439999999999999</v>
      </c>
      <c r="M1280" s="7">
        <v>38.1</v>
      </c>
      <c r="N1280" s="7">
        <v>139.69999999999999</v>
      </c>
      <c r="O1280" s="7">
        <f t="shared" si="102"/>
        <v>36</v>
      </c>
      <c r="P1280" s="7">
        <f t="shared" si="103"/>
        <v>1.5000000000000002</v>
      </c>
      <c r="Q1280" s="7">
        <f t="shared" si="103"/>
        <v>5.5</v>
      </c>
      <c r="R1280" s="6">
        <f t="shared" si="104"/>
        <v>616.40099999999995</v>
      </c>
      <c r="S1280" s="6">
        <f t="shared" si="105"/>
        <v>4.8669580079999993E-3</v>
      </c>
      <c r="T1280" t="str">
        <f t="shared" si="101"/>
        <v>Ipe S4S E4E 2x6 Short</v>
      </c>
    </row>
    <row r="1281" spans="1:20" x14ac:dyDescent="0.25">
      <c r="A1281" t="s">
        <v>1351</v>
      </c>
      <c r="B1281" t="s">
        <v>1620</v>
      </c>
      <c r="C1281" t="s">
        <v>524</v>
      </c>
      <c r="D1281" t="s">
        <v>438</v>
      </c>
      <c r="E1281" t="s">
        <v>1646</v>
      </c>
      <c r="F1281" t="s">
        <v>1621</v>
      </c>
      <c r="G1281" t="s">
        <v>1351</v>
      </c>
      <c r="H1281" t="s">
        <v>373</v>
      </c>
      <c r="I1281" t="s">
        <v>289</v>
      </c>
      <c r="J1281" t="s">
        <v>821</v>
      </c>
      <c r="K1281">
        <v>4</v>
      </c>
      <c r="L1281" s="6">
        <v>1.2192000000000001</v>
      </c>
      <c r="M1281" s="7">
        <v>38.1</v>
      </c>
      <c r="N1281" s="7">
        <v>139.69999999999999</v>
      </c>
      <c r="O1281" s="7">
        <f t="shared" si="102"/>
        <v>48.000000000000007</v>
      </c>
      <c r="P1281" s="7">
        <f t="shared" si="103"/>
        <v>1.5000000000000002</v>
      </c>
      <c r="Q1281" s="7">
        <f t="shared" si="103"/>
        <v>5.5</v>
      </c>
      <c r="R1281" s="6">
        <f t="shared" si="104"/>
        <v>616.40099999999995</v>
      </c>
      <c r="S1281" s="6">
        <f t="shared" si="105"/>
        <v>6.4892773439999994E-3</v>
      </c>
      <c r="T1281" t="str">
        <f t="shared" si="101"/>
        <v>Ipe S4S E4E 2x6 Short</v>
      </c>
    </row>
    <row r="1282" spans="1:20" x14ac:dyDescent="0.25">
      <c r="A1282" t="s">
        <v>1351</v>
      </c>
      <c r="B1282" t="s">
        <v>1620</v>
      </c>
      <c r="C1282" t="s">
        <v>524</v>
      </c>
      <c r="D1282" t="s">
        <v>438</v>
      </c>
      <c r="E1282" t="s">
        <v>1647</v>
      </c>
      <c r="F1282" t="s">
        <v>1621</v>
      </c>
      <c r="G1282" t="s">
        <v>1351</v>
      </c>
      <c r="H1282" t="s">
        <v>373</v>
      </c>
      <c r="I1282" t="s">
        <v>289</v>
      </c>
      <c r="J1282" t="s">
        <v>821</v>
      </c>
      <c r="K1282">
        <v>4</v>
      </c>
      <c r="L1282" s="6">
        <v>1.2192000000000001</v>
      </c>
      <c r="M1282" s="7">
        <v>38.1</v>
      </c>
      <c r="N1282" s="7">
        <v>139.69999999999999</v>
      </c>
      <c r="O1282" s="7">
        <f t="shared" si="102"/>
        <v>48.000000000000007</v>
      </c>
      <c r="P1282" s="7">
        <f t="shared" si="103"/>
        <v>1.5000000000000002</v>
      </c>
      <c r="Q1282" s="7">
        <f t="shared" si="103"/>
        <v>5.5</v>
      </c>
      <c r="R1282" s="6">
        <f t="shared" si="104"/>
        <v>616.40099999999995</v>
      </c>
      <c r="S1282" s="6">
        <f t="shared" si="105"/>
        <v>6.4892773439999994E-3</v>
      </c>
      <c r="T1282" t="str">
        <f t="shared" ref="T1282:T1345" si="106">F1282&amp;" "&amp;C1282</f>
        <v>Ipe S4S E4E 2x6 Short</v>
      </c>
    </row>
    <row r="1283" spans="1:20" x14ac:dyDescent="0.25">
      <c r="A1283" t="s">
        <v>1351</v>
      </c>
      <c r="B1283" t="s">
        <v>1620</v>
      </c>
      <c r="C1283" t="s">
        <v>524</v>
      </c>
      <c r="D1283" t="s">
        <v>438</v>
      </c>
      <c r="E1283" t="s">
        <v>1648</v>
      </c>
      <c r="F1283" t="s">
        <v>1621</v>
      </c>
      <c r="G1283" t="s">
        <v>1351</v>
      </c>
      <c r="H1283" t="s">
        <v>373</v>
      </c>
      <c r="I1283" t="s">
        <v>289</v>
      </c>
      <c r="J1283" t="s">
        <v>821</v>
      </c>
      <c r="K1283">
        <v>5</v>
      </c>
      <c r="L1283" s="6">
        <v>1.524</v>
      </c>
      <c r="M1283" s="7">
        <v>38.1</v>
      </c>
      <c r="N1283" s="7">
        <v>139.69999999999999</v>
      </c>
      <c r="O1283" s="7">
        <f t="shared" si="102"/>
        <v>60</v>
      </c>
      <c r="P1283" s="7">
        <f t="shared" si="103"/>
        <v>1.5000000000000002</v>
      </c>
      <c r="Q1283" s="7">
        <f t="shared" si="103"/>
        <v>5.5</v>
      </c>
      <c r="R1283" s="6">
        <f t="shared" si="104"/>
        <v>616.40099999999995</v>
      </c>
      <c r="S1283" s="6">
        <f t="shared" si="105"/>
        <v>8.1115966799999994E-3</v>
      </c>
      <c r="T1283" t="str">
        <f t="shared" si="106"/>
        <v>Ipe S4S E4E 2x6 Short</v>
      </c>
    </row>
    <row r="1284" spans="1:20" x14ac:dyDescent="0.25">
      <c r="A1284" t="s">
        <v>1351</v>
      </c>
      <c r="B1284" t="s">
        <v>1620</v>
      </c>
      <c r="C1284" t="s">
        <v>524</v>
      </c>
      <c r="D1284" t="s">
        <v>438</v>
      </c>
      <c r="E1284" t="s">
        <v>1649</v>
      </c>
      <c r="F1284" t="s">
        <v>1621</v>
      </c>
      <c r="G1284" t="s">
        <v>1351</v>
      </c>
      <c r="H1284" t="s">
        <v>373</v>
      </c>
      <c r="I1284" t="s">
        <v>289</v>
      </c>
      <c r="J1284" t="s">
        <v>821</v>
      </c>
      <c r="K1284">
        <v>5</v>
      </c>
      <c r="L1284" s="6">
        <v>1.524</v>
      </c>
      <c r="M1284" s="7">
        <v>38.1</v>
      </c>
      <c r="N1284" s="7">
        <v>139.69999999999999</v>
      </c>
      <c r="O1284" s="7">
        <f t="shared" si="102"/>
        <v>60</v>
      </c>
      <c r="P1284" s="7">
        <f t="shared" si="103"/>
        <v>1.5000000000000002</v>
      </c>
      <c r="Q1284" s="7">
        <f t="shared" si="103"/>
        <v>5.5</v>
      </c>
      <c r="R1284" s="6">
        <f t="shared" si="104"/>
        <v>616.40099999999995</v>
      </c>
      <c r="S1284" s="6">
        <f t="shared" si="105"/>
        <v>8.1115966799999994E-3</v>
      </c>
      <c r="T1284" t="str">
        <f t="shared" si="106"/>
        <v>Ipe S4S E4E 2x6 Short</v>
      </c>
    </row>
    <row r="1285" spans="1:20" x14ac:dyDescent="0.25">
      <c r="A1285" t="s">
        <v>1351</v>
      </c>
      <c r="B1285" t="s">
        <v>1620</v>
      </c>
      <c r="C1285" t="s">
        <v>524</v>
      </c>
      <c r="D1285" t="s">
        <v>438</v>
      </c>
      <c r="E1285" t="s">
        <v>1650</v>
      </c>
      <c r="F1285" t="s">
        <v>1621</v>
      </c>
      <c r="G1285" t="s">
        <v>1351</v>
      </c>
      <c r="H1285" t="s">
        <v>373</v>
      </c>
      <c r="I1285" t="s">
        <v>289</v>
      </c>
      <c r="J1285" t="s">
        <v>821</v>
      </c>
      <c r="K1285">
        <v>6</v>
      </c>
      <c r="L1285" s="6">
        <v>1.8288</v>
      </c>
      <c r="M1285" s="7">
        <v>38.1</v>
      </c>
      <c r="N1285" s="7">
        <v>139.69999999999999</v>
      </c>
      <c r="O1285" s="7">
        <f t="shared" si="102"/>
        <v>72</v>
      </c>
      <c r="P1285" s="7">
        <f t="shared" si="103"/>
        <v>1.5000000000000002</v>
      </c>
      <c r="Q1285" s="7">
        <f t="shared" si="103"/>
        <v>5.5</v>
      </c>
      <c r="R1285" s="6">
        <f t="shared" si="104"/>
        <v>616.40099999999995</v>
      </c>
      <c r="S1285" s="6">
        <f t="shared" si="105"/>
        <v>9.7339160159999986E-3</v>
      </c>
      <c r="T1285" t="str">
        <f t="shared" si="106"/>
        <v>Ipe S4S E4E 2x6 Short</v>
      </c>
    </row>
    <row r="1286" spans="1:20" x14ac:dyDescent="0.25">
      <c r="A1286" t="s">
        <v>1351</v>
      </c>
      <c r="B1286" t="s">
        <v>1620</v>
      </c>
      <c r="C1286" t="s">
        <v>524</v>
      </c>
      <c r="D1286" t="s">
        <v>438</v>
      </c>
      <c r="E1286" t="s">
        <v>1651</v>
      </c>
      <c r="F1286" t="s">
        <v>1621</v>
      </c>
      <c r="G1286" t="s">
        <v>1351</v>
      </c>
      <c r="H1286" t="s">
        <v>373</v>
      </c>
      <c r="I1286" t="s">
        <v>289</v>
      </c>
      <c r="J1286" t="s">
        <v>821</v>
      </c>
      <c r="K1286">
        <v>6</v>
      </c>
      <c r="L1286" s="6">
        <v>1.8288</v>
      </c>
      <c r="M1286" s="7">
        <v>38.1</v>
      </c>
      <c r="N1286" s="7">
        <v>139.69999999999999</v>
      </c>
      <c r="O1286" s="7">
        <f t="shared" si="102"/>
        <v>72</v>
      </c>
      <c r="P1286" s="7">
        <f t="shared" si="103"/>
        <v>1.5000000000000002</v>
      </c>
      <c r="Q1286" s="7">
        <f t="shared" si="103"/>
        <v>5.5</v>
      </c>
      <c r="R1286" s="6">
        <f t="shared" si="104"/>
        <v>616.40099999999995</v>
      </c>
      <c r="S1286" s="6">
        <f t="shared" si="105"/>
        <v>9.7339160159999986E-3</v>
      </c>
      <c r="T1286" t="str">
        <f t="shared" si="106"/>
        <v>Ipe S4S E4E 2x6 Short</v>
      </c>
    </row>
    <row r="1287" spans="1:20" x14ac:dyDescent="0.25">
      <c r="A1287" t="s">
        <v>1351</v>
      </c>
      <c r="B1287" t="s">
        <v>1620</v>
      </c>
      <c r="C1287" t="s">
        <v>524</v>
      </c>
      <c r="D1287" t="s">
        <v>438</v>
      </c>
      <c r="E1287" t="s">
        <v>1652</v>
      </c>
      <c r="F1287" t="s">
        <v>1621</v>
      </c>
      <c r="G1287" t="s">
        <v>1351</v>
      </c>
      <c r="H1287" t="s">
        <v>373</v>
      </c>
      <c r="I1287" t="s">
        <v>289</v>
      </c>
      <c r="J1287" t="s">
        <v>821</v>
      </c>
      <c r="K1287">
        <v>7</v>
      </c>
      <c r="L1287" s="6">
        <v>2.1335999999999999</v>
      </c>
      <c r="M1287" s="7">
        <v>38.1</v>
      </c>
      <c r="N1287" s="7">
        <v>139.69999999999999</v>
      </c>
      <c r="O1287" s="7">
        <f t="shared" si="102"/>
        <v>84</v>
      </c>
      <c r="P1287" s="7">
        <f t="shared" si="103"/>
        <v>1.5000000000000002</v>
      </c>
      <c r="Q1287" s="7">
        <f t="shared" si="103"/>
        <v>5.5</v>
      </c>
      <c r="R1287" s="6">
        <f t="shared" si="104"/>
        <v>616.40099999999995</v>
      </c>
      <c r="S1287" s="6">
        <f t="shared" si="105"/>
        <v>1.1356235352E-2</v>
      </c>
      <c r="T1287" t="str">
        <f t="shared" si="106"/>
        <v>Ipe S4S E4E 2x6 Short</v>
      </c>
    </row>
    <row r="1288" spans="1:20" x14ac:dyDescent="0.25">
      <c r="A1288" t="s">
        <v>1351</v>
      </c>
      <c r="B1288" t="s">
        <v>1620</v>
      </c>
      <c r="C1288" t="s">
        <v>524</v>
      </c>
      <c r="D1288" t="s">
        <v>438</v>
      </c>
      <c r="E1288" t="s">
        <v>1653</v>
      </c>
      <c r="F1288" t="s">
        <v>1621</v>
      </c>
      <c r="G1288" t="s">
        <v>1351</v>
      </c>
      <c r="H1288" t="s">
        <v>373</v>
      </c>
      <c r="I1288" t="s">
        <v>289</v>
      </c>
      <c r="J1288" t="s">
        <v>821</v>
      </c>
      <c r="K1288">
        <v>7</v>
      </c>
      <c r="L1288" s="6">
        <v>2.1335999999999999</v>
      </c>
      <c r="M1288" s="7">
        <v>38.1</v>
      </c>
      <c r="N1288" s="7">
        <v>139.69999999999999</v>
      </c>
      <c r="O1288" s="7">
        <f t="shared" si="102"/>
        <v>84</v>
      </c>
      <c r="P1288" s="7">
        <f t="shared" si="103"/>
        <v>1.5000000000000002</v>
      </c>
      <c r="Q1288" s="7">
        <f t="shared" si="103"/>
        <v>5.5</v>
      </c>
      <c r="R1288" s="6">
        <f t="shared" si="104"/>
        <v>616.40099999999995</v>
      </c>
      <c r="S1288" s="6">
        <f t="shared" si="105"/>
        <v>1.1356235352E-2</v>
      </c>
      <c r="T1288" t="str">
        <f t="shared" si="106"/>
        <v>Ipe S4S E4E 2x6 Short</v>
      </c>
    </row>
    <row r="1289" spans="1:20" x14ac:dyDescent="0.25">
      <c r="A1289" t="s">
        <v>1351</v>
      </c>
      <c r="B1289" t="s">
        <v>1620</v>
      </c>
      <c r="C1289" t="s">
        <v>283</v>
      </c>
      <c r="D1289" t="s">
        <v>438</v>
      </c>
      <c r="E1289" t="s">
        <v>16</v>
      </c>
      <c r="F1289" t="s">
        <v>1621</v>
      </c>
      <c r="G1289" t="s">
        <v>1351</v>
      </c>
      <c r="H1289" t="s">
        <v>373</v>
      </c>
      <c r="I1289" t="s">
        <v>289</v>
      </c>
      <c r="J1289" t="s">
        <v>821</v>
      </c>
      <c r="K1289">
        <v>8</v>
      </c>
      <c r="L1289" s="6">
        <v>2.4384000000000001</v>
      </c>
      <c r="M1289" s="7">
        <v>38.1</v>
      </c>
      <c r="N1289" s="7">
        <v>139.69999999999999</v>
      </c>
      <c r="O1289" s="7">
        <f t="shared" si="102"/>
        <v>96.000000000000014</v>
      </c>
      <c r="P1289" s="7">
        <f t="shared" si="103"/>
        <v>1.5000000000000002</v>
      </c>
      <c r="Q1289" s="7">
        <f t="shared" si="103"/>
        <v>5.5</v>
      </c>
      <c r="R1289" s="6">
        <f t="shared" si="104"/>
        <v>616.40099999999995</v>
      </c>
      <c r="S1289" s="6">
        <f t="shared" si="105"/>
        <v>1.2978554687999999E-2</v>
      </c>
      <c r="T1289" t="str">
        <f t="shared" si="106"/>
        <v>Ipe S4S E4E 2x6 Long</v>
      </c>
    </row>
    <row r="1290" spans="1:20" x14ac:dyDescent="0.25">
      <c r="A1290" t="s">
        <v>1351</v>
      </c>
      <c r="B1290" t="s">
        <v>1620</v>
      </c>
      <c r="C1290" t="s">
        <v>283</v>
      </c>
      <c r="D1290" t="s">
        <v>438</v>
      </c>
      <c r="E1290" t="s">
        <v>1654</v>
      </c>
      <c r="F1290" t="s">
        <v>1621</v>
      </c>
      <c r="G1290" t="s">
        <v>1351</v>
      </c>
      <c r="H1290" t="s">
        <v>373</v>
      </c>
      <c r="I1290" t="s">
        <v>289</v>
      </c>
      <c r="J1290" t="s">
        <v>821</v>
      </c>
      <c r="K1290">
        <v>8</v>
      </c>
      <c r="L1290" s="6">
        <v>2.4384000000000001</v>
      </c>
      <c r="M1290" s="7">
        <v>38.1</v>
      </c>
      <c r="N1290" s="7">
        <v>139.69999999999999</v>
      </c>
      <c r="O1290" s="7">
        <f t="shared" si="102"/>
        <v>96.000000000000014</v>
      </c>
      <c r="P1290" s="7">
        <f t="shared" si="103"/>
        <v>1.5000000000000002</v>
      </c>
      <c r="Q1290" s="7">
        <f t="shared" si="103"/>
        <v>5.5</v>
      </c>
      <c r="R1290" s="6">
        <f t="shared" si="104"/>
        <v>616.40099999999995</v>
      </c>
      <c r="S1290" s="6">
        <f t="shared" si="105"/>
        <v>1.2978554687999999E-2</v>
      </c>
      <c r="T1290" t="str">
        <f t="shared" si="106"/>
        <v>Ipe S4S E4E 2x6 Long</v>
      </c>
    </row>
    <row r="1291" spans="1:20" x14ac:dyDescent="0.25">
      <c r="A1291" t="s">
        <v>1351</v>
      </c>
      <c r="B1291" t="s">
        <v>1620</v>
      </c>
      <c r="C1291" t="s">
        <v>283</v>
      </c>
      <c r="D1291" t="s">
        <v>438</v>
      </c>
      <c r="E1291" t="s">
        <v>1655</v>
      </c>
      <c r="F1291" t="s">
        <v>1621</v>
      </c>
      <c r="G1291" t="s">
        <v>1351</v>
      </c>
      <c r="H1291" t="s">
        <v>373</v>
      </c>
      <c r="I1291" t="s">
        <v>289</v>
      </c>
      <c r="J1291" t="s">
        <v>821</v>
      </c>
      <c r="K1291">
        <v>9</v>
      </c>
      <c r="L1291" s="6">
        <v>2.7431999999999999</v>
      </c>
      <c r="M1291" s="7">
        <v>38.1</v>
      </c>
      <c r="N1291" s="7">
        <v>139.69999999999999</v>
      </c>
      <c r="O1291" s="7">
        <f t="shared" si="102"/>
        <v>108</v>
      </c>
      <c r="P1291" s="7">
        <f t="shared" si="103"/>
        <v>1.5000000000000002</v>
      </c>
      <c r="Q1291" s="7">
        <f t="shared" si="103"/>
        <v>5.5</v>
      </c>
      <c r="R1291" s="6">
        <f t="shared" si="104"/>
        <v>616.40099999999995</v>
      </c>
      <c r="S1291" s="6">
        <f t="shared" si="105"/>
        <v>1.4600874024E-2</v>
      </c>
      <c r="T1291" t="str">
        <f t="shared" si="106"/>
        <v>Ipe S4S E4E 2x6 Long</v>
      </c>
    </row>
    <row r="1292" spans="1:20" x14ac:dyDescent="0.25">
      <c r="A1292" t="s">
        <v>1351</v>
      </c>
      <c r="B1292" t="s">
        <v>1620</v>
      </c>
      <c r="C1292" t="s">
        <v>283</v>
      </c>
      <c r="D1292" t="s">
        <v>438</v>
      </c>
      <c r="E1292" t="s">
        <v>1656</v>
      </c>
      <c r="F1292" t="s">
        <v>1621</v>
      </c>
      <c r="G1292" t="s">
        <v>1351</v>
      </c>
      <c r="H1292" t="s">
        <v>373</v>
      </c>
      <c r="I1292" t="s">
        <v>289</v>
      </c>
      <c r="J1292" t="s">
        <v>821</v>
      </c>
      <c r="K1292">
        <v>9</v>
      </c>
      <c r="L1292" s="6">
        <v>2.7431999999999999</v>
      </c>
      <c r="M1292" s="7">
        <v>38.1</v>
      </c>
      <c r="N1292" s="7">
        <v>139.69999999999999</v>
      </c>
      <c r="O1292" s="7">
        <f t="shared" si="102"/>
        <v>108</v>
      </c>
      <c r="P1292" s="7">
        <f t="shared" si="103"/>
        <v>1.5000000000000002</v>
      </c>
      <c r="Q1292" s="7">
        <f t="shared" si="103"/>
        <v>5.5</v>
      </c>
      <c r="R1292" s="6">
        <f t="shared" si="104"/>
        <v>616.40099999999995</v>
      </c>
      <c r="S1292" s="6">
        <f t="shared" si="105"/>
        <v>1.4600874024E-2</v>
      </c>
      <c r="T1292" t="str">
        <f t="shared" si="106"/>
        <v>Ipe S4S E4E 2x6 Long</v>
      </c>
    </row>
    <row r="1293" spans="1:20" x14ac:dyDescent="0.25">
      <c r="A1293" t="s">
        <v>1351</v>
      </c>
      <c r="B1293" t="s">
        <v>1657</v>
      </c>
      <c r="C1293" t="s">
        <v>283</v>
      </c>
      <c r="D1293" t="s">
        <v>438</v>
      </c>
      <c r="E1293" t="s">
        <v>1658</v>
      </c>
      <c r="F1293" t="s">
        <v>1659</v>
      </c>
      <c r="G1293" t="s">
        <v>1351</v>
      </c>
      <c r="H1293" t="s">
        <v>373</v>
      </c>
      <c r="I1293" t="s">
        <v>289</v>
      </c>
      <c r="J1293" t="s">
        <v>846</v>
      </c>
      <c r="K1293">
        <v>10</v>
      </c>
      <c r="L1293" s="6">
        <v>3.048</v>
      </c>
      <c r="M1293" s="7">
        <v>38.1</v>
      </c>
      <c r="N1293" s="7">
        <v>184.15</v>
      </c>
      <c r="O1293" s="7">
        <f t="shared" si="102"/>
        <v>120</v>
      </c>
      <c r="P1293" s="7">
        <f t="shared" si="103"/>
        <v>1.5000000000000002</v>
      </c>
      <c r="Q1293" s="7">
        <f t="shared" si="103"/>
        <v>7.2500000000000009</v>
      </c>
      <c r="R1293" s="6">
        <f t="shared" si="104"/>
        <v>467.61500000000001</v>
      </c>
      <c r="S1293" s="6">
        <f t="shared" si="105"/>
        <v>2.1385118520000003E-2</v>
      </c>
      <c r="T1293" t="str">
        <f t="shared" si="106"/>
        <v>Ipe S4S E4E 2x8 Long</v>
      </c>
    </row>
    <row r="1294" spans="1:20" x14ac:dyDescent="0.25">
      <c r="A1294" t="s">
        <v>1351</v>
      </c>
      <c r="B1294" t="s">
        <v>1657</v>
      </c>
      <c r="C1294" t="s">
        <v>283</v>
      </c>
      <c r="D1294" t="s">
        <v>438</v>
      </c>
      <c r="E1294" t="s">
        <v>1660</v>
      </c>
      <c r="F1294" t="s">
        <v>1659</v>
      </c>
      <c r="G1294" t="s">
        <v>1351</v>
      </c>
      <c r="H1294" t="s">
        <v>373</v>
      </c>
      <c r="I1294" t="s">
        <v>289</v>
      </c>
      <c r="J1294" t="s">
        <v>846</v>
      </c>
      <c r="K1294">
        <v>11</v>
      </c>
      <c r="L1294" s="6">
        <v>3.3527999999999998</v>
      </c>
      <c r="M1294" s="7">
        <v>38.1</v>
      </c>
      <c r="N1294" s="7">
        <v>184.15</v>
      </c>
      <c r="O1294" s="7">
        <f t="shared" si="102"/>
        <v>132</v>
      </c>
      <c r="P1294" s="7">
        <f t="shared" si="103"/>
        <v>1.5000000000000002</v>
      </c>
      <c r="Q1294" s="7">
        <f t="shared" si="103"/>
        <v>7.2500000000000009</v>
      </c>
      <c r="R1294" s="6">
        <f t="shared" si="104"/>
        <v>467.61500000000001</v>
      </c>
      <c r="S1294" s="6">
        <f t="shared" si="105"/>
        <v>2.3523630372E-2</v>
      </c>
      <c r="T1294" t="str">
        <f t="shared" si="106"/>
        <v>Ipe S4S E4E 2x8 Long</v>
      </c>
    </row>
    <row r="1295" spans="1:20" x14ac:dyDescent="0.25">
      <c r="A1295" t="s">
        <v>1351</v>
      </c>
      <c r="B1295" t="s">
        <v>1657</v>
      </c>
      <c r="C1295" t="s">
        <v>283</v>
      </c>
      <c r="D1295" t="s">
        <v>438</v>
      </c>
      <c r="E1295" t="s">
        <v>1661</v>
      </c>
      <c r="F1295" t="s">
        <v>1659</v>
      </c>
      <c r="G1295" t="s">
        <v>1351</v>
      </c>
      <c r="H1295" t="s">
        <v>373</v>
      </c>
      <c r="I1295" t="s">
        <v>289</v>
      </c>
      <c r="J1295" t="s">
        <v>846</v>
      </c>
      <c r="K1295">
        <v>12</v>
      </c>
      <c r="L1295" s="6">
        <v>3.6576</v>
      </c>
      <c r="M1295" s="7">
        <v>38.1</v>
      </c>
      <c r="N1295" s="7">
        <v>184.15</v>
      </c>
      <c r="O1295" s="7">
        <f t="shared" si="102"/>
        <v>144</v>
      </c>
      <c r="P1295" s="7">
        <f t="shared" si="103"/>
        <v>1.5000000000000002</v>
      </c>
      <c r="Q1295" s="7">
        <f t="shared" si="103"/>
        <v>7.2500000000000009</v>
      </c>
      <c r="R1295" s="6">
        <f t="shared" si="104"/>
        <v>467.61500000000001</v>
      </c>
      <c r="S1295" s="6">
        <f t="shared" si="105"/>
        <v>2.5662142224000001E-2</v>
      </c>
      <c r="T1295" t="str">
        <f t="shared" si="106"/>
        <v>Ipe S4S E4E 2x8 Long</v>
      </c>
    </row>
    <row r="1296" spans="1:20" x14ac:dyDescent="0.25">
      <c r="A1296" t="s">
        <v>1351</v>
      </c>
      <c r="B1296" t="s">
        <v>1657</v>
      </c>
      <c r="C1296" t="s">
        <v>283</v>
      </c>
      <c r="D1296" t="s">
        <v>438</v>
      </c>
      <c r="E1296" t="s">
        <v>1662</v>
      </c>
      <c r="F1296" t="s">
        <v>1659</v>
      </c>
      <c r="G1296" t="s">
        <v>1351</v>
      </c>
      <c r="H1296" t="s">
        <v>373</v>
      </c>
      <c r="I1296" t="s">
        <v>289</v>
      </c>
      <c r="J1296" t="s">
        <v>846</v>
      </c>
      <c r="K1296">
        <v>13</v>
      </c>
      <c r="L1296" s="6">
        <v>3.9624000000000001</v>
      </c>
      <c r="M1296" s="7">
        <v>38.1</v>
      </c>
      <c r="N1296" s="7">
        <v>184.15</v>
      </c>
      <c r="O1296" s="7">
        <f t="shared" si="102"/>
        <v>156</v>
      </c>
      <c r="P1296" s="7">
        <f t="shared" si="103"/>
        <v>1.5000000000000002</v>
      </c>
      <c r="Q1296" s="7">
        <f t="shared" si="103"/>
        <v>7.2500000000000009</v>
      </c>
      <c r="R1296" s="6">
        <f t="shared" si="104"/>
        <v>467.61500000000001</v>
      </c>
      <c r="S1296" s="6">
        <f t="shared" si="105"/>
        <v>2.7800654075999999E-2</v>
      </c>
      <c r="T1296" t="str">
        <f t="shared" si="106"/>
        <v>Ipe S4S E4E 2x8 Long</v>
      </c>
    </row>
    <row r="1297" spans="1:20" x14ac:dyDescent="0.25">
      <c r="A1297" t="s">
        <v>1351</v>
      </c>
      <c r="B1297" t="s">
        <v>1657</v>
      </c>
      <c r="C1297" t="s">
        <v>283</v>
      </c>
      <c r="D1297" t="s">
        <v>438</v>
      </c>
      <c r="E1297" t="s">
        <v>1663</v>
      </c>
      <c r="F1297" t="s">
        <v>1659</v>
      </c>
      <c r="G1297" t="s">
        <v>1351</v>
      </c>
      <c r="H1297" t="s">
        <v>373</v>
      </c>
      <c r="I1297" t="s">
        <v>289</v>
      </c>
      <c r="J1297" t="s">
        <v>846</v>
      </c>
      <c r="K1297">
        <v>14</v>
      </c>
      <c r="L1297" s="6">
        <v>4.2671999999999999</v>
      </c>
      <c r="M1297" s="7">
        <v>38.1</v>
      </c>
      <c r="N1297" s="7">
        <v>184.15</v>
      </c>
      <c r="O1297" s="7">
        <f t="shared" si="102"/>
        <v>168</v>
      </c>
      <c r="P1297" s="7">
        <f t="shared" si="103"/>
        <v>1.5000000000000002</v>
      </c>
      <c r="Q1297" s="7">
        <f t="shared" si="103"/>
        <v>7.2500000000000009</v>
      </c>
      <c r="R1297" s="6">
        <f t="shared" si="104"/>
        <v>467.61500000000001</v>
      </c>
      <c r="S1297" s="6">
        <f t="shared" si="105"/>
        <v>2.9939165928E-2</v>
      </c>
      <c r="T1297" t="str">
        <f t="shared" si="106"/>
        <v>Ipe S4S E4E 2x8 Long</v>
      </c>
    </row>
    <row r="1298" spans="1:20" x14ac:dyDescent="0.25">
      <c r="A1298" t="s">
        <v>1351</v>
      </c>
      <c r="B1298" t="s">
        <v>1657</v>
      </c>
      <c r="C1298" t="s">
        <v>283</v>
      </c>
      <c r="D1298" t="s">
        <v>438</v>
      </c>
      <c r="E1298" t="s">
        <v>1664</v>
      </c>
      <c r="F1298" t="s">
        <v>1659</v>
      </c>
      <c r="G1298" t="s">
        <v>1351</v>
      </c>
      <c r="H1298" t="s">
        <v>373</v>
      </c>
      <c r="I1298" t="s">
        <v>289</v>
      </c>
      <c r="J1298" t="s">
        <v>846</v>
      </c>
      <c r="K1298">
        <v>15</v>
      </c>
      <c r="L1298" s="6">
        <v>4.5720000000000001</v>
      </c>
      <c r="M1298" s="7">
        <v>38.1</v>
      </c>
      <c r="N1298" s="7">
        <v>184.15</v>
      </c>
      <c r="O1298" s="7">
        <f t="shared" si="102"/>
        <v>180</v>
      </c>
      <c r="P1298" s="7">
        <f t="shared" si="103"/>
        <v>1.5000000000000002</v>
      </c>
      <c r="Q1298" s="7">
        <f t="shared" si="103"/>
        <v>7.2500000000000009</v>
      </c>
      <c r="R1298" s="6">
        <f t="shared" si="104"/>
        <v>467.61500000000001</v>
      </c>
      <c r="S1298" s="6">
        <f t="shared" si="105"/>
        <v>3.2077677780000001E-2</v>
      </c>
      <c r="T1298" t="str">
        <f t="shared" si="106"/>
        <v>Ipe S4S E4E 2x8 Long</v>
      </c>
    </row>
    <row r="1299" spans="1:20" x14ac:dyDescent="0.25">
      <c r="A1299" t="s">
        <v>1351</v>
      </c>
      <c r="B1299" t="s">
        <v>1657</v>
      </c>
      <c r="C1299" t="s">
        <v>283</v>
      </c>
      <c r="D1299" t="s">
        <v>438</v>
      </c>
      <c r="E1299" t="s">
        <v>1665</v>
      </c>
      <c r="F1299" t="s">
        <v>1659</v>
      </c>
      <c r="G1299" t="s">
        <v>1351</v>
      </c>
      <c r="H1299" t="s">
        <v>373</v>
      </c>
      <c r="I1299" t="s">
        <v>289</v>
      </c>
      <c r="J1299" t="s">
        <v>846</v>
      </c>
      <c r="K1299">
        <v>16</v>
      </c>
      <c r="L1299" s="6">
        <v>4.8768000000000002</v>
      </c>
      <c r="M1299" s="7">
        <v>38.1</v>
      </c>
      <c r="N1299" s="7">
        <v>184.15</v>
      </c>
      <c r="O1299" s="7">
        <f t="shared" si="102"/>
        <v>192.00000000000003</v>
      </c>
      <c r="P1299" s="7">
        <f t="shared" si="103"/>
        <v>1.5000000000000002</v>
      </c>
      <c r="Q1299" s="7">
        <f t="shared" si="103"/>
        <v>7.2500000000000009</v>
      </c>
      <c r="R1299" s="6">
        <f t="shared" si="104"/>
        <v>467.61500000000001</v>
      </c>
      <c r="S1299" s="6">
        <f t="shared" si="105"/>
        <v>3.4216189632000002E-2</v>
      </c>
      <c r="T1299" t="str">
        <f t="shared" si="106"/>
        <v>Ipe S4S E4E 2x8 Long</v>
      </c>
    </row>
    <row r="1300" spans="1:20" x14ac:dyDescent="0.25">
      <c r="A1300" t="s">
        <v>1351</v>
      </c>
      <c r="B1300" t="s">
        <v>1657</v>
      </c>
      <c r="C1300" t="s">
        <v>283</v>
      </c>
      <c r="D1300" t="s">
        <v>438</v>
      </c>
      <c r="E1300" t="s">
        <v>1666</v>
      </c>
      <c r="F1300" t="s">
        <v>1659</v>
      </c>
      <c r="G1300" t="s">
        <v>1351</v>
      </c>
      <c r="H1300" t="s">
        <v>373</v>
      </c>
      <c r="I1300" t="s">
        <v>289</v>
      </c>
      <c r="J1300" t="s">
        <v>846</v>
      </c>
      <c r="K1300">
        <v>17</v>
      </c>
      <c r="L1300" s="6">
        <v>5.1816000000000004</v>
      </c>
      <c r="M1300" s="7">
        <v>38.1</v>
      </c>
      <c r="N1300" s="7">
        <v>184.15</v>
      </c>
      <c r="O1300" s="7">
        <f t="shared" si="102"/>
        <v>204.00000000000003</v>
      </c>
      <c r="P1300" s="7">
        <f t="shared" si="103"/>
        <v>1.5000000000000002</v>
      </c>
      <c r="Q1300" s="7">
        <f t="shared" si="103"/>
        <v>7.2500000000000009</v>
      </c>
      <c r="R1300" s="6">
        <f t="shared" si="104"/>
        <v>467.61500000000001</v>
      </c>
      <c r="S1300" s="6">
        <f t="shared" si="105"/>
        <v>3.635470148400001E-2</v>
      </c>
      <c r="T1300" t="str">
        <f t="shared" si="106"/>
        <v>Ipe S4S E4E 2x8 Long</v>
      </c>
    </row>
    <row r="1301" spans="1:20" x14ac:dyDescent="0.25">
      <c r="A1301" t="s">
        <v>1351</v>
      </c>
      <c r="B1301" t="s">
        <v>1657</v>
      </c>
      <c r="C1301" t="s">
        <v>283</v>
      </c>
      <c r="D1301" t="s">
        <v>438</v>
      </c>
      <c r="E1301" t="s">
        <v>1667</v>
      </c>
      <c r="F1301" t="s">
        <v>1659</v>
      </c>
      <c r="G1301" t="s">
        <v>1351</v>
      </c>
      <c r="H1301" t="s">
        <v>373</v>
      </c>
      <c r="I1301" t="s">
        <v>289</v>
      </c>
      <c r="J1301" t="s">
        <v>846</v>
      </c>
      <c r="K1301">
        <v>18</v>
      </c>
      <c r="L1301" s="6">
        <v>5.4863999999999997</v>
      </c>
      <c r="M1301" s="7">
        <v>38.1</v>
      </c>
      <c r="N1301" s="7">
        <v>184.15</v>
      </c>
      <c r="O1301" s="7">
        <f t="shared" si="102"/>
        <v>216</v>
      </c>
      <c r="P1301" s="7">
        <f t="shared" si="103"/>
        <v>1.5000000000000002</v>
      </c>
      <c r="Q1301" s="7">
        <f t="shared" si="103"/>
        <v>7.2500000000000009</v>
      </c>
      <c r="R1301" s="6">
        <f t="shared" si="104"/>
        <v>467.61500000000001</v>
      </c>
      <c r="S1301" s="6">
        <f t="shared" si="105"/>
        <v>3.8493213336000004E-2</v>
      </c>
      <c r="T1301" t="str">
        <f t="shared" si="106"/>
        <v>Ipe S4S E4E 2x8 Long</v>
      </c>
    </row>
    <row r="1302" spans="1:20" x14ac:dyDescent="0.25">
      <c r="A1302" t="s">
        <v>1351</v>
      </c>
      <c r="B1302" t="s">
        <v>1657</v>
      </c>
      <c r="C1302" t="s">
        <v>283</v>
      </c>
      <c r="D1302" t="s">
        <v>438</v>
      </c>
      <c r="E1302" t="s">
        <v>1668</v>
      </c>
      <c r="F1302" t="s">
        <v>1659</v>
      </c>
      <c r="G1302" t="s">
        <v>1351</v>
      </c>
      <c r="H1302" t="s">
        <v>373</v>
      </c>
      <c r="I1302" t="s">
        <v>289</v>
      </c>
      <c r="J1302" t="s">
        <v>846</v>
      </c>
      <c r="K1302">
        <v>19</v>
      </c>
      <c r="L1302" s="6">
        <v>5.7911999999999999</v>
      </c>
      <c r="M1302" s="7">
        <v>38.1</v>
      </c>
      <c r="N1302" s="7">
        <v>184.15</v>
      </c>
      <c r="O1302" s="7">
        <f t="shared" si="102"/>
        <v>228</v>
      </c>
      <c r="P1302" s="7">
        <f t="shared" si="103"/>
        <v>1.5000000000000002</v>
      </c>
      <c r="Q1302" s="7">
        <f t="shared" si="103"/>
        <v>7.2500000000000009</v>
      </c>
      <c r="R1302" s="6">
        <f t="shared" si="104"/>
        <v>467.61500000000001</v>
      </c>
      <c r="S1302" s="6">
        <f t="shared" si="105"/>
        <v>4.0631725188000005E-2</v>
      </c>
      <c r="T1302" t="str">
        <f t="shared" si="106"/>
        <v>Ipe S4S E4E 2x8 Long</v>
      </c>
    </row>
    <row r="1303" spans="1:20" x14ac:dyDescent="0.25">
      <c r="A1303" t="s">
        <v>1351</v>
      </c>
      <c r="B1303" t="s">
        <v>1657</v>
      </c>
      <c r="C1303" t="s">
        <v>283</v>
      </c>
      <c r="D1303" t="s">
        <v>438</v>
      </c>
      <c r="E1303" t="s">
        <v>1669</v>
      </c>
      <c r="F1303" t="s">
        <v>1659</v>
      </c>
      <c r="G1303" t="s">
        <v>1351</v>
      </c>
      <c r="H1303" t="s">
        <v>373</v>
      </c>
      <c r="I1303" t="s">
        <v>289</v>
      </c>
      <c r="J1303" t="s">
        <v>846</v>
      </c>
      <c r="K1303">
        <v>20</v>
      </c>
      <c r="L1303" s="6">
        <v>6.0960000000000001</v>
      </c>
      <c r="M1303" s="7">
        <v>38.1</v>
      </c>
      <c r="N1303" s="7">
        <v>184.15</v>
      </c>
      <c r="O1303" s="7">
        <f t="shared" si="102"/>
        <v>240</v>
      </c>
      <c r="P1303" s="7">
        <f t="shared" si="103"/>
        <v>1.5000000000000002</v>
      </c>
      <c r="Q1303" s="7">
        <f t="shared" si="103"/>
        <v>7.2500000000000009</v>
      </c>
      <c r="R1303" s="6">
        <f t="shared" si="104"/>
        <v>467.61500000000001</v>
      </c>
      <c r="S1303" s="6">
        <f t="shared" si="105"/>
        <v>4.2770237040000006E-2</v>
      </c>
      <c r="T1303" t="str">
        <f t="shared" si="106"/>
        <v>Ipe S4S E4E 2x8 Long</v>
      </c>
    </row>
    <row r="1304" spans="1:20" x14ac:dyDescent="0.25">
      <c r="A1304" t="s">
        <v>1351</v>
      </c>
      <c r="B1304" t="s">
        <v>1657</v>
      </c>
      <c r="C1304" t="s">
        <v>283</v>
      </c>
      <c r="D1304" t="s">
        <v>438</v>
      </c>
      <c r="E1304" t="s">
        <v>1670</v>
      </c>
      <c r="F1304" t="s">
        <v>1659</v>
      </c>
      <c r="G1304" t="s">
        <v>1351</v>
      </c>
      <c r="H1304" t="s">
        <v>373</v>
      </c>
      <c r="I1304" t="s">
        <v>289</v>
      </c>
      <c r="J1304" t="s">
        <v>846</v>
      </c>
      <c r="K1304">
        <v>21</v>
      </c>
      <c r="L1304" s="6">
        <v>6.4008000000000003</v>
      </c>
      <c r="M1304" s="7">
        <v>38.1</v>
      </c>
      <c r="N1304" s="7">
        <v>184.15</v>
      </c>
      <c r="O1304" s="7">
        <f t="shared" si="102"/>
        <v>252.00000000000003</v>
      </c>
      <c r="P1304" s="7">
        <f t="shared" si="103"/>
        <v>1.5000000000000002</v>
      </c>
      <c r="Q1304" s="7">
        <f t="shared" si="103"/>
        <v>7.2500000000000009</v>
      </c>
      <c r="R1304" s="6">
        <f t="shared" si="104"/>
        <v>467.61500000000001</v>
      </c>
      <c r="S1304" s="6">
        <f t="shared" si="105"/>
        <v>4.4908748892000007E-2</v>
      </c>
      <c r="T1304" t="str">
        <f t="shared" si="106"/>
        <v>Ipe S4S E4E 2x8 Long</v>
      </c>
    </row>
    <row r="1305" spans="1:20" x14ac:dyDescent="0.25">
      <c r="A1305" t="s">
        <v>1351</v>
      </c>
      <c r="B1305" t="s">
        <v>1657</v>
      </c>
      <c r="C1305" t="s">
        <v>283</v>
      </c>
      <c r="D1305" t="s">
        <v>438</v>
      </c>
      <c r="E1305" t="s">
        <v>1671</v>
      </c>
      <c r="F1305" t="s">
        <v>1659</v>
      </c>
      <c r="G1305" t="s">
        <v>1351</v>
      </c>
      <c r="H1305" t="s">
        <v>373</v>
      </c>
      <c r="I1305" t="s">
        <v>289</v>
      </c>
      <c r="J1305" t="s">
        <v>846</v>
      </c>
      <c r="K1305">
        <v>22</v>
      </c>
      <c r="L1305" s="6">
        <v>6.7055999999999996</v>
      </c>
      <c r="M1305" s="7">
        <v>38.1</v>
      </c>
      <c r="N1305" s="7">
        <v>184.15</v>
      </c>
      <c r="O1305" s="7">
        <f t="shared" si="102"/>
        <v>264</v>
      </c>
      <c r="P1305" s="7">
        <f t="shared" si="103"/>
        <v>1.5000000000000002</v>
      </c>
      <c r="Q1305" s="7">
        <f t="shared" si="103"/>
        <v>7.2500000000000009</v>
      </c>
      <c r="R1305" s="6">
        <f t="shared" si="104"/>
        <v>467.61500000000001</v>
      </c>
      <c r="S1305" s="6">
        <f t="shared" si="105"/>
        <v>4.7047260744000001E-2</v>
      </c>
      <c r="T1305" t="str">
        <f t="shared" si="106"/>
        <v>Ipe S4S E4E 2x8 Long</v>
      </c>
    </row>
    <row r="1306" spans="1:20" x14ac:dyDescent="0.25">
      <c r="A1306" t="s">
        <v>1351</v>
      </c>
      <c r="B1306" t="s">
        <v>1657</v>
      </c>
      <c r="C1306" t="s">
        <v>524</v>
      </c>
      <c r="D1306" t="s">
        <v>438</v>
      </c>
      <c r="E1306" t="s">
        <v>1672</v>
      </c>
      <c r="F1306" t="s">
        <v>1659</v>
      </c>
      <c r="G1306" t="s">
        <v>1351</v>
      </c>
      <c r="H1306" t="s">
        <v>373</v>
      </c>
      <c r="I1306" t="s">
        <v>289</v>
      </c>
      <c r="J1306" t="s">
        <v>846</v>
      </c>
      <c r="K1306">
        <v>3</v>
      </c>
      <c r="L1306" s="6">
        <v>0.91439999999999999</v>
      </c>
      <c r="M1306" s="7">
        <v>38.1</v>
      </c>
      <c r="N1306" s="7">
        <v>184.15</v>
      </c>
      <c r="O1306" s="7">
        <f t="shared" si="102"/>
        <v>36</v>
      </c>
      <c r="P1306" s="7">
        <f t="shared" si="103"/>
        <v>1.5000000000000002</v>
      </c>
      <c r="Q1306" s="7">
        <f t="shared" si="103"/>
        <v>7.2500000000000009</v>
      </c>
      <c r="R1306" s="6">
        <f t="shared" si="104"/>
        <v>467.61500000000001</v>
      </c>
      <c r="S1306" s="6">
        <f t="shared" si="105"/>
        <v>6.4155355560000004E-3</v>
      </c>
      <c r="T1306" t="str">
        <f t="shared" si="106"/>
        <v>Ipe S4S E4E 2x8 Short</v>
      </c>
    </row>
    <row r="1307" spans="1:20" x14ac:dyDescent="0.25">
      <c r="A1307" t="s">
        <v>1351</v>
      </c>
      <c r="B1307" t="s">
        <v>1657</v>
      </c>
      <c r="C1307" t="s">
        <v>524</v>
      </c>
      <c r="D1307" t="s">
        <v>438</v>
      </c>
      <c r="E1307" t="s">
        <v>1673</v>
      </c>
      <c r="F1307" t="s">
        <v>1659</v>
      </c>
      <c r="G1307" t="s">
        <v>1351</v>
      </c>
      <c r="H1307" t="s">
        <v>373</v>
      </c>
      <c r="I1307" t="s">
        <v>289</v>
      </c>
      <c r="J1307" t="s">
        <v>846</v>
      </c>
      <c r="K1307">
        <v>4</v>
      </c>
      <c r="L1307" s="6">
        <v>1.2192000000000001</v>
      </c>
      <c r="M1307" s="7">
        <v>38.1</v>
      </c>
      <c r="N1307" s="7">
        <v>184.15</v>
      </c>
      <c r="O1307" s="7">
        <f t="shared" si="102"/>
        <v>48.000000000000007</v>
      </c>
      <c r="P1307" s="7">
        <f t="shared" si="103"/>
        <v>1.5000000000000002</v>
      </c>
      <c r="Q1307" s="7">
        <f t="shared" si="103"/>
        <v>7.2500000000000009</v>
      </c>
      <c r="R1307" s="6">
        <f t="shared" si="104"/>
        <v>467.61500000000001</v>
      </c>
      <c r="S1307" s="6">
        <f t="shared" si="105"/>
        <v>8.5540474080000005E-3</v>
      </c>
      <c r="T1307" t="str">
        <f t="shared" si="106"/>
        <v>Ipe S4S E4E 2x8 Short</v>
      </c>
    </row>
    <row r="1308" spans="1:20" x14ac:dyDescent="0.25">
      <c r="A1308" t="s">
        <v>1351</v>
      </c>
      <c r="B1308" t="s">
        <v>1657</v>
      </c>
      <c r="C1308" t="s">
        <v>524</v>
      </c>
      <c r="D1308" t="s">
        <v>438</v>
      </c>
      <c r="E1308" t="s">
        <v>1674</v>
      </c>
      <c r="F1308" t="s">
        <v>1659</v>
      </c>
      <c r="G1308" t="s">
        <v>1351</v>
      </c>
      <c r="H1308" t="s">
        <v>373</v>
      </c>
      <c r="I1308" t="s">
        <v>289</v>
      </c>
      <c r="J1308" t="s">
        <v>846</v>
      </c>
      <c r="K1308">
        <v>5</v>
      </c>
      <c r="L1308" s="6">
        <v>1.524</v>
      </c>
      <c r="M1308" s="7">
        <v>38.1</v>
      </c>
      <c r="N1308" s="7">
        <v>184.15</v>
      </c>
      <c r="O1308" s="7">
        <f t="shared" si="102"/>
        <v>60</v>
      </c>
      <c r="P1308" s="7">
        <f t="shared" si="103"/>
        <v>1.5000000000000002</v>
      </c>
      <c r="Q1308" s="7">
        <f t="shared" si="103"/>
        <v>7.2500000000000009</v>
      </c>
      <c r="R1308" s="6">
        <f t="shared" si="104"/>
        <v>467.61500000000001</v>
      </c>
      <c r="S1308" s="6">
        <f t="shared" si="105"/>
        <v>1.0692559260000001E-2</v>
      </c>
      <c r="T1308" t="str">
        <f t="shared" si="106"/>
        <v>Ipe S4S E4E 2x8 Short</v>
      </c>
    </row>
    <row r="1309" spans="1:20" x14ac:dyDescent="0.25">
      <c r="A1309" t="s">
        <v>1351</v>
      </c>
      <c r="B1309" t="s">
        <v>1657</v>
      </c>
      <c r="C1309" t="s">
        <v>524</v>
      </c>
      <c r="D1309" t="s">
        <v>438</v>
      </c>
      <c r="E1309" t="s">
        <v>1675</v>
      </c>
      <c r="F1309" t="s">
        <v>1659</v>
      </c>
      <c r="G1309" t="s">
        <v>1351</v>
      </c>
      <c r="H1309" t="s">
        <v>373</v>
      </c>
      <c r="I1309" t="s">
        <v>289</v>
      </c>
      <c r="J1309" t="s">
        <v>846</v>
      </c>
      <c r="K1309">
        <v>6</v>
      </c>
      <c r="L1309" s="6">
        <v>1.8288</v>
      </c>
      <c r="M1309" s="7">
        <v>38.1</v>
      </c>
      <c r="N1309" s="7">
        <v>184.15</v>
      </c>
      <c r="O1309" s="7">
        <f t="shared" si="102"/>
        <v>72</v>
      </c>
      <c r="P1309" s="7">
        <f t="shared" si="103"/>
        <v>1.5000000000000002</v>
      </c>
      <c r="Q1309" s="7">
        <f t="shared" si="103"/>
        <v>7.2500000000000009</v>
      </c>
      <c r="R1309" s="6">
        <f t="shared" si="104"/>
        <v>467.61500000000001</v>
      </c>
      <c r="S1309" s="6">
        <f t="shared" si="105"/>
        <v>1.2831071112000001E-2</v>
      </c>
      <c r="T1309" t="str">
        <f t="shared" si="106"/>
        <v>Ipe S4S E4E 2x8 Short</v>
      </c>
    </row>
    <row r="1310" spans="1:20" x14ac:dyDescent="0.25">
      <c r="A1310" t="s">
        <v>1351</v>
      </c>
      <c r="B1310" t="s">
        <v>1657</v>
      </c>
      <c r="C1310" t="s">
        <v>524</v>
      </c>
      <c r="D1310" t="s">
        <v>438</v>
      </c>
      <c r="E1310" t="s">
        <v>1676</v>
      </c>
      <c r="F1310" t="s">
        <v>1659</v>
      </c>
      <c r="G1310" t="s">
        <v>1351</v>
      </c>
      <c r="H1310" t="s">
        <v>373</v>
      </c>
      <c r="I1310" t="s">
        <v>289</v>
      </c>
      <c r="J1310" t="s">
        <v>846</v>
      </c>
      <c r="K1310">
        <v>7</v>
      </c>
      <c r="L1310" s="6">
        <v>2.1335999999999999</v>
      </c>
      <c r="M1310" s="7">
        <v>38.1</v>
      </c>
      <c r="N1310" s="7">
        <v>184.15</v>
      </c>
      <c r="O1310" s="7">
        <f t="shared" ref="O1310:O1373" si="107">L1310/0.0254</f>
        <v>84</v>
      </c>
      <c r="P1310" s="7">
        <f t="shared" ref="P1310:Q1373" si="108">M1310/25.4</f>
        <v>1.5000000000000002</v>
      </c>
      <c r="Q1310" s="7">
        <f t="shared" si="108"/>
        <v>7.2500000000000009</v>
      </c>
      <c r="R1310" s="6">
        <f t="shared" ref="R1310:R1373" si="109">ROUND(IFERROR(1/((M1310*N1310*0.3048)/1000000),0),3)</f>
        <v>467.61500000000001</v>
      </c>
      <c r="S1310" s="6">
        <f t="shared" ref="S1310:S1373" si="110">L1310*M1310/1000*N1310/1000</f>
        <v>1.4969582964E-2</v>
      </c>
      <c r="T1310" t="str">
        <f t="shared" si="106"/>
        <v>Ipe S4S E4E 2x8 Short</v>
      </c>
    </row>
    <row r="1311" spans="1:20" x14ac:dyDescent="0.25">
      <c r="A1311" t="s">
        <v>1351</v>
      </c>
      <c r="B1311" t="s">
        <v>1657</v>
      </c>
      <c r="C1311" t="s">
        <v>283</v>
      </c>
      <c r="D1311" t="s">
        <v>438</v>
      </c>
      <c r="E1311" t="s">
        <v>1677</v>
      </c>
      <c r="F1311" t="s">
        <v>1659</v>
      </c>
      <c r="G1311" t="s">
        <v>1351</v>
      </c>
      <c r="H1311" t="s">
        <v>373</v>
      </c>
      <c r="I1311" t="s">
        <v>289</v>
      </c>
      <c r="J1311" t="s">
        <v>846</v>
      </c>
      <c r="K1311">
        <v>8</v>
      </c>
      <c r="L1311" s="6">
        <v>2.4384000000000001</v>
      </c>
      <c r="M1311" s="7">
        <v>38.1</v>
      </c>
      <c r="N1311" s="7">
        <v>184.15</v>
      </c>
      <c r="O1311" s="7">
        <f t="shared" si="107"/>
        <v>96.000000000000014</v>
      </c>
      <c r="P1311" s="7">
        <f t="shared" si="108"/>
        <v>1.5000000000000002</v>
      </c>
      <c r="Q1311" s="7">
        <f t="shared" si="108"/>
        <v>7.2500000000000009</v>
      </c>
      <c r="R1311" s="6">
        <f t="shared" si="109"/>
        <v>467.61500000000001</v>
      </c>
      <c r="S1311" s="6">
        <f t="shared" si="110"/>
        <v>1.7108094816000001E-2</v>
      </c>
      <c r="T1311" t="str">
        <f t="shared" si="106"/>
        <v>Ipe S4S E4E 2x8 Long</v>
      </c>
    </row>
    <row r="1312" spans="1:20" x14ac:dyDescent="0.25">
      <c r="A1312" t="s">
        <v>1351</v>
      </c>
      <c r="B1312" t="s">
        <v>1657</v>
      </c>
      <c r="C1312" t="s">
        <v>283</v>
      </c>
      <c r="D1312" t="s">
        <v>438</v>
      </c>
      <c r="E1312" t="s">
        <v>1678</v>
      </c>
      <c r="F1312" t="s">
        <v>1659</v>
      </c>
      <c r="G1312" t="s">
        <v>1351</v>
      </c>
      <c r="H1312" t="s">
        <v>373</v>
      </c>
      <c r="I1312" t="s">
        <v>289</v>
      </c>
      <c r="J1312" t="s">
        <v>846</v>
      </c>
      <c r="K1312">
        <v>9</v>
      </c>
      <c r="L1312" s="6">
        <v>2.7431999999999999</v>
      </c>
      <c r="M1312" s="7">
        <v>38.1</v>
      </c>
      <c r="N1312" s="7">
        <v>184.15</v>
      </c>
      <c r="O1312" s="7">
        <f t="shared" si="107"/>
        <v>108</v>
      </c>
      <c r="P1312" s="7">
        <f t="shared" si="108"/>
        <v>1.5000000000000002</v>
      </c>
      <c r="Q1312" s="7">
        <f t="shared" si="108"/>
        <v>7.2500000000000009</v>
      </c>
      <c r="R1312" s="6">
        <f t="shared" si="109"/>
        <v>467.61500000000001</v>
      </c>
      <c r="S1312" s="6">
        <f t="shared" si="110"/>
        <v>1.9246606668000002E-2</v>
      </c>
      <c r="T1312" t="str">
        <f t="shared" si="106"/>
        <v>Ipe S4S E4E 2x8 Long</v>
      </c>
    </row>
    <row r="1313" spans="1:20" x14ac:dyDescent="0.25">
      <c r="A1313" t="s">
        <v>1351</v>
      </c>
      <c r="B1313" t="s">
        <v>1679</v>
      </c>
      <c r="C1313" t="s">
        <v>283</v>
      </c>
      <c r="D1313" t="s">
        <v>438</v>
      </c>
      <c r="E1313" t="s">
        <v>1680</v>
      </c>
      <c r="F1313" t="s">
        <v>1681</v>
      </c>
      <c r="G1313" t="s">
        <v>1351</v>
      </c>
      <c r="H1313" t="s">
        <v>373</v>
      </c>
      <c r="I1313" t="s">
        <v>289</v>
      </c>
      <c r="J1313" t="s">
        <v>871</v>
      </c>
      <c r="K1313">
        <v>10</v>
      </c>
      <c r="L1313" s="6">
        <v>3.048</v>
      </c>
      <c r="M1313" s="7">
        <v>63.5</v>
      </c>
      <c r="N1313" s="7">
        <v>234.95</v>
      </c>
      <c r="O1313" s="7">
        <f t="shared" si="107"/>
        <v>120</v>
      </c>
      <c r="P1313" s="7">
        <f t="shared" si="108"/>
        <v>2.5</v>
      </c>
      <c r="Q1313" s="7">
        <f t="shared" si="108"/>
        <v>9.25</v>
      </c>
      <c r="R1313" s="6">
        <f t="shared" si="109"/>
        <v>219.905</v>
      </c>
      <c r="S1313" s="6">
        <f t="shared" si="110"/>
        <v>4.5474102599999996E-2</v>
      </c>
      <c r="T1313" t="str">
        <f t="shared" si="106"/>
        <v>Ipe S4S E4E 3x10 Long</v>
      </c>
    </row>
    <row r="1314" spans="1:20" x14ac:dyDescent="0.25">
      <c r="A1314" t="s">
        <v>1351</v>
      </c>
      <c r="B1314" t="s">
        <v>1679</v>
      </c>
      <c r="C1314" t="s">
        <v>283</v>
      </c>
      <c r="D1314" t="s">
        <v>438</v>
      </c>
      <c r="E1314" t="s">
        <v>1682</v>
      </c>
      <c r="F1314" t="s">
        <v>1681</v>
      </c>
      <c r="G1314" t="s">
        <v>1351</v>
      </c>
      <c r="H1314" t="s">
        <v>373</v>
      </c>
      <c r="I1314" t="s">
        <v>289</v>
      </c>
      <c r="J1314" t="s">
        <v>871</v>
      </c>
      <c r="K1314">
        <v>11</v>
      </c>
      <c r="L1314" s="6">
        <v>3.3527999999999998</v>
      </c>
      <c r="M1314" s="7">
        <v>63.5</v>
      </c>
      <c r="N1314" s="7">
        <v>234.95</v>
      </c>
      <c r="O1314" s="7">
        <f t="shared" si="107"/>
        <v>132</v>
      </c>
      <c r="P1314" s="7">
        <f t="shared" si="108"/>
        <v>2.5</v>
      </c>
      <c r="Q1314" s="7">
        <f t="shared" si="108"/>
        <v>9.25</v>
      </c>
      <c r="R1314" s="6">
        <f t="shared" si="109"/>
        <v>219.905</v>
      </c>
      <c r="S1314" s="6">
        <f t="shared" si="110"/>
        <v>5.0021512859999992E-2</v>
      </c>
      <c r="T1314" t="str">
        <f t="shared" si="106"/>
        <v>Ipe S4S E4E 3x10 Long</v>
      </c>
    </row>
    <row r="1315" spans="1:20" x14ac:dyDescent="0.25">
      <c r="A1315" t="s">
        <v>1351</v>
      </c>
      <c r="B1315" t="s">
        <v>1679</v>
      </c>
      <c r="C1315" t="s">
        <v>283</v>
      </c>
      <c r="D1315" t="s">
        <v>438</v>
      </c>
      <c r="E1315" t="s">
        <v>1683</v>
      </c>
      <c r="F1315" t="s">
        <v>1681</v>
      </c>
      <c r="G1315" t="s">
        <v>1351</v>
      </c>
      <c r="H1315" t="s">
        <v>373</v>
      </c>
      <c r="I1315" t="s">
        <v>289</v>
      </c>
      <c r="J1315" t="s">
        <v>871</v>
      </c>
      <c r="K1315">
        <v>12</v>
      </c>
      <c r="L1315" s="6">
        <v>3.6576</v>
      </c>
      <c r="M1315" s="7">
        <v>63.5</v>
      </c>
      <c r="N1315" s="7">
        <v>234.95</v>
      </c>
      <c r="O1315" s="7">
        <f t="shared" si="107"/>
        <v>144</v>
      </c>
      <c r="P1315" s="7">
        <f t="shared" si="108"/>
        <v>2.5</v>
      </c>
      <c r="Q1315" s="7">
        <f t="shared" si="108"/>
        <v>9.25</v>
      </c>
      <c r="R1315" s="6">
        <f t="shared" si="109"/>
        <v>219.905</v>
      </c>
      <c r="S1315" s="6">
        <f t="shared" si="110"/>
        <v>5.4568923120000001E-2</v>
      </c>
      <c r="T1315" t="str">
        <f t="shared" si="106"/>
        <v>Ipe S4S E4E 3x10 Long</v>
      </c>
    </row>
    <row r="1316" spans="1:20" x14ac:dyDescent="0.25">
      <c r="A1316" t="s">
        <v>1351</v>
      </c>
      <c r="B1316" t="s">
        <v>1679</v>
      </c>
      <c r="C1316" t="s">
        <v>283</v>
      </c>
      <c r="D1316" t="s">
        <v>438</v>
      </c>
      <c r="E1316" t="s">
        <v>1684</v>
      </c>
      <c r="F1316" t="s">
        <v>1681</v>
      </c>
      <c r="G1316" t="s">
        <v>1351</v>
      </c>
      <c r="H1316" t="s">
        <v>373</v>
      </c>
      <c r="I1316" t="s">
        <v>289</v>
      </c>
      <c r="J1316" t="s">
        <v>871</v>
      </c>
      <c r="K1316">
        <v>13</v>
      </c>
      <c r="L1316" s="6">
        <v>3.9624000000000001</v>
      </c>
      <c r="M1316" s="7">
        <v>63.5</v>
      </c>
      <c r="N1316" s="7">
        <v>234.95</v>
      </c>
      <c r="O1316" s="7">
        <f t="shared" si="107"/>
        <v>156</v>
      </c>
      <c r="P1316" s="7">
        <f t="shared" si="108"/>
        <v>2.5</v>
      </c>
      <c r="Q1316" s="7">
        <f t="shared" si="108"/>
        <v>9.25</v>
      </c>
      <c r="R1316" s="6">
        <f t="shared" si="109"/>
        <v>219.905</v>
      </c>
      <c r="S1316" s="6">
        <f t="shared" si="110"/>
        <v>5.9116333380000004E-2</v>
      </c>
      <c r="T1316" t="str">
        <f t="shared" si="106"/>
        <v>Ipe S4S E4E 3x10 Long</v>
      </c>
    </row>
    <row r="1317" spans="1:20" x14ac:dyDescent="0.25">
      <c r="A1317" t="s">
        <v>1351</v>
      </c>
      <c r="B1317" t="s">
        <v>1679</v>
      </c>
      <c r="C1317" t="s">
        <v>283</v>
      </c>
      <c r="D1317" t="s">
        <v>438</v>
      </c>
      <c r="E1317" t="s">
        <v>1685</v>
      </c>
      <c r="F1317" t="s">
        <v>1681</v>
      </c>
      <c r="G1317" t="s">
        <v>1351</v>
      </c>
      <c r="H1317" t="s">
        <v>373</v>
      </c>
      <c r="I1317" t="s">
        <v>289</v>
      </c>
      <c r="J1317" t="s">
        <v>871</v>
      </c>
      <c r="K1317">
        <v>14</v>
      </c>
      <c r="L1317" s="6">
        <v>4.2671999999999999</v>
      </c>
      <c r="M1317" s="7">
        <v>63.5</v>
      </c>
      <c r="N1317" s="7">
        <v>234.95</v>
      </c>
      <c r="O1317" s="7">
        <f t="shared" si="107"/>
        <v>168</v>
      </c>
      <c r="P1317" s="7">
        <f t="shared" si="108"/>
        <v>2.5</v>
      </c>
      <c r="Q1317" s="7">
        <f t="shared" si="108"/>
        <v>9.25</v>
      </c>
      <c r="R1317" s="6">
        <f t="shared" si="109"/>
        <v>219.905</v>
      </c>
      <c r="S1317" s="6">
        <f t="shared" si="110"/>
        <v>6.3663743639999992E-2</v>
      </c>
      <c r="T1317" t="str">
        <f t="shared" si="106"/>
        <v>Ipe S4S E4E 3x10 Long</v>
      </c>
    </row>
    <row r="1318" spans="1:20" x14ac:dyDescent="0.25">
      <c r="A1318" t="s">
        <v>1351</v>
      </c>
      <c r="B1318" t="s">
        <v>1679</v>
      </c>
      <c r="C1318" t="s">
        <v>283</v>
      </c>
      <c r="D1318" t="s">
        <v>438</v>
      </c>
      <c r="E1318" t="s">
        <v>1686</v>
      </c>
      <c r="F1318" t="s">
        <v>1681</v>
      </c>
      <c r="G1318" t="s">
        <v>1351</v>
      </c>
      <c r="H1318" t="s">
        <v>373</v>
      </c>
      <c r="I1318" t="s">
        <v>289</v>
      </c>
      <c r="J1318" t="s">
        <v>871</v>
      </c>
      <c r="K1318">
        <v>15</v>
      </c>
      <c r="L1318" s="6">
        <v>4.5720000000000001</v>
      </c>
      <c r="M1318" s="7">
        <v>63.5</v>
      </c>
      <c r="N1318" s="7">
        <v>234.95</v>
      </c>
      <c r="O1318" s="7">
        <f t="shared" si="107"/>
        <v>180</v>
      </c>
      <c r="P1318" s="7">
        <f t="shared" si="108"/>
        <v>2.5</v>
      </c>
      <c r="Q1318" s="7">
        <f t="shared" si="108"/>
        <v>9.25</v>
      </c>
      <c r="R1318" s="6">
        <f t="shared" si="109"/>
        <v>219.905</v>
      </c>
      <c r="S1318" s="6">
        <f t="shared" si="110"/>
        <v>6.8211153900000002E-2</v>
      </c>
      <c r="T1318" t="str">
        <f t="shared" si="106"/>
        <v>Ipe S4S E4E 3x10 Long</v>
      </c>
    </row>
    <row r="1319" spans="1:20" x14ac:dyDescent="0.25">
      <c r="A1319" t="s">
        <v>1351</v>
      </c>
      <c r="B1319" t="s">
        <v>1679</v>
      </c>
      <c r="C1319" t="s">
        <v>283</v>
      </c>
      <c r="D1319" t="s">
        <v>438</v>
      </c>
      <c r="E1319" t="s">
        <v>1687</v>
      </c>
      <c r="F1319" t="s">
        <v>1681</v>
      </c>
      <c r="G1319" t="s">
        <v>1351</v>
      </c>
      <c r="H1319" t="s">
        <v>373</v>
      </c>
      <c r="I1319" t="s">
        <v>289</v>
      </c>
      <c r="J1319" t="s">
        <v>871</v>
      </c>
      <c r="K1319">
        <v>16</v>
      </c>
      <c r="L1319" s="6">
        <v>4.8768000000000002</v>
      </c>
      <c r="M1319" s="7">
        <v>63.5</v>
      </c>
      <c r="N1319" s="7">
        <v>234.95</v>
      </c>
      <c r="O1319" s="7">
        <f t="shared" si="107"/>
        <v>192.00000000000003</v>
      </c>
      <c r="P1319" s="7">
        <f t="shared" si="108"/>
        <v>2.5</v>
      </c>
      <c r="Q1319" s="7">
        <f t="shared" si="108"/>
        <v>9.25</v>
      </c>
      <c r="R1319" s="6">
        <f t="shared" si="109"/>
        <v>219.905</v>
      </c>
      <c r="S1319" s="6">
        <f t="shared" si="110"/>
        <v>7.2758564160000011E-2</v>
      </c>
      <c r="T1319" t="str">
        <f t="shared" si="106"/>
        <v>Ipe S4S E4E 3x10 Long</v>
      </c>
    </row>
    <row r="1320" spans="1:20" x14ac:dyDescent="0.25">
      <c r="A1320" t="s">
        <v>1351</v>
      </c>
      <c r="B1320" t="s">
        <v>1679</v>
      </c>
      <c r="C1320" t="s">
        <v>283</v>
      </c>
      <c r="D1320" t="s">
        <v>438</v>
      </c>
      <c r="E1320" t="s">
        <v>1688</v>
      </c>
      <c r="F1320" t="s">
        <v>1681</v>
      </c>
      <c r="G1320" t="s">
        <v>1351</v>
      </c>
      <c r="H1320" t="s">
        <v>373</v>
      </c>
      <c r="I1320" t="s">
        <v>289</v>
      </c>
      <c r="J1320" t="s">
        <v>871</v>
      </c>
      <c r="K1320">
        <v>17</v>
      </c>
      <c r="L1320" s="6">
        <v>5.1816000000000004</v>
      </c>
      <c r="M1320" s="7">
        <v>63.5</v>
      </c>
      <c r="N1320" s="7">
        <v>234.95</v>
      </c>
      <c r="O1320" s="7">
        <f t="shared" si="107"/>
        <v>204.00000000000003</v>
      </c>
      <c r="P1320" s="7">
        <f t="shared" si="108"/>
        <v>2.5</v>
      </c>
      <c r="Q1320" s="7">
        <f t="shared" si="108"/>
        <v>9.25</v>
      </c>
      <c r="R1320" s="6">
        <f t="shared" si="109"/>
        <v>219.905</v>
      </c>
      <c r="S1320" s="6">
        <f t="shared" si="110"/>
        <v>7.7305974419999993E-2</v>
      </c>
      <c r="T1320" t="str">
        <f t="shared" si="106"/>
        <v>Ipe S4S E4E 3x10 Long</v>
      </c>
    </row>
    <row r="1321" spans="1:20" x14ac:dyDescent="0.25">
      <c r="A1321" t="s">
        <v>1351</v>
      </c>
      <c r="B1321" t="s">
        <v>1679</v>
      </c>
      <c r="C1321" t="s">
        <v>283</v>
      </c>
      <c r="D1321" t="s">
        <v>438</v>
      </c>
      <c r="E1321" t="s">
        <v>1689</v>
      </c>
      <c r="F1321" t="s">
        <v>1681</v>
      </c>
      <c r="G1321" t="s">
        <v>1351</v>
      </c>
      <c r="H1321" t="s">
        <v>373</v>
      </c>
      <c r="I1321" t="s">
        <v>289</v>
      </c>
      <c r="J1321" t="s">
        <v>871</v>
      </c>
      <c r="K1321">
        <v>18</v>
      </c>
      <c r="L1321" s="6">
        <v>5.4863999999999997</v>
      </c>
      <c r="M1321" s="7">
        <v>63.5</v>
      </c>
      <c r="N1321" s="7">
        <v>234.95</v>
      </c>
      <c r="O1321" s="7">
        <f t="shared" si="107"/>
        <v>216</v>
      </c>
      <c r="P1321" s="7">
        <f t="shared" si="108"/>
        <v>2.5</v>
      </c>
      <c r="Q1321" s="7">
        <f t="shared" si="108"/>
        <v>9.25</v>
      </c>
      <c r="R1321" s="6">
        <f t="shared" si="109"/>
        <v>219.905</v>
      </c>
      <c r="S1321" s="6">
        <f t="shared" si="110"/>
        <v>8.1853384679999988E-2</v>
      </c>
      <c r="T1321" t="str">
        <f t="shared" si="106"/>
        <v>Ipe S4S E4E 3x10 Long</v>
      </c>
    </row>
    <row r="1322" spans="1:20" x14ac:dyDescent="0.25">
      <c r="A1322" t="s">
        <v>1351</v>
      </c>
      <c r="B1322" t="s">
        <v>1679</v>
      </c>
      <c r="C1322" t="s">
        <v>283</v>
      </c>
      <c r="D1322" t="s">
        <v>438</v>
      </c>
      <c r="E1322" t="s">
        <v>1690</v>
      </c>
      <c r="F1322" t="s">
        <v>1681</v>
      </c>
      <c r="G1322" t="s">
        <v>1351</v>
      </c>
      <c r="H1322" t="s">
        <v>373</v>
      </c>
      <c r="I1322" t="s">
        <v>289</v>
      </c>
      <c r="J1322" t="s">
        <v>871</v>
      </c>
      <c r="K1322">
        <v>19</v>
      </c>
      <c r="L1322" s="6">
        <v>5.7911999999999999</v>
      </c>
      <c r="M1322" s="7">
        <v>63.5</v>
      </c>
      <c r="N1322" s="7">
        <v>234.95</v>
      </c>
      <c r="O1322" s="7">
        <f t="shared" si="107"/>
        <v>228</v>
      </c>
      <c r="P1322" s="7">
        <f t="shared" si="108"/>
        <v>2.5</v>
      </c>
      <c r="Q1322" s="7">
        <f t="shared" si="108"/>
        <v>9.25</v>
      </c>
      <c r="R1322" s="6">
        <f t="shared" si="109"/>
        <v>219.905</v>
      </c>
      <c r="S1322" s="6">
        <f t="shared" si="110"/>
        <v>8.6400794939999997E-2</v>
      </c>
      <c r="T1322" t="str">
        <f t="shared" si="106"/>
        <v>Ipe S4S E4E 3x10 Long</v>
      </c>
    </row>
    <row r="1323" spans="1:20" x14ac:dyDescent="0.25">
      <c r="A1323" t="s">
        <v>1351</v>
      </c>
      <c r="B1323" t="s">
        <v>1679</v>
      </c>
      <c r="C1323" t="s">
        <v>283</v>
      </c>
      <c r="D1323" t="s">
        <v>438</v>
      </c>
      <c r="E1323" t="s">
        <v>1691</v>
      </c>
      <c r="F1323" t="s">
        <v>1681</v>
      </c>
      <c r="G1323" t="s">
        <v>1351</v>
      </c>
      <c r="H1323" t="s">
        <v>373</v>
      </c>
      <c r="I1323" t="s">
        <v>289</v>
      </c>
      <c r="J1323" t="s">
        <v>871</v>
      </c>
      <c r="K1323">
        <v>20</v>
      </c>
      <c r="L1323" s="6">
        <v>6.0960000000000001</v>
      </c>
      <c r="M1323" s="7">
        <v>63.5</v>
      </c>
      <c r="N1323" s="7">
        <v>234.95</v>
      </c>
      <c r="O1323" s="7">
        <f t="shared" si="107"/>
        <v>240</v>
      </c>
      <c r="P1323" s="7">
        <f t="shared" si="108"/>
        <v>2.5</v>
      </c>
      <c r="Q1323" s="7">
        <f t="shared" si="108"/>
        <v>9.25</v>
      </c>
      <c r="R1323" s="6">
        <f t="shared" si="109"/>
        <v>219.905</v>
      </c>
      <c r="S1323" s="6">
        <f t="shared" si="110"/>
        <v>9.0948205199999993E-2</v>
      </c>
      <c r="T1323" t="str">
        <f t="shared" si="106"/>
        <v>Ipe S4S E4E 3x10 Long</v>
      </c>
    </row>
    <row r="1324" spans="1:20" x14ac:dyDescent="0.25">
      <c r="A1324" t="s">
        <v>1351</v>
      </c>
      <c r="B1324" t="s">
        <v>1679</v>
      </c>
      <c r="C1324" t="s">
        <v>283</v>
      </c>
      <c r="D1324" t="s">
        <v>438</v>
      </c>
      <c r="E1324" t="s">
        <v>1692</v>
      </c>
      <c r="F1324" t="s">
        <v>1681</v>
      </c>
      <c r="G1324" t="s">
        <v>1351</v>
      </c>
      <c r="H1324" t="s">
        <v>373</v>
      </c>
      <c r="I1324" t="s">
        <v>289</v>
      </c>
      <c r="J1324" t="s">
        <v>871</v>
      </c>
      <c r="K1324">
        <v>21</v>
      </c>
      <c r="L1324" s="6">
        <v>6.4008000000000003</v>
      </c>
      <c r="M1324" s="7">
        <v>63.5</v>
      </c>
      <c r="N1324" s="7">
        <v>234.95</v>
      </c>
      <c r="O1324" s="7">
        <f t="shared" si="107"/>
        <v>252.00000000000003</v>
      </c>
      <c r="P1324" s="7">
        <f t="shared" si="108"/>
        <v>2.5</v>
      </c>
      <c r="Q1324" s="7">
        <f t="shared" si="108"/>
        <v>9.25</v>
      </c>
      <c r="R1324" s="6">
        <f t="shared" si="109"/>
        <v>219.905</v>
      </c>
      <c r="S1324" s="6">
        <f t="shared" si="110"/>
        <v>9.5495615460000002E-2</v>
      </c>
      <c r="T1324" t="str">
        <f t="shared" si="106"/>
        <v>Ipe S4S E4E 3x10 Long</v>
      </c>
    </row>
    <row r="1325" spans="1:20" x14ac:dyDescent="0.25">
      <c r="A1325" t="s">
        <v>1351</v>
      </c>
      <c r="B1325" t="s">
        <v>1679</v>
      </c>
      <c r="C1325" t="s">
        <v>283</v>
      </c>
      <c r="D1325" t="s">
        <v>438</v>
      </c>
      <c r="E1325" t="s">
        <v>1693</v>
      </c>
      <c r="F1325" t="s">
        <v>1681</v>
      </c>
      <c r="G1325" t="s">
        <v>1351</v>
      </c>
      <c r="H1325" t="s">
        <v>373</v>
      </c>
      <c r="I1325" t="s">
        <v>289</v>
      </c>
      <c r="J1325" t="s">
        <v>871</v>
      </c>
      <c r="K1325">
        <v>22</v>
      </c>
      <c r="L1325" s="6">
        <v>6.7055999999999996</v>
      </c>
      <c r="M1325" s="7">
        <v>63.5</v>
      </c>
      <c r="N1325" s="7">
        <v>234.95</v>
      </c>
      <c r="O1325" s="7">
        <f t="shared" si="107"/>
        <v>264</v>
      </c>
      <c r="P1325" s="7">
        <f t="shared" si="108"/>
        <v>2.5</v>
      </c>
      <c r="Q1325" s="7">
        <f t="shared" si="108"/>
        <v>9.25</v>
      </c>
      <c r="R1325" s="6">
        <f t="shared" si="109"/>
        <v>219.905</v>
      </c>
      <c r="S1325" s="6">
        <f t="shared" si="110"/>
        <v>0.10004302571999998</v>
      </c>
      <c r="T1325" t="str">
        <f t="shared" si="106"/>
        <v>Ipe S4S E4E 3x10 Long</v>
      </c>
    </row>
    <row r="1326" spans="1:20" x14ac:dyDescent="0.25">
      <c r="A1326" t="s">
        <v>1351</v>
      </c>
      <c r="B1326" t="s">
        <v>1679</v>
      </c>
      <c r="C1326" t="s">
        <v>524</v>
      </c>
      <c r="D1326" t="s">
        <v>438</v>
      </c>
      <c r="E1326" t="s">
        <v>1694</v>
      </c>
      <c r="F1326" t="s">
        <v>1681</v>
      </c>
      <c r="G1326" t="s">
        <v>1351</v>
      </c>
      <c r="H1326" t="s">
        <v>373</v>
      </c>
      <c r="I1326" t="s">
        <v>289</v>
      </c>
      <c r="J1326" t="s">
        <v>871</v>
      </c>
      <c r="K1326">
        <v>3</v>
      </c>
      <c r="L1326" s="6">
        <v>0.91439999999999999</v>
      </c>
      <c r="M1326" s="7">
        <v>63.5</v>
      </c>
      <c r="N1326" s="7">
        <v>234.95</v>
      </c>
      <c r="O1326" s="7">
        <f t="shared" si="107"/>
        <v>36</v>
      </c>
      <c r="P1326" s="7">
        <f t="shared" si="108"/>
        <v>2.5</v>
      </c>
      <c r="Q1326" s="7">
        <f t="shared" si="108"/>
        <v>9.25</v>
      </c>
      <c r="R1326" s="6">
        <f t="shared" si="109"/>
        <v>219.905</v>
      </c>
      <c r="S1326" s="6">
        <f t="shared" si="110"/>
        <v>1.364223078E-2</v>
      </c>
      <c r="T1326" t="str">
        <f t="shared" si="106"/>
        <v>Ipe S4S E4E 3x10 Short</v>
      </c>
    </row>
    <row r="1327" spans="1:20" x14ac:dyDescent="0.25">
      <c r="A1327" t="s">
        <v>1351</v>
      </c>
      <c r="B1327" t="s">
        <v>1679</v>
      </c>
      <c r="C1327" t="s">
        <v>524</v>
      </c>
      <c r="D1327" t="s">
        <v>438</v>
      </c>
      <c r="E1327" t="s">
        <v>1695</v>
      </c>
      <c r="F1327" t="s">
        <v>1681</v>
      </c>
      <c r="G1327" t="s">
        <v>1351</v>
      </c>
      <c r="H1327" t="s">
        <v>373</v>
      </c>
      <c r="I1327" t="s">
        <v>289</v>
      </c>
      <c r="J1327" t="s">
        <v>871</v>
      </c>
      <c r="K1327">
        <v>4</v>
      </c>
      <c r="L1327" s="6">
        <v>1.2192000000000001</v>
      </c>
      <c r="M1327" s="7">
        <v>63.5</v>
      </c>
      <c r="N1327" s="7">
        <v>234.95</v>
      </c>
      <c r="O1327" s="7">
        <f t="shared" si="107"/>
        <v>48.000000000000007</v>
      </c>
      <c r="P1327" s="7">
        <f t="shared" si="108"/>
        <v>2.5</v>
      </c>
      <c r="Q1327" s="7">
        <f t="shared" si="108"/>
        <v>9.25</v>
      </c>
      <c r="R1327" s="6">
        <f t="shared" si="109"/>
        <v>219.905</v>
      </c>
      <c r="S1327" s="6">
        <f t="shared" si="110"/>
        <v>1.8189641040000003E-2</v>
      </c>
      <c r="T1327" t="str">
        <f t="shared" si="106"/>
        <v>Ipe S4S E4E 3x10 Short</v>
      </c>
    </row>
    <row r="1328" spans="1:20" x14ac:dyDescent="0.25">
      <c r="A1328" t="s">
        <v>1351</v>
      </c>
      <c r="B1328" t="s">
        <v>1679</v>
      </c>
      <c r="C1328" t="s">
        <v>524</v>
      </c>
      <c r="D1328" t="s">
        <v>438</v>
      </c>
      <c r="E1328" t="s">
        <v>1696</v>
      </c>
      <c r="F1328" t="s">
        <v>1681</v>
      </c>
      <c r="G1328" t="s">
        <v>1351</v>
      </c>
      <c r="H1328" t="s">
        <v>373</v>
      </c>
      <c r="I1328" t="s">
        <v>289</v>
      </c>
      <c r="J1328" t="s">
        <v>871</v>
      </c>
      <c r="K1328">
        <v>5</v>
      </c>
      <c r="L1328" s="6">
        <v>1.524</v>
      </c>
      <c r="M1328" s="7">
        <v>63.5</v>
      </c>
      <c r="N1328" s="7">
        <v>234.95</v>
      </c>
      <c r="O1328" s="7">
        <f t="shared" si="107"/>
        <v>60</v>
      </c>
      <c r="P1328" s="7">
        <f t="shared" si="108"/>
        <v>2.5</v>
      </c>
      <c r="Q1328" s="7">
        <f t="shared" si="108"/>
        <v>9.25</v>
      </c>
      <c r="R1328" s="6">
        <f t="shared" si="109"/>
        <v>219.905</v>
      </c>
      <c r="S1328" s="6">
        <f t="shared" si="110"/>
        <v>2.2737051299999998E-2</v>
      </c>
      <c r="T1328" t="str">
        <f t="shared" si="106"/>
        <v>Ipe S4S E4E 3x10 Short</v>
      </c>
    </row>
    <row r="1329" spans="1:20" x14ac:dyDescent="0.25">
      <c r="A1329" t="s">
        <v>1351</v>
      </c>
      <c r="B1329" t="s">
        <v>1679</v>
      </c>
      <c r="C1329" t="s">
        <v>524</v>
      </c>
      <c r="D1329" t="s">
        <v>438</v>
      </c>
      <c r="E1329" t="s">
        <v>1697</v>
      </c>
      <c r="F1329" t="s">
        <v>1681</v>
      </c>
      <c r="G1329" t="s">
        <v>1351</v>
      </c>
      <c r="H1329" t="s">
        <v>373</v>
      </c>
      <c r="I1329" t="s">
        <v>289</v>
      </c>
      <c r="J1329" t="s">
        <v>871</v>
      </c>
      <c r="K1329">
        <v>6</v>
      </c>
      <c r="L1329" s="6">
        <v>1.8288</v>
      </c>
      <c r="M1329" s="7">
        <v>63.5</v>
      </c>
      <c r="N1329" s="7">
        <v>234.95</v>
      </c>
      <c r="O1329" s="7">
        <f t="shared" si="107"/>
        <v>72</v>
      </c>
      <c r="P1329" s="7">
        <f t="shared" si="108"/>
        <v>2.5</v>
      </c>
      <c r="Q1329" s="7">
        <f t="shared" si="108"/>
        <v>9.25</v>
      </c>
      <c r="R1329" s="6">
        <f t="shared" si="109"/>
        <v>219.905</v>
      </c>
      <c r="S1329" s="6">
        <f t="shared" si="110"/>
        <v>2.7284461560000001E-2</v>
      </c>
      <c r="T1329" t="str">
        <f t="shared" si="106"/>
        <v>Ipe S4S E4E 3x10 Short</v>
      </c>
    </row>
    <row r="1330" spans="1:20" x14ac:dyDescent="0.25">
      <c r="A1330" t="s">
        <v>1351</v>
      </c>
      <c r="B1330" t="s">
        <v>1679</v>
      </c>
      <c r="C1330" t="s">
        <v>524</v>
      </c>
      <c r="D1330" t="s">
        <v>438</v>
      </c>
      <c r="E1330" t="s">
        <v>1698</v>
      </c>
      <c r="F1330" t="s">
        <v>1681</v>
      </c>
      <c r="G1330" t="s">
        <v>1351</v>
      </c>
      <c r="H1330" t="s">
        <v>373</v>
      </c>
      <c r="I1330" t="s">
        <v>289</v>
      </c>
      <c r="J1330" t="s">
        <v>871</v>
      </c>
      <c r="K1330">
        <v>7</v>
      </c>
      <c r="L1330" s="6">
        <v>2.1335999999999999</v>
      </c>
      <c r="M1330" s="7">
        <v>63.5</v>
      </c>
      <c r="N1330" s="7">
        <v>234.95</v>
      </c>
      <c r="O1330" s="7">
        <f t="shared" si="107"/>
        <v>84</v>
      </c>
      <c r="P1330" s="7">
        <f t="shared" si="108"/>
        <v>2.5</v>
      </c>
      <c r="Q1330" s="7">
        <f t="shared" si="108"/>
        <v>9.25</v>
      </c>
      <c r="R1330" s="6">
        <f t="shared" si="109"/>
        <v>219.905</v>
      </c>
      <c r="S1330" s="6">
        <f t="shared" si="110"/>
        <v>3.1831871819999996E-2</v>
      </c>
      <c r="T1330" t="str">
        <f t="shared" si="106"/>
        <v>Ipe S4S E4E 3x10 Short</v>
      </c>
    </row>
    <row r="1331" spans="1:20" x14ac:dyDescent="0.25">
      <c r="A1331" t="s">
        <v>1351</v>
      </c>
      <c r="B1331" t="s">
        <v>1679</v>
      </c>
      <c r="C1331" t="s">
        <v>283</v>
      </c>
      <c r="D1331" t="s">
        <v>438</v>
      </c>
      <c r="E1331" t="s">
        <v>1699</v>
      </c>
      <c r="F1331" t="s">
        <v>1681</v>
      </c>
      <c r="G1331" t="s">
        <v>1351</v>
      </c>
      <c r="H1331" t="s">
        <v>373</v>
      </c>
      <c r="I1331" t="s">
        <v>289</v>
      </c>
      <c r="J1331" t="s">
        <v>871</v>
      </c>
      <c r="K1331">
        <v>8</v>
      </c>
      <c r="L1331" s="6">
        <v>2.4384000000000001</v>
      </c>
      <c r="M1331" s="7">
        <v>63.5</v>
      </c>
      <c r="N1331" s="7">
        <v>234.95</v>
      </c>
      <c r="O1331" s="7">
        <f t="shared" si="107"/>
        <v>96.000000000000014</v>
      </c>
      <c r="P1331" s="7">
        <f t="shared" si="108"/>
        <v>2.5</v>
      </c>
      <c r="Q1331" s="7">
        <f t="shared" si="108"/>
        <v>9.25</v>
      </c>
      <c r="R1331" s="6">
        <f t="shared" si="109"/>
        <v>219.905</v>
      </c>
      <c r="S1331" s="6">
        <f t="shared" si="110"/>
        <v>3.6379282080000006E-2</v>
      </c>
      <c r="T1331" t="str">
        <f t="shared" si="106"/>
        <v>Ipe S4S E4E 3x10 Long</v>
      </c>
    </row>
    <row r="1332" spans="1:20" x14ac:dyDescent="0.25">
      <c r="A1332" t="s">
        <v>1351</v>
      </c>
      <c r="B1332" t="s">
        <v>1679</v>
      </c>
      <c r="C1332" t="s">
        <v>283</v>
      </c>
      <c r="D1332" t="s">
        <v>438</v>
      </c>
      <c r="E1332" t="s">
        <v>1700</v>
      </c>
      <c r="F1332" t="s">
        <v>1681</v>
      </c>
      <c r="G1332" t="s">
        <v>1351</v>
      </c>
      <c r="H1332" t="s">
        <v>373</v>
      </c>
      <c r="I1332" t="s">
        <v>289</v>
      </c>
      <c r="J1332" t="s">
        <v>871</v>
      </c>
      <c r="K1332">
        <v>9</v>
      </c>
      <c r="L1332" s="6">
        <v>2.7431999999999999</v>
      </c>
      <c r="M1332" s="7">
        <v>63.5</v>
      </c>
      <c r="N1332" s="7">
        <v>234.95</v>
      </c>
      <c r="O1332" s="7">
        <f t="shared" si="107"/>
        <v>108</v>
      </c>
      <c r="P1332" s="7">
        <f t="shared" si="108"/>
        <v>2.5</v>
      </c>
      <c r="Q1332" s="7">
        <f t="shared" si="108"/>
        <v>9.25</v>
      </c>
      <c r="R1332" s="6">
        <f t="shared" si="109"/>
        <v>219.905</v>
      </c>
      <c r="S1332" s="6">
        <f t="shared" si="110"/>
        <v>4.0926692339999994E-2</v>
      </c>
      <c r="T1332" t="str">
        <f t="shared" si="106"/>
        <v>Ipe S4S E4E 3x10 Long</v>
      </c>
    </row>
    <row r="1333" spans="1:20" x14ac:dyDescent="0.25">
      <c r="A1333" t="s">
        <v>1351</v>
      </c>
      <c r="B1333" t="s">
        <v>1701</v>
      </c>
      <c r="C1333" t="s">
        <v>283</v>
      </c>
      <c r="D1333" t="s">
        <v>438</v>
      </c>
      <c r="E1333" t="s">
        <v>1702</v>
      </c>
      <c r="F1333" t="s">
        <v>1703</v>
      </c>
      <c r="G1333" t="s">
        <v>1351</v>
      </c>
      <c r="H1333" t="s">
        <v>373</v>
      </c>
      <c r="I1333" t="s">
        <v>289</v>
      </c>
      <c r="J1333" t="s">
        <v>894</v>
      </c>
      <c r="K1333">
        <v>10</v>
      </c>
      <c r="L1333" s="6">
        <v>3.048</v>
      </c>
      <c r="M1333" s="7">
        <v>63.5</v>
      </c>
      <c r="N1333" s="7">
        <v>285.75</v>
      </c>
      <c r="O1333" s="7">
        <f t="shared" si="107"/>
        <v>120</v>
      </c>
      <c r="P1333" s="7">
        <f t="shared" si="108"/>
        <v>2.5</v>
      </c>
      <c r="Q1333" s="7">
        <f t="shared" si="108"/>
        <v>11.25</v>
      </c>
      <c r="R1333" s="6">
        <f t="shared" si="109"/>
        <v>180.81100000000001</v>
      </c>
      <c r="S1333" s="6">
        <f t="shared" si="110"/>
        <v>5.5306340999999995E-2</v>
      </c>
      <c r="T1333" t="str">
        <f t="shared" si="106"/>
        <v>Ipe S4S E4E 3x12 Long</v>
      </c>
    </row>
    <row r="1334" spans="1:20" x14ac:dyDescent="0.25">
      <c r="A1334" t="s">
        <v>1351</v>
      </c>
      <c r="B1334" t="s">
        <v>1701</v>
      </c>
      <c r="C1334" t="s">
        <v>283</v>
      </c>
      <c r="D1334" t="s">
        <v>438</v>
      </c>
      <c r="E1334" t="s">
        <v>1704</v>
      </c>
      <c r="F1334" t="s">
        <v>1703</v>
      </c>
      <c r="G1334" t="s">
        <v>1351</v>
      </c>
      <c r="H1334" t="s">
        <v>373</v>
      </c>
      <c r="I1334" t="s">
        <v>289</v>
      </c>
      <c r="J1334" t="s">
        <v>894</v>
      </c>
      <c r="K1334">
        <v>11</v>
      </c>
      <c r="L1334" s="6">
        <v>3.3527999999999998</v>
      </c>
      <c r="M1334" s="7">
        <v>63.5</v>
      </c>
      <c r="N1334" s="7">
        <v>285.75</v>
      </c>
      <c r="O1334" s="7">
        <f t="shared" si="107"/>
        <v>132</v>
      </c>
      <c r="P1334" s="7">
        <f t="shared" si="108"/>
        <v>2.5</v>
      </c>
      <c r="Q1334" s="7">
        <f t="shared" si="108"/>
        <v>11.25</v>
      </c>
      <c r="R1334" s="6">
        <f t="shared" si="109"/>
        <v>180.81100000000001</v>
      </c>
      <c r="S1334" s="6">
        <f t="shared" si="110"/>
        <v>6.0836975099999989E-2</v>
      </c>
      <c r="T1334" t="str">
        <f t="shared" si="106"/>
        <v>Ipe S4S E4E 3x12 Long</v>
      </c>
    </row>
    <row r="1335" spans="1:20" x14ac:dyDescent="0.25">
      <c r="A1335" t="s">
        <v>1351</v>
      </c>
      <c r="B1335" t="s">
        <v>1701</v>
      </c>
      <c r="C1335" t="s">
        <v>283</v>
      </c>
      <c r="D1335" t="s">
        <v>438</v>
      </c>
      <c r="E1335" t="s">
        <v>1705</v>
      </c>
      <c r="F1335" t="s">
        <v>1703</v>
      </c>
      <c r="G1335" t="s">
        <v>1351</v>
      </c>
      <c r="H1335" t="s">
        <v>373</v>
      </c>
      <c r="I1335" t="s">
        <v>289</v>
      </c>
      <c r="J1335" t="s">
        <v>894</v>
      </c>
      <c r="K1335">
        <v>12</v>
      </c>
      <c r="L1335" s="6">
        <v>3.6576</v>
      </c>
      <c r="M1335" s="7">
        <v>63.5</v>
      </c>
      <c r="N1335" s="7">
        <v>285.75</v>
      </c>
      <c r="O1335" s="7">
        <f t="shared" si="107"/>
        <v>144</v>
      </c>
      <c r="P1335" s="7">
        <f t="shared" si="108"/>
        <v>2.5</v>
      </c>
      <c r="Q1335" s="7">
        <f t="shared" si="108"/>
        <v>11.25</v>
      </c>
      <c r="R1335" s="6">
        <f t="shared" si="109"/>
        <v>180.81100000000001</v>
      </c>
      <c r="S1335" s="6">
        <f t="shared" si="110"/>
        <v>6.6367609200000011E-2</v>
      </c>
      <c r="T1335" t="str">
        <f t="shared" si="106"/>
        <v>Ipe S4S E4E 3x12 Long</v>
      </c>
    </row>
    <row r="1336" spans="1:20" x14ac:dyDescent="0.25">
      <c r="A1336" t="s">
        <v>1351</v>
      </c>
      <c r="B1336" t="s">
        <v>1701</v>
      </c>
      <c r="C1336" t="s">
        <v>283</v>
      </c>
      <c r="D1336" t="s">
        <v>438</v>
      </c>
      <c r="E1336" t="s">
        <v>1706</v>
      </c>
      <c r="F1336" t="s">
        <v>1703</v>
      </c>
      <c r="G1336" t="s">
        <v>1351</v>
      </c>
      <c r="H1336" t="s">
        <v>373</v>
      </c>
      <c r="I1336" t="s">
        <v>289</v>
      </c>
      <c r="J1336" t="s">
        <v>894</v>
      </c>
      <c r="K1336">
        <v>13</v>
      </c>
      <c r="L1336" s="6">
        <v>3.9624000000000001</v>
      </c>
      <c r="M1336" s="7">
        <v>63.5</v>
      </c>
      <c r="N1336" s="7">
        <v>285.75</v>
      </c>
      <c r="O1336" s="7">
        <f t="shared" si="107"/>
        <v>156</v>
      </c>
      <c r="P1336" s="7">
        <f t="shared" si="108"/>
        <v>2.5</v>
      </c>
      <c r="Q1336" s="7">
        <f t="shared" si="108"/>
        <v>11.25</v>
      </c>
      <c r="R1336" s="6">
        <f t="shared" si="109"/>
        <v>180.81100000000001</v>
      </c>
      <c r="S1336" s="6">
        <f t="shared" si="110"/>
        <v>7.1898243299999998E-2</v>
      </c>
      <c r="T1336" t="str">
        <f t="shared" si="106"/>
        <v>Ipe S4S E4E 3x12 Long</v>
      </c>
    </row>
    <row r="1337" spans="1:20" x14ac:dyDescent="0.25">
      <c r="A1337" t="s">
        <v>1351</v>
      </c>
      <c r="B1337" t="s">
        <v>1701</v>
      </c>
      <c r="C1337" t="s">
        <v>283</v>
      </c>
      <c r="D1337" t="s">
        <v>438</v>
      </c>
      <c r="E1337" t="s">
        <v>1707</v>
      </c>
      <c r="F1337" t="s">
        <v>1703</v>
      </c>
      <c r="G1337" t="s">
        <v>1351</v>
      </c>
      <c r="H1337" t="s">
        <v>373</v>
      </c>
      <c r="I1337" t="s">
        <v>289</v>
      </c>
      <c r="J1337" t="s">
        <v>894</v>
      </c>
      <c r="K1337">
        <v>14</v>
      </c>
      <c r="L1337" s="6">
        <v>4.2671999999999999</v>
      </c>
      <c r="M1337" s="7">
        <v>63.5</v>
      </c>
      <c r="N1337" s="7">
        <v>285.75</v>
      </c>
      <c r="O1337" s="7">
        <f t="shared" si="107"/>
        <v>168</v>
      </c>
      <c r="P1337" s="7">
        <f t="shared" si="108"/>
        <v>2.5</v>
      </c>
      <c r="Q1337" s="7">
        <f t="shared" si="108"/>
        <v>11.25</v>
      </c>
      <c r="R1337" s="6">
        <f t="shared" si="109"/>
        <v>180.81100000000001</v>
      </c>
      <c r="S1337" s="6">
        <f t="shared" si="110"/>
        <v>7.7428877399999985E-2</v>
      </c>
      <c r="T1337" t="str">
        <f t="shared" si="106"/>
        <v>Ipe S4S E4E 3x12 Long</v>
      </c>
    </row>
    <row r="1338" spans="1:20" x14ac:dyDescent="0.25">
      <c r="A1338" t="s">
        <v>1351</v>
      </c>
      <c r="B1338" t="s">
        <v>1701</v>
      </c>
      <c r="C1338" t="s">
        <v>283</v>
      </c>
      <c r="D1338" t="s">
        <v>438</v>
      </c>
      <c r="E1338" t="s">
        <v>1708</v>
      </c>
      <c r="F1338" t="s">
        <v>1703</v>
      </c>
      <c r="G1338" t="s">
        <v>1351</v>
      </c>
      <c r="H1338" t="s">
        <v>373</v>
      </c>
      <c r="I1338" t="s">
        <v>289</v>
      </c>
      <c r="J1338" t="s">
        <v>894</v>
      </c>
      <c r="K1338">
        <v>15</v>
      </c>
      <c r="L1338" s="6">
        <v>4.5720000000000001</v>
      </c>
      <c r="M1338" s="7">
        <v>63.5</v>
      </c>
      <c r="N1338" s="7">
        <v>285.75</v>
      </c>
      <c r="O1338" s="7">
        <f t="shared" si="107"/>
        <v>180</v>
      </c>
      <c r="P1338" s="7">
        <f t="shared" si="108"/>
        <v>2.5</v>
      </c>
      <c r="Q1338" s="7">
        <f t="shared" si="108"/>
        <v>11.25</v>
      </c>
      <c r="R1338" s="6">
        <f t="shared" si="109"/>
        <v>180.81100000000001</v>
      </c>
      <c r="S1338" s="6">
        <f t="shared" si="110"/>
        <v>8.2959511499999999E-2</v>
      </c>
      <c r="T1338" t="str">
        <f t="shared" si="106"/>
        <v>Ipe S4S E4E 3x12 Long</v>
      </c>
    </row>
    <row r="1339" spans="1:20" x14ac:dyDescent="0.25">
      <c r="A1339" t="s">
        <v>1351</v>
      </c>
      <c r="B1339" t="s">
        <v>1701</v>
      </c>
      <c r="C1339" t="s">
        <v>283</v>
      </c>
      <c r="D1339" t="s">
        <v>438</v>
      </c>
      <c r="E1339" t="s">
        <v>1709</v>
      </c>
      <c r="F1339" t="s">
        <v>1703</v>
      </c>
      <c r="G1339" t="s">
        <v>1351</v>
      </c>
      <c r="H1339" t="s">
        <v>373</v>
      </c>
      <c r="I1339" t="s">
        <v>289</v>
      </c>
      <c r="J1339" t="s">
        <v>894</v>
      </c>
      <c r="K1339">
        <v>16</v>
      </c>
      <c r="L1339" s="6">
        <v>4.8768000000000002</v>
      </c>
      <c r="M1339" s="7">
        <v>63.5</v>
      </c>
      <c r="N1339" s="7">
        <v>285.75</v>
      </c>
      <c r="O1339" s="7">
        <f t="shared" si="107"/>
        <v>192.00000000000003</v>
      </c>
      <c r="P1339" s="7">
        <f t="shared" si="108"/>
        <v>2.5</v>
      </c>
      <c r="Q1339" s="7">
        <f t="shared" si="108"/>
        <v>11.25</v>
      </c>
      <c r="R1339" s="6">
        <f t="shared" si="109"/>
        <v>180.81100000000001</v>
      </c>
      <c r="S1339" s="6">
        <f t="shared" si="110"/>
        <v>8.84901456E-2</v>
      </c>
      <c r="T1339" t="str">
        <f t="shared" si="106"/>
        <v>Ipe S4S E4E 3x12 Long</v>
      </c>
    </row>
    <row r="1340" spans="1:20" x14ac:dyDescent="0.25">
      <c r="A1340" t="s">
        <v>1351</v>
      </c>
      <c r="B1340" t="s">
        <v>1701</v>
      </c>
      <c r="C1340" t="s">
        <v>283</v>
      </c>
      <c r="D1340" t="s">
        <v>438</v>
      </c>
      <c r="E1340" t="s">
        <v>1710</v>
      </c>
      <c r="F1340" t="s">
        <v>1703</v>
      </c>
      <c r="G1340" t="s">
        <v>1351</v>
      </c>
      <c r="H1340" t="s">
        <v>373</v>
      </c>
      <c r="I1340" t="s">
        <v>289</v>
      </c>
      <c r="J1340" t="s">
        <v>894</v>
      </c>
      <c r="K1340">
        <v>17</v>
      </c>
      <c r="L1340" s="6">
        <v>5.1816000000000004</v>
      </c>
      <c r="M1340" s="7">
        <v>63.5</v>
      </c>
      <c r="N1340" s="7">
        <v>285.75</v>
      </c>
      <c r="O1340" s="7">
        <f t="shared" si="107"/>
        <v>204.00000000000003</v>
      </c>
      <c r="P1340" s="7">
        <f t="shared" si="108"/>
        <v>2.5</v>
      </c>
      <c r="Q1340" s="7">
        <f t="shared" si="108"/>
        <v>11.25</v>
      </c>
      <c r="R1340" s="6">
        <f t="shared" si="109"/>
        <v>180.81100000000001</v>
      </c>
      <c r="S1340" s="6">
        <f t="shared" si="110"/>
        <v>9.4020779700000001E-2</v>
      </c>
      <c r="T1340" t="str">
        <f t="shared" si="106"/>
        <v>Ipe S4S E4E 3x12 Long</v>
      </c>
    </row>
    <row r="1341" spans="1:20" x14ac:dyDescent="0.25">
      <c r="A1341" t="s">
        <v>1351</v>
      </c>
      <c r="B1341" t="s">
        <v>1701</v>
      </c>
      <c r="C1341" t="s">
        <v>283</v>
      </c>
      <c r="D1341" t="s">
        <v>438</v>
      </c>
      <c r="E1341" t="s">
        <v>1711</v>
      </c>
      <c r="F1341" t="s">
        <v>1703</v>
      </c>
      <c r="G1341" t="s">
        <v>1351</v>
      </c>
      <c r="H1341" t="s">
        <v>373</v>
      </c>
      <c r="I1341" t="s">
        <v>289</v>
      </c>
      <c r="J1341" t="s">
        <v>894</v>
      </c>
      <c r="K1341">
        <v>18</v>
      </c>
      <c r="L1341" s="6">
        <v>5.4863999999999997</v>
      </c>
      <c r="M1341" s="7">
        <v>63.5</v>
      </c>
      <c r="N1341" s="7">
        <v>285.75</v>
      </c>
      <c r="O1341" s="7">
        <f t="shared" si="107"/>
        <v>216</v>
      </c>
      <c r="P1341" s="7">
        <f t="shared" si="108"/>
        <v>2.5</v>
      </c>
      <c r="Q1341" s="7">
        <f t="shared" si="108"/>
        <v>11.25</v>
      </c>
      <c r="R1341" s="6">
        <f t="shared" si="109"/>
        <v>180.81100000000001</v>
      </c>
      <c r="S1341" s="6">
        <f t="shared" si="110"/>
        <v>9.9551413799999988E-2</v>
      </c>
      <c r="T1341" t="str">
        <f t="shared" si="106"/>
        <v>Ipe S4S E4E 3x12 Long</v>
      </c>
    </row>
    <row r="1342" spans="1:20" x14ac:dyDescent="0.25">
      <c r="A1342" t="s">
        <v>1351</v>
      </c>
      <c r="B1342" t="s">
        <v>1701</v>
      </c>
      <c r="C1342" t="s">
        <v>283</v>
      </c>
      <c r="D1342" t="s">
        <v>438</v>
      </c>
      <c r="E1342" t="s">
        <v>1712</v>
      </c>
      <c r="F1342" t="s">
        <v>1703</v>
      </c>
      <c r="G1342" t="s">
        <v>1351</v>
      </c>
      <c r="H1342" t="s">
        <v>373</v>
      </c>
      <c r="I1342" t="s">
        <v>289</v>
      </c>
      <c r="J1342" t="s">
        <v>894</v>
      </c>
      <c r="K1342">
        <v>19</v>
      </c>
      <c r="L1342" s="6">
        <v>5.7911999999999999</v>
      </c>
      <c r="M1342" s="7">
        <v>63.5</v>
      </c>
      <c r="N1342" s="7">
        <v>285.75</v>
      </c>
      <c r="O1342" s="7">
        <f t="shared" si="107"/>
        <v>228</v>
      </c>
      <c r="P1342" s="7">
        <f t="shared" si="108"/>
        <v>2.5</v>
      </c>
      <c r="Q1342" s="7">
        <f t="shared" si="108"/>
        <v>11.25</v>
      </c>
      <c r="R1342" s="6">
        <f t="shared" si="109"/>
        <v>180.81100000000001</v>
      </c>
      <c r="S1342" s="6">
        <f t="shared" si="110"/>
        <v>0.10508204789999999</v>
      </c>
      <c r="T1342" t="str">
        <f t="shared" si="106"/>
        <v>Ipe S4S E4E 3x12 Long</v>
      </c>
    </row>
    <row r="1343" spans="1:20" x14ac:dyDescent="0.25">
      <c r="A1343" t="s">
        <v>1351</v>
      </c>
      <c r="B1343" t="s">
        <v>1701</v>
      </c>
      <c r="C1343" t="s">
        <v>283</v>
      </c>
      <c r="D1343" t="s">
        <v>438</v>
      </c>
      <c r="E1343" t="s">
        <v>1713</v>
      </c>
      <c r="F1343" t="s">
        <v>1703</v>
      </c>
      <c r="G1343" t="s">
        <v>1351</v>
      </c>
      <c r="H1343" t="s">
        <v>373</v>
      </c>
      <c r="I1343" t="s">
        <v>289</v>
      </c>
      <c r="J1343" t="s">
        <v>894</v>
      </c>
      <c r="K1343">
        <v>20</v>
      </c>
      <c r="L1343" s="6">
        <v>6.0960000000000001</v>
      </c>
      <c r="M1343" s="7">
        <v>63.5</v>
      </c>
      <c r="N1343" s="7">
        <v>285.75</v>
      </c>
      <c r="O1343" s="7">
        <f t="shared" si="107"/>
        <v>240</v>
      </c>
      <c r="P1343" s="7">
        <f t="shared" si="108"/>
        <v>2.5</v>
      </c>
      <c r="Q1343" s="7">
        <f t="shared" si="108"/>
        <v>11.25</v>
      </c>
      <c r="R1343" s="6">
        <f t="shared" si="109"/>
        <v>180.81100000000001</v>
      </c>
      <c r="S1343" s="6">
        <f t="shared" si="110"/>
        <v>0.11061268199999999</v>
      </c>
      <c r="T1343" t="str">
        <f t="shared" si="106"/>
        <v>Ipe S4S E4E 3x12 Long</v>
      </c>
    </row>
    <row r="1344" spans="1:20" x14ac:dyDescent="0.25">
      <c r="A1344" t="s">
        <v>1351</v>
      </c>
      <c r="B1344" t="s">
        <v>1701</v>
      </c>
      <c r="C1344" t="s">
        <v>283</v>
      </c>
      <c r="D1344" t="s">
        <v>438</v>
      </c>
      <c r="E1344" t="s">
        <v>1714</v>
      </c>
      <c r="F1344" t="s">
        <v>1703</v>
      </c>
      <c r="G1344" t="s">
        <v>1351</v>
      </c>
      <c r="H1344" t="s">
        <v>373</v>
      </c>
      <c r="I1344" t="s">
        <v>289</v>
      </c>
      <c r="J1344" t="s">
        <v>894</v>
      </c>
      <c r="K1344">
        <v>21</v>
      </c>
      <c r="L1344" s="6">
        <v>6.4008000000000003</v>
      </c>
      <c r="M1344" s="7">
        <v>63.5</v>
      </c>
      <c r="N1344" s="7">
        <v>285.75</v>
      </c>
      <c r="O1344" s="7">
        <f t="shared" si="107"/>
        <v>252.00000000000003</v>
      </c>
      <c r="P1344" s="7">
        <f t="shared" si="108"/>
        <v>2.5</v>
      </c>
      <c r="Q1344" s="7">
        <f t="shared" si="108"/>
        <v>11.25</v>
      </c>
      <c r="R1344" s="6">
        <f t="shared" si="109"/>
        <v>180.81100000000001</v>
      </c>
      <c r="S1344" s="6">
        <f t="shared" si="110"/>
        <v>0.1161433161</v>
      </c>
      <c r="T1344" t="str">
        <f t="shared" si="106"/>
        <v>Ipe S4S E4E 3x12 Long</v>
      </c>
    </row>
    <row r="1345" spans="1:20" x14ac:dyDescent="0.25">
      <c r="A1345" t="s">
        <v>1351</v>
      </c>
      <c r="B1345" t="s">
        <v>1701</v>
      </c>
      <c r="C1345" t="s">
        <v>283</v>
      </c>
      <c r="D1345" t="s">
        <v>438</v>
      </c>
      <c r="E1345" t="s">
        <v>1715</v>
      </c>
      <c r="F1345" t="s">
        <v>1703</v>
      </c>
      <c r="G1345" t="s">
        <v>1351</v>
      </c>
      <c r="H1345" t="s">
        <v>373</v>
      </c>
      <c r="I1345" t="s">
        <v>289</v>
      </c>
      <c r="J1345" t="s">
        <v>894</v>
      </c>
      <c r="K1345">
        <v>22</v>
      </c>
      <c r="L1345" s="6">
        <v>6.7055999999999996</v>
      </c>
      <c r="M1345" s="7">
        <v>63.5</v>
      </c>
      <c r="N1345" s="7">
        <v>285.75</v>
      </c>
      <c r="O1345" s="7">
        <f t="shared" si="107"/>
        <v>264</v>
      </c>
      <c r="P1345" s="7">
        <f t="shared" si="108"/>
        <v>2.5</v>
      </c>
      <c r="Q1345" s="7">
        <f t="shared" si="108"/>
        <v>11.25</v>
      </c>
      <c r="R1345" s="6">
        <f t="shared" si="109"/>
        <v>180.81100000000001</v>
      </c>
      <c r="S1345" s="6">
        <f t="shared" si="110"/>
        <v>0.12167395019999998</v>
      </c>
      <c r="T1345" t="str">
        <f t="shared" si="106"/>
        <v>Ipe S4S E4E 3x12 Long</v>
      </c>
    </row>
    <row r="1346" spans="1:20" x14ac:dyDescent="0.25">
      <c r="A1346" t="s">
        <v>1351</v>
      </c>
      <c r="B1346" t="s">
        <v>1701</v>
      </c>
      <c r="C1346" t="s">
        <v>524</v>
      </c>
      <c r="D1346" t="s">
        <v>438</v>
      </c>
      <c r="E1346" t="s">
        <v>1716</v>
      </c>
      <c r="F1346" t="s">
        <v>1703</v>
      </c>
      <c r="G1346" t="s">
        <v>1351</v>
      </c>
      <c r="H1346" t="s">
        <v>373</v>
      </c>
      <c r="I1346" t="s">
        <v>289</v>
      </c>
      <c r="J1346" t="s">
        <v>894</v>
      </c>
      <c r="K1346">
        <v>3</v>
      </c>
      <c r="L1346" s="6">
        <v>0.91439999999999999</v>
      </c>
      <c r="M1346" s="7">
        <v>63.5</v>
      </c>
      <c r="N1346" s="7">
        <v>285.75</v>
      </c>
      <c r="O1346" s="7">
        <f t="shared" si="107"/>
        <v>36</v>
      </c>
      <c r="P1346" s="7">
        <f t="shared" si="108"/>
        <v>2.5</v>
      </c>
      <c r="Q1346" s="7">
        <f t="shared" si="108"/>
        <v>11.25</v>
      </c>
      <c r="R1346" s="6">
        <f t="shared" si="109"/>
        <v>180.81100000000001</v>
      </c>
      <c r="S1346" s="6">
        <f t="shared" si="110"/>
        <v>1.6591902300000003E-2</v>
      </c>
      <c r="T1346" t="str">
        <f t="shared" ref="T1346:T1409" si="111">F1346&amp;" "&amp;C1346</f>
        <v>Ipe S4S E4E 3x12 Short</v>
      </c>
    </row>
    <row r="1347" spans="1:20" x14ac:dyDescent="0.25">
      <c r="A1347" t="s">
        <v>1351</v>
      </c>
      <c r="B1347" t="s">
        <v>1701</v>
      </c>
      <c r="C1347" t="s">
        <v>524</v>
      </c>
      <c r="D1347" t="s">
        <v>438</v>
      </c>
      <c r="E1347" t="s">
        <v>1717</v>
      </c>
      <c r="F1347" t="s">
        <v>1703</v>
      </c>
      <c r="G1347" t="s">
        <v>1351</v>
      </c>
      <c r="H1347" t="s">
        <v>373</v>
      </c>
      <c r="I1347" t="s">
        <v>289</v>
      </c>
      <c r="J1347" t="s">
        <v>894</v>
      </c>
      <c r="K1347">
        <v>4</v>
      </c>
      <c r="L1347" s="6">
        <v>1.2192000000000001</v>
      </c>
      <c r="M1347" s="7">
        <v>63.5</v>
      </c>
      <c r="N1347" s="7">
        <v>285.75</v>
      </c>
      <c r="O1347" s="7">
        <f t="shared" si="107"/>
        <v>48.000000000000007</v>
      </c>
      <c r="P1347" s="7">
        <f t="shared" si="108"/>
        <v>2.5</v>
      </c>
      <c r="Q1347" s="7">
        <f t="shared" si="108"/>
        <v>11.25</v>
      </c>
      <c r="R1347" s="6">
        <f t="shared" si="109"/>
        <v>180.81100000000001</v>
      </c>
      <c r="S1347" s="6">
        <f t="shared" si="110"/>
        <v>2.21225364E-2</v>
      </c>
      <c r="T1347" t="str">
        <f t="shared" si="111"/>
        <v>Ipe S4S E4E 3x12 Short</v>
      </c>
    </row>
    <row r="1348" spans="1:20" x14ac:dyDescent="0.25">
      <c r="A1348" t="s">
        <v>1351</v>
      </c>
      <c r="B1348" t="s">
        <v>1701</v>
      </c>
      <c r="C1348" t="s">
        <v>524</v>
      </c>
      <c r="D1348" t="s">
        <v>438</v>
      </c>
      <c r="E1348" t="s">
        <v>1718</v>
      </c>
      <c r="F1348" t="s">
        <v>1703</v>
      </c>
      <c r="G1348" t="s">
        <v>1351</v>
      </c>
      <c r="H1348" t="s">
        <v>373</v>
      </c>
      <c r="I1348" t="s">
        <v>289</v>
      </c>
      <c r="J1348" t="s">
        <v>894</v>
      </c>
      <c r="K1348">
        <v>5</v>
      </c>
      <c r="L1348" s="6">
        <v>1.524</v>
      </c>
      <c r="M1348" s="7">
        <v>63.5</v>
      </c>
      <c r="N1348" s="7">
        <v>285.75</v>
      </c>
      <c r="O1348" s="7">
        <f t="shared" si="107"/>
        <v>60</v>
      </c>
      <c r="P1348" s="7">
        <f t="shared" si="108"/>
        <v>2.5</v>
      </c>
      <c r="Q1348" s="7">
        <f t="shared" si="108"/>
        <v>11.25</v>
      </c>
      <c r="R1348" s="6">
        <f t="shared" si="109"/>
        <v>180.81100000000001</v>
      </c>
      <c r="S1348" s="6">
        <f t="shared" si="110"/>
        <v>2.7653170499999997E-2</v>
      </c>
      <c r="T1348" t="str">
        <f t="shared" si="111"/>
        <v>Ipe S4S E4E 3x12 Short</v>
      </c>
    </row>
    <row r="1349" spans="1:20" x14ac:dyDescent="0.25">
      <c r="A1349" t="s">
        <v>1351</v>
      </c>
      <c r="B1349" t="s">
        <v>1701</v>
      </c>
      <c r="C1349" t="s">
        <v>524</v>
      </c>
      <c r="D1349" t="s">
        <v>438</v>
      </c>
      <c r="E1349" t="s">
        <v>1719</v>
      </c>
      <c r="F1349" t="s">
        <v>1703</v>
      </c>
      <c r="G1349" t="s">
        <v>1351</v>
      </c>
      <c r="H1349" t="s">
        <v>373</v>
      </c>
      <c r="I1349" t="s">
        <v>289</v>
      </c>
      <c r="J1349" t="s">
        <v>894</v>
      </c>
      <c r="K1349">
        <v>6</v>
      </c>
      <c r="L1349" s="6">
        <v>1.8288</v>
      </c>
      <c r="M1349" s="7">
        <v>63.5</v>
      </c>
      <c r="N1349" s="7">
        <v>285.75</v>
      </c>
      <c r="O1349" s="7">
        <f t="shared" si="107"/>
        <v>72</v>
      </c>
      <c r="P1349" s="7">
        <f t="shared" si="108"/>
        <v>2.5</v>
      </c>
      <c r="Q1349" s="7">
        <f t="shared" si="108"/>
        <v>11.25</v>
      </c>
      <c r="R1349" s="6">
        <f t="shared" si="109"/>
        <v>180.81100000000001</v>
      </c>
      <c r="S1349" s="6">
        <f t="shared" si="110"/>
        <v>3.3183804600000005E-2</v>
      </c>
      <c r="T1349" t="str">
        <f t="shared" si="111"/>
        <v>Ipe S4S E4E 3x12 Short</v>
      </c>
    </row>
    <row r="1350" spans="1:20" x14ac:dyDescent="0.25">
      <c r="A1350" t="s">
        <v>1351</v>
      </c>
      <c r="B1350" t="s">
        <v>1701</v>
      </c>
      <c r="C1350" t="s">
        <v>524</v>
      </c>
      <c r="D1350" t="s">
        <v>438</v>
      </c>
      <c r="E1350" t="s">
        <v>1720</v>
      </c>
      <c r="F1350" t="s">
        <v>1703</v>
      </c>
      <c r="G1350" t="s">
        <v>1351</v>
      </c>
      <c r="H1350" t="s">
        <v>373</v>
      </c>
      <c r="I1350" t="s">
        <v>289</v>
      </c>
      <c r="J1350" t="s">
        <v>894</v>
      </c>
      <c r="K1350">
        <v>7</v>
      </c>
      <c r="L1350" s="6">
        <v>2.1335999999999999</v>
      </c>
      <c r="M1350" s="7">
        <v>63.5</v>
      </c>
      <c r="N1350" s="7">
        <v>285.75</v>
      </c>
      <c r="O1350" s="7">
        <f t="shared" si="107"/>
        <v>84</v>
      </c>
      <c r="P1350" s="7">
        <f t="shared" si="108"/>
        <v>2.5</v>
      </c>
      <c r="Q1350" s="7">
        <f t="shared" si="108"/>
        <v>11.25</v>
      </c>
      <c r="R1350" s="6">
        <f t="shared" si="109"/>
        <v>180.81100000000001</v>
      </c>
      <c r="S1350" s="6">
        <f t="shared" si="110"/>
        <v>3.8714438699999992E-2</v>
      </c>
      <c r="T1350" t="str">
        <f t="shared" si="111"/>
        <v>Ipe S4S E4E 3x12 Short</v>
      </c>
    </row>
    <row r="1351" spans="1:20" x14ac:dyDescent="0.25">
      <c r="A1351" t="s">
        <v>1351</v>
      </c>
      <c r="B1351" t="s">
        <v>1701</v>
      </c>
      <c r="C1351" t="s">
        <v>283</v>
      </c>
      <c r="D1351" t="s">
        <v>438</v>
      </c>
      <c r="E1351" t="s">
        <v>1721</v>
      </c>
      <c r="F1351" t="s">
        <v>1703</v>
      </c>
      <c r="G1351" t="s">
        <v>1351</v>
      </c>
      <c r="H1351" t="s">
        <v>373</v>
      </c>
      <c r="I1351" t="s">
        <v>289</v>
      </c>
      <c r="J1351" t="s">
        <v>894</v>
      </c>
      <c r="K1351">
        <v>8</v>
      </c>
      <c r="L1351" s="6">
        <v>2.4384000000000001</v>
      </c>
      <c r="M1351" s="7">
        <v>63.5</v>
      </c>
      <c r="N1351" s="7">
        <v>285.75</v>
      </c>
      <c r="O1351" s="7">
        <f t="shared" si="107"/>
        <v>96.000000000000014</v>
      </c>
      <c r="P1351" s="7">
        <f t="shared" si="108"/>
        <v>2.5</v>
      </c>
      <c r="Q1351" s="7">
        <f t="shared" si="108"/>
        <v>11.25</v>
      </c>
      <c r="R1351" s="6">
        <f t="shared" si="109"/>
        <v>180.81100000000001</v>
      </c>
      <c r="S1351" s="6">
        <f t="shared" si="110"/>
        <v>4.42450728E-2</v>
      </c>
      <c r="T1351" t="str">
        <f t="shared" si="111"/>
        <v>Ipe S4S E4E 3x12 Long</v>
      </c>
    </row>
    <row r="1352" spans="1:20" x14ac:dyDescent="0.25">
      <c r="A1352" t="s">
        <v>1351</v>
      </c>
      <c r="B1352" t="s">
        <v>1701</v>
      </c>
      <c r="C1352" t="s">
        <v>283</v>
      </c>
      <c r="D1352" t="s">
        <v>438</v>
      </c>
      <c r="E1352" t="s">
        <v>1722</v>
      </c>
      <c r="F1352" t="s">
        <v>1703</v>
      </c>
      <c r="G1352" t="s">
        <v>1351</v>
      </c>
      <c r="H1352" t="s">
        <v>373</v>
      </c>
      <c r="I1352" t="s">
        <v>289</v>
      </c>
      <c r="J1352" t="s">
        <v>894</v>
      </c>
      <c r="K1352">
        <v>9</v>
      </c>
      <c r="L1352" s="6">
        <v>2.7431999999999999</v>
      </c>
      <c r="M1352" s="7">
        <v>63.5</v>
      </c>
      <c r="N1352" s="7">
        <v>285.75</v>
      </c>
      <c r="O1352" s="7">
        <f t="shared" si="107"/>
        <v>108</v>
      </c>
      <c r="P1352" s="7">
        <f t="shared" si="108"/>
        <v>2.5</v>
      </c>
      <c r="Q1352" s="7">
        <f t="shared" si="108"/>
        <v>11.25</v>
      </c>
      <c r="R1352" s="6">
        <f t="shared" si="109"/>
        <v>180.81100000000001</v>
      </c>
      <c r="S1352" s="6">
        <f t="shared" si="110"/>
        <v>4.9775706899999994E-2</v>
      </c>
      <c r="T1352" t="str">
        <f t="shared" si="111"/>
        <v>Ipe S4S E4E 3x12 Long</v>
      </c>
    </row>
    <row r="1353" spans="1:20" x14ac:dyDescent="0.25">
      <c r="A1353" t="s">
        <v>1351</v>
      </c>
      <c r="B1353" t="s">
        <v>1723</v>
      </c>
      <c r="C1353" t="s">
        <v>283</v>
      </c>
      <c r="D1353" t="s">
        <v>438</v>
      </c>
      <c r="E1353" t="s">
        <v>1724</v>
      </c>
      <c r="F1353" t="s">
        <v>1725</v>
      </c>
      <c r="G1353" t="s">
        <v>1351</v>
      </c>
      <c r="H1353" t="s">
        <v>373</v>
      </c>
      <c r="I1353" t="s">
        <v>289</v>
      </c>
      <c r="J1353" t="s">
        <v>1726</v>
      </c>
      <c r="K1353">
        <v>18</v>
      </c>
      <c r="L1353" s="6">
        <v>5.4863999999999997</v>
      </c>
      <c r="M1353" s="7">
        <v>63.5</v>
      </c>
      <c r="N1353" s="7">
        <v>63.5</v>
      </c>
      <c r="O1353" s="7">
        <f t="shared" si="107"/>
        <v>216</v>
      </c>
      <c r="P1353" s="7">
        <f t="shared" si="108"/>
        <v>2.5</v>
      </c>
      <c r="Q1353" s="7">
        <f t="shared" si="108"/>
        <v>2.5</v>
      </c>
      <c r="R1353" s="6">
        <f t="shared" si="109"/>
        <v>813.65</v>
      </c>
      <c r="S1353" s="6">
        <f t="shared" si="110"/>
        <v>2.2122536399999997E-2</v>
      </c>
      <c r="T1353" t="str">
        <f t="shared" si="111"/>
        <v>Ipe S4S E4E 3x3 Long</v>
      </c>
    </row>
    <row r="1354" spans="1:20" x14ac:dyDescent="0.25">
      <c r="A1354" t="s">
        <v>1351</v>
      </c>
      <c r="B1354" t="s">
        <v>1727</v>
      </c>
      <c r="C1354" t="s">
        <v>283</v>
      </c>
      <c r="D1354" t="s">
        <v>438</v>
      </c>
      <c r="E1354" t="s">
        <v>1728</v>
      </c>
      <c r="F1354" t="s">
        <v>1729</v>
      </c>
      <c r="G1354" t="s">
        <v>1351</v>
      </c>
      <c r="H1354" t="s">
        <v>373</v>
      </c>
      <c r="I1354" t="s">
        <v>289</v>
      </c>
      <c r="J1354" t="s">
        <v>937</v>
      </c>
      <c r="K1354">
        <v>10</v>
      </c>
      <c r="L1354" s="6">
        <v>3.048</v>
      </c>
      <c r="M1354" s="7">
        <v>63.5</v>
      </c>
      <c r="N1354" s="7">
        <v>139.69999999999999</v>
      </c>
      <c r="O1354" s="7">
        <f t="shared" si="107"/>
        <v>120</v>
      </c>
      <c r="P1354" s="7">
        <f t="shared" si="108"/>
        <v>2.5</v>
      </c>
      <c r="Q1354" s="7">
        <f t="shared" si="108"/>
        <v>5.5</v>
      </c>
      <c r="R1354" s="6">
        <f t="shared" si="109"/>
        <v>369.84100000000001</v>
      </c>
      <c r="S1354" s="6">
        <f t="shared" si="110"/>
        <v>2.7038655599999999E-2</v>
      </c>
      <c r="T1354" t="str">
        <f t="shared" si="111"/>
        <v>Ipe S4S E4E 3x6 Long</v>
      </c>
    </row>
    <row r="1355" spans="1:20" x14ac:dyDescent="0.25">
      <c r="A1355" t="s">
        <v>1351</v>
      </c>
      <c r="B1355" t="s">
        <v>1727</v>
      </c>
      <c r="C1355" t="s">
        <v>283</v>
      </c>
      <c r="D1355" t="s">
        <v>438</v>
      </c>
      <c r="E1355" t="s">
        <v>1730</v>
      </c>
      <c r="F1355" t="s">
        <v>1729</v>
      </c>
      <c r="G1355" t="s">
        <v>1351</v>
      </c>
      <c r="H1355" t="s">
        <v>373</v>
      </c>
      <c r="I1355" t="s">
        <v>289</v>
      </c>
      <c r="J1355" t="s">
        <v>937</v>
      </c>
      <c r="K1355">
        <v>11</v>
      </c>
      <c r="L1355" s="6">
        <v>3.3527999999999998</v>
      </c>
      <c r="M1355" s="7">
        <v>63.5</v>
      </c>
      <c r="N1355" s="7">
        <v>139.69999999999999</v>
      </c>
      <c r="O1355" s="7">
        <f t="shared" si="107"/>
        <v>132</v>
      </c>
      <c r="P1355" s="7">
        <f t="shared" si="108"/>
        <v>2.5</v>
      </c>
      <c r="Q1355" s="7">
        <f t="shared" si="108"/>
        <v>5.5</v>
      </c>
      <c r="R1355" s="6">
        <f t="shared" si="109"/>
        <v>369.84100000000001</v>
      </c>
      <c r="S1355" s="6">
        <f t="shared" si="110"/>
        <v>2.9742521159999997E-2</v>
      </c>
      <c r="T1355" t="str">
        <f t="shared" si="111"/>
        <v>Ipe S4S E4E 3x6 Long</v>
      </c>
    </row>
    <row r="1356" spans="1:20" x14ac:dyDescent="0.25">
      <c r="A1356" t="s">
        <v>1351</v>
      </c>
      <c r="B1356" t="s">
        <v>1727</v>
      </c>
      <c r="C1356" t="s">
        <v>283</v>
      </c>
      <c r="D1356" t="s">
        <v>438</v>
      </c>
      <c r="E1356" t="s">
        <v>1731</v>
      </c>
      <c r="F1356" t="s">
        <v>1729</v>
      </c>
      <c r="G1356" t="s">
        <v>1351</v>
      </c>
      <c r="H1356" t="s">
        <v>373</v>
      </c>
      <c r="I1356" t="s">
        <v>289</v>
      </c>
      <c r="J1356" t="s">
        <v>937</v>
      </c>
      <c r="K1356">
        <v>12</v>
      </c>
      <c r="L1356" s="6">
        <v>3.6576</v>
      </c>
      <c r="M1356" s="7">
        <v>63.5</v>
      </c>
      <c r="N1356" s="7">
        <v>139.69999999999999</v>
      </c>
      <c r="O1356" s="7">
        <f t="shared" si="107"/>
        <v>144</v>
      </c>
      <c r="P1356" s="7">
        <f t="shared" si="108"/>
        <v>2.5</v>
      </c>
      <c r="Q1356" s="7">
        <f t="shared" si="108"/>
        <v>5.5</v>
      </c>
      <c r="R1356" s="6">
        <f t="shared" si="109"/>
        <v>369.84100000000001</v>
      </c>
      <c r="S1356" s="6">
        <f t="shared" si="110"/>
        <v>3.2446386719999998E-2</v>
      </c>
      <c r="T1356" t="str">
        <f t="shared" si="111"/>
        <v>Ipe S4S E4E 3x6 Long</v>
      </c>
    </row>
    <row r="1357" spans="1:20" x14ac:dyDescent="0.25">
      <c r="A1357" t="s">
        <v>1351</v>
      </c>
      <c r="B1357" t="s">
        <v>1727</v>
      </c>
      <c r="C1357" t="s">
        <v>283</v>
      </c>
      <c r="D1357" t="s">
        <v>438</v>
      </c>
      <c r="E1357" t="s">
        <v>1732</v>
      </c>
      <c r="F1357" t="s">
        <v>1729</v>
      </c>
      <c r="G1357" t="s">
        <v>1351</v>
      </c>
      <c r="H1357" t="s">
        <v>373</v>
      </c>
      <c r="I1357" t="s">
        <v>289</v>
      </c>
      <c r="J1357" t="s">
        <v>937</v>
      </c>
      <c r="K1357">
        <v>13</v>
      </c>
      <c r="L1357" s="6">
        <v>3.9624000000000001</v>
      </c>
      <c r="M1357" s="7">
        <v>63.5</v>
      </c>
      <c r="N1357" s="7">
        <v>139.69999999999999</v>
      </c>
      <c r="O1357" s="7">
        <f t="shared" si="107"/>
        <v>156</v>
      </c>
      <c r="P1357" s="7">
        <f t="shared" si="108"/>
        <v>2.5</v>
      </c>
      <c r="Q1357" s="7">
        <f t="shared" si="108"/>
        <v>5.5</v>
      </c>
      <c r="R1357" s="6">
        <f t="shared" si="109"/>
        <v>369.84100000000001</v>
      </c>
      <c r="S1357" s="6">
        <f t="shared" si="110"/>
        <v>3.5150252279999995E-2</v>
      </c>
      <c r="T1357" t="str">
        <f t="shared" si="111"/>
        <v>Ipe S4S E4E 3x6 Long</v>
      </c>
    </row>
    <row r="1358" spans="1:20" x14ac:dyDescent="0.25">
      <c r="A1358" t="s">
        <v>1351</v>
      </c>
      <c r="B1358" t="s">
        <v>1727</v>
      </c>
      <c r="C1358" t="s">
        <v>283</v>
      </c>
      <c r="D1358" t="s">
        <v>438</v>
      </c>
      <c r="E1358" t="s">
        <v>1733</v>
      </c>
      <c r="F1358" t="s">
        <v>1729</v>
      </c>
      <c r="G1358" t="s">
        <v>1351</v>
      </c>
      <c r="H1358" t="s">
        <v>373</v>
      </c>
      <c r="I1358" t="s">
        <v>289</v>
      </c>
      <c r="J1358" t="s">
        <v>937</v>
      </c>
      <c r="K1358">
        <v>14</v>
      </c>
      <c r="L1358" s="6">
        <v>4.2671999999999999</v>
      </c>
      <c r="M1358" s="7">
        <v>63.5</v>
      </c>
      <c r="N1358" s="7">
        <v>139.69999999999999</v>
      </c>
      <c r="O1358" s="7">
        <f t="shared" si="107"/>
        <v>168</v>
      </c>
      <c r="P1358" s="7">
        <f t="shared" si="108"/>
        <v>2.5</v>
      </c>
      <c r="Q1358" s="7">
        <f t="shared" si="108"/>
        <v>5.5</v>
      </c>
      <c r="R1358" s="6">
        <f t="shared" si="109"/>
        <v>369.84100000000001</v>
      </c>
      <c r="S1358" s="6">
        <f t="shared" si="110"/>
        <v>3.7854117839999993E-2</v>
      </c>
      <c r="T1358" t="str">
        <f t="shared" si="111"/>
        <v>Ipe S4S E4E 3x6 Long</v>
      </c>
    </row>
    <row r="1359" spans="1:20" x14ac:dyDescent="0.25">
      <c r="A1359" t="s">
        <v>1351</v>
      </c>
      <c r="B1359" t="s">
        <v>1727</v>
      </c>
      <c r="C1359" t="s">
        <v>283</v>
      </c>
      <c r="D1359" t="s">
        <v>438</v>
      </c>
      <c r="E1359" t="s">
        <v>1734</v>
      </c>
      <c r="F1359" t="s">
        <v>1729</v>
      </c>
      <c r="G1359" t="s">
        <v>1351</v>
      </c>
      <c r="H1359" t="s">
        <v>373</v>
      </c>
      <c r="I1359" t="s">
        <v>289</v>
      </c>
      <c r="J1359" t="s">
        <v>937</v>
      </c>
      <c r="K1359">
        <v>15</v>
      </c>
      <c r="L1359" s="6">
        <v>4.5720000000000001</v>
      </c>
      <c r="M1359" s="7">
        <v>63.5</v>
      </c>
      <c r="N1359" s="7">
        <v>139.69999999999999</v>
      </c>
      <c r="O1359" s="7">
        <f t="shared" si="107"/>
        <v>180</v>
      </c>
      <c r="P1359" s="7">
        <f t="shared" si="108"/>
        <v>2.5</v>
      </c>
      <c r="Q1359" s="7">
        <f t="shared" si="108"/>
        <v>5.5</v>
      </c>
      <c r="R1359" s="6">
        <f t="shared" si="109"/>
        <v>369.84100000000001</v>
      </c>
      <c r="S1359" s="6">
        <f t="shared" si="110"/>
        <v>4.0557983399999997E-2</v>
      </c>
      <c r="T1359" t="str">
        <f t="shared" si="111"/>
        <v>Ipe S4S E4E 3x6 Long</v>
      </c>
    </row>
    <row r="1360" spans="1:20" x14ac:dyDescent="0.25">
      <c r="A1360" t="s">
        <v>1351</v>
      </c>
      <c r="B1360" t="s">
        <v>1727</v>
      </c>
      <c r="C1360" t="s">
        <v>283</v>
      </c>
      <c r="D1360" t="s">
        <v>438</v>
      </c>
      <c r="E1360" t="s">
        <v>261</v>
      </c>
      <c r="F1360" t="s">
        <v>1729</v>
      </c>
      <c r="G1360" t="s">
        <v>1351</v>
      </c>
      <c r="H1360" t="s">
        <v>373</v>
      </c>
      <c r="I1360" t="s">
        <v>289</v>
      </c>
      <c r="J1360" t="s">
        <v>937</v>
      </c>
      <c r="K1360">
        <v>16</v>
      </c>
      <c r="L1360" s="6">
        <v>4.8768000000000002</v>
      </c>
      <c r="M1360" s="7">
        <v>63.5</v>
      </c>
      <c r="N1360" s="7">
        <v>139.69999999999999</v>
      </c>
      <c r="O1360" s="7">
        <f t="shared" si="107"/>
        <v>192.00000000000003</v>
      </c>
      <c r="P1360" s="7">
        <f t="shared" si="108"/>
        <v>2.5</v>
      </c>
      <c r="Q1360" s="7">
        <f t="shared" si="108"/>
        <v>5.5</v>
      </c>
      <c r="R1360" s="6">
        <f t="shared" si="109"/>
        <v>369.84100000000001</v>
      </c>
      <c r="S1360" s="6">
        <f t="shared" si="110"/>
        <v>4.3261848960000002E-2</v>
      </c>
      <c r="T1360" t="str">
        <f t="shared" si="111"/>
        <v>Ipe S4S E4E 3x6 Long</v>
      </c>
    </row>
    <row r="1361" spans="1:20" x14ac:dyDescent="0.25">
      <c r="A1361" t="s">
        <v>1351</v>
      </c>
      <c r="B1361" t="s">
        <v>1727</v>
      </c>
      <c r="C1361" t="s">
        <v>283</v>
      </c>
      <c r="D1361" t="s">
        <v>438</v>
      </c>
      <c r="E1361" t="s">
        <v>1735</v>
      </c>
      <c r="F1361" t="s">
        <v>1729</v>
      </c>
      <c r="G1361" t="s">
        <v>1351</v>
      </c>
      <c r="H1361" t="s">
        <v>373</v>
      </c>
      <c r="I1361" t="s">
        <v>289</v>
      </c>
      <c r="J1361" t="s">
        <v>937</v>
      </c>
      <c r="K1361">
        <v>17</v>
      </c>
      <c r="L1361" s="6">
        <v>5.1816000000000004</v>
      </c>
      <c r="M1361" s="7">
        <v>63.5</v>
      </c>
      <c r="N1361" s="7">
        <v>139.69999999999999</v>
      </c>
      <c r="O1361" s="7">
        <f t="shared" si="107"/>
        <v>204.00000000000003</v>
      </c>
      <c r="P1361" s="7">
        <f t="shared" si="108"/>
        <v>2.5</v>
      </c>
      <c r="Q1361" s="7">
        <f t="shared" si="108"/>
        <v>5.5</v>
      </c>
      <c r="R1361" s="6">
        <f t="shared" si="109"/>
        <v>369.84100000000001</v>
      </c>
      <c r="S1361" s="6">
        <f t="shared" si="110"/>
        <v>4.5965714519999999E-2</v>
      </c>
      <c r="T1361" t="str">
        <f t="shared" si="111"/>
        <v>Ipe S4S E4E 3x6 Long</v>
      </c>
    </row>
    <row r="1362" spans="1:20" x14ac:dyDescent="0.25">
      <c r="A1362" t="s">
        <v>1351</v>
      </c>
      <c r="B1362" t="s">
        <v>1727</v>
      </c>
      <c r="C1362" t="s">
        <v>283</v>
      </c>
      <c r="D1362" t="s">
        <v>438</v>
      </c>
      <c r="E1362" t="s">
        <v>1736</v>
      </c>
      <c r="F1362" t="s">
        <v>1729</v>
      </c>
      <c r="G1362" t="s">
        <v>1351</v>
      </c>
      <c r="H1362" t="s">
        <v>373</v>
      </c>
      <c r="I1362" t="s">
        <v>289</v>
      </c>
      <c r="J1362" t="s">
        <v>937</v>
      </c>
      <c r="K1362">
        <v>18</v>
      </c>
      <c r="L1362" s="6">
        <v>5.4863999999999997</v>
      </c>
      <c r="M1362" s="7">
        <v>63.5</v>
      </c>
      <c r="N1362" s="7">
        <v>139.69999999999999</v>
      </c>
      <c r="O1362" s="7">
        <f t="shared" si="107"/>
        <v>216</v>
      </c>
      <c r="P1362" s="7">
        <f t="shared" si="108"/>
        <v>2.5</v>
      </c>
      <c r="Q1362" s="7">
        <f t="shared" si="108"/>
        <v>5.5</v>
      </c>
      <c r="R1362" s="6">
        <f t="shared" si="109"/>
        <v>369.84100000000001</v>
      </c>
      <c r="S1362" s="6">
        <f t="shared" si="110"/>
        <v>4.8669580079999997E-2</v>
      </c>
      <c r="T1362" t="str">
        <f t="shared" si="111"/>
        <v>Ipe S4S E4E 3x6 Long</v>
      </c>
    </row>
    <row r="1363" spans="1:20" x14ac:dyDescent="0.25">
      <c r="A1363" t="s">
        <v>1351</v>
      </c>
      <c r="B1363" t="s">
        <v>1727</v>
      </c>
      <c r="C1363" t="s">
        <v>283</v>
      </c>
      <c r="D1363" t="s">
        <v>438</v>
      </c>
      <c r="E1363" t="s">
        <v>1737</v>
      </c>
      <c r="F1363" t="s">
        <v>1729</v>
      </c>
      <c r="G1363" t="s">
        <v>1351</v>
      </c>
      <c r="H1363" t="s">
        <v>373</v>
      </c>
      <c r="I1363" t="s">
        <v>289</v>
      </c>
      <c r="J1363" t="s">
        <v>937</v>
      </c>
      <c r="K1363">
        <v>19</v>
      </c>
      <c r="L1363" s="6">
        <v>5.7911999999999999</v>
      </c>
      <c r="M1363" s="7">
        <v>63.5</v>
      </c>
      <c r="N1363" s="7">
        <v>139.69999999999999</v>
      </c>
      <c r="O1363" s="7">
        <f t="shared" si="107"/>
        <v>228</v>
      </c>
      <c r="P1363" s="7">
        <f t="shared" si="108"/>
        <v>2.5</v>
      </c>
      <c r="Q1363" s="7">
        <f t="shared" si="108"/>
        <v>5.5</v>
      </c>
      <c r="R1363" s="6">
        <f t="shared" si="109"/>
        <v>369.84100000000001</v>
      </c>
      <c r="S1363" s="6">
        <f t="shared" si="110"/>
        <v>5.1373445639999994E-2</v>
      </c>
      <c r="T1363" t="str">
        <f t="shared" si="111"/>
        <v>Ipe S4S E4E 3x6 Long</v>
      </c>
    </row>
    <row r="1364" spans="1:20" x14ac:dyDescent="0.25">
      <c r="A1364" t="s">
        <v>1351</v>
      </c>
      <c r="B1364" t="s">
        <v>1727</v>
      </c>
      <c r="C1364" t="s">
        <v>283</v>
      </c>
      <c r="D1364" t="s">
        <v>438</v>
      </c>
      <c r="E1364" t="s">
        <v>1738</v>
      </c>
      <c r="F1364" t="s">
        <v>1729</v>
      </c>
      <c r="G1364" t="s">
        <v>1351</v>
      </c>
      <c r="H1364" t="s">
        <v>373</v>
      </c>
      <c r="I1364" t="s">
        <v>289</v>
      </c>
      <c r="J1364" t="s">
        <v>937</v>
      </c>
      <c r="K1364">
        <v>20</v>
      </c>
      <c r="L1364" s="6">
        <v>6.0960000000000001</v>
      </c>
      <c r="M1364" s="7">
        <v>63.5</v>
      </c>
      <c r="N1364" s="7">
        <v>139.69999999999999</v>
      </c>
      <c r="O1364" s="7">
        <f t="shared" si="107"/>
        <v>240</v>
      </c>
      <c r="P1364" s="7">
        <f t="shared" si="108"/>
        <v>2.5</v>
      </c>
      <c r="Q1364" s="7">
        <f t="shared" si="108"/>
        <v>5.5</v>
      </c>
      <c r="R1364" s="6">
        <f t="shared" si="109"/>
        <v>369.84100000000001</v>
      </c>
      <c r="S1364" s="6">
        <f t="shared" si="110"/>
        <v>5.4077311199999999E-2</v>
      </c>
      <c r="T1364" t="str">
        <f t="shared" si="111"/>
        <v>Ipe S4S E4E 3x6 Long</v>
      </c>
    </row>
    <row r="1365" spans="1:20" x14ac:dyDescent="0.25">
      <c r="A1365" t="s">
        <v>1351</v>
      </c>
      <c r="B1365" t="s">
        <v>1727</v>
      </c>
      <c r="C1365" t="s">
        <v>283</v>
      </c>
      <c r="D1365" t="s">
        <v>438</v>
      </c>
      <c r="E1365" t="s">
        <v>1739</v>
      </c>
      <c r="F1365" t="s">
        <v>1729</v>
      </c>
      <c r="G1365" t="s">
        <v>1351</v>
      </c>
      <c r="H1365" t="s">
        <v>373</v>
      </c>
      <c r="I1365" t="s">
        <v>289</v>
      </c>
      <c r="J1365" t="s">
        <v>937</v>
      </c>
      <c r="K1365">
        <v>21</v>
      </c>
      <c r="L1365" s="6">
        <v>6.4008000000000003</v>
      </c>
      <c r="M1365" s="7">
        <v>63.5</v>
      </c>
      <c r="N1365" s="7">
        <v>139.69999999999999</v>
      </c>
      <c r="O1365" s="7">
        <f t="shared" si="107"/>
        <v>252.00000000000003</v>
      </c>
      <c r="P1365" s="7">
        <f t="shared" si="108"/>
        <v>2.5</v>
      </c>
      <c r="Q1365" s="7">
        <f t="shared" si="108"/>
        <v>5.5</v>
      </c>
      <c r="R1365" s="6">
        <f t="shared" si="109"/>
        <v>369.84100000000001</v>
      </c>
      <c r="S1365" s="6">
        <f t="shared" si="110"/>
        <v>5.6781176759999996E-2</v>
      </c>
      <c r="T1365" t="str">
        <f t="shared" si="111"/>
        <v>Ipe S4S E4E 3x6 Long</v>
      </c>
    </row>
    <row r="1366" spans="1:20" x14ac:dyDescent="0.25">
      <c r="A1366" t="s">
        <v>1351</v>
      </c>
      <c r="B1366" t="s">
        <v>1727</v>
      </c>
      <c r="C1366" t="s">
        <v>283</v>
      </c>
      <c r="D1366" t="s">
        <v>438</v>
      </c>
      <c r="E1366" t="s">
        <v>1740</v>
      </c>
      <c r="F1366" t="s">
        <v>1729</v>
      </c>
      <c r="G1366" t="s">
        <v>1351</v>
      </c>
      <c r="H1366" t="s">
        <v>373</v>
      </c>
      <c r="I1366" t="s">
        <v>289</v>
      </c>
      <c r="J1366" t="s">
        <v>937</v>
      </c>
      <c r="K1366">
        <v>22</v>
      </c>
      <c r="L1366" s="6">
        <v>6.7055999999999996</v>
      </c>
      <c r="M1366" s="7">
        <v>63.5</v>
      </c>
      <c r="N1366" s="7">
        <v>139.69999999999999</v>
      </c>
      <c r="O1366" s="7">
        <f t="shared" si="107"/>
        <v>264</v>
      </c>
      <c r="P1366" s="7">
        <f t="shared" si="108"/>
        <v>2.5</v>
      </c>
      <c r="Q1366" s="7">
        <f t="shared" si="108"/>
        <v>5.5</v>
      </c>
      <c r="R1366" s="6">
        <f t="shared" si="109"/>
        <v>369.84100000000001</v>
      </c>
      <c r="S1366" s="6">
        <f t="shared" si="110"/>
        <v>5.9485042319999994E-2</v>
      </c>
      <c r="T1366" t="str">
        <f t="shared" si="111"/>
        <v>Ipe S4S E4E 3x6 Long</v>
      </c>
    </row>
    <row r="1367" spans="1:20" x14ac:dyDescent="0.25">
      <c r="A1367" t="s">
        <v>1351</v>
      </c>
      <c r="B1367" t="s">
        <v>1727</v>
      </c>
      <c r="C1367" t="s">
        <v>524</v>
      </c>
      <c r="D1367" t="s">
        <v>438</v>
      </c>
      <c r="E1367" t="s">
        <v>1741</v>
      </c>
      <c r="F1367" t="s">
        <v>1729</v>
      </c>
      <c r="G1367" t="s">
        <v>1351</v>
      </c>
      <c r="H1367" t="s">
        <v>373</v>
      </c>
      <c r="I1367" t="s">
        <v>289</v>
      </c>
      <c r="J1367" t="s">
        <v>937</v>
      </c>
      <c r="K1367">
        <v>3</v>
      </c>
      <c r="L1367" s="6">
        <v>0.91439999999999999</v>
      </c>
      <c r="M1367" s="7">
        <v>63.5</v>
      </c>
      <c r="N1367" s="7">
        <v>139.69999999999999</v>
      </c>
      <c r="O1367" s="7">
        <f t="shared" si="107"/>
        <v>36</v>
      </c>
      <c r="P1367" s="7">
        <f t="shared" si="108"/>
        <v>2.5</v>
      </c>
      <c r="Q1367" s="7">
        <f t="shared" si="108"/>
        <v>5.5</v>
      </c>
      <c r="R1367" s="6">
        <f t="shared" si="109"/>
        <v>369.84100000000001</v>
      </c>
      <c r="S1367" s="6">
        <f t="shared" si="110"/>
        <v>8.1115966799999994E-3</v>
      </c>
      <c r="T1367" t="str">
        <f t="shared" si="111"/>
        <v>Ipe S4S E4E 3x6 Short</v>
      </c>
    </row>
    <row r="1368" spans="1:20" x14ac:dyDescent="0.25">
      <c r="A1368" t="s">
        <v>1351</v>
      </c>
      <c r="B1368" t="s">
        <v>1727</v>
      </c>
      <c r="C1368" t="s">
        <v>524</v>
      </c>
      <c r="D1368" t="s">
        <v>438</v>
      </c>
      <c r="E1368" t="s">
        <v>1742</v>
      </c>
      <c r="F1368" t="s">
        <v>1729</v>
      </c>
      <c r="G1368" t="s">
        <v>1351</v>
      </c>
      <c r="H1368" t="s">
        <v>373</v>
      </c>
      <c r="I1368" t="s">
        <v>289</v>
      </c>
      <c r="J1368" t="s">
        <v>937</v>
      </c>
      <c r="K1368">
        <v>4</v>
      </c>
      <c r="L1368" s="6">
        <v>1.2192000000000001</v>
      </c>
      <c r="M1368" s="7">
        <v>63.5</v>
      </c>
      <c r="N1368" s="7">
        <v>139.69999999999999</v>
      </c>
      <c r="O1368" s="7">
        <f t="shared" si="107"/>
        <v>48.000000000000007</v>
      </c>
      <c r="P1368" s="7">
        <f t="shared" si="108"/>
        <v>2.5</v>
      </c>
      <c r="Q1368" s="7">
        <f t="shared" si="108"/>
        <v>5.5</v>
      </c>
      <c r="R1368" s="6">
        <f t="shared" si="109"/>
        <v>369.84100000000001</v>
      </c>
      <c r="S1368" s="6">
        <f t="shared" si="110"/>
        <v>1.081546224E-2</v>
      </c>
      <c r="T1368" t="str">
        <f t="shared" si="111"/>
        <v>Ipe S4S E4E 3x6 Short</v>
      </c>
    </row>
    <row r="1369" spans="1:20" x14ac:dyDescent="0.25">
      <c r="A1369" t="s">
        <v>1351</v>
      </c>
      <c r="B1369" t="s">
        <v>1727</v>
      </c>
      <c r="C1369" t="s">
        <v>524</v>
      </c>
      <c r="D1369" t="s">
        <v>438</v>
      </c>
      <c r="E1369" t="s">
        <v>1743</v>
      </c>
      <c r="F1369" t="s">
        <v>1729</v>
      </c>
      <c r="G1369" t="s">
        <v>1351</v>
      </c>
      <c r="H1369" t="s">
        <v>373</v>
      </c>
      <c r="I1369" t="s">
        <v>289</v>
      </c>
      <c r="J1369" t="s">
        <v>937</v>
      </c>
      <c r="K1369">
        <v>5</v>
      </c>
      <c r="L1369" s="6">
        <v>1.524</v>
      </c>
      <c r="M1369" s="7">
        <v>63.5</v>
      </c>
      <c r="N1369" s="7">
        <v>139.69999999999999</v>
      </c>
      <c r="O1369" s="7">
        <f t="shared" si="107"/>
        <v>60</v>
      </c>
      <c r="P1369" s="7">
        <f t="shared" si="108"/>
        <v>2.5</v>
      </c>
      <c r="Q1369" s="7">
        <f t="shared" si="108"/>
        <v>5.5</v>
      </c>
      <c r="R1369" s="6">
        <f t="shared" si="109"/>
        <v>369.84100000000001</v>
      </c>
      <c r="S1369" s="6">
        <f t="shared" si="110"/>
        <v>1.35193278E-2</v>
      </c>
      <c r="T1369" t="str">
        <f t="shared" si="111"/>
        <v>Ipe S4S E4E 3x6 Short</v>
      </c>
    </row>
    <row r="1370" spans="1:20" x14ac:dyDescent="0.25">
      <c r="A1370" t="s">
        <v>1351</v>
      </c>
      <c r="B1370" t="s">
        <v>1727</v>
      </c>
      <c r="C1370" t="s">
        <v>524</v>
      </c>
      <c r="D1370" t="s">
        <v>438</v>
      </c>
      <c r="E1370" t="s">
        <v>1744</v>
      </c>
      <c r="F1370" t="s">
        <v>1729</v>
      </c>
      <c r="G1370" t="s">
        <v>1351</v>
      </c>
      <c r="H1370" t="s">
        <v>373</v>
      </c>
      <c r="I1370" t="s">
        <v>289</v>
      </c>
      <c r="J1370" t="s">
        <v>937</v>
      </c>
      <c r="K1370">
        <v>6</v>
      </c>
      <c r="L1370" s="6">
        <v>1.8288</v>
      </c>
      <c r="M1370" s="7">
        <v>63.5</v>
      </c>
      <c r="N1370" s="7">
        <v>139.69999999999999</v>
      </c>
      <c r="O1370" s="7">
        <f t="shared" si="107"/>
        <v>72</v>
      </c>
      <c r="P1370" s="7">
        <f t="shared" si="108"/>
        <v>2.5</v>
      </c>
      <c r="Q1370" s="7">
        <f t="shared" si="108"/>
        <v>5.5</v>
      </c>
      <c r="R1370" s="6">
        <f t="shared" si="109"/>
        <v>369.84100000000001</v>
      </c>
      <c r="S1370" s="6">
        <f t="shared" si="110"/>
        <v>1.6223193359999999E-2</v>
      </c>
      <c r="T1370" t="str">
        <f t="shared" si="111"/>
        <v>Ipe S4S E4E 3x6 Short</v>
      </c>
    </row>
    <row r="1371" spans="1:20" x14ac:dyDescent="0.25">
      <c r="A1371" t="s">
        <v>1351</v>
      </c>
      <c r="B1371" t="s">
        <v>1727</v>
      </c>
      <c r="C1371" t="s">
        <v>524</v>
      </c>
      <c r="D1371" t="s">
        <v>438</v>
      </c>
      <c r="E1371" t="s">
        <v>1745</v>
      </c>
      <c r="F1371" t="s">
        <v>1729</v>
      </c>
      <c r="G1371" t="s">
        <v>1351</v>
      </c>
      <c r="H1371" t="s">
        <v>373</v>
      </c>
      <c r="I1371" t="s">
        <v>289</v>
      </c>
      <c r="J1371" t="s">
        <v>937</v>
      </c>
      <c r="K1371">
        <v>7</v>
      </c>
      <c r="L1371" s="6">
        <v>2.1335999999999999</v>
      </c>
      <c r="M1371" s="7">
        <v>63.5</v>
      </c>
      <c r="N1371" s="7">
        <v>139.69999999999999</v>
      </c>
      <c r="O1371" s="7">
        <f t="shared" si="107"/>
        <v>84</v>
      </c>
      <c r="P1371" s="7">
        <f t="shared" si="108"/>
        <v>2.5</v>
      </c>
      <c r="Q1371" s="7">
        <f t="shared" si="108"/>
        <v>5.5</v>
      </c>
      <c r="R1371" s="6">
        <f t="shared" si="109"/>
        <v>369.84100000000001</v>
      </c>
      <c r="S1371" s="6">
        <f t="shared" si="110"/>
        <v>1.8927058919999996E-2</v>
      </c>
      <c r="T1371" t="str">
        <f t="shared" si="111"/>
        <v>Ipe S4S E4E 3x6 Short</v>
      </c>
    </row>
    <row r="1372" spans="1:20" x14ac:dyDescent="0.25">
      <c r="A1372" t="s">
        <v>1351</v>
      </c>
      <c r="B1372" t="s">
        <v>1727</v>
      </c>
      <c r="C1372" t="s">
        <v>283</v>
      </c>
      <c r="D1372" t="s">
        <v>438</v>
      </c>
      <c r="E1372" t="s">
        <v>1746</v>
      </c>
      <c r="F1372" t="s">
        <v>1729</v>
      </c>
      <c r="G1372" t="s">
        <v>1351</v>
      </c>
      <c r="H1372" t="s">
        <v>373</v>
      </c>
      <c r="I1372" t="s">
        <v>289</v>
      </c>
      <c r="J1372" t="s">
        <v>937</v>
      </c>
      <c r="K1372">
        <v>8</v>
      </c>
      <c r="L1372" s="6">
        <v>2.4384000000000001</v>
      </c>
      <c r="M1372" s="7">
        <v>63.5</v>
      </c>
      <c r="N1372" s="7">
        <v>139.69999999999999</v>
      </c>
      <c r="O1372" s="7">
        <f t="shared" si="107"/>
        <v>96.000000000000014</v>
      </c>
      <c r="P1372" s="7">
        <f t="shared" si="108"/>
        <v>2.5</v>
      </c>
      <c r="Q1372" s="7">
        <f t="shared" si="108"/>
        <v>5.5</v>
      </c>
      <c r="R1372" s="6">
        <f t="shared" si="109"/>
        <v>369.84100000000001</v>
      </c>
      <c r="S1372" s="6">
        <f t="shared" si="110"/>
        <v>2.1630924480000001E-2</v>
      </c>
      <c r="T1372" t="str">
        <f t="shared" si="111"/>
        <v>Ipe S4S E4E 3x6 Long</v>
      </c>
    </row>
    <row r="1373" spans="1:20" x14ac:dyDescent="0.25">
      <c r="A1373" t="s">
        <v>1351</v>
      </c>
      <c r="B1373" t="s">
        <v>1727</v>
      </c>
      <c r="C1373" t="s">
        <v>283</v>
      </c>
      <c r="D1373" t="s">
        <v>438</v>
      </c>
      <c r="E1373" t="s">
        <v>1747</v>
      </c>
      <c r="F1373" t="s">
        <v>1729</v>
      </c>
      <c r="G1373" t="s">
        <v>1351</v>
      </c>
      <c r="H1373" t="s">
        <v>373</v>
      </c>
      <c r="I1373" t="s">
        <v>289</v>
      </c>
      <c r="J1373" t="s">
        <v>937</v>
      </c>
      <c r="K1373">
        <v>9</v>
      </c>
      <c r="L1373" s="6">
        <v>2.7431999999999999</v>
      </c>
      <c r="M1373" s="7">
        <v>63.5</v>
      </c>
      <c r="N1373" s="7">
        <v>139.69999999999999</v>
      </c>
      <c r="O1373" s="7">
        <f t="shared" si="107"/>
        <v>108</v>
      </c>
      <c r="P1373" s="7">
        <f t="shared" si="108"/>
        <v>2.5</v>
      </c>
      <c r="Q1373" s="7">
        <f t="shared" si="108"/>
        <v>5.5</v>
      </c>
      <c r="R1373" s="6">
        <f t="shared" si="109"/>
        <v>369.84100000000001</v>
      </c>
      <c r="S1373" s="6">
        <f t="shared" si="110"/>
        <v>2.4334790039999998E-2</v>
      </c>
      <c r="T1373" t="str">
        <f t="shared" si="111"/>
        <v>Ipe S4S E4E 3x6 Long</v>
      </c>
    </row>
    <row r="1374" spans="1:20" x14ac:dyDescent="0.25">
      <c r="A1374" t="s">
        <v>1351</v>
      </c>
      <c r="B1374" t="s">
        <v>1748</v>
      </c>
      <c r="C1374" t="s">
        <v>283</v>
      </c>
      <c r="D1374" t="s">
        <v>438</v>
      </c>
      <c r="E1374" t="s">
        <v>1749</v>
      </c>
      <c r="F1374" t="s">
        <v>1750</v>
      </c>
      <c r="G1374" t="s">
        <v>1351</v>
      </c>
      <c r="H1374" t="s">
        <v>373</v>
      </c>
      <c r="I1374" t="s">
        <v>289</v>
      </c>
      <c r="J1374" t="s">
        <v>960</v>
      </c>
      <c r="K1374">
        <v>10</v>
      </c>
      <c r="L1374" s="6">
        <v>3.048</v>
      </c>
      <c r="M1374" s="7">
        <v>63.5</v>
      </c>
      <c r="N1374" s="7">
        <v>184.15</v>
      </c>
      <c r="O1374" s="7">
        <f t="shared" ref="O1374:O1437" si="112">L1374/0.0254</f>
        <v>120</v>
      </c>
      <c r="P1374" s="7">
        <f t="shared" ref="P1374:Q1437" si="113">M1374/25.4</f>
        <v>2.5</v>
      </c>
      <c r="Q1374" s="7">
        <f t="shared" si="113"/>
        <v>7.2500000000000009</v>
      </c>
      <c r="R1374" s="6">
        <f t="shared" ref="R1374:R1437" si="114">ROUND(IFERROR(1/((M1374*N1374*0.3048)/1000000),0),3)</f>
        <v>280.56900000000002</v>
      </c>
      <c r="S1374" s="6">
        <f t="shared" ref="S1374:S1437" si="115">L1374*M1374/1000*N1374/1000</f>
        <v>3.5641864199999998E-2</v>
      </c>
      <c r="T1374" t="str">
        <f t="shared" si="111"/>
        <v>Ipe S4S E4E 3x8 Long</v>
      </c>
    </row>
    <row r="1375" spans="1:20" x14ac:dyDescent="0.25">
      <c r="A1375" t="s">
        <v>1351</v>
      </c>
      <c r="B1375" t="s">
        <v>1748</v>
      </c>
      <c r="C1375" t="s">
        <v>283</v>
      </c>
      <c r="D1375" t="s">
        <v>438</v>
      </c>
      <c r="E1375" t="s">
        <v>1751</v>
      </c>
      <c r="F1375" t="s">
        <v>1750</v>
      </c>
      <c r="G1375" t="s">
        <v>1351</v>
      </c>
      <c r="H1375" t="s">
        <v>373</v>
      </c>
      <c r="I1375" t="s">
        <v>289</v>
      </c>
      <c r="J1375" t="s">
        <v>960</v>
      </c>
      <c r="K1375">
        <v>11</v>
      </c>
      <c r="L1375" s="6">
        <v>3.3527999999999998</v>
      </c>
      <c r="M1375" s="7">
        <v>63.5</v>
      </c>
      <c r="N1375" s="7">
        <v>184.15</v>
      </c>
      <c r="O1375" s="7">
        <f t="shared" si="112"/>
        <v>132</v>
      </c>
      <c r="P1375" s="7">
        <f t="shared" si="113"/>
        <v>2.5</v>
      </c>
      <c r="Q1375" s="7">
        <f t="shared" si="113"/>
        <v>7.2500000000000009</v>
      </c>
      <c r="R1375" s="6">
        <f t="shared" si="114"/>
        <v>280.56900000000002</v>
      </c>
      <c r="S1375" s="6">
        <f t="shared" si="115"/>
        <v>3.9206050620000002E-2</v>
      </c>
      <c r="T1375" t="str">
        <f t="shared" si="111"/>
        <v>Ipe S4S E4E 3x8 Long</v>
      </c>
    </row>
    <row r="1376" spans="1:20" x14ac:dyDescent="0.25">
      <c r="A1376" t="s">
        <v>1351</v>
      </c>
      <c r="B1376" t="s">
        <v>1748</v>
      </c>
      <c r="C1376" t="s">
        <v>283</v>
      </c>
      <c r="D1376" t="s">
        <v>438</v>
      </c>
      <c r="E1376" t="s">
        <v>1752</v>
      </c>
      <c r="F1376" t="s">
        <v>1750</v>
      </c>
      <c r="G1376" t="s">
        <v>1351</v>
      </c>
      <c r="H1376" t="s">
        <v>373</v>
      </c>
      <c r="I1376" t="s">
        <v>289</v>
      </c>
      <c r="J1376" t="s">
        <v>960</v>
      </c>
      <c r="K1376">
        <v>12</v>
      </c>
      <c r="L1376" s="6">
        <v>3.6576</v>
      </c>
      <c r="M1376" s="7">
        <v>63.5</v>
      </c>
      <c r="N1376" s="7">
        <v>184.15</v>
      </c>
      <c r="O1376" s="7">
        <f t="shared" si="112"/>
        <v>144</v>
      </c>
      <c r="P1376" s="7">
        <f t="shared" si="113"/>
        <v>2.5</v>
      </c>
      <c r="Q1376" s="7">
        <f t="shared" si="113"/>
        <v>7.2500000000000009</v>
      </c>
      <c r="R1376" s="6">
        <f t="shared" si="114"/>
        <v>280.56900000000002</v>
      </c>
      <c r="S1376" s="6">
        <f t="shared" si="115"/>
        <v>4.2770237040000006E-2</v>
      </c>
      <c r="T1376" t="str">
        <f t="shared" si="111"/>
        <v>Ipe S4S E4E 3x8 Long</v>
      </c>
    </row>
    <row r="1377" spans="1:20" x14ac:dyDescent="0.25">
      <c r="A1377" t="s">
        <v>1351</v>
      </c>
      <c r="B1377" t="s">
        <v>1748</v>
      </c>
      <c r="C1377" t="s">
        <v>283</v>
      </c>
      <c r="D1377" t="s">
        <v>438</v>
      </c>
      <c r="E1377" t="s">
        <v>1753</v>
      </c>
      <c r="F1377" t="s">
        <v>1750</v>
      </c>
      <c r="G1377" t="s">
        <v>1351</v>
      </c>
      <c r="H1377" t="s">
        <v>373</v>
      </c>
      <c r="I1377" t="s">
        <v>289</v>
      </c>
      <c r="J1377" t="s">
        <v>960</v>
      </c>
      <c r="K1377">
        <v>13</v>
      </c>
      <c r="L1377" s="6">
        <v>3.9624000000000001</v>
      </c>
      <c r="M1377" s="7">
        <v>63.5</v>
      </c>
      <c r="N1377" s="7">
        <v>184.15</v>
      </c>
      <c r="O1377" s="7">
        <f t="shared" si="112"/>
        <v>156</v>
      </c>
      <c r="P1377" s="7">
        <f t="shared" si="113"/>
        <v>2.5</v>
      </c>
      <c r="Q1377" s="7">
        <f t="shared" si="113"/>
        <v>7.2500000000000009</v>
      </c>
      <c r="R1377" s="6">
        <f t="shared" si="114"/>
        <v>280.56900000000002</v>
      </c>
      <c r="S1377" s="6">
        <f t="shared" si="115"/>
        <v>4.6334423460000003E-2</v>
      </c>
      <c r="T1377" t="str">
        <f t="shared" si="111"/>
        <v>Ipe S4S E4E 3x8 Long</v>
      </c>
    </row>
    <row r="1378" spans="1:20" x14ac:dyDescent="0.25">
      <c r="A1378" t="s">
        <v>1351</v>
      </c>
      <c r="B1378" t="s">
        <v>1748</v>
      </c>
      <c r="C1378" t="s">
        <v>283</v>
      </c>
      <c r="D1378" t="s">
        <v>438</v>
      </c>
      <c r="E1378" t="s">
        <v>129</v>
      </c>
      <c r="F1378" t="s">
        <v>1750</v>
      </c>
      <c r="G1378" t="s">
        <v>1351</v>
      </c>
      <c r="H1378" t="s">
        <v>373</v>
      </c>
      <c r="I1378" t="s">
        <v>289</v>
      </c>
      <c r="J1378" t="s">
        <v>960</v>
      </c>
      <c r="K1378">
        <v>14</v>
      </c>
      <c r="L1378" s="6">
        <v>4.2671999999999999</v>
      </c>
      <c r="M1378" s="7">
        <v>63.5</v>
      </c>
      <c r="N1378" s="7">
        <v>184.15</v>
      </c>
      <c r="O1378" s="7">
        <f t="shared" si="112"/>
        <v>168</v>
      </c>
      <c r="P1378" s="7">
        <f t="shared" si="113"/>
        <v>2.5</v>
      </c>
      <c r="Q1378" s="7">
        <f t="shared" si="113"/>
        <v>7.2500000000000009</v>
      </c>
      <c r="R1378" s="6">
        <f t="shared" si="114"/>
        <v>280.56900000000002</v>
      </c>
      <c r="S1378" s="6">
        <f t="shared" si="115"/>
        <v>4.9898609879999993E-2</v>
      </c>
      <c r="T1378" t="str">
        <f t="shared" si="111"/>
        <v>Ipe S4S E4E 3x8 Long</v>
      </c>
    </row>
    <row r="1379" spans="1:20" x14ac:dyDescent="0.25">
      <c r="A1379" t="s">
        <v>1351</v>
      </c>
      <c r="B1379" t="s">
        <v>1748</v>
      </c>
      <c r="C1379" t="s">
        <v>283</v>
      </c>
      <c r="D1379" t="s">
        <v>438</v>
      </c>
      <c r="E1379" t="s">
        <v>1754</v>
      </c>
      <c r="F1379" t="s">
        <v>1750</v>
      </c>
      <c r="G1379" t="s">
        <v>1351</v>
      </c>
      <c r="H1379" t="s">
        <v>373</v>
      </c>
      <c r="I1379" t="s">
        <v>289</v>
      </c>
      <c r="J1379" t="s">
        <v>960</v>
      </c>
      <c r="K1379">
        <v>15</v>
      </c>
      <c r="L1379" s="6">
        <v>4.5720000000000001</v>
      </c>
      <c r="M1379" s="7">
        <v>63.5</v>
      </c>
      <c r="N1379" s="7">
        <v>184.15</v>
      </c>
      <c r="O1379" s="7">
        <f t="shared" si="112"/>
        <v>180</v>
      </c>
      <c r="P1379" s="7">
        <f t="shared" si="113"/>
        <v>2.5</v>
      </c>
      <c r="Q1379" s="7">
        <f t="shared" si="113"/>
        <v>7.2500000000000009</v>
      </c>
      <c r="R1379" s="6">
        <f t="shared" si="114"/>
        <v>280.56900000000002</v>
      </c>
      <c r="S1379" s="6">
        <f t="shared" si="115"/>
        <v>5.3462796300000011E-2</v>
      </c>
      <c r="T1379" t="str">
        <f t="shared" si="111"/>
        <v>Ipe S4S E4E 3x8 Long</v>
      </c>
    </row>
    <row r="1380" spans="1:20" x14ac:dyDescent="0.25">
      <c r="A1380" t="s">
        <v>1351</v>
      </c>
      <c r="B1380" t="s">
        <v>1748</v>
      </c>
      <c r="C1380" t="s">
        <v>283</v>
      </c>
      <c r="D1380" t="s">
        <v>438</v>
      </c>
      <c r="E1380" t="s">
        <v>1755</v>
      </c>
      <c r="F1380" t="s">
        <v>1750</v>
      </c>
      <c r="G1380" t="s">
        <v>1351</v>
      </c>
      <c r="H1380" t="s">
        <v>373</v>
      </c>
      <c r="I1380" t="s">
        <v>289</v>
      </c>
      <c r="J1380" t="s">
        <v>960</v>
      </c>
      <c r="K1380">
        <v>16</v>
      </c>
      <c r="L1380" s="6">
        <v>4.8768000000000002</v>
      </c>
      <c r="M1380" s="7">
        <v>63.5</v>
      </c>
      <c r="N1380" s="7">
        <v>184.15</v>
      </c>
      <c r="O1380" s="7">
        <f t="shared" si="112"/>
        <v>192.00000000000003</v>
      </c>
      <c r="P1380" s="7">
        <f t="shared" si="113"/>
        <v>2.5</v>
      </c>
      <c r="Q1380" s="7">
        <f t="shared" si="113"/>
        <v>7.2500000000000009</v>
      </c>
      <c r="R1380" s="6">
        <f t="shared" si="114"/>
        <v>280.56900000000002</v>
      </c>
      <c r="S1380" s="6">
        <f t="shared" si="115"/>
        <v>5.7026982720000008E-2</v>
      </c>
      <c r="T1380" t="str">
        <f t="shared" si="111"/>
        <v>Ipe S4S E4E 3x8 Long</v>
      </c>
    </row>
    <row r="1381" spans="1:20" x14ac:dyDescent="0.25">
      <c r="A1381" t="s">
        <v>1351</v>
      </c>
      <c r="B1381" t="s">
        <v>1748</v>
      </c>
      <c r="C1381" t="s">
        <v>283</v>
      </c>
      <c r="D1381" t="s">
        <v>438</v>
      </c>
      <c r="E1381" t="s">
        <v>1756</v>
      </c>
      <c r="F1381" t="s">
        <v>1750</v>
      </c>
      <c r="G1381" t="s">
        <v>1351</v>
      </c>
      <c r="H1381" t="s">
        <v>373</v>
      </c>
      <c r="I1381" t="s">
        <v>289</v>
      </c>
      <c r="J1381" t="s">
        <v>960</v>
      </c>
      <c r="K1381">
        <v>17</v>
      </c>
      <c r="L1381" s="6">
        <v>5.1816000000000004</v>
      </c>
      <c r="M1381" s="7">
        <v>63.5</v>
      </c>
      <c r="N1381" s="7">
        <v>184.15</v>
      </c>
      <c r="O1381" s="7">
        <f t="shared" si="112"/>
        <v>204.00000000000003</v>
      </c>
      <c r="P1381" s="7">
        <f t="shared" si="113"/>
        <v>2.5</v>
      </c>
      <c r="Q1381" s="7">
        <f t="shared" si="113"/>
        <v>7.2500000000000009</v>
      </c>
      <c r="R1381" s="6">
        <f t="shared" si="114"/>
        <v>280.56900000000002</v>
      </c>
      <c r="S1381" s="6">
        <f t="shared" si="115"/>
        <v>6.0591169140000005E-2</v>
      </c>
      <c r="T1381" t="str">
        <f t="shared" si="111"/>
        <v>Ipe S4S E4E 3x8 Long</v>
      </c>
    </row>
    <row r="1382" spans="1:20" x14ac:dyDescent="0.25">
      <c r="A1382" t="s">
        <v>1351</v>
      </c>
      <c r="B1382" t="s">
        <v>1748</v>
      </c>
      <c r="C1382" t="s">
        <v>283</v>
      </c>
      <c r="D1382" t="s">
        <v>438</v>
      </c>
      <c r="E1382" t="s">
        <v>130</v>
      </c>
      <c r="F1382" t="s">
        <v>1750</v>
      </c>
      <c r="G1382" t="s">
        <v>1351</v>
      </c>
      <c r="H1382" t="s">
        <v>373</v>
      </c>
      <c r="I1382" t="s">
        <v>289</v>
      </c>
      <c r="J1382" t="s">
        <v>960</v>
      </c>
      <c r="K1382">
        <v>18</v>
      </c>
      <c r="L1382" s="6">
        <v>5.4863999999999997</v>
      </c>
      <c r="M1382" s="7">
        <v>63.5</v>
      </c>
      <c r="N1382" s="7">
        <v>184.15</v>
      </c>
      <c r="O1382" s="7">
        <f t="shared" si="112"/>
        <v>216</v>
      </c>
      <c r="P1382" s="7">
        <f t="shared" si="113"/>
        <v>2.5</v>
      </c>
      <c r="Q1382" s="7">
        <f t="shared" si="113"/>
        <v>7.2500000000000009</v>
      </c>
      <c r="R1382" s="6">
        <f t="shared" si="114"/>
        <v>280.56900000000002</v>
      </c>
      <c r="S1382" s="6">
        <f t="shared" si="115"/>
        <v>6.4155355560000002E-2</v>
      </c>
      <c r="T1382" t="str">
        <f t="shared" si="111"/>
        <v>Ipe S4S E4E 3x8 Long</v>
      </c>
    </row>
    <row r="1383" spans="1:20" x14ac:dyDescent="0.25">
      <c r="A1383" t="s">
        <v>1351</v>
      </c>
      <c r="B1383" t="s">
        <v>1748</v>
      </c>
      <c r="C1383" t="s">
        <v>283</v>
      </c>
      <c r="D1383" t="s">
        <v>438</v>
      </c>
      <c r="E1383" t="s">
        <v>1757</v>
      </c>
      <c r="F1383" t="s">
        <v>1750</v>
      </c>
      <c r="G1383" t="s">
        <v>1351</v>
      </c>
      <c r="H1383" t="s">
        <v>373</v>
      </c>
      <c r="I1383" t="s">
        <v>289</v>
      </c>
      <c r="J1383" t="s">
        <v>960</v>
      </c>
      <c r="K1383">
        <v>19</v>
      </c>
      <c r="L1383" s="6">
        <v>5.7911999999999999</v>
      </c>
      <c r="M1383" s="7">
        <v>63.5</v>
      </c>
      <c r="N1383" s="7">
        <v>184.15</v>
      </c>
      <c r="O1383" s="7">
        <f t="shared" si="112"/>
        <v>228</v>
      </c>
      <c r="P1383" s="7">
        <f t="shared" si="113"/>
        <v>2.5</v>
      </c>
      <c r="Q1383" s="7">
        <f t="shared" si="113"/>
        <v>7.2500000000000009</v>
      </c>
      <c r="R1383" s="6">
        <f t="shared" si="114"/>
        <v>280.56900000000002</v>
      </c>
      <c r="S1383" s="6">
        <f t="shared" si="115"/>
        <v>6.7719541980000006E-2</v>
      </c>
      <c r="T1383" t="str">
        <f t="shared" si="111"/>
        <v>Ipe S4S E4E 3x8 Long</v>
      </c>
    </row>
    <row r="1384" spans="1:20" x14ac:dyDescent="0.25">
      <c r="A1384" t="s">
        <v>1351</v>
      </c>
      <c r="B1384" t="s">
        <v>1748</v>
      </c>
      <c r="C1384" t="s">
        <v>283</v>
      </c>
      <c r="D1384" t="s">
        <v>438</v>
      </c>
      <c r="E1384" t="s">
        <v>1758</v>
      </c>
      <c r="F1384" t="s">
        <v>1750</v>
      </c>
      <c r="G1384" t="s">
        <v>1351</v>
      </c>
      <c r="H1384" t="s">
        <v>373</v>
      </c>
      <c r="I1384" t="s">
        <v>289</v>
      </c>
      <c r="J1384" t="s">
        <v>960</v>
      </c>
      <c r="K1384">
        <v>20</v>
      </c>
      <c r="L1384" s="6">
        <v>6.0960000000000001</v>
      </c>
      <c r="M1384" s="7">
        <v>63.5</v>
      </c>
      <c r="N1384" s="7">
        <v>184.15</v>
      </c>
      <c r="O1384" s="7">
        <f t="shared" si="112"/>
        <v>240</v>
      </c>
      <c r="P1384" s="7">
        <f t="shared" si="113"/>
        <v>2.5</v>
      </c>
      <c r="Q1384" s="7">
        <f t="shared" si="113"/>
        <v>7.2500000000000009</v>
      </c>
      <c r="R1384" s="6">
        <f t="shared" si="114"/>
        <v>280.56900000000002</v>
      </c>
      <c r="S1384" s="6">
        <f t="shared" si="115"/>
        <v>7.1283728399999996E-2</v>
      </c>
      <c r="T1384" t="str">
        <f t="shared" si="111"/>
        <v>Ipe S4S E4E 3x8 Long</v>
      </c>
    </row>
    <row r="1385" spans="1:20" x14ac:dyDescent="0.25">
      <c r="A1385" t="s">
        <v>1351</v>
      </c>
      <c r="B1385" t="s">
        <v>1748</v>
      </c>
      <c r="C1385" t="s">
        <v>283</v>
      </c>
      <c r="D1385" t="s">
        <v>438</v>
      </c>
      <c r="E1385" t="s">
        <v>1759</v>
      </c>
      <c r="F1385" t="s">
        <v>1750</v>
      </c>
      <c r="G1385" t="s">
        <v>1351</v>
      </c>
      <c r="H1385" t="s">
        <v>373</v>
      </c>
      <c r="I1385" t="s">
        <v>289</v>
      </c>
      <c r="J1385" t="s">
        <v>960</v>
      </c>
      <c r="K1385">
        <v>21</v>
      </c>
      <c r="L1385" s="6">
        <v>6.4008000000000003</v>
      </c>
      <c r="M1385" s="7">
        <v>63.5</v>
      </c>
      <c r="N1385" s="7">
        <v>184.15</v>
      </c>
      <c r="O1385" s="7">
        <f t="shared" si="112"/>
        <v>252.00000000000003</v>
      </c>
      <c r="P1385" s="7">
        <f t="shared" si="113"/>
        <v>2.5</v>
      </c>
      <c r="Q1385" s="7">
        <f t="shared" si="113"/>
        <v>7.2500000000000009</v>
      </c>
      <c r="R1385" s="6">
        <f t="shared" si="114"/>
        <v>280.56900000000002</v>
      </c>
      <c r="S1385" s="6">
        <f t="shared" si="115"/>
        <v>7.484791482E-2</v>
      </c>
      <c r="T1385" t="str">
        <f t="shared" si="111"/>
        <v>Ipe S4S E4E 3x8 Long</v>
      </c>
    </row>
    <row r="1386" spans="1:20" x14ac:dyDescent="0.25">
      <c r="A1386" t="s">
        <v>1351</v>
      </c>
      <c r="B1386" t="s">
        <v>1748</v>
      </c>
      <c r="C1386" t="s">
        <v>283</v>
      </c>
      <c r="D1386" t="s">
        <v>438</v>
      </c>
      <c r="E1386" t="s">
        <v>1760</v>
      </c>
      <c r="F1386" t="s">
        <v>1750</v>
      </c>
      <c r="G1386" t="s">
        <v>1351</v>
      </c>
      <c r="H1386" t="s">
        <v>373</v>
      </c>
      <c r="I1386" t="s">
        <v>289</v>
      </c>
      <c r="J1386" t="s">
        <v>960</v>
      </c>
      <c r="K1386">
        <v>22</v>
      </c>
      <c r="L1386" s="6">
        <v>6.7055999999999996</v>
      </c>
      <c r="M1386" s="7">
        <v>63.5</v>
      </c>
      <c r="N1386" s="7">
        <v>184.15</v>
      </c>
      <c r="O1386" s="7">
        <f t="shared" si="112"/>
        <v>264</v>
      </c>
      <c r="P1386" s="7">
        <f t="shared" si="113"/>
        <v>2.5</v>
      </c>
      <c r="Q1386" s="7">
        <f t="shared" si="113"/>
        <v>7.2500000000000009</v>
      </c>
      <c r="R1386" s="6">
        <f t="shared" si="114"/>
        <v>280.56900000000002</v>
      </c>
      <c r="S1386" s="6">
        <f t="shared" si="115"/>
        <v>7.8412101240000004E-2</v>
      </c>
      <c r="T1386" t="str">
        <f t="shared" si="111"/>
        <v>Ipe S4S E4E 3x8 Long</v>
      </c>
    </row>
    <row r="1387" spans="1:20" x14ac:dyDescent="0.25">
      <c r="A1387" t="s">
        <v>1351</v>
      </c>
      <c r="B1387" t="s">
        <v>1748</v>
      </c>
      <c r="C1387" t="s">
        <v>524</v>
      </c>
      <c r="D1387" t="s">
        <v>438</v>
      </c>
      <c r="E1387" t="s">
        <v>1761</v>
      </c>
      <c r="F1387" t="s">
        <v>1750</v>
      </c>
      <c r="G1387" t="s">
        <v>1351</v>
      </c>
      <c r="H1387" t="s">
        <v>373</v>
      </c>
      <c r="I1387" t="s">
        <v>289</v>
      </c>
      <c r="J1387" t="s">
        <v>960</v>
      </c>
      <c r="K1387">
        <v>3</v>
      </c>
      <c r="L1387" s="6">
        <v>0.91439999999999999</v>
      </c>
      <c r="M1387" s="7">
        <v>63.5</v>
      </c>
      <c r="N1387" s="7">
        <v>184.15</v>
      </c>
      <c r="O1387" s="7">
        <f t="shared" si="112"/>
        <v>36</v>
      </c>
      <c r="P1387" s="7">
        <f t="shared" si="113"/>
        <v>2.5</v>
      </c>
      <c r="Q1387" s="7">
        <f t="shared" si="113"/>
        <v>7.2500000000000009</v>
      </c>
      <c r="R1387" s="6">
        <f t="shared" si="114"/>
        <v>280.56900000000002</v>
      </c>
      <c r="S1387" s="6">
        <f t="shared" si="115"/>
        <v>1.0692559260000001E-2</v>
      </c>
      <c r="T1387" t="str">
        <f t="shared" si="111"/>
        <v>Ipe S4S E4E 3x8 Short</v>
      </c>
    </row>
    <row r="1388" spans="1:20" x14ac:dyDescent="0.25">
      <c r="A1388" t="s">
        <v>1351</v>
      </c>
      <c r="B1388" t="s">
        <v>1748</v>
      </c>
      <c r="C1388" t="s">
        <v>524</v>
      </c>
      <c r="D1388" t="s">
        <v>438</v>
      </c>
      <c r="E1388" t="s">
        <v>1762</v>
      </c>
      <c r="F1388" t="s">
        <v>1750</v>
      </c>
      <c r="G1388" t="s">
        <v>1351</v>
      </c>
      <c r="H1388" t="s">
        <v>373</v>
      </c>
      <c r="I1388" t="s">
        <v>289</v>
      </c>
      <c r="J1388" t="s">
        <v>960</v>
      </c>
      <c r="K1388">
        <v>4</v>
      </c>
      <c r="L1388" s="6">
        <v>1.2192000000000001</v>
      </c>
      <c r="M1388" s="7">
        <v>63.5</v>
      </c>
      <c r="N1388" s="7">
        <v>184.15</v>
      </c>
      <c r="O1388" s="7">
        <f t="shared" si="112"/>
        <v>48.000000000000007</v>
      </c>
      <c r="P1388" s="7">
        <f t="shared" si="113"/>
        <v>2.5</v>
      </c>
      <c r="Q1388" s="7">
        <f t="shared" si="113"/>
        <v>7.2500000000000009</v>
      </c>
      <c r="R1388" s="6">
        <f t="shared" si="114"/>
        <v>280.56900000000002</v>
      </c>
      <c r="S1388" s="6">
        <f t="shared" si="115"/>
        <v>1.4256745680000002E-2</v>
      </c>
      <c r="T1388" t="str">
        <f t="shared" si="111"/>
        <v>Ipe S4S E4E 3x8 Short</v>
      </c>
    </row>
    <row r="1389" spans="1:20" x14ac:dyDescent="0.25">
      <c r="A1389" t="s">
        <v>1351</v>
      </c>
      <c r="B1389" t="s">
        <v>1748</v>
      </c>
      <c r="C1389" t="s">
        <v>524</v>
      </c>
      <c r="D1389" t="s">
        <v>438</v>
      </c>
      <c r="E1389" t="s">
        <v>1763</v>
      </c>
      <c r="F1389" t="s">
        <v>1750</v>
      </c>
      <c r="G1389" t="s">
        <v>1351</v>
      </c>
      <c r="H1389" t="s">
        <v>373</v>
      </c>
      <c r="I1389" t="s">
        <v>289</v>
      </c>
      <c r="J1389" t="s">
        <v>960</v>
      </c>
      <c r="K1389">
        <v>5</v>
      </c>
      <c r="L1389" s="6">
        <v>1.524</v>
      </c>
      <c r="M1389" s="7">
        <v>63.5</v>
      </c>
      <c r="N1389" s="7">
        <v>184.15</v>
      </c>
      <c r="O1389" s="7">
        <f t="shared" si="112"/>
        <v>60</v>
      </c>
      <c r="P1389" s="7">
        <f t="shared" si="113"/>
        <v>2.5</v>
      </c>
      <c r="Q1389" s="7">
        <f t="shared" si="113"/>
        <v>7.2500000000000009</v>
      </c>
      <c r="R1389" s="6">
        <f t="shared" si="114"/>
        <v>280.56900000000002</v>
      </c>
      <c r="S1389" s="6">
        <f t="shared" si="115"/>
        <v>1.7820932099999999E-2</v>
      </c>
      <c r="T1389" t="str">
        <f t="shared" si="111"/>
        <v>Ipe S4S E4E 3x8 Short</v>
      </c>
    </row>
    <row r="1390" spans="1:20" x14ac:dyDescent="0.25">
      <c r="A1390" t="s">
        <v>1351</v>
      </c>
      <c r="B1390" t="s">
        <v>1748</v>
      </c>
      <c r="C1390" t="s">
        <v>524</v>
      </c>
      <c r="D1390" t="s">
        <v>438</v>
      </c>
      <c r="E1390" t="s">
        <v>1764</v>
      </c>
      <c r="F1390" t="s">
        <v>1750</v>
      </c>
      <c r="G1390" t="s">
        <v>1351</v>
      </c>
      <c r="H1390" t="s">
        <v>373</v>
      </c>
      <c r="I1390" t="s">
        <v>289</v>
      </c>
      <c r="J1390" t="s">
        <v>960</v>
      </c>
      <c r="K1390">
        <v>6</v>
      </c>
      <c r="L1390" s="6">
        <v>1.8288</v>
      </c>
      <c r="M1390" s="7">
        <v>63.5</v>
      </c>
      <c r="N1390" s="7">
        <v>184.15</v>
      </c>
      <c r="O1390" s="7">
        <f t="shared" si="112"/>
        <v>72</v>
      </c>
      <c r="P1390" s="7">
        <f t="shared" si="113"/>
        <v>2.5</v>
      </c>
      <c r="Q1390" s="7">
        <f t="shared" si="113"/>
        <v>7.2500000000000009</v>
      </c>
      <c r="R1390" s="6">
        <f t="shared" si="114"/>
        <v>280.56900000000002</v>
      </c>
      <c r="S1390" s="6">
        <f t="shared" si="115"/>
        <v>2.1385118520000003E-2</v>
      </c>
      <c r="T1390" t="str">
        <f t="shared" si="111"/>
        <v>Ipe S4S E4E 3x8 Short</v>
      </c>
    </row>
    <row r="1391" spans="1:20" x14ac:dyDescent="0.25">
      <c r="A1391" t="s">
        <v>1351</v>
      </c>
      <c r="B1391" t="s">
        <v>1748</v>
      </c>
      <c r="C1391" t="s">
        <v>524</v>
      </c>
      <c r="D1391" t="s">
        <v>438</v>
      </c>
      <c r="E1391" t="s">
        <v>1765</v>
      </c>
      <c r="F1391" t="s">
        <v>1750</v>
      </c>
      <c r="G1391" t="s">
        <v>1351</v>
      </c>
      <c r="H1391" t="s">
        <v>373</v>
      </c>
      <c r="I1391" t="s">
        <v>289</v>
      </c>
      <c r="J1391" t="s">
        <v>960</v>
      </c>
      <c r="K1391">
        <v>7</v>
      </c>
      <c r="L1391" s="6">
        <v>2.1335999999999999</v>
      </c>
      <c r="M1391" s="7">
        <v>63.5</v>
      </c>
      <c r="N1391" s="7">
        <v>184.15</v>
      </c>
      <c r="O1391" s="7">
        <f t="shared" si="112"/>
        <v>84</v>
      </c>
      <c r="P1391" s="7">
        <f t="shared" si="113"/>
        <v>2.5</v>
      </c>
      <c r="Q1391" s="7">
        <f t="shared" si="113"/>
        <v>7.2500000000000009</v>
      </c>
      <c r="R1391" s="6">
        <f t="shared" si="114"/>
        <v>280.56900000000002</v>
      </c>
      <c r="S1391" s="6">
        <f t="shared" si="115"/>
        <v>2.4949304939999997E-2</v>
      </c>
      <c r="T1391" t="str">
        <f t="shared" si="111"/>
        <v>Ipe S4S E4E 3x8 Short</v>
      </c>
    </row>
    <row r="1392" spans="1:20" x14ac:dyDescent="0.25">
      <c r="A1392" t="s">
        <v>1351</v>
      </c>
      <c r="B1392" t="s">
        <v>1748</v>
      </c>
      <c r="C1392" t="s">
        <v>283</v>
      </c>
      <c r="D1392" t="s">
        <v>438</v>
      </c>
      <c r="E1392" t="s">
        <v>1766</v>
      </c>
      <c r="F1392" t="s">
        <v>1750</v>
      </c>
      <c r="G1392" t="s">
        <v>1351</v>
      </c>
      <c r="H1392" t="s">
        <v>373</v>
      </c>
      <c r="I1392" t="s">
        <v>289</v>
      </c>
      <c r="J1392" t="s">
        <v>960</v>
      </c>
      <c r="K1392">
        <v>8</v>
      </c>
      <c r="L1392" s="6">
        <v>2.4384000000000001</v>
      </c>
      <c r="M1392" s="7">
        <v>63.5</v>
      </c>
      <c r="N1392" s="7">
        <v>184.15</v>
      </c>
      <c r="O1392" s="7">
        <f t="shared" si="112"/>
        <v>96.000000000000014</v>
      </c>
      <c r="P1392" s="7">
        <f t="shared" si="113"/>
        <v>2.5</v>
      </c>
      <c r="Q1392" s="7">
        <f t="shared" si="113"/>
        <v>7.2500000000000009</v>
      </c>
      <c r="R1392" s="6">
        <f t="shared" si="114"/>
        <v>280.56900000000002</v>
      </c>
      <c r="S1392" s="6">
        <f t="shared" si="115"/>
        <v>2.8513491360000004E-2</v>
      </c>
      <c r="T1392" t="str">
        <f t="shared" si="111"/>
        <v>Ipe S4S E4E 3x8 Long</v>
      </c>
    </row>
    <row r="1393" spans="1:20" x14ac:dyDescent="0.25">
      <c r="A1393" t="s">
        <v>1351</v>
      </c>
      <c r="B1393" t="s">
        <v>1748</v>
      </c>
      <c r="C1393" t="s">
        <v>283</v>
      </c>
      <c r="D1393" t="s">
        <v>438</v>
      </c>
      <c r="E1393" t="s">
        <v>1767</v>
      </c>
      <c r="F1393" t="s">
        <v>1750</v>
      </c>
      <c r="G1393" t="s">
        <v>1351</v>
      </c>
      <c r="H1393" t="s">
        <v>373</v>
      </c>
      <c r="I1393" t="s">
        <v>289</v>
      </c>
      <c r="J1393" t="s">
        <v>960</v>
      </c>
      <c r="K1393">
        <v>9</v>
      </c>
      <c r="L1393" s="6">
        <v>2.7431999999999999</v>
      </c>
      <c r="M1393" s="7">
        <v>63.5</v>
      </c>
      <c r="N1393" s="7">
        <v>184.15</v>
      </c>
      <c r="O1393" s="7">
        <f t="shared" si="112"/>
        <v>108</v>
      </c>
      <c r="P1393" s="7">
        <f t="shared" si="113"/>
        <v>2.5</v>
      </c>
      <c r="Q1393" s="7">
        <f t="shared" si="113"/>
        <v>7.2500000000000009</v>
      </c>
      <c r="R1393" s="6">
        <f t="shared" si="114"/>
        <v>280.56900000000002</v>
      </c>
      <c r="S1393" s="6">
        <f t="shared" si="115"/>
        <v>3.2077677780000001E-2</v>
      </c>
      <c r="T1393" t="str">
        <f t="shared" si="111"/>
        <v>Ipe S4S E4E 3x8 Long</v>
      </c>
    </row>
    <row r="1394" spans="1:20" x14ac:dyDescent="0.25">
      <c r="A1394" t="s">
        <v>1351</v>
      </c>
      <c r="B1394" t="s">
        <v>1768</v>
      </c>
      <c r="C1394" t="s">
        <v>283</v>
      </c>
      <c r="D1394" t="s">
        <v>438</v>
      </c>
      <c r="E1394" t="s">
        <v>1769</v>
      </c>
      <c r="F1394" t="s">
        <v>1770</v>
      </c>
      <c r="G1394" t="s">
        <v>1351</v>
      </c>
      <c r="H1394" t="s">
        <v>373</v>
      </c>
      <c r="I1394" t="s">
        <v>289</v>
      </c>
      <c r="J1394" t="s">
        <v>1771</v>
      </c>
      <c r="K1394">
        <v>10</v>
      </c>
      <c r="L1394" s="6">
        <v>3.048</v>
      </c>
      <c r="M1394" s="7">
        <v>88.9</v>
      </c>
      <c r="N1394" s="7">
        <v>234.95</v>
      </c>
      <c r="O1394" s="7">
        <f t="shared" si="112"/>
        <v>120</v>
      </c>
      <c r="P1394" s="7">
        <f t="shared" si="113"/>
        <v>3.5000000000000004</v>
      </c>
      <c r="Q1394" s="7">
        <f t="shared" si="113"/>
        <v>9.25</v>
      </c>
      <c r="R1394" s="6">
        <f t="shared" si="114"/>
        <v>157.07499999999999</v>
      </c>
      <c r="S1394" s="6">
        <f t="shared" si="115"/>
        <v>6.366374364000002E-2</v>
      </c>
      <c r="T1394" t="str">
        <f t="shared" si="111"/>
        <v>Ipe S4S E4E 4x10 Long</v>
      </c>
    </row>
    <row r="1395" spans="1:20" x14ac:dyDescent="0.25">
      <c r="A1395" t="s">
        <v>1351</v>
      </c>
      <c r="B1395" t="s">
        <v>1768</v>
      </c>
      <c r="C1395" t="s">
        <v>283</v>
      </c>
      <c r="D1395" t="s">
        <v>438</v>
      </c>
      <c r="E1395" t="s">
        <v>1772</v>
      </c>
      <c r="F1395" t="s">
        <v>1770</v>
      </c>
      <c r="G1395" t="s">
        <v>1351</v>
      </c>
      <c r="H1395" t="s">
        <v>373</v>
      </c>
      <c r="I1395" t="s">
        <v>289</v>
      </c>
      <c r="J1395" t="s">
        <v>1771</v>
      </c>
      <c r="K1395">
        <v>11</v>
      </c>
      <c r="L1395" s="6">
        <v>3.3527999999999998</v>
      </c>
      <c r="M1395" s="7">
        <v>88.9</v>
      </c>
      <c r="N1395" s="7">
        <v>234.95</v>
      </c>
      <c r="O1395" s="7">
        <f t="shared" si="112"/>
        <v>132</v>
      </c>
      <c r="P1395" s="7">
        <f t="shared" si="113"/>
        <v>3.5000000000000004</v>
      </c>
      <c r="Q1395" s="7">
        <f t="shared" si="113"/>
        <v>9.25</v>
      </c>
      <c r="R1395" s="6">
        <f t="shared" si="114"/>
        <v>157.07499999999999</v>
      </c>
      <c r="S1395" s="6">
        <f t="shared" si="115"/>
        <v>7.0030118003999983E-2</v>
      </c>
      <c r="T1395" t="str">
        <f t="shared" si="111"/>
        <v>Ipe S4S E4E 4x10 Long</v>
      </c>
    </row>
    <row r="1396" spans="1:20" x14ac:dyDescent="0.25">
      <c r="A1396" t="s">
        <v>1351</v>
      </c>
      <c r="B1396" t="s">
        <v>1768</v>
      </c>
      <c r="C1396" t="s">
        <v>283</v>
      </c>
      <c r="D1396" t="s">
        <v>438</v>
      </c>
      <c r="E1396" t="s">
        <v>1773</v>
      </c>
      <c r="F1396" t="s">
        <v>1770</v>
      </c>
      <c r="G1396" t="s">
        <v>1351</v>
      </c>
      <c r="H1396" t="s">
        <v>373</v>
      </c>
      <c r="I1396" t="s">
        <v>289</v>
      </c>
      <c r="J1396" t="s">
        <v>1771</v>
      </c>
      <c r="K1396">
        <v>12</v>
      </c>
      <c r="L1396" s="6">
        <v>3.6576</v>
      </c>
      <c r="M1396" s="7">
        <v>88.9</v>
      </c>
      <c r="N1396" s="7">
        <v>234.95</v>
      </c>
      <c r="O1396" s="7">
        <f t="shared" si="112"/>
        <v>144</v>
      </c>
      <c r="P1396" s="7">
        <f t="shared" si="113"/>
        <v>3.5000000000000004</v>
      </c>
      <c r="Q1396" s="7">
        <f t="shared" si="113"/>
        <v>9.25</v>
      </c>
      <c r="R1396" s="6">
        <f t="shared" si="114"/>
        <v>157.07499999999999</v>
      </c>
      <c r="S1396" s="6">
        <f t="shared" si="115"/>
        <v>7.6396492368000002E-2</v>
      </c>
      <c r="T1396" t="str">
        <f t="shared" si="111"/>
        <v>Ipe S4S E4E 4x10 Long</v>
      </c>
    </row>
    <row r="1397" spans="1:20" x14ac:dyDescent="0.25">
      <c r="A1397" t="s">
        <v>1351</v>
      </c>
      <c r="B1397" t="s">
        <v>1768</v>
      </c>
      <c r="C1397" t="s">
        <v>283</v>
      </c>
      <c r="D1397" t="s">
        <v>438</v>
      </c>
      <c r="E1397" t="s">
        <v>1774</v>
      </c>
      <c r="F1397" t="s">
        <v>1770</v>
      </c>
      <c r="G1397" t="s">
        <v>1351</v>
      </c>
      <c r="H1397" t="s">
        <v>373</v>
      </c>
      <c r="I1397" t="s">
        <v>289</v>
      </c>
      <c r="J1397" t="s">
        <v>1771</v>
      </c>
      <c r="K1397">
        <v>13</v>
      </c>
      <c r="L1397" s="6">
        <v>3.9624000000000001</v>
      </c>
      <c r="M1397" s="7">
        <v>88.9</v>
      </c>
      <c r="N1397" s="7">
        <v>234.95</v>
      </c>
      <c r="O1397" s="7">
        <f t="shared" si="112"/>
        <v>156</v>
      </c>
      <c r="P1397" s="7">
        <f t="shared" si="113"/>
        <v>3.5000000000000004</v>
      </c>
      <c r="Q1397" s="7">
        <f t="shared" si="113"/>
        <v>9.25</v>
      </c>
      <c r="R1397" s="6">
        <f t="shared" si="114"/>
        <v>157.07499999999999</v>
      </c>
      <c r="S1397" s="6">
        <f t="shared" si="115"/>
        <v>8.2762866732000021E-2</v>
      </c>
      <c r="T1397" t="str">
        <f t="shared" si="111"/>
        <v>Ipe S4S E4E 4x10 Long</v>
      </c>
    </row>
    <row r="1398" spans="1:20" x14ac:dyDescent="0.25">
      <c r="A1398" t="s">
        <v>1351</v>
      </c>
      <c r="B1398" t="s">
        <v>1768</v>
      </c>
      <c r="C1398" t="s">
        <v>283</v>
      </c>
      <c r="D1398" t="s">
        <v>438</v>
      </c>
      <c r="E1398" t="s">
        <v>1775</v>
      </c>
      <c r="F1398" t="s">
        <v>1770</v>
      </c>
      <c r="G1398" t="s">
        <v>1351</v>
      </c>
      <c r="H1398" t="s">
        <v>373</v>
      </c>
      <c r="I1398" t="s">
        <v>289</v>
      </c>
      <c r="J1398" t="s">
        <v>1771</v>
      </c>
      <c r="K1398">
        <v>14</v>
      </c>
      <c r="L1398" s="6">
        <v>4.2671999999999999</v>
      </c>
      <c r="M1398" s="7">
        <v>88.9</v>
      </c>
      <c r="N1398" s="7">
        <v>234.95</v>
      </c>
      <c r="O1398" s="7">
        <f t="shared" si="112"/>
        <v>168</v>
      </c>
      <c r="P1398" s="7">
        <f t="shared" si="113"/>
        <v>3.5000000000000004</v>
      </c>
      <c r="Q1398" s="7">
        <f t="shared" si="113"/>
        <v>9.25</v>
      </c>
      <c r="R1398" s="6">
        <f t="shared" si="114"/>
        <v>157.07499999999999</v>
      </c>
      <c r="S1398" s="6">
        <f t="shared" si="115"/>
        <v>8.9129241095999998E-2</v>
      </c>
      <c r="T1398" t="str">
        <f t="shared" si="111"/>
        <v>Ipe S4S E4E 4x10 Long</v>
      </c>
    </row>
    <row r="1399" spans="1:20" x14ac:dyDescent="0.25">
      <c r="A1399" t="s">
        <v>1351</v>
      </c>
      <c r="B1399" t="s">
        <v>1768</v>
      </c>
      <c r="C1399" t="s">
        <v>283</v>
      </c>
      <c r="D1399" t="s">
        <v>438</v>
      </c>
      <c r="E1399" t="s">
        <v>1776</v>
      </c>
      <c r="F1399" t="s">
        <v>1770</v>
      </c>
      <c r="G1399" t="s">
        <v>1351</v>
      </c>
      <c r="H1399" t="s">
        <v>373</v>
      </c>
      <c r="I1399" t="s">
        <v>289</v>
      </c>
      <c r="J1399" t="s">
        <v>1771</v>
      </c>
      <c r="K1399">
        <v>15</v>
      </c>
      <c r="L1399" s="6">
        <v>4.5720000000000001</v>
      </c>
      <c r="M1399" s="7">
        <v>88.9</v>
      </c>
      <c r="N1399" s="7">
        <v>234.95</v>
      </c>
      <c r="O1399" s="7">
        <f t="shared" si="112"/>
        <v>180</v>
      </c>
      <c r="P1399" s="7">
        <f t="shared" si="113"/>
        <v>3.5000000000000004</v>
      </c>
      <c r="Q1399" s="7">
        <f t="shared" si="113"/>
        <v>9.25</v>
      </c>
      <c r="R1399" s="6">
        <f t="shared" si="114"/>
        <v>157.07499999999999</v>
      </c>
      <c r="S1399" s="6">
        <f t="shared" si="115"/>
        <v>9.5495615460000002E-2</v>
      </c>
      <c r="T1399" t="str">
        <f t="shared" si="111"/>
        <v>Ipe S4S E4E 4x10 Long</v>
      </c>
    </row>
    <row r="1400" spans="1:20" x14ac:dyDescent="0.25">
      <c r="A1400" t="s">
        <v>1351</v>
      </c>
      <c r="B1400" t="s">
        <v>1768</v>
      </c>
      <c r="C1400" t="s">
        <v>283</v>
      </c>
      <c r="D1400" t="s">
        <v>438</v>
      </c>
      <c r="E1400" t="s">
        <v>1777</v>
      </c>
      <c r="F1400" t="s">
        <v>1770</v>
      </c>
      <c r="G1400" t="s">
        <v>1351</v>
      </c>
      <c r="H1400" t="s">
        <v>373</v>
      </c>
      <c r="I1400" t="s">
        <v>289</v>
      </c>
      <c r="J1400" t="s">
        <v>1771</v>
      </c>
      <c r="K1400">
        <v>16</v>
      </c>
      <c r="L1400" s="6">
        <v>4.8768000000000002</v>
      </c>
      <c r="M1400" s="7">
        <v>88.9</v>
      </c>
      <c r="N1400" s="7">
        <v>234.95</v>
      </c>
      <c r="O1400" s="7">
        <f t="shared" si="112"/>
        <v>192.00000000000003</v>
      </c>
      <c r="P1400" s="7">
        <f t="shared" si="113"/>
        <v>3.5000000000000004</v>
      </c>
      <c r="Q1400" s="7">
        <f t="shared" si="113"/>
        <v>9.25</v>
      </c>
      <c r="R1400" s="6">
        <f t="shared" si="114"/>
        <v>157.07499999999999</v>
      </c>
      <c r="S1400" s="6">
        <f t="shared" si="115"/>
        <v>0.10186198982400002</v>
      </c>
      <c r="T1400" t="str">
        <f t="shared" si="111"/>
        <v>Ipe S4S E4E 4x10 Long</v>
      </c>
    </row>
    <row r="1401" spans="1:20" x14ac:dyDescent="0.25">
      <c r="A1401" t="s">
        <v>1351</v>
      </c>
      <c r="B1401" t="s">
        <v>1768</v>
      </c>
      <c r="C1401" t="s">
        <v>283</v>
      </c>
      <c r="D1401" t="s">
        <v>438</v>
      </c>
      <c r="E1401" t="s">
        <v>1778</v>
      </c>
      <c r="F1401" t="s">
        <v>1770</v>
      </c>
      <c r="G1401" t="s">
        <v>1351</v>
      </c>
      <c r="H1401" t="s">
        <v>373</v>
      </c>
      <c r="I1401" t="s">
        <v>289</v>
      </c>
      <c r="J1401" t="s">
        <v>1771</v>
      </c>
      <c r="K1401">
        <v>17</v>
      </c>
      <c r="L1401" s="6">
        <v>5.1816000000000004</v>
      </c>
      <c r="M1401" s="7">
        <v>88.9</v>
      </c>
      <c r="N1401" s="7">
        <v>234.95</v>
      </c>
      <c r="O1401" s="7">
        <f t="shared" si="112"/>
        <v>204.00000000000003</v>
      </c>
      <c r="P1401" s="7">
        <f t="shared" si="113"/>
        <v>3.5000000000000004</v>
      </c>
      <c r="Q1401" s="7">
        <f t="shared" si="113"/>
        <v>9.25</v>
      </c>
      <c r="R1401" s="6">
        <f t="shared" si="114"/>
        <v>157.07499999999999</v>
      </c>
      <c r="S1401" s="6">
        <f t="shared" si="115"/>
        <v>0.10822836418800001</v>
      </c>
      <c r="T1401" t="str">
        <f t="shared" si="111"/>
        <v>Ipe S4S E4E 4x10 Long</v>
      </c>
    </row>
    <row r="1402" spans="1:20" x14ac:dyDescent="0.25">
      <c r="A1402" t="s">
        <v>1351</v>
      </c>
      <c r="B1402" t="s">
        <v>1768</v>
      </c>
      <c r="C1402" t="s">
        <v>283</v>
      </c>
      <c r="D1402" t="s">
        <v>438</v>
      </c>
      <c r="E1402" t="s">
        <v>1779</v>
      </c>
      <c r="F1402" t="s">
        <v>1770</v>
      </c>
      <c r="G1402" t="s">
        <v>1351</v>
      </c>
      <c r="H1402" t="s">
        <v>373</v>
      </c>
      <c r="I1402" t="s">
        <v>289</v>
      </c>
      <c r="J1402" t="s">
        <v>1771</v>
      </c>
      <c r="K1402">
        <v>18</v>
      </c>
      <c r="L1402" s="6">
        <v>5.4863999999999997</v>
      </c>
      <c r="M1402" s="7">
        <v>88.9</v>
      </c>
      <c r="N1402" s="7">
        <v>234.95</v>
      </c>
      <c r="O1402" s="7">
        <f t="shared" si="112"/>
        <v>216</v>
      </c>
      <c r="P1402" s="7">
        <f t="shared" si="113"/>
        <v>3.5000000000000004</v>
      </c>
      <c r="Q1402" s="7">
        <f t="shared" si="113"/>
        <v>9.25</v>
      </c>
      <c r="R1402" s="6">
        <f t="shared" si="114"/>
        <v>157.07499999999999</v>
      </c>
      <c r="S1402" s="6">
        <f t="shared" si="115"/>
        <v>0.114594738552</v>
      </c>
      <c r="T1402" t="str">
        <f t="shared" si="111"/>
        <v>Ipe S4S E4E 4x10 Long</v>
      </c>
    </row>
    <row r="1403" spans="1:20" x14ac:dyDescent="0.25">
      <c r="A1403" t="s">
        <v>1351</v>
      </c>
      <c r="B1403" t="s">
        <v>1768</v>
      </c>
      <c r="C1403" t="s">
        <v>283</v>
      </c>
      <c r="D1403" t="s">
        <v>438</v>
      </c>
      <c r="E1403" t="s">
        <v>1780</v>
      </c>
      <c r="F1403" t="s">
        <v>1770</v>
      </c>
      <c r="G1403" t="s">
        <v>1351</v>
      </c>
      <c r="H1403" t="s">
        <v>373</v>
      </c>
      <c r="I1403" t="s">
        <v>289</v>
      </c>
      <c r="J1403" t="s">
        <v>1771</v>
      </c>
      <c r="K1403">
        <v>19</v>
      </c>
      <c r="L1403" s="6">
        <v>5.7911999999999999</v>
      </c>
      <c r="M1403" s="7">
        <v>88.9</v>
      </c>
      <c r="N1403" s="7">
        <v>234.95</v>
      </c>
      <c r="O1403" s="7">
        <f t="shared" si="112"/>
        <v>228</v>
      </c>
      <c r="P1403" s="7">
        <f t="shared" si="113"/>
        <v>3.5000000000000004</v>
      </c>
      <c r="Q1403" s="7">
        <f t="shared" si="113"/>
        <v>9.25</v>
      </c>
      <c r="R1403" s="6">
        <f t="shared" si="114"/>
        <v>157.07499999999999</v>
      </c>
      <c r="S1403" s="6">
        <f t="shared" si="115"/>
        <v>0.12096111291599999</v>
      </c>
      <c r="T1403" t="str">
        <f t="shared" si="111"/>
        <v>Ipe S4S E4E 4x10 Long</v>
      </c>
    </row>
    <row r="1404" spans="1:20" x14ac:dyDescent="0.25">
      <c r="A1404" t="s">
        <v>1351</v>
      </c>
      <c r="B1404" t="s">
        <v>1768</v>
      </c>
      <c r="C1404" t="s">
        <v>283</v>
      </c>
      <c r="D1404" t="s">
        <v>438</v>
      </c>
      <c r="E1404" t="s">
        <v>1781</v>
      </c>
      <c r="F1404" t="s">
        <v>1770</v>
      </c>
      <c r="G1404" t="s">
        <v>1351</v>
      </c>
      <c r="H1404" t="s">
        <v>373</v>
      </c>
      <c r="I1404" t="s">
        <v>289</v>
      </c>
      <c r="J1404" t="s">
        <v>1771</v>
      </c>
      <c r="K1404">
        <v>20</v>
      </c>
      <c r="L1404" s="6">
        <v>6.0960000000000001</v>
      </c>
      <c r="M1404" s="7">
        <v>88.9</v>
      </c>
      <c r="N1404" s="7">
        <v>234.95</v>
      </c>
      <c r="O1404" s="7">
        <f t="shared" si="112"/>
        <v>240</v>
      </c>
      <c r="P1404" s="7">
        <f t="shared" si="113"/>
        <v>3.5000000000000004</v>
      </c>
      <c r="Q1404" s="7">
        <f t="shared" si="113"/>
        <v>9.25</v>
      </c>
      <c r="R1404" s="6">
        <f t="shared" si="114"/>
        <v>157.07499999999999</v>
      </c>
      <c r="S1404" s="6">
        <f t="shared" si="115"/>
        <v>0.12732748728000004</v>
      </c>
      <c r="T1404" t="str">
        <f t="shared" si="111"/>
        <v>Ipe S4S E4E 4x10 Long</v>
      </c>
    </row>
    <row r="1405" spans="1:20" x14ac:dyDescent="0.25">
      <c r="A1405" t="s">
        <v>1351</v>
      </c>
      <c r="B1405" t="s">
        <v>1768</v>
      </c>
      <c r="C1405" t="s">
        <v>283</v>
      </c>
      <c r="D1405" t="s">
        <v>438</v>
      </c>
      <c r="E1405" t="s">
        <v>1782</v>
      </c>
      <c r="F1405" t="s">
        <v>1770</v>
      </c>
      <c r="G1405" t="s">
        <v>1351</v>
      </c>
      <c r="H1405" t="s">
        <v>373</v>
      </c>
      <c r="I1405" t="s">
        <v>289</v>
      </c>
      <c r="J1405" t="s">
        <v>1771</v>
      </c>
      <c r="K1405">
        <v>21</v>
      </c>
      <c r="L1405" s="6">
        <v>6.4008000000000003</v>
      </c>
      <c r="M1405" s="7">
        <v>88.9</v>
      </c>
      <c r="N1405" s="7">
        <v>234.95</v>
      </c>
      <c r="O1405" s="7">
        <f t="shared" si="112"/>
        <v>252.00000000000003</v>
      </c>
      <c r="P1405" s="7">
        <f t="shared" si="113"/>
        <v>3.5000000000000004</v>
      </c>
      <c r="Q1405" s="7">
        <f t="shared" si="113"/>
        <v>9.25</v>
      </c>
      <c r="R1405" s="6">
        <f t="shared" si="114"/>
        <v>157.07499999999999</v>
      </c>
      <c r="S1405" s="6">
        <f t="shared" si="115"/>
        <v>0.13369386164400002</v>
      </c>
      <c r="T1405" t="str">
        <f t="shared" si="111"/>
        <v>Ipe S4S E4E 4x10 Long</v>
      </c>
    </row>
    <row r="1406" spans="1:20" x14ac:dyDescent="0.25">
      <c r="A1406" t="s">
        <v>1351</v>
      </c>
      <c r="B1406" t="s">
        <v>1768</v>
      </c>
      <c r="C1406" t="s">
        <v>283</v>
      </c>
      <c r="D1406" t="s">
        <v>438</v>
      </c>
      <c r="E1406" t="s">
        <v>1783</v>
      </c>
      <c r="F1406" t="s">
        <v>1770</v>
      </c>
      <c r="G1406" t="s">
        <v>1351</v>
      </c>
      <c r="H1406" t="s">
        <v>373</v>
      </c>
      <c r="I1406" t="s">
        <v>289</v>
      </c>
      <c r="J1406" t="s">
        <v>1771</v>
      </c>
      <c r="K1406">
        <v>22</v>
      </c>
      <c r="L1406" s="6">
        <v>6.7055999999999996</v>
      </c>
      <c r="M1406" s="7">
        <v>88.9</v>
      </c>
      <c r="N1406" s="7">
        <v>234.95</v>
      </c>
      <c r="O1406" s="7">
        <f t="shared" si="112"/>
        <v>264</v>
      </c>
      <c r="P1406" s="7">
        <f t="shared" si="113"/>
        <v>3.5000000000000004</v>
      </c>
      <c r="Q1406" s="7">
        <f t="shared" si="113"/>
        <v>9.25</v>
      </c>
      <c r="R1406" s="6">
        <f t="shared" si="114"/>
        <v>157.07499999999999</v>
      </c>
      <c r="S1406" s="6">
        <f t="shared" si="115"/>
        <v>0.14006023600799997</v>
      </c>
      <c r="T1406" t="str">
        <f t="shared" si="111"/>
        <v>Ipe S4S E4E 4x10 Long</v>
      </c>
    </row>
    <row r="1407" spans="1:20" x14ac:dyDescent="0.25">
      <c r="A1407" t="s">
        <v>1351</v>
      </c>
      <c r="B1407" t="s">
        <v>1768</v>
      </c>
      <c r="C1407" t="s">
        <v>524</v>
      </c>
      <c r="D1407" t="s">
        <v>438</v>
      </c>
      <c r="E1407" t="s">
        <v>1784</v>
      </c>
      <c r="F1407" t="s">
        <v>1770</v>
      </c>
      <c r="G1407" t="s">
        <v>1351</v>
      </c>
      <c r="H1407" t="s">
        <v>373</v>
      </c>
      <c r="I1407" t="s">
        <v>289</v>
      </c>
      <c r="J1407" t="s">
        <v>1771</v>
      </c>
      <c r="K1407">
        <v>3</v>
      </c>
      <c r="L1407" s="6">
        <v>0.91439999999999999</v>
      </c>
      <c r="M1407" s="7">
        <v>88.9</v>
      </c>
      <c r="N1407" s="7">
        <v>234.95</v>
      </c>
      <c r="O1407" s="7">
        <f t="shared" si="112"/>
        <v>36</v>
      </c>
      <c r="P1407" s="7">
        <f t="shared" si="113"/>
        <v>3.5000000000000004</v>
      </c>
      <c r="Q1407" s="7">
        <f t="shared" si="113"/>
        <v>9.25</v>
      </c>
      <c r="R1407" s="6">
        <f t="shared" si="114"/>
        <v>157.07499999999999</v>
      </c>
      <c r="S1407" s="6">
        <f t="shared" si="115"/>
        <v>1.9099123092E-2</v>
      </c>
      <c r="T1407" t="str">
        <f t="shared" si="111"/>
        <v>Ipe S4S E4E 4x10 Short</v>
      </c>
    </row>
    <row r="1408" spans="1:20" x14ac:dyDescent="0.25">
      <c r="A1408" t="s">
        <v>1351</v>
      </c>
      <c r="B1408" t="s">
        <v>1768</v>
      </c>
      <c r="C1408" t="s">
        <v>524</v>
      </c>
      <c r="D1408" t="s">
        <v>438</v>
      </c>
      <c r="E1408" t="s">
        <v>1785</v>
      </c>
      <c r="F1408" t="s">
        <v>1770</v>
      </c>
      <c r="G1408" t="s">
        <v>1351</v>
      </c>
      <c r="H1408" t="s">
        <v>373</v>
      </c>
      <c r="I1408" t="s">
        <v>289</v>
      </c>
      <c r="J1408" t="s">
        <v>1771</v>
      </c>
      <c r="K1408">
        <v>4</v>
      </c>
      <c r="L1408" s="6">
        <v>1.2192000000000001</v>
      </c>
      <c r="M1408" s="7">
        <v>88.9</v>
      </c>
      <c r="N1408" s="7">
        <v>234.95</v>
      </c>
      <c r="O1408" s="7">
        <f t="shared" si="112"/>
        <v>48.000000000000007</v>
      </c>
      <c r="P1408" s="7">
        <f t="shared" si="113"/>
        <v>3.5000000000000004</v>
      </c>
      <c r="Q1408" s="7">
        <f t="shared" si="113"/>
        <v>9.25</v>
      </c>
      <c r="R1408" s="6">
        <f t="shared" si="114"/>
        <v>157.07499999999999</v>
      </c>
      <c r="S1408" s="6">
        <f t="shared" si="115"/>
        <v>2.5465497456000005E-2</v>
      </c>
      <c r="T1408" t="str">
        <f t="shared" si="111"/>
        <v>Ipe S4S E4E 4x10 Short</v>
      </c>
    </row>
    <row r="1409" spans="1:20" x14ac:dyDescent="0.25">
      <c r="A1409" t="s">
        <v>1351</v>
      </c>
      <c r="B1409" t="s">
        <v>1768</v>
      </c>
      <c r="C1409" t="s">
        <v>524</v>
      </c>
      <c r="D1409" t="s">
        <v>438</v>
      </c>
      <c r="E1409" t="s">
        <v>1786</v>
      </c>
      <c r="F1409" t="s">
        <v>1770</v>
      </c>
      <c r="G1409" t="s">
        <v>1351</v>
      </c>
      <c r="H1409" t="s">
        <v>373</v>
      </c>
      <c r="I1409" t="s">
        <v>289</v>
      </c>
      <c r="J1409" t="s">
        <v>1771</v>
      </c>
      <c r="K1409">
        <v>5</v>
      </c>
      <c r="L1409" s="6">
        <v>1.524</v>
      </c>
      <c r="M1409" s="7">
        <v>88.9</v>
      </c>
      <c r="N1409" s="7">
        <v>234.95</v>
      </c>
      <c r="O1409" s="7">
        <f t="shared" si="112"/>
        <v>60</v>
      </c>
      <c r="P1409" s="7">
        <f t="shared" si="113"/>
        <v>3.5000000000000004</v>
      </c>
      <c r="Q1409" s="7">
        <f t="shared" si="113"/>
        <v>9.25</v>
      </c>
      <c r="R1409" s="6">
        <f t="shared" si="114"/>
        <v>157.07499999999999</v>
      </c>
      <c r="S1409" s="6">
        <f t="shared" si="115"/>
        <v>3.183187182000001E-2</v>
      </c>
      <c r="T1409" t="str">
        <f t="shared" si="111"/>
        <v>Ipe S4S E4E 4x10 Short</v>
      </c>
    </row>
    <row r="1410" spans="1:20" x14ac:dyDescent="0.25">
      <c r="A1410" t="s">
        <v>1351</v>
      </c>
      <c r="B1410" t="s">
        <v>1768</v>
      </c>
      <c r="C1410" t="s">
        <v>524</v>
      </c>
      <c r="D1410" t="s">
        <v>438</v>
      </c>
      <c r="E1410" t="s">
        <v>1787</v>
      </c>
      <c r="F1410" t="s">
        <v>1770</v>
      </c>
      <c r="G1410" t="s">
        <v>1351</v>
      </c>
      <c r="H1410" t="s">
        <v>373</v>
      </c>
      <c r="I1410" t="s">
        <v>289</v>
      </c>
      <c r="J1410" t="s">
        <v>1771</v>
      </c>
      <c r="K1410">
        <v>6</v>
      </c>
      <c r="L1410" s="6">
        <v>1.8288</v>
      </c>
      <c r="M1410" s="7">
        <v>88.9</v>
      </c>
      <c r="N1410" s="7">
        <v>234.95</v>
      </c>
      <c r="O1410" s="7">
        <f t="shared" si="112"/>
        <v>72</v>
      </c>
      <c r="P1410" s="7">
        <f t="shared" si="113"/>
        <v>3.5000000000000004</v>
      </c>
      <c r="Q1410" s="7">
        <f t="shared" si="113"/>
        <v>9.25</v>
      </c>
      <c r="R1410" s="6">
        <f t="shared" si="114"/>
        <v>157.07499999999999</v>
      </c>
      <c r="S1410" s="6">
        <f t="shared" si="115"/>
        <v>3.8198246184000001E-2</v>
      </c>
      <c r="T1410" t="str">
        <f t="shared" ref="T1410:T1473" si="116">F1410&amp;" "&amp;C1410</f>
        <v>Ipe S4S E4E 4x10 Short</v>
      </c>
    </row>
    <row r="1411" spans="1:20" x14ac:dyDescent="0.25">
      <c r="A1411" t="s">
        <v>1351</v>
      </c>
      <c r="B1411" t="s">
        <v>1768</v>
      </c>
      <c r="C1411" t="s">
        <v>524</v>
      </c>
      <c r="D1411" t="s">
        <v>438</v>
      </c>
      <c r="E1411" t="s">
        <v>1788</v>
      </c>
      <c r="F1411" t="s">
        <v>1770</v>
      </c>
      <c r="G1411" t="s">
        <v>1351</v>
      </c>
      <c r="H1411" t="s">
        <v>373</v>
      </c>
      <c r="I1411" t="s">
        <v>289</v>
      </c>
      <c r="J1411" t="s">
        <v>1771</v>
      </c>
      <c r="K1411">
        <v>7</v>
      </c>
      <c r="L1411" s="6">
        <v>2.1335999999999999</v>
      </c>
      <c r="M1411" s="7">
        <v>88.9</v>
      </c>
      <c r="N1411" s="7">
        <v>234.95</v>
      </c>
      <c r="O1411" s="7">
        <f t="shared" si="112"/>
        <v>84</v>
      </c>
      <c r="P1411" s="7">
        <f t="shared" si="113"/>
        <v>3.5000000000000004</v>
      </c>
      <c r="Q1411" s="7">
        <f t="shared" si="113"/>
        <v>9.25</v>
      </c>
      <c r="R1411" s="6">
        <f t="shared" si="114"/>
        <v>157.07499999999999</v>
      </c>
      <c r="S1411" s="6">
        <f t="shared" si="115"/>
        <v>4.4564620547999999E-2</v>
      </c>
      <c r="T1411" t="str">
        <f t="shared" si="116"/>
        <v>Ipe S4S E4E 4x10 Short</v>
      </c>
    </row>
    <row r="1412" spans="1:20" x14ac:dyDescent="0.25">
      <c r="A1412" t="s">
        <v>1351</v>
      </c>
      <c r="B1412" t="s">
        <v>1768</v>
      </c>
      <c r="C1412" t="s">
        <v>283</v>
      </c>
      <c r="D1412" t="s">
        <v>438</v>
      </c>
      <c r="E1412" t="s">
        <v>1789</v>
      </c>
      <c r="F1412" t="s">
        <v>1770</v>
      </c>
      <c r="G1412" t="s">
        <v>1351</v>
      </c>
      <c r="H1412" t="s">
        <v>373</v>
      </c>
      <c r="I1412" t="s">
        <v>289</v>
      </c>
      <c r="J1412" t="s">
        <v>1771</v>
      </c>
      <c r="K1412">
        <v>8</v>
      </c>
      <c r="L1412" s="6">
        <v>2.4384000000000001</v>
      </c>
      <c r="M1412" s="7">
        <v>88.9</v>
      </c>
      <c r="N1412" s="7">
        <v>234.95</v>
      </c>
      <c r="O1412" s="7">
        <f t="shared" si="112"/>
        <v>96.000000000000014</v>
      </c>
      <c r="P1412" s="7">
        <f t="shared" si="113"/>
        <v>3.5000000000000004</v>
      </c>
      <c r="Q1412" s="7">
        <f t="shared" si="113"/>
        <v>9.25</v>
      </c>
      <c r="R1412" s="6">
        <f t="shared" si="114"/>
        <v>157.07499999999999</v>
      </c>
      <c r="S1412" s="6">
        <f t="shared" si="115"/>
        <v>5.093099491200001E-2</v>
      </c>
      <c r="T1412" t="str">
        <f t="shared" si="116"/>
        <v>Ipe S4S E4E 4x10 Long</v>
      </c>
    </row>
    <row r="1413" spans="1:20" x14ac:dyDescent="0.25">
      <c r="A1413" t="s">
        <v>1351</v>
      </c>
      <c r="B1413" t="s">
        <v>1768</v>
      </c>
      <c r="C1413" t="s">
        <v>283</v>
      </c>
      <c r="D1413" t="s">
        <v>438</v>
      </c>
      <c r="E1413" t="s">
        <v>1790</v>
      </c>
      <c r="F1413" t="s">
        <v>1770</v>
      </c>
      <c r="G1413" t="s">
        <v>1351</v>
      </c>
      <c r="H1413" t="s">
        <v>373</v>
      </c>
      <c r="I1413" t="s">
        <v>289</v>
      </c>
      <c r="J1413" t="s">
        <v>1771</v>
      </c>
      <c r="K1413">
        <v>9</v>
      </c>
      <c r="L1413" s="6">
        <v>2.7431999999999999</v>
      </c>
      <c r="M1413" s="7">
        <v>88.9</v>
      </c>
      <c r="N1413" s="7">
        <v>234.95</v>
      </c>
      <c r="O1413" s="7">
        <f t="shared" si="112"/>
        <v>108</v>
      </c>
      <c r="P1413" s="7">
        <f t="shared" si="113"/>
        <v>3.5000000000000004</v>
      </c>
      <c r="Q1413" s="7">
        <f t="shared" si="113"/>
        <v>9.25</v>
      </c>
      <c r="R1413" s="6">
        <f t="shared" si="114"/>
        <v>157.07499999999999</v>
      </c>
      <c r="S1413" s="6">
        <f t="shared" si="115"/>
        <v>5.7297369276000001E-2</v>
      </c>
      <c r="T1413" t="str">
        <f t="shared" si="116"/>
        <v>Ipe S4S E4E 4x10 Long</v>
      </c>
    </row>
    <row r="1414" spans="1:20" x14ac:dyDescent="0.25">
      <c r="A1414" t="s">
        <v>1351</v>
      </c>
      <c r="B1414" t="s">
        <v>1791</v>
      </c>
      <c r="C1414" t="s">
        <v>283</v>
      </c>
      <c r="D1414" t="s">
        <v>438</v>
      </c>
      <c r="E1414" t="s">
        <v>1792</v>
      </c>
      <c r="F1414" t="s">
        <v>1793</v>
      </c>
      <c r="G1414" t="s">
        <v>1351</v>
      </c>
      <c r="H1414" t="s">
        <v>373</v>
      </c>
      <c r="I1414" t="s">
        <v>289</v>
      </c>
      <c r="J1414" t="s">
        <v>1006</v>
      </c>
      <c r="K1414">
        <v>10</v>
      </c>
      <c r="L1414" s="6">
        <v>3.048</v>
      </c>
      <c r="M1414" s="7">
        <v>88.9</v>
      </c>
      <c r="N1414" s="7">
        <v>285.75</v>
      </c>
      <c r="O1414" s="7">
        <f t="shared" si="112"/>
        <v>120</v>
      </c>
      <c r="P1414" s="7">
        <f t="shared" si="113"/>
        <v>3.5000000000000004</v>
      </c>
      <c r="Q1414" s="7">
        <f t="shared" si="113"/>
        <v>11.25</v>
      </c>
      <c r="R1414" s="6">
        <f t="shared" si="114"/>
        <v>129.15100000000001</v>
      </c>
      <c r="S1414" s="6">
        <f t="shared" si="115"/>
        <v>7.7428877400000012E-2</v>
      </c>
      <c r="T1414" t="str">
        <f t="shared" si="116"/>
        <v>Ipe S4S E4E 4x12 Long</v>
      </c>
    </row>
    <row r="1415" spans="1:20" x14ac:dyDescent="0.25">
      <c r="A1415" t="s">
        <v>1351</v>
      </c>
      <c r="B1415" t="s">
        <v>1791</v>
      </c>
      <c r="C1415" t="s">
        <v>283</v>
      </c>
      <c r="D1415" t="s">
        <v>438</v>
      </c>
      <c r="E1415" t="s">
        <v>1794</v>
      </c>
      <c r="F1415" t="s">
        <v>1793</v>
      </c>
      <c r="G1415" t="s">
        <v>1351</v>
      </c>
      <c r="H1415" t="s">
        <v>373</v>
      </c>
      <c r="I1415" t="s">
        <v>289</v>
      </c>
      <c r="J1415" t="s">
        <v>1006</v>
      </c>
      <c r="K1415">
        <v>11</v>
      </c>
      <c r="L1415" s="6">
        <v>3.3527999999999998</v>
      </c>
      <c r="M1415" s="7">
        <v>88.9</v>
      </c>
      <c r="N1415" s="7">
        <v>285.75</v>
      </c>
      <c r="O1415" s="7">
        <f t="shared" si="112"/>
        <v>132</v>
      </c>
      <c r="P1415" s="7">
        <f t="shared" si="113"/>
        <v>3.5000000000000004</v>
      </c>
      <c r="Q1415" s="7">
        <f t="shared" si="113"/>
        <v>11.25</v>
      </c>
      <c r="R1415" s="6">
        <f t="shared" si="114"/>
        <v>129.15100000000001</v>
      </c>
      <c r="S1415" s="6">
        <f t="shared" si="115"/>
        <v>8.5171765139999994E-2</v>
      </c>
      <c r="T1415" t="str">
        <f t="shared" si="116"/>
        <v>Ipe S4S E4E 4x12 Long</v>
      </c>
    </row>
    <row r="1416" spans="1:20" x14ac:dyDescent="0.25">
      <c r="A1416" t="s">
        <v>1351</v>
      </c>
      <c r="B1416" t="s">
        <v>1791</v>
      </c>
      <c r="C1416" t="s">
        <v>283</v>
      </c>
      <c r="D1416" t="s">
        <v>438</v>
      </c>
      <c r="E1416" t="s">
        <v>1795</v>
      </c>
      <c r="F1416" t="s">
        <v>1793</v>
      </c>
      <c r="G1416" t="s">
        <v>1351</v>
      </c>
      <c r="H1416" t="s">
        <v>373</v>
      </c>
      <c r="I1416" t="s">
        <v>289</v>
      </c>
      <c r="J1416" t="s">
        <v>1006</v>
      </c>
      <c r="K1416">
        <v>12</v>
      </c>
      <c r="L1416" s="6">
        <v>3.6576</v>
      </c>
      <c r="M1416" s="7">
        <v>88.9</v>
      </c>
      <c r="N1416" s="7">
        <v>285.75</v>
      </c>
      <c r="O1416" s="7">
        <f t="shared" si="112"/>
        <v>144</v>
      </c>
      <c r="P1416" s="7">
        <f t="shared" si="113"/>
        <v>3.5000000000000004</v>
      </c>
      <c r="Q1416" s="7">
        <f t="shared" si="113"/>
        <v>11.25</v>
      </c>
      <c r="R1416" s="6">
        <f t="shared" si="114"/>
        <v>129.15100000000001</v>
      </c>
      <c r="S1416" s="6">
        <f t="shared" si="115"/>
        <v>9.2914652880000004E-2</v>
      </c>
      <c r="T1416" t="str">
        <f t="shared" si="116"/>
        <v>Ipe S4S E4E 4x12 Long</v>
      </c>
    </row>
    <row r="1417" spans="1:20" x14ac:dyDescent="0.25">
      <c r="A1417" t="s">
        <v>1351</v>
      </c>
      <c r="B1417" t="s">
        <v>1791</v>
      </c>
      <c r="C1417" t="s">
        <v>283</v>
      </c>
      <c r="D1417" t="s">
        <v>438</v>
      </c>
      <c r="E1417" t="s">
        <v>1796</v>
      </c>
      <c r="F1417" t="s">
        <v>1793</v>
      </c>
      <c r="G1417" t="s">
        <v>1351</v>
      </c>
      <c r="H1417" t="s">
        <v>373</v>
      </c>
      <c r="I1417" t="s">
        <v>289</v>
      </c>
      <c r="J1417" t="s">
        <v>1006</v>
      </c>
      <c r="K1417">
        <v>13</v>
      </c>
      <c r="L1417" s="6">
        <v>3.9624000000000001</v>
      </c>
      <c r="M1417" s="7">
        <v>88.9</v>
      </c>
      <c r="N1417" s="7">
        <v>285.75</v>
      </c>
      <c r="O1417" s="7">
        <f t="shared" si="112"/>
        <v>156</v>
      </c>
      <c r="P1417" s="7">
        <f t="shared" si="113"/>
        <v>3.5000000000000004</v>
      </c>
      <c r="Q1417" s="7">
        <f t="shared" si="113"/>
        <v>11.25</v>
      </c>
      <c r="R1417" s="6">
        <f t="shared" si="114"/>
        <v>129.15100000000001</v>
      </c>
      <c r="S1417" s="6">
        <f t="shared" si="115"/>
        <v>0.10065754062000001</v>
      </c>
      <c r="T1417" t="str">
        <f t="shared" si="116"/>
        <v>Ipe S4S E4E 4x12 Long</v>
      </c>
    </row>
    <row r="1418" spans="1:20" x14ac:dyDescent="0.25">
      <c r="A1418" t="s">
        <v>1351</v>
      </c>
      <c r="B1418" t="s">
        <v>1791</v>
      </c>
      <c r="C1418" t="s">
        <v>283</v>
      </c>
      <c r="D1418" t="s">
        <v>438</v>
      </c>
      <c r="E1418" t="s">
        <v>1797</v>
      </c>
      <c r="F1418" t="s">
        <v>1793</v>
      </c>
      <c r="G1418" t="s">
        <v>1351</v>
      </c>
      <c r="H1418" t="s">
        <v>373</v>
      </c>
      <c r="I1418" t="s">
        <v>289</v>
      </c>
      <c r="J1418" t="s">
        <v>1006</v>
      </c>
      <c r="K1418">
        <v>14</v>
      </c>
      <c r="L1418" s="6">
        <v>4.2671999999999999</v>
      </c>
      <c r="M1418" s="7">
        <v>88.9</v>
      </c>
      <c r="N1418" s="7">
        <v>285.75</v>
      </c>
      <c r="O1418" s="7">
        <f t="shared" si="112"/>
        <v>168</v>
      </c>
      <c r="P1418" s="7">
        <f t="shared" si="113"/>
        <v>3.5000000000000004</v>
      </c>
      <c r="Q1418" s="7">
        <f t="shared" si="113"/>
        <v>11.25</v>
      </c>
      <c r="R1418" s="6">
        <f t="shared" si="114"/>
        <v>129.15100000000001</v>
      </c>
      <c r="S1418" s="6">
        <f t="shared" si="115"/>
        <v>0.10840042836000001</v>
      </c>
      <c r="T1418" t="str">
        <f t="shared" si="116"/>
        <v>Ipe S4S E4E 4x12 Long</v>
      </c>
    </row>
    <row r="1419" spans="1:20" x14ac:dyDescent="0.25">
      <c r="A1419" t="s">
        <v>1351</v>
      </c>
      <c r="B1419" t="s">
        <v>1791</v>
      </c>
      <c r="C1419" t="s">
        <v>283</v>
      </c>
      <c r="D1419" t="s">
        <v>438</v>
      </c>
      <c r="E1419" t="s">
        <v>1798</v>
      </c>
      <c r="F1419" t="s">
        <v>1793</v>
      </c>
      <c r="G1419" t="s">
        <v>1351</v>
      </c>
      <c r="H1419" t="s">
        <v>373</v>
      </c>
      <c r="I1419" t="s">
        <v>289</v>
      </c>
      <c r="J1419" t="s">
        <v>1006</v>
      </c>
      <c r="K1419">
        <v>15</v>
      </c>
      <c r="L1419" s="6">
        <v>4.5720000000000001</v>
      </c>
      <c r="M1419" s="7">
        <v>88.9</v>
      </c>
      <c r="N1419" s="7">
        <v>285.75</v>
      </c>
      <c r="O1419" s="7">
        <f t="shared" si="112"/>
        <v>180</v>
      </c>
      <c r="P1419" s="7">
        <f t="shared" si="113"/>
        <v>3.5000000000000004</v>
      </c>
      <c r="Q1419" s="7">
        <f t="shared" si="113"/>
        <v>11.25</v>
      </c>
      <c r="R1419" s="6">
        <f t="shared" si="114"/>
        <v>129.15100000000001</v>
      </c>
      <c r="S1419" s="6">
        <f t="shared" si="115"/>
        <v>0.1161433161</v>
      </c>
      <c r="T1419" t="str">
        <f t="shared" si="116"/>
        <v>Ipe S4S E4E 4x12 Long</v>
      </c>
    </row>
    <row r="1420" spans="1:20" x14ac:dyDescent="0.25">
      <c r="A1420" t="s">
        <v>1351</v>
      </c>
      <c r="B1420" t="s">
        <v>1791</v>
      </c>
      <c r="C1420" t="s">
        <v>283</v>
      </c>
      <c r="D1420" t="s">
        <v>438</v>
      </c>
      <c r="E1420" t="s">
        <v>1799</v>
      </c>
      <c r="F1420" t="s">
        <v>1793</v>
      </c>
      <c r="G1420" t="s">
        <v>1351</v>
      </c>
      <c r="H1420" t="s">
        <v>373</v>
      </c>
      <c r="I1420" t="s">
        <v>289</v>
      </c>
      <c r="J1420" t="s">
        <v>1006</v>
      </c>
      <c r="K1420">
        <v>16</v>
      </c>
      <c r="L1420" s="6">
        <v>4.8768000000000002</v>
      </c>
      <c r="M1420" s="7">
        <v>88.9</v>
      </c>
      <c r="N1420" s="7">
        <v>285.75</v>
      </c>
      <c r="O1420" s="7">
        <f t="shared" si="112"/>
        <v>192.00000000000003</v>
      </c>
      <c r="P1420" s="7">
        <f t="shared" si="113"/>
        <v>3.5000000000000004</v>
      </c>
      <c r="Q1420" s="7">
        <f t="shared" si="113"/>
        <v>11.25</v>
      </c>
      <c r="R1420" s="6">
        <f t="shared" si="114"/>
        <v>129.15100000000001</v>
      </c>
      <c r="S1420" s="6">
        <f t="shared" si="115"/>
        <v>0.12388620384000003</v>
      </c>
      <c r="T1420" t="str">
        <f t="shared" si="116"/>
        <v>Ipe S4S E4E 4x12 Long</v>
      </c>
    </row>
    <row r="1421" spans="1:20" x14ac:dyDescent="0.25">
      <c r="A1421" t="s">
        <v>1351</v>
      </c>
      <c r="B1421" t="s">
        <v>1791</v>
      </c>
      <c r="C1421" t="s">
        <v>283</v>
      </c>
      <c r="D1421" t="s">
        <v>438</v>
      </c>
      <c r="E1421" t="s">
        <v>1800</v>
      </c>
      <c r="F1421" t="s">
        <v>1793</v>
      </c>
      <c r="G1421" t="s">
        <v>1351</v>
      </c>
      <c r="H1421" t="s">
        <v>373</v>
      </c>
      <c r="I1421" t="s">
        <v>289</v>
      </c>
      <c r="J1421" t="s">
        <v>1006</v>
      </c>
      <c r="K1421">
        <v>17</v>
      </c>
      <c r="L1421" s="6">
        <v>5.1816000000000004</v>
      </c>
      <c r="M1421" s="7">
        <v>88.9</v>
      </c>
      <c r="N1421" s="7">
        <v>285.75</v>
      </c>
      <c r="O1421" s="7">
        <f t="shared" si="112"/>
        <v>204.00000000000003</v>
      </c>
      <c r="P1421" s="7">
        <f t="shared" si="113"/>
        <v>3.5000000000000004</v>
      </c>
      <c r="Q1421" s="7">
        <f t="shared" si="113"/>
        <v>11.25</v>
      </c>
      <c r="R1421" s="6">
        <f t="shared" si="114"/>
        <v>129.15100000000001</v>
      </c>
      <c r="S1421" s="6">
        <f t="shared" si="115"/>
        <v>0.13162909158000002</v>
      </c>
      <c r="T1421" t="str">
        <f t="shared" si="116"/>
        <v>Ipe S4S E4E 4x12 Long</v>
      </c>
    </row>
    <row r="1422" spans="1:20" x14ac:dyDescent="0.25">
      <c r="A1422" t="s">
        <v>1351</v>
      </c>
      <c r="B1422" t="s">
        <v>1791</v>
      </c>
      <c r="C1422" t="s">
        <v>283</v>
      </c>
      <c r="D1422" t="s">
        <v>438</v>
      </c>
      <c r="E1422" t="s">
        <v>1801</v>
      </c>
      <c r="F1422" t="s">
        <v>1793</v>
      </c>
      <c r="G1422" t="s">
        <v>1351</v>
      </c>
      <c r="H1422" t="s">
        <v>373</v>
      </c>
      <c r="I1422" t="s">
        <v>289</v>
      </c>
      <c r="J1422" t="s">
        <v>1006</v>
      </c>
      <c r="K1422">
        <v>18</v>
      </c>
      <c r="L1422" s="6">
        <v>5.4863999999999997</v>
      </c>
      <c r="M1422" s="7">
        <v>88.9</v>
      </c>
      <c r="N1422" s="7">
        <v>285.75</v>
      </c>
      <c r="O1422" s="7">
        <f t="shared" si="112"/>
        <v>216</v>
      </c>
      <c r="P1422" s="7">
        <f t="shared" si="113"/>
        <v>3.5000000000000004</v>
      </c>
      <c r="Q1422" s="7">
        <f t="shared" si="113"/>
        <v>11.25</v>
      </c>
      <c r="R1422" s="6">
        <f t="shared" si="114"/>
        <v>129.15100000000001</v>
      </c>
      <c r="S1422" s="6">
        <f t="shared" si="115"/>
        <v>0.13937197932000001</v>
      </c>
      <c r="T1422" t="str">
        <f t="shared" si="116"/>
        <v>Ipe S4S E4E 4x12 Long</v>
      </c>
    </row>
    <row r="1423" spans="1:20" x14ac:dyDescent="0.25">
      <c r="A1423" t="s">
        <v>1351</v>
      </c>
      <c r="B1423" t="s">
        <v>1791</v>
      </c>
      <c r="C1423" t="s">
        <v>283</v>
      </c>
      <c r="D1423" t="s">
        <v>438</v>
      </c>
      <c r="E1423" t="s">
        <v>1802</v>
      </c>
      <c r="F1423" t="s">
        <v>1793</v>
      </c>
      <c r="G1423" t="s">
        <v>1351</v>
      </c>
      <c r="H1423" t="s">
        <v>373</v>
      </c>
      <c r="I1423" t="s">
        <v>289</v>
      </c>
      <c r="J1423" t="s">
        <v>1006</v>
      </c>
      <c r="K1423">
        <v>19</v>
      </c>
      <c r="L1423" s="6">
        <v>5.7911999999999999</v>
      </c>
      <c r="M1423" s="7">
        <v>88.9</v>
      </c>
      <c r="N1423" s="7">
        <v>285.75</v>
      </c>
      <c r="O1423" s="7">
        <f t="shared" si="112"/>
        <v>228</v>
      </c>
      <c r="P1423" s="7">
        <f t="shared" si="113"/>
        <v>3.5000000000000004</v>
      </c>
      <c r="Q1423" s="7">
        <f t="shared" si="113"/>
        <v>11.25</v>
      </c>
      <c r="R1423" s="6">
        <f t="shared" si="114"/>
        <v>129.15100000000001</v>
      </c>
      <c r="S1423" s="6">
        <f t="shared" si="115"/>
        <v>0.14711486705999999</v>
      </c>
      <c r="T1423" t="str">
        <f t="shared" si="116"/>
        <v>Ipe S4S E4E 4x12 Long</v>
      </c>
    </row>
    <row r="1424" spans="1:20" x14ac:dyDescent="0.25">
      <c r="A1424" t="s">
        <v>1351</v>
      </c>
      <c r="B1424" t="s">
        <v>1791</v>
      </c>
      <c r="C1424" t="s">
        <v>283</v>
      </c>
      <c r="D1424" t="s">
        <v>438</v>
      </c>
      <c r="E1424" t="s">
        <v>1803</v>
      </c>
      <c r="F1424" t="s">
        <v>1793</v>
      </c>
      <c r="G1424" t="s">
        <v>1351</v>
      </c>
      <c r="H1424" t="s">
        <v>373</v>
      </c>
      <c r="I1424" t="s">
        <v>289</v>
      </c>
      <c r="J1424" t="s">
        <v>1006</v>
      </c>
      <c r="K1424">
        <v>20</v>
      </c>
      <c r="L1424" s="6">
        <v>6.0960000000000001</v>
      </c>
      <c r="M1424" s="7">
        <v>88.9</v>
      </c>
      <c r="N1424" s="7">
        <v>285.75</v>
      </c>
      <c r="O1424" s="7">
        <f t="shared" si="112"/>
        <v>240</v>
      </c>
      <c r="P1424" s="7">
        <f t="shared" si="113"/>
        <v>3.5000000000000004</v>
      </c>
      <c r="Q1424" s="7">
        <f t="shared" si="113"/>
        <v>11.25</v>
      </c>
      <c r="R1424" s="6">
        <f t="shared" si="114"/>
        <v>129.15100000000001</v>
      </c>
      <c r="S1424" s="6">
        <f t="shared" si="115"/>
        <v>0.15485775480000002</v>
      </c>
      <c r="T1424" t="str">
        <f t="shared" si="116"/>
        <v>Ipe S4S E4E 4x12 Long</v>
      </c>
    </row>
    <row r="1425" spans="1:20" x14ac:dyDescent="0.25">
      <c r="A1425" t="s">
        <v>1351</v>
      </c>
      <c r="B1425" t="s">
        <v>1791</v>
      </c>
      <c r="C1425" t="s">
        <v>283</v>
      </c>
      <c r="D1425" t="s">
        <v>438</v>
      </c>
      <c r="E1425" t="s">
        <v>1804</v>
      </c>
      <c r="F1425" t="s">
        <v>1793</v>
      </c>
      <c r="G1425" t="s">
        <v>1351</v>
      </c>
      <c r="H1425" t="s">
        <v>373</v>
      </c>
      <c r="I1425" t="s">
        <v>289</v>
      </c>
      <c r="J1425" t="s">
        <v>1006</v>
      </c>
      <c r="K1425">
        <v>21</v>
      </c>
      <c r="L1425" s="6">
        <v>6.4008000000000003</v>
      </c>
      <c r="M1425" s="7">
        <v>88.9</v>
      </c>
      <c r="N1425" s="7">
        <v>285.75</v>
      </c>
      <c r="O1425" s="7">
        <f t="shared" si="112"/>
        <v>252.00000000000003</v>
      </c>
      <c r="P1425" s="7">
        <f t="shared" si="113"/>
        <v>3.5000000000000004</v>
      </c>
      <c r="Q1425" s="7">
        <f t="shared" si="113"/>
        <v>11.25</v>
      </c>
      <c r="R1425" s="6">
        <f t="shared" si="114"/>
        <v>129.15100000000001</v>
      </c>
      <c r="S1425" s="6">
        <f t="shared" si="115"/>
        <v>0.16260064254000003</v>
      </c>
      <c r="T1425" t="str">
        <f t="shared" si="116"/>
        <v>Ipe S4S E4E 4x12 Long</v>
      </c>
    </row>
    <row r="1426" spans="1:20" x14ac:dyDescent="0.25">
      <c r="A1426" t="s">
        <v>1351</v>
      </c>
      <c r="B1426" t="s">
        <v>1791</v>
      </c>
      <c r="C1426" t="s">
        <v>283</v>
      </c>
      <c r="D1426" t="s">
        <v>438</v>
      </c>
      <c r="E1426" t="s">
        <v>1805</v>
      </c>
      <c r="F1426" t="s">
        <v>1793</v>
      </c>
      <c r="G1426" t="s">
        <v>1351</v>
      </c>
      <c r="H1426" t="s">
        <v>373</v>
      </c>
      <c r="I1426" t="s">
        <v>289</v>
      </c>
      <c r="J1426" t="s">
        <v>1006</v>
      </c>
      <c r="K1426">
        <v>22</v>
      </c>
      <c r="L1426" s="6">
        <v>6.7055999999999996</v>
      </c>
      <c r="M1426" s="7">
        <v>88.9</v>
      </c>
      <c r="N1426" s="7">
        <v>285.75</v>
      </c>
      <c r="O1426" s="7">
        <f t="shared" si="112"/>
        <v>264</v>
      </c>
      <c r="P1426" s="7">
        <f t="shared" si="113"/>
        <v>3.5000000000000004</v>
      </c>
      <c r="Q1426" s="7">
        <f t="shared" si="113"/>
        <v>11.25</v>
      </c>
      <c r="R1426" s="6">
        <f t="shared" si="114"/>
        <v>129.15100000000001</v>
      </c>
      <c r="S1426" s="6">
        <f t="shared" si="115"/>
        <v>0.17034353027999999</v>
      </c>
      <c r="T1426" t="str">
        <f t="shared" si="116"/>
        <v>Ipe S4S E4E 4x12 Long</v>
      </c>
    </row>
    <row r="1427" spans="1:20" x14ac:dyDescent="0.25">
      <c r="A1427" t="s">
        <v>1351</v>
      </c>
      <c r="B1427" t="s">
        <v>1791</v>
      </c>
      <c r="C1427" t="s">
        <v>524</v>
      </c>
      <c r="D1427" t="s">
        <v>438</v>
      </c>
      <c r="E1427" t="s">
        <v>1806</v>
      </c>
      <c r="F1427" t="s">
        <v>1793</v>
      </c>
      <c r="G1427" t="s">
        <v>1351</v>
      </c>
      <c r="H1427" t="s">
        <v>373</v>
      </c>
      <c r="I1427" t="s">
        <v>289</v>
      </c>
      <c r="J1427" t="s">
        <v>1006</v>
      </c>
      <c r="K1427">
        <v>3</v>
      </c>
      <c r="L1427" s="6">
        <v>0.91439999999999999</v>
      </c>
      <c r="M1427" s="7">
        <v>88.9</v>
      </c>
      <c r="N1427" s="7">
        <v>285.75</v>
      </c>
      <c r="O1427" s="7">
        <f t="shared" si="112"/>
        <v>36</v>
      </c>
      <c r="P1427" s="7">
        <f t="shared" si="113"/>
        <v>3.5000000000000004</v>
      </c>
      <c r="Q1427" s="7">
        <f t="shared" si="113"/>
        <v>11.25</v>
      </c>
      <c r="R1427" s="6">
        <f t="shared" si="114"/>
        <v>129.15100000000001</v>
      </c>
      <c r="S1427" s="6">
        <f t="shared" si="115"/>
        <v>2.3228663220000001E-2</v>
      </c>
      <c r="T1427" t="str">
        <f t="shared" si="116"/>
        <v>Ipe S4S E4E 4x12 Short</v>
      </c>
    </row>
    <row r="1428" spans="1:20" x14ac:dyDescent="0.25">
      <c r="A1428" t="s">
        <v>1351</v>
      </c>
      <c r="B1428" t="s">
        <v>1791</v>
      </c>
      <c r="C1428" t="s">
        <v>524</v>
      </c>
      <c r="D1428" t="s">
        <v>438</v>
      </c>
      <c r="E1428" t="s">
        <v>1807</v>
      </c>
      <c r="F1428" t="s">
        <v>1793</v>
      </c>
      <c r="G1428" t="s">
        <v>1351</v>
      </c>
      <c r="H1428" t="s">
        <v>373</v>
      </c>
      <c r="I1428" t="s">
        <v>289</v>
      </c>
      <c r="J1428" t="s">
        <v>1006</v>
      </c>
      <c r="K1428">
        <v>4</v>
      </c>
      <c r="L1428" s="6">
        <v>1.2192000000000001</v>
      </c>
      <c r="M1428" s="7">
        <v>88.9</v>
      </c>
      <c r="N1428" s="7">
        <v>285.75</v>
      </c>
      <c r="O1428" s="7">
        <f t="shared" si="112"/>
        <v>48.000000000000007</v>
      </c>
      <c r="P1428" s="7">
        <f t="shared" si="113"/>
        <v>3.5000000000000004</v>
      </c>
      <c r="Q1428" s="7">
        <f t="shared" si="113"/>
        <v>11.25</v>
      </c>
      <c r="R1428" s="6">
        <f t="shared" si="114"/>
        <v>129.15100000000001</v>
      </c>
      <c r="S1428" s="6">
        <f t="shared" si="115"/>
        <v>3.0971550960000007E-2</v>
      </c>
      <c r="T1428" t="str">
        <f t="shared" si="116"/>
        <v>Ipe S4S E4E 4x12 Short</v>
      </c>
    </row>
    <row r="1429" spans="1:20" x14ac:dyDescent="0.25">
      <c r="A1429" t="s">
        <v>1351</v>
      </c>
      <c r="B1429" t="s">
        <v>1791</v>
      </c>
      <c r="C1429" t="s">
        <v>524</v>
      </c>
      <c r="D1429" t="s">
        <v>438</v>
      </c>
      <c r="E1429" t="s">
        <v>1808</v>
      </c>
      <c r="F1429" t="s">
        <v>1793</v>
      </c>
      <c r="G1429" t="s">
        <v>1351</v>
      </c>
      <c r="H1429" t="s">
        <v>373</v>
      </c>
      <c r="I1429" t="s">
        <v>289</v>
      </c>
      <c r="J1429" t="s">
        <v>1006</v>
      </c>
      <c r="K1429">
        <v>5</v>
      </c>
      <c r="L1429" s="6">
        <v>1.524</v>
      </c>
      <c r="M1429" s="7">
        <v>88.9</v>
      </c>
      <c r="N1429" s="7">
        <v>285.75</v>
      </c>
      <c r="O1429" s="7">
        <f t="shared" si="112"/>
        <v>60</v>
      </c>
      <c r="P1429" s="7">
        <f t="shared" si="113"/>
        <v>3.5000000000000004</v>
      </c>
      <c r="Q1429" s="7">
        <f t="shared" si="113"/>
        <v>11.25</v>
      </c>
      <c r="R1429" s="6">
        <f t="shared" si="114"/>
        <v>129.15100000000001</v>
      </c>
      <c r="S1429" s="6">
        <f t="shared" si="115"/>
        <v>3.8714438700000006E-2</v>
      </c>
      <c r="T1429" t="str">
        <f t="shared" si="116"/>
        <v>Ipe S4S E4E 4x12 Short</v>
      </c>
    </row>
    <row r="1430" spans="1:20" x14ac:dyDescent="0.25">
      <c r="A1430" t="s">
        <v>1351</v>
      </c>
      <c r="B1430" t="s">
        <v>1791</v>
      </c>
      <c r="C1430" t="s">
        <v>524</v>
      </c>
      <c r="D1430" t="s">
        <v>438</v>
      </c>
      <c r="E1430" t="s">
        <v>1809</v>
      </c>
      <c r="F1430" t="s">
        <v>1793</v>
      </c>
      <c r="G1430" t="s">
        <v>1351</v>
      </c>
      <c r="H1430" t="s">
        <v>373</v>
      </c>
      <c r="I1430" t="s">
        <v>289</v>
      </c>
      <c r="J1430" t="s">
        <v>1006</v>
      </c>
      <c r="K1430">
        <v>6</v>
      </c>
      <c r="L1430" s="6">
        <v>1.8288</v>
      </c>
      <c r="M1430" s="7">
        <v>88.9</v>
      </c>
      <c r="N1430" s="7">
        <v>285.75</v>
      </c>
      <c r="O1430" s="7">
        <f t="shared" si="112"/>
        <v>72</v>
      </c>
      <c r="P1430" s="7">
        <f t="shared" si="113"/>
        <v>3.5000000000000004</v>
      </c>
      <c r="Q1430" s="7">
        <f t="shared" si="113"/>
        <v>11.25</v>
      </c>
      <c r="R1430" s="6">
        <f t="shared" si="114"/>
        <v>129.15100000000001</v>
      </c>
      <c r="S1430" s="6">
        <f t="shared" si="115"/>
        <v>4.6457326440000002E-2</v>
      </c>
      <c r="T1430" t="str">
        <f t="shared" si="116"/>
        <v>Ipe S4S E4E 4x12 Short</v>
      </c>
    </row>
    <row r="1431" spans="1:20" x14ac:dyDescent="0.25">
      <c r="A1431" t="s">
        <v>1351</v>
      </c>
      <c r="B1431" t="s">
        <v>1791</v>
      </c>
      <c r="C1431" t="s">
        <v>524</v>
      </c>
      <c r="D1431" t="s">
        <v>438</v>
      </c>
      <c r="E1431" t="s">
        <v>1810</v>
      </c>
      <c r="F1431" t="s">
        <v>1793</v>
      </c>
      <c r="G1431" t="s">
        <v>1351</v>
      </c>
      <c r="H1431" t="s">
        <v>373</v>
      </c>
      <c r="I1431" t="s">
        <v>289</v>
      </c>
      <c r="J1431" t="s">
        <v>1006</v>
      </c>
      <c r="K1431">
        <v>7</v>
      </c>
      <c r="L1431" s="6">
        <v>2.1335999999999999</v>
      </c>
      <c r="M1431" s="7">
        <v>88.9</v>
      </c>
      <c r="N1431" s="7">
        <v>285.75</v>
      </c>
      <c r="O1431" s="7">
        <f t="shared" si="112"/>
        <v>84</v>
      </c>
      <c r="P1431" s="7">
        <f t="shared" si="113"/>
        <v>3.5000000000000004</v>
      </c>
      <c r="Q1431" s="7">
        <f t="shared" si="113"/>
        <v>11.25</v>
      </c>
      <c r="R1431" s="6">
        <f t="shared" si="114"/>
        <v>129.15100000000001</v>
      </c>
      <c r="S1431" s="6">
        <f t="shared" si="115"/>
        <v>5.4200214180000005E-2</v>
      </c>
      <c r="T1431" t="str">
        <f t="shared" si="116"/>
        <v>Ipe S4S E4E 4x12 Short</v>
      </c>
    </row>
    <row r="1432" spans="1:20" x14ac:dyDescent="0.25">
      <c r="A1432" t="s">
        <v>1351</v>
      </c>
      <c r="B1432" t="s">
        <v>1791</v>
      </c>
      <c r="C1432" t="s">
        <v>283</v>
      </c>
      <c r="D1432" t="s">
        <v>438</v>
      </c>
      <c r="E1432" t="s">
        <v>1811</v>
      </c>
      <c r="F1432" t="s">
        <v>1793</v>
      </c>
      <c r="G1432" t="s">
        <v>1351</v>
      </c>
      <c r="H1432" t="s">
        <v>373</v>
      </c>
      <c r="I1432" t="s">
        <v>289</v>
      </c>
      <c r="J1432" t="s">
        <v>1006</v>
      </c>
      <c r="K1432">
        <v>8</v>
      </c>
      <c r="L1432" s="6">
        <v>2.4384000000000001</v>
      </c>
      <c r="M1432" s="7">
        <v>88.9</v>
      </c>
      <c r="N1432" s="7">
        <v>285.75</v>
      </c>
      <c r="O1432" s="7">
        <f t="shared" si="112"/>
        <v>96.000000000000014</v>
      </c>
      <c r="P1432" s="7">
        <f t="shared" si="113"/>
        <v>3.5000000000000004</v>
      </c>
      <c r="Q1432" s="7">
        <f t="shared" si="113"/>
        <v>11.25</v>
      </c>
      <c r="R1432" s="6">
        <f t="shared" si="114"/>
        <v>129.15100000000001</v>
      </c>
      <c r="S1432" s="6">
        <f t="shared" si="115"/>
        <v>6.1943101920000014E-2</v>
      </c>
      <c r="T1432" t="str">
        <f t="shared" si="116"/>
        <v>Ipe S4S E4E 4x12 Long</v>
      </c>
    </row>
    <row r="1433" spans="1:20" x14ac:dyDescent="0.25">
      <c r="A1433" t="s">
        <v>1351</v>
      </c>
      <c r="B1433" t="s">
        <v>1791</v>
      </c>
      <c r="C1433" t="s">
        <v>283</v>
      </c>
      <c r="D1433" t="s">
        <v>438</v>
      </c>
      <c r="E1433" t="s">
        <v>1812</v>
      </c>
      <c r="F1433" t="s">
        <v>1793</v>
      </c>
      <c r="G1433" t="s">
        <v>1351</v>
      </c>
      <c r="H1433" t="s">
        <v>373</v>
      </c>
      <c r="I1433" t="s">
        <v>289</v>
      </c>
      <c r="J1433" t="s">
        <v>1006</v>
      </c>
      <c r="K1433">
        <v>9</v>
      </c>
      <c r="L1433" s="6">
        <v>2.7431999999999999</v>
      </c>
      <c r="M1433" s="7">
        <v>88.9</v>
      </c>
      <c r="N1433" s="7">
        <v>285.75</v>
      </c>
      <c r="O1433" s="7">
        <f t="shared" si="112"/>
        <v>108</v>
      </c>
      <c r="P1433" s="7">
        <f t="shared" si="113"/>
        <v>3.5000000000000004</v>
      </c>
      <c r="Q1433" s="7">
        <f t="shared" si="113"/>
        <v>11.25</v>
      </c>
      <c r="R1433" s="6">
        <f t="shared" si="114"/>
        <v>129.15100000000001</v>
      </c>
      <c r="S1433" s="6">
        <f t="shared" si="115"/>
        <v>6.9685989660000003E-2</v>
      </c>
      <c r="T1433" t="str">
        <f t="shared" si="116"/>
        <v>Ipe S4S E4E 4x12 Long</v>
      </c>
    </row>
    <row r="1434" spans="1:20" x14ac:dyDescent="0.25">
      <c r="A1434" t="s">
        <v>1351</v>
      </c>
      <c r="B1434" t="s">
        <v>1813</v>
      </c>
      <c r="C1434" t="s">
        <v>283</v>
      </c>
      <c r="D1434" t="s">
        <v>438</v>
      </c>
      <c r="E1434" t="s">
        <v>166</v>
      </c>
      <c r="F1434" t="s">
        <v>1814</v>
      </c>
      <c r="G1434" t="s">
        <v>1351</v>
      </c>
      <c r="H1434" t="s">
        <v>373</v>
      </c>
      <c r="I1434" t="s">
        <v>289</v>
      </c>
      <c r="J1434" t="s">
        <v>1010</v>
      </c>
      <c r="K1434">
        <v>10</v>
      </c>
      <c r="L1434" s="6">
        <v>3.048</v>
      </c>
      <c r="M1434" s="7">
        <v>88.9</v>
      </c>
      <c r="N1434" s="7">
        <v>88.9</v>
      </c>
      <c r="O1434" s="7">
        <f t="shared" si="112"/>
        <v>120</v>
      </c>
      <c r="P1434" s="7">
        <f t="shared" si="113"/>
        <v>3.5000000000000004</v>
      </c>
      <c r="Q1434" s="7">
        <f t="shared" si="113"/>
        <v>3.5000000000000004</v>
      </c>
      <c r="R1434" s="6">
        <f t="shared" si="114"/>
        <v>415.12799999999999</v>
      </c>
      <c r="S1434" s="6">
        <f t="shared" si="115"/>
        <v>2.4088984080000007E-2</v>
      </c>
      <c r="T1434" t="str">
        <f t="shared" si="116"/>
        <v>Ipe S4S E4E 4x4 Long</v>
      </c>
    </row>
    <row r="1435" spans="1:20" x14ac:dyDescent="0.25">
      <c r="A1435" t="s">
        <v>1351</v>
      </c>
      <c r="B1435" t="s">
        <v>1813</v>
      </c>
      <c r="C1435" t="s">
        <v>283</v>
      </c>
      <c r="D1435" t="s">
        <v>438</v>
      </c>
      <c r="E1435" t="s">
        <v>1815</v>
      </c>
      <c r="F1435" t="s">
        <v>1814</v>
      </c>
      <c r="G1435" t="s">
        <v>1351</v>
      </c>
      <c r="H1435" t="s">
        <v>373</v>
      </c>
      <c r="I1435" t="s">
        <v>289</v>
      </c>
      <c r="J1435" t="s">
        <v>1010</v>
      </c>
      <c r="K1435">
        <v>11</v>
      </c>
      <c r="L1435" s="6">
        <v>3.3527999999999998</v>
      </c>
      <c r="M1435" s="7">
        <v>88.9</v>
      </c>
      <c r="N1435" s="7">
        <v>88.9</v>
      </c>
      <c r="O1435" s="7">
        <f t="shared" si="112"/>
        <v>132</v>
      </c>
      <c r="P1435" s="7">
        <f t="shared" si="113"/>
        <v>3.5000000000000004</v>
      </c>
      <c r="Q1435" s="7">
        <f t="shared" si="113"/>
        <v>3.5000000000000004</v>
      </c>
      <c r="R1435" s="6">
        <f t="shared" si="114"/>
        <v>415.12799999999999</v>
      </c>
      <c r="S1435" s="6">
        <f t="shared" si="115"/>
        <v>2.6497882487999998E-2</v>
      </c>
      <c r="T1435" t="str">
        <f t="shared" si="116"/>
        <v>Ipe S4S E4E 4x4 Long</v>
      </c>
    </row>
    <row r="1436" spans="1:20" x14ac:dyDescent="0.25">
      <c r="A1436" t="s">
        <v>1351</v>
      </c>
      <c r="B1436" t="s">
        <v>1813</v>
      </c>
      <c r="C1436" t="s">
        <v>283</v>
      </c>
      <c r="D1436" t="s">
        <v>438</v>
      </c>
      <c r="E1436" t="s">
        <v>1816</v>
      </c>
      <c r="F1436" t="s">
        <v>1814</v>
      </c>
      <c r="G1436" t="s">
        <v>1351</v>
      </c>
      <c r="H1436" t="s">
        <v>373</v>
      </c>
      <c r="I1436" t="s">
        <v>289</v>
      </c>
      <c r="J1436" t="s">
        <v>1010</v>
      </c>
      <c r="K1436">
        <v>12</v>
      </c>
      <c r="L1436" s="6">
        <v>3.6576</v>
      </c>
      <c r="M1436" s="7">
        <v>88.9</v>
      </c>
      <c r="N1436" s="7">
        <v>88.9</v>
      </c>
      <c r="O1436" s="7">
        <f t="shared" si="112"/>
        <v>144</v>
      </c>
      <c r="P1436" s="7">
        <f t="shared" si="113"/>
        <v>3.5000000000000004</v>
      </c>
      <c r="Q1436" s="7">
        <f t="shared" si="113"/>
        <v>3.5000000000000004</v>
      </c>
      <c r="R1436" s="6">
        <f t="shared" si="114"/>
        <v>415.12799999999999</v>
      </c>
      <c r="S1436" s="6">
        <f t="shared" si="115"/>
        <v>2.8906780896E-2</v>
      </c>
      <c r="T1436" t="str">
        <f t="shared" si="116"/>
        <v>Ipe S4S E4E 4x4 Long</v>
      </c>
    </row>
    <row r="1437" spans="1:20" x14ac:dyDescent="0.25">
      <c r="A1437" t="s">
        <v>1351</v>
      </c>
      <c r="B1437" t="s">
        <v>1813</v>
      </c>
      <c r="C1437" t="s">
        <v>283</v>
      </c>
      <c r="D1437" t="s">
        <v>438</v>
      </c>
      <c r="E1437" t="s">
        <v>1817</v>
      </c>
      <c r="F1437" t="s">
        <v>1814</v>
      </c>
      <c r="G1437" t="s">
        <v>1351</v>
      </c>
      <c r="H1437" t="s">
        <v>373</v>
      </c>
      <c r="I1437" t="s">
        <v>289</v>
      </c>
      <c r="J1437" t="s">
        <v>1010</v>
      </c>
      <c r="K1437">
        <v>13</v>
      </c>
      <c r="L1437" s="6">
        <v>3.9624000000000001</v>
      </c>
      <c r="M1437" s="7">
        <v>88.9</v>
      </c>
      <c r="N1437" s="7">
        <v>88.9</v>
      </c>
      <c r="O1437" s="7">
        <f t="shared" si="112"/>
        <v>156</v>
      </c>
      <c r="P1437" s="7">
        <f t="shared" si="113"/>
        <v>3.5000000000000004</v>
      </c>
      <c r="Q1437" s="7">
        <f t="shared" si="113"/>
        <v>3.5000000000000004</v>
      </c>
      <c r="R1437" s="6">
        <f t="shared" si="114"/>
        <v>415.12799999999999</v>
      </c>
      <c r="S1437" s="6">
        <f t="shared" si="115"/>
        <v>3.1315679304000012E-2</v>
      </c>
      <c r="T1437" t="str">
        <f t="shared" si="116"/>
        <v>Ipe S4S E4E 4x4 Long</v>
      </c>
    </row>
    <row r="1438" spans="1:20" x14ac:dyDescent="0.25">
      <c r="A1438" t="s">
        <v>1351</v>
      </c>
      <c r="B1438" t="s">
        <v>1813</v>
      </c>
      <c r="C1438" t="s">
        <v>283</v>
      </c>
      <c r="D1438" t="s">
        <v>438</v>
      </c>
      <c r="E1438" t="s">
        <v>257</v>
      </c>
      <c r="F1438" t="s">
        <v>1814</v>
      </c>
      <c r="G1438" t="s">
        <v>1351</v>
      </c>
      <c r="H1438" t="s">
        <v>373</v>
      </c>
      <c r="I1438" t="s">
        <v>289</v>
      </c>
      <c r="J1438" t="s">
        <v>1010</v>
      </c>
      <c r="K1438">
        <v>14</v>
      </c>
      <c r="L1438" s="6">
        <v>4.2671999999999999</v>
      </c>
      <c r="M1438" s="7">
        <v>88.9</v>
      </c>
      <c r="N1438" s="7">
        <v>88.9</v>
      </c>
      <c r="O1438" s="7">
        <f t="shared" ref="O1438:O1501" si="117">L1438/0.0254</f>
        <v>168</v>
      </c>
      <c r="P1438" s="7">
        <f t="shared" ref="P1438:Q1501" si="118">M1438/25.4</f>
        <v>3.5000000000000004</v>
      </c>
      <c r="Q1438" s="7">
        <f t="shared" si="118"/>
        <v>3.5000000000000004</v>
      </c>
      <c r="R1438" s="6">
        <f t="shared" ref="R1438:R1501" si="119">ROUND(IFERROR(1/((M1438*N1438*0.3048)/1000000),0),3)</f>
        <v>415.12799999999999</v>
      </c>
      <c r="S1438" s="6">
        <f t="shared" ref="S1438:S1501" si="120">L1438*M1438/1000*N1438/1000</f>
        <v>3.3724577712000006E-2</v>
      </c>
      <c r="T1438" t="str">
        <f t="shared" si="116"/>
        <v>Ipe S4S E4E 4x4 Long</v>
      </c>
    </row>
    <row r="1439" spans="1:20" x14ac:dyDescent="0.25">
      <c r="A1439" t="s">
        <v>1351</v>
      </c>
      <c r="B1439" t="s">
        <v>1813</v>
      </c>
      <c r="C1439" t="s">
        <v>283</v>
      </c>
      <c r="D1439" t="s">
        <v>438</v>
      </c>
      <c r="E1439" t="s">
        <v>1818</v>
      </c>
      <c r="F1439" t="s">
        <v>1814</v>
      </c>
      <c r="G1439" t="s">
        <v>1351</v>
      </c>
      <c r="H1439" t="s">
        <v>373</v>
      </c>
      <c r="I1439" t="s">
        <v>289</v>
      </c>
      <c r="J1439" t="s">
        <v>1010</v>
      </c>
      <c r="K1439">
        <v>15</v>
      </c>
      <c r="L1439" s="6">
        <v>4.5720000000000001</v>
      </c>
      <c r="M1439" s="7">
        <v>88.9</v>
      </c>
      <c r="N1439" s="7">
        <v>88.9</v>
      </c>
      <c r="O1439" s="7">
        <f t="shared" si="117"/>
        <v>180</v>
      </c>
      <c r="P1439" s="7">
        <f t="shared" si="118"/>
        <v>3.5000000000000004</v>
      </c>
      <c r="Q1439" s="7">
        <f t="shared" si="118"/>
        <v>3.5000000000000004</v>
      </c>
      <c r="R1439" s="6">
        <f t="shared" si="119"/>
        <v>415.12799999999999</v>
      </c>
      <c r="S1439" s="6">
        <f t="shared" si="120"/>
        <v>3.6133476120000008E-2</v>
      </c>
      <c r="T1439" t="str">
        <f t="shared" si="116"/>
        <v>Ipe S4S E4E 4x4 Long</v>
      </c>
    </row>
    <row r="1440" spans="1:20" x14ac:dyDescent="0.25">
      <c r="A1440" t="s">
        <v>1351</v>
      </c>
      <c r="B1440" t="s">
        <v>1813</v>
      </c>
      <c r="C1440" t="s">
        <v>283</v>
      </c>
      <c r="D1440" t="s">
        <v>438</v>
      </c>
      <c r="E1440" t="s">
        <v>1819</v>
      </c>
      <c r="F1440" t="s">
        <v>1814</v>
      </c>
      <c r="G1440" t="s">
        <v>1351</v>
      </c>
      <c r="H1440" t="s">
        <v>373</v>
      </c>
      <c r="I1440" t="s">
        <v>289</v>
      </c>
      <c r="J1440" t="s">
        <v>1010</v>
      </c>
      <c r="K1440">
        <v>16</v>
      </c>
      <c r="L1440" s="6">
        <v>4.8768000000000002</v>
      </c>
      <c r="M1440" s="7">
        <v>88.9</v>
      </c>
      <c r="N1440" s="7">
        <v>88.9</v>
      </c>
      <c r="O1440" s="7">
        <f t="shared" si="117"/>
        <v>192.00000000000003</v>
      </c>
      <c r="P1440" s="7">
        <f t="shared" si="118"/>
        <v>3.5000000000000004</v>
      </c>
      <c r="Q1440" s="7">
        <f t="shared" si="118"/>
        <v>3.5000000000000004</v>
      </c>
      <c r="R1440" s="6">
        <f t="shared" si="119"/>
        <v>415.12799999999999</v>
      </c>
      <c r="S1440" s="6">
        <f t="shared" si="120"/>
        <v>3.8542374528000009E-2</v>
      </c>
      <c r="T1440" t="str">
        <f t="shared" si="116"/>
        <v>Ipe S4S E4E 4x4 Long</v>
      </c>
    </row>
    <row r="1441" spans="1:20" x14ac:dyDescent="0.25">
      <c r="A1441" t="s">
        <v>1351</v>
      </c>
      <c r="B1441" t="s">
        <v>1813</v>
      </c>
      <c r="C1441" t="s">
        <v>283</v>
      </c>
      <c r="D1441" t="s">
        <v>438</v>
      </c>
      <c r="E1441" t="s">
        <v>1820</v>
      </c>
      <c r="F1441" t="s">
        <v>1814</v>
      </c>
      <c r="G1441" t="s">
        <v>1351</v>
      </c>
      <c r="H1441" t="s">
        <v>373</v>
      </c>
      <c r="I1441" t="s">
        <v>289</v>
      </c>
      <c r="J1441" t="s">
        <v>1010</v>
      </c>
      <c r="K1441">
        <v>17</v>
      </c>
      <c r="L1441" s="6">
        <v>5.1816000000000004</v>
      </c>
      <c r="M1441" s="7">
        <v>88.9</v>
      </c>
      <c r="N1441" s="7">
        <v>88.9</v>
      </c>
      <c r="O1441" s="7">
        <f t="shared" si="117"/>
        <v>204.00000000000003</v>
      </c>
      <c r="P1441" s="7">
        <f t="shared" si="118"/>
        <v>3.5000000000000004</v>
      </c>
      <c r="Q1441" s="7">
        <f t="shared" si="118"/>
        <v>3.5000000000000004</v>
      </c>
      <c r="R1441" s="6">
        <f t="shared" si="119"/>
        <v>415.12799999999999</v>
      </c>
      <c r="S1441" s="6">
        <f t="shared" si="120"/>
        <v>4.0951272936000011E-2</v>
      </c>
      <c r="T1441" t="str">
        <f t="shared" si="116"/>
        <v>Ipe S4S E4E 4x4 Long</v>
      </c>
    </row>
    <row r="1442" spans="1:20" x14ac:dyDescent="0.25">
      <c r="A1442" t="s">
        <v>1351</v>
      </c>
      <c r="B1442" t="s">
        <v>1813</v>
      </c>
      <c r="C1442" t="s">
        <v>283</v>
      </c>
      <c r="D1442" t="s">
        <v>438</v>
      </c>
      <c r="E1442" t="s">
        <v>1821</v>
      </c>
      <c r="F1442" t="s">
        <v>1814</v>
      </c>
      <c r="G1442" t="s">
        <v>1351</v>
      </c>
      <c r="H1442" t="s">
        <v>373</v>
      </c>
      <c r="I1442" t="s">
        <v>289</v>
      </c>
      <c r="J1442" t="s">
        <v>1010</v>
      </c>
      <c r="K1442">
        <v>18</v>
      </c>
      <c r="L1442" s="6">
        <v>5.4863999999999997</v>
      </c>
      <c r="M1442" s="7">
        <v>88.9</v>
      </c>
      <c r="N1442" s="7">
        <v>88.9</v>
      </c>
      <c r="O1442" s="7">
        <f t="shared" si="117"/>
        <v>216</v>
      </c>
      <c r="P1442" s="7">
        <f t="shared" si="118"/>
        <v>3.5000000000000004</v>
      </c>
      <c r="Q1442" s="7">
        <f t="shared" si="118"/>
        <v>3.5000000000000004</v>
      </c>
      <c r="R1442" s="6">
        <f t="shared" si="119"/>
        <v>415.12799999999999</v>
      </c>
      <c r="S1442" s="6">
        <f t="shared" si="120"/>
        <v>4.3360171344000005E-2</v>
      </c>
      <c r="T1442" t="str">
        <f t="shared" si="116"/>
        <v>Ipe S4S E4E 4x4 Long</v>
      </c>
    </row>
    <row r="1443" spans="1:20" x14ac:dyDescent="0.25">
      <c r="A1443" t="s">
        <v>1351</v>
      </c>
      <c r="B1443" t="s">
        <v>1813</v>
      </c>
      <c r="C1443" t="s">
        <v>283</v>
      </c>
      <c r="D1443" t="s">
        <v>438</v>
      </c>
      <c r="E1443" t="s">
        <v>1822</v>
      </c>
      <c r="F1443" t="s">
        <v>1814</v>
      </c>
      <c r="G1443" t="s">
        <v>1351</v>
      </c>
      <c r="H1443" t="s">
        <v>373</v>
      </c>
      <c r="I1443" t="s">
        <v>289</v>
      </c>
      <c r="J1443" t="s">
        <v>1010</v>
      </c>
      <c r="K1443">
        <v>19</v>
      </c>
      <c r="L1443" s="6">
        <v>5.7911999999999999</v>
      </c>
      <c r="M1443" s="7">
        <v>88.9</v>
      </c>
      <c r="N1443" s="7">
        <v>88.9</v>
      </c>
      <c r="O1443" s="7">
        <f t="shared" si="117"/>
        <v>228</v>
      </c>
      <c r="P1443" s="7">
        <f t="shared" si="118"/>
        <v>3.5000000000000004</v>
      </c>
      <c r="Q1443" s="7">
        <f t="shared" si="118"/>
        <v>3.5000000000000004</v>
      </c>
      <c r="R1443" s="6">
        <f t="shared" si="119"/>
        <v>415.12799999999999</v>
      </c>
      <c r="S1443" s="6">
        <f t="shared" si="120"/>
        <v>4.5769069751999999E-2</v>
      </c>
      <c r="T1443" t="str">
        <f t="shared" si="116"/>
        <v>Ipe S4S E4E 4x4 Long</v>
      </c>
    </row>
    <row r="1444" spans="1:20" x14ac:dyDescent="0.25">
      <c r="A1444" t="s">
        <v>1351</v>
      </c>
      <c r="B1444" t="s">
        <v>1813</v>
      </c>
      <c r="C1444" t="s">
        <v>283</v>
      </c>
      <c r="D1444" t="s">
        <v>438</v>
      </c>
      <c r="E1444" t="s">
        <v>1823</v>
      </c>
      <c r="F1444" t="s">
        <v>1814</v>
      </c>
      <c r="G1444" t="s">
        <v>1351</v>
      </c>
      <c r="H1444" t="s">
        <v>373</v>
      </c>
      <c r="I1444" t="s">
        <v>289</v>
      </c>
      <c r="J1444" t="s">
        <v>1010</v>
      </c>
      <c r="K1444">
        <v>20</v>
      </c>
      <c r="L1444" s="6">
        <v>6.0960000000000001</v>
      </c>
      <c r="M1444" s="7">
        <v>88.9</v>
      </c>
      <c r="N1444" s="7">
        <v>88.9</v>
      </c>
      <c r="O1444" s="7">
        <f t="shared" si="117"/>
        <v>240</v>
      </c>
      <c r="P1444" s="7">
        <f t="shared" si="118"/>
        <v>3.5000000000000004</v>
      </c>
      <c r="Q1444" s="7">
        <f t="shared" si="118"/>
        <v>3.5000000000000004</v>
      </c>
      <c r="R1444" s="6">
        <f t="shared" si="119"/>
        <v>415.12799999999999</v>
      </c>
      <c r="S1444" s="6">
        <f t="shared" si="120"/>
        <v>4.8177968160000015E-2</v>
      </c>
      <c r="T1444" t="str">
        <f t="shared" si="116"/>
        <v>Ipe S4S E4E 4x4 Long</v>
      </c>
    </row>
    <row r="1445" spans="1:20" x14ac:dyDescent="0.25">
      <c r="A1445" t="s">
        <v>1351</v>
      </c>
      <c r="B1445" t="s">
        <v>1813</v>
      </c>
      <c r="C1445" t="s">
        <v>283</v>
      </c>
      <c r="D1445" t="s">
        <v>438</v>
      </c>
      <c r="E1445" t="s">
        <v>1824</v>
      </c>
      <c r="F1445" t="s">
        <v>1814</v>
      </c>
      <c r="G1445" t="s">
        <v>1351</v>
      </c>
      <c r="H1445" t="s">
        <v>373</v>
      </c>
      <c r="I1445" t="s">
        <v>289</v>
      </c>
      <c r="J1445" t="s">
        <v>1010</v>
      </c>
      <c r="K1445">
        <v>21</v>
      </c>
      <c r="L1445" s="6">
        <v>6.4008000000000003</v>
      </c>
      <c r="M1445" s="7">
        <v>88.9</v>
      </c>
      <c r="N1445" s="7">
        <v>88.9</v>
      </c>
      <c r="O1445" s="7">
        <f t="shared" si="117"/>
        <v>252.00000000000003</v>
      </c>
      <c r="P1445" s="7">
        <f t="shared" si="118"/>
        <v>3.5000000000000004</v>
      </c>
      <c r="Q1445" s="7">
        <f t="shared" si="118"/>
        <v>3.5000000000000004</v>
      </c>
      <c r="R1445" s="6">
        <f t="shared" si="119"/>
        <v>415.12799999999999</v>
      </c>
      <c r="S1445" s="6">
        <f t="shared" si="120"/>
        <v>5.0586866568000009E-2</v>
      </c>
      <c r="T1445" t="str">
        <f t="shared" si="116"/>
        <v>Ipe S4S E4E 4x4 Long</v>
      </c>
    </row>
    <row r="1446" spans="1:20" x14ac:dyDescent="0.25">
      <c r="A1446" t="s">
        <v>1351</v>
      </c>
      <c r="B1446" t="s">
        <v>1813</v>
      </c>
      <c r="C1446" t="s">
        <v>283</v>
      </c>
      <c r="D1446" t="s">
        <v>438</v>
      </c>
      <c r="E1446" t="s">
        <v>1825</v>
      </c>
      <c r="F1446" t="s">
        <v>1814</v>
      </c>
      <c r="G1446" t="s">
        <v>1351</v>
      </c>
      <c r="H1446" t="s">
        <v>373</v>
      </c>
      <c r="I1446" t="s">
        <v>289</v>
      </c>
      <c r="J1446" t="s">
        <v>1010</v>
      </c>
      <c r="K1446">
        <v>22</v>
      </c>
      <c r="L1446" s="6">
        <v>6.7055999999999996</v>
      </c>
      <c r="M1446" s="7">
        <v>88.9</v>
      </c>
      <c r="N1446" s="7">
        <v>88.9</v>
      </c>
      <c r="O1446" s="7">
        <f t="shared" si="117"/>
        <v>264</v>
      </c>
      <c r="P1446" s="7">
        <f t="shared" si="118"/>
        <v>3.5000000000000004</v>
      </c>
      <c r="Q1446" s="7">
        <f t="shared" si="118"/>
        <v>3.5000000000000004</v>
      </c>
      <c r="R1446" s="6">
        <f t="shared" si="119"/>
        <v>415.12799999999999</v>
      </c>
      <c r="S1446" s="6">
        <f t="shared" si="120"/>
        <v>5.2995764975999997E-2</v>
      </c>
      <c r="T1446" t="str">
        <f t="shared" si="116"/>
        <v>Ipe S4S E4E 4x4 Long</v>
      </c>
    </row>
    <row r="1447" spans="1:20" x14ac:dyDescent="0.25">
      <c r="A1447" t="s">
        <v>1351</v>
      </c>
      <c r="B1447" t="s">
        <v>1813</v>
      </c>
      <c r="C1447" t="s">
        <v>524</v>
      </c>
      <c r="D1447" t="s">
        <v>438</v>
      </c>
      <c r="E1447" t="s">
        <v>1826</v>
      </c>
      <c r="F1447" t="s">
        <v>1814</v>
      </c>
      <c r="G1447" t="s">
        <v>1351</v>
      </c>
      <c r="H1447" t="s">
        <v>373</v>
      </c>
      <c r="I1447" t="s">
        <v>289</v>
      </c>
      <c r="J1447" t="s">
        <v>1010</v>
      </c>
      <c r="K1447">
        <v>3</v>
      </c>
      <c r="L1447" s="6">
        <v>0.91439999999999999</v>
      </c>
      <c r="M1447" s="7">
        <v>88.9</v>
      </c>
      <c r="N1447" s="7">
        <v>88.9</v>
      </c>
      <c r="O1447" s="7">
        <f t="shared" si="117"/>
        <v>36</v>
      </c>
      <c r="P1447" s="7">
        <f t="shared" si="118"/>
        <v>3.5000000000000004</v>
      </c>
      <c r="Q1447" s="7">
        <f t="shared" si="118"/>
        <v>3.5000000000000004</v>
      </c>
      <c r="R1447" s="6">
        <f t="shared" si="119"/>
        <v>415.12799999999999</v>
      </c>
      <c r="S1447" s="6">
        <f t="shared" si="120"/>
        <v>7.226695224E-3</v>
      </c>
      <c r="T1447" t="str">
        <f t="shared" si="116"/>
        <v>Ipe S4S E4E 4x4 Short</v>
      </c>
    </row>
    <row r="1448" spans="1:20" x14ac:dyDescent="0.25">
      <c r="A1448" t="s">
        <v>1351</v>
      </c>
      <c r="B1448" t="s">
        <v>1813</v>
      </c>
      <c r="C1448" t="s">
        <v>524</v>
      </c>
      <c r="D1448" t="s">
        <v>438</v>
      </c>
      <c r="E1448" t="s">
        <v>1827</v>
      </c>
      <c r="F1448" t="s">
        <v>1814</v>
      </c>
      <c r="G1448" t="s">
        <v>1351</v>
      </c>
      <c r="H1448" t="s">
        <v>373</v>
      </c>
      <c r="I1448" t="s">
        <v>289</v>
      </c>
      <c r="J1448" t="s">
        <v>1010</v>
      </c>
      <c r="K1448">
        <v>4</v>
      </c>
      <c r="L1448" s="6">
        <v>1.2192000000000001</v>
      </c>
      <c r="M1448" s="7">
        <v>88.9</v>
      </c>
      <c r="N1448" s="7">
        <v>88.9</v>
      </c>
      <c r="O1448" s="7">
        <f t="shared" si="117"/>
        <v>48.000000000000007</v>
      </c>
      <c r="P1448" s="7">
        <f t="shared" si="118"/>
        <v>3.5000000000000004</v>
      </c>
      <c r="Q1448" s="7">
        <f t="shared" si="118"/>
        <v>3.5000000000000004</v>
      </c>
      <c r="R1448" s="6">
        <f t="shared" si="119"/>
        <v>415.12799999999999</v>
      </c>
      <c r="S1448" s="6">
        <f t="shared" si="120"/>
        <v>9.6355936320000023E-3</v>
      </c>
      <c r="T1448" t="str">
        <f t="shared" si="116"/>
        <v>Ipe S4S E4E 4x4 Short</v>
      </c>
    </row>
    <row r="1449" spans="1:20" x14ac:dyDescent="0.25">
      <c r="A1449" t="s">
        <v>1351</v>
      </c>
      <c r="B1449" t="s">
        <v>1813</v>
      </c>
      <c r="C1449" t="s">
        <v>524</v>
      </c>
      <c r="D1449" t="s">
        <v>438</v>
      </c>
      <c r="E1449" t="s">
        <v>1828</v>
      </c>
      <c r="F1449" t="s">
        <v>1814</v>
      </c>
      <c r="G1449" t="s">
        <v>1351</v>
      </c>
      <c r="H1449" t="s">
        <v>373</v>
      </c>
      <c r="I1449" t="s">
        <v>289</v>
      </c>
      <c r="J1449" t="s">
        <v>1010</v>
      </c>
      <c r="K1449">
        <v>5</v>
      </c>
      <c r="L1449" s="6">
        <v>1.524</v>
      </c>
      <c r="M1449" s="7">
        <v>88.9</v>
      </c>
      <c r="N1449" s="7">
        <v>88.9</v>
      </c>
      <c r="O1449" s="7">
        <f t="shared" si="117"/>
        <v>60</v>
      </c>
      <c r="P1449" s="7">
        <f t="shared" si="118"/>
        <v>3.5000000000000004</v>
      </c>
      <c r="Q1449" s="7">
        <f t="shared" si="118"/>
        <v>3.5000000000000004</v>
      </c>
      <c r="R1449" s="6">
        <f t="shared" si="119"/>
        <v>415.12799999999999</v>
      </c>
      <c r="S1449" s="6">
        <f t="shared" si="120"/>
        <v>1.2044492040000004E-2</v>
      </c>
      <c r="T1449" t="str">
        <f t="shared" si="116"/>
        <v>Ipe S4S E4E 4x4 Short</v>
      </c>
    </row>
    <row r="1450" spans="1:20" x14ac:dyDescent="0.25">
      <c r="A1450" t="s">
        <v>1351</v>
      </c>
      <c r="B1450" t="s">
        <v>1813</v>
      </c>
      <c r="C1450" t="s">
        <v>524</v>
      </c>
      <c r="D1450" t="s">
        <v>438</v>
      </c>
      <c r="E1450" t="s">
        <v>1829</v>
      </c>
      <c r="F1450" t="s">
        <v>1814</v>
      </c>
      <c r="G1450" t="s">
        <v>1351</v>
      </c>
      <c r="H1450" t="s">
        <v>373</v>
      </c>
      <c r="I1450" t="s">
        <v>289</v>
      </c>
      <c r="J1450" t="s">
        <v>1010</v>
      </c>
      <c r="K1450">
        <v>6</v>
      </c>
      <c r="L1450" s="6">
        <v>1.8288</v>
      </c>
      <c r="M1450" s="7">
        <v>88.9</v>
      </c>
      <c r="N1450" s="7">
        <v>88.9</v>
      </c>
      <c r="O1450" s="7">
        <f t="shared" si="117"/>
        <v>72</v>
      </c>
      <c r="P1450" s="7">
        <f t="shared" si="118"/>
        <v>3.5000000000000004</v>
      </c>
      <c r="Q1450" s="7">
        <f t="shared" si="118"/>
        <v>3.5000000000000004</v>
      </c>
      <c r="R1450" s="6">
        <f t="shared" si="119"/>
        <v>415.12799999999999</v>
      </c>
      <c r="S1450" s="6">
        <f t="shared" si="120"/>
        <v>1.4453390448E-2</v>
      </c>
      <c r="T1450" t="str">
        <f t="shared" si="116"/>
        <v>Ipe S4S E4E 4x4 Short</v>
      </c>
    </row>
    <row r="1451" spans="1:20" x14ac:dyDescent="0.25">
      <c r="A1451" t="s">
        <v>1351</v>
      </c>
      <c r="B1451" t="s">
        <v>1813</v>
      </c>
      <c r="C1451" t="s">
        <v>524</v>
      </c>
      <c r="D1451" t="s">
        <v>438</v>
      </c>
      <c r="E1451" t="s">
        <v>1830</v>
      </c>
      <c r="F1451" t="s">
        <v>1814</v>
      </c>
      <c r="G1451" t="s">
        <v>1351</v>
      </c>
      <c r="H1451" t="s">
        <v>373</v>
      </c>
      <c r="I1451" t="s">
        <v>289</v>
      </c>
      <c r="J1451" t="s">
        <v>1010</v>
      </c>
      <c r="K1451">
        <v>7</v>
      </c>
      <c r="L1451" s="6">
        <v>2.1335999999999999</v>
      </c>
      <c r="M1451" s="7">
        <v>88.9</v>
      </c>
      <c r="N1451" s="7">
        <v>88.9</v>
      </c>
      <c r="O1451" s="7">
        <f t="shared" si="117"/>
        <v>84</v>
      </c>
      <c r="P1451" s="7">
        <f t="shared" si="118"/>
        <v>3.5000000000000004</v>
      </c>
      <c r="Q1451" s="7">
        <f t="shared" si="118"/>
        <v>3.5000000000000004</v>
      </c>
      <c r="R1451" s="6">
        <f t="shared" si="119"/>
        <v>415.12799999999999</v>
      </c>
      <c r="S1451" s="6">
        <f t="shared" si="120"/>
        <v>1.6862288856000003E-2</v>
      </c>
      <c r="T1451" t="str">
        <f t="shared" si="116"/>
        <v>Ipe S4S E4E 4x4 Short</v>
      </c>
    </row>
    <row r="1452" spans="1:20" x14ac:dyDescent="0.25">
      <c r="A1452" t="s">
        <v>1351</v>
      </c>
      <c r="B1452" t="s">
        <v>1813</v>
      </c>
      <c r="C1452" t="s">
        <v>283</v>
      </c>
      <c r="D1452" t="s">
        <v>438</v>
      </c>
      <c r="E1452" t="s">
        <v>1831</v>
      </c>
      <c r="F1452" t="s">
        <v>1814</v>
      </c>
      <c r="G1452" t="s">
        <v>1351</v>
      </c>
      <c r="H1452" t="s">
        <v>373</v>
      </c>
      <c r="I1452" t="s">
        <v>289</v>
      </c>
      <c r="J1452" t="s">
        <v>1010</v>
      </c>
      <c r="K1452">
        <v>8</v>
      </c>
      <c r="L1452" s="6">
        <v>2.4384000000000001</v>
      </c>
      <c r="M1452" s="7">
        <v>88.9</v>
      </c>
      <c r="N1452" s="7">
        <v>88.9</v>
      </c>
      <c r="O1452" s="7">
        <f t="shared" si="117"/>
        <v>96.000000000000014</v>
      </c>
      <c r="P1452" s="7">
        <f t="shared" si="118"/>
        <v>3.5000000000000004</v>
      </c>
      <c r="Q1452" s="7">
        <f t="shared" si="118"/>
        <v>3.5000000000000004</v>
      </c>
      <c r="R1452" s="6">
        <f t="shared" si="119"/>
        <v>415.12799999999999</v>
      </c>
      <c r="S1452" s="6">
        <f t="shared" si="120"/>
        <v>1.9271187264000005E-2</v>
      </c>
      <c r="T1452" t="str">
        <f t="shared" si="116"/>
        <v>Ipe S4S E4E 4x4 Long</v>
      </c>
    </row>
    <row r="1453" spans="1:20" x14ac:dyDescent="0.25">
      <c r="A1453" t="s">
        <v>1351</v>
      </c>
      <c r="B1453" t="s">
        <v>1813</v>
      </c>
      <c r="C1453" t="s">
        <v>283</v>
      </c>
      <c r="D1453" t="s">
        <v>438</v>
      </c>
      <c r="E1453" t="s">
        <v>1832</v>
      </c>
      <c r="F1453" t="s">
        <v>1814</v>
      </c>
      <c r="G1453" t="s">
        <v>1351</v>
      </c>
      <c r="H1453" t="s">
        <v>373</v>
      </c>
      <c r="I1453" t="s">
        <v>289</v>
      </c>
      <c r="J1453" t="s">
        <v>1010</v>
      </c>
      <c r="K1453">
        <v>9</v>
      </c>
      <c r="L1453" s="6">
        <v>2.7431999999999999</v>
      </c>
      <c r="M1453" s="7">
        <v>88.9</v>
      </c>
      <c r="N1453" s="7">
        <v>88.9</v>
      </c>
      <c r="O1453" s="7">
        <f t="shared" si="117"/>
        <v>108</v>
      </c>
      <c r="P1453" s="7">
        <f t="shared" si="118"/>
        <v>3.5000000000000004</v>
      </c>
      <c r="Q1453" s="7">
        <f t="shared" si="118"/>
        <v>3.5000000000000004</v>
      </c>
      <c r="R1453" s="6">
        <f t="shared" si="119"/>
        <v>415.12799999999999</v>
      </c>
      <c r="S1453" s="6">
        <f t="shared" si="120"/>
        <v>2.1680085672000003E-2</v>
      </c>
      <c r="T1453" t="str">
        <f t="shared" si="116"/>
        <v>Ipe S4S E4E 4x4 Long</v>
      </c>
    </row>
    <row r="1454" spans="1:20" x14ac:dyDescent="0.25">
      <c r="A1454" t="s">
        <v>1351</v>
      </c>
      <c r="B1454" t="s">
        <v>1833</v>
      </c>
      <c r="C1454" t="s">
        <v>283</v>
      </c>
      <c r="D1454" t="s">
        <v>438</v>
      </c>
      <c r="E1454" t="s">
        <v>1834</v>
      </c>
      <c r="F1454" t="s">
        <v>1835</v>
      </c>
      <c r="G1454" t="s">
        <v>1351</v>
      </c>
      <c r="H1454" t="s">
        <v>373</v>
      </c>
      <c r="I1454" t="s">
        <v>289</v>
      </c>
      <c r="J1454" t="s">
        <v>1836</v>
      </c>
      <c r="K1454">
        <v>10</v>
      </c>
      <c r="L1454" s="6">
        <v>3.048</v>
      </c>
      <c r="M1454" s="7">
        <v>88.9</v>
      </c>
      <c r="N1454" s="7">
        <v>139.69999999999999</v>
      </c>
      <c r="O1454" s="7">
        <f t="shared" si="117"/>
        <v>120</v>
      </c>
      <c r="P1454" s="7">
        <f t="shared" si="118"/>
        <v>3.5000000000000004</v>
      </c>
      <c r="Q1454" s="7">
        <f t="shared" si="118"/>
        <v>5.5</v>
      </c>
      <c r="R1454" s="6">
        <f t="shared" si="119"/>
        <v>264.17200000000003</v>
      </c>
      <c r="S1454" s="6">
        <f t="shared" si="120"/>
        <v>3.7854117840000007E-2</v>
      </c>
      <c r="T1454" t="str">
        <f t="shared" si="116"/>
        <v>Ipe S4S E4E 4x6 Long</v>
      </c>
    </row>
    <row r="1455" spans="1:20" x14ac:dyDescent="0.25">
      <c r="A1455" t="s">
        <v>1351</v>
      </c>
      <c r="B1455" t="s">
        <v>1833</v>
      </c>
      <c r="C1455" t="s">
        <v>283</v>
      </c>
      <c r="D1455" t="s">
        <v>438</v>
      </c>
      <c r="E1455" t="s">
        <v>1837</v>
      </c>
      <c r="F1455" t="s">
        <v>1835</v>
      </c>
      <c r="G1455" t="s">
        <v>1351</v>
      </c>
      <c r="H1455" t="s">
        <v>373</v>
      </c>
      <c r="I1455" t="s">
        <v>289</v>
      </c>
      <c r="J1455" t="s">
        <v>1836</v>
      </c>
      <c r="K1455">
        <v>11</v>
      </c>
      <c r="L1455" s="6">
        <v>3.3527999999999998</v>
      </c>
      <c r="M1455" s="7">
        <v>88.9</v>
      </c>
      <c r="N1455" s="7">
        <v>139.69999999999999</v>
      </c>
      <c r="O1455" s="7">
        <f t="shared" si="117"/>
        <v>132</v>
      </c>
      <c r="P1455" s="7">
        <f t="shared" si="118"/>
        <v>3.5000000000000004</v>
      </c>
      <c r="Q1455" s="7">
        <f t="shared" si="118"/>
        <v>5.5</v>
      </c>
      <c r="R1455" s="6">
        <f t="shared" si="119"/>
        <v>264.17200000000003</v>
      </c>
      <c r="S1455" s="6">
        <f t="shared" si="120"/>
        <v>4.1639529623999992E-2</v>
      </c>
      <c r="T1455" t="str">
        <f t="shared" si="116"/>
        <v>Ipe S4S E4E 4x6 Long</v>
      </c>
    </row>
    <row r="1456" spans="1:20" x14ac:dyDescent="0.25">
      <c r="A1456" t="s">
        <v>1351</v>
      </c>
      <c r="B1456" t="s">
        <v>1833</v>
      </c>
      <c r="C1456" t="s">
        <v>283</v>
      </c>
      <c r="D1456" t="s">
        <v>438</v>
      </c>
      <c r="E1456" t="s">
        <v>1838</v>
      </c>
      <c r="F1456" t="s">
        <v>1835</v>
      </c>
      <c r="G1456" t="s">
        <v>1351</v>
      </c>
      <c r="H1456" t="s">
        <v>373</v>
      </c>
      <c r="I1456" t="s">
        <v>289</v>
      </c>
      <c r="J1456" t="s">
        <v>1836</v>
      </c>
      <c r="K1456">
        <v>12</v>
      </c>
      <c r="L1456" s="6">
        <v>3.6576</v>
      </c>
      <c r="M1456" s="7">
        <v>88.9</v>
      </c>
      <c r="N1456" s="7">
        <v>139.69999999999999</v>
      </c>
      <c r="O1456" s="7">
        <f t="shared" si="117"/>
        <v>144</v>
      </c>
      <c r="P1456" s="7">
        <f t="shared" si="118"/>
        <v>3.5000000000000004</v>
      </c>
      <c r="Q1456" s="7">
        <f t="shared" si="118"/>
        <v>5.5</v>
      </c>
      <c r="R1456" s="6">
        <f t="shared" si="119"/>
        <v>264.17200000000003</v>
      </c>
      <c r="S1456" s="6">
        <f t="shared" si="120"/>
        <v>4.5424941407999998E-2</v>
      </c>
      <c r="T1456" t="str">
        <f t="shared" si="116"/>
        <v>Ipe S4S E4E 4x6 Long</v>
      </c>
    </row>
    <row r="1457" spans="1:20" x14ac:dyDescent="0.25">
      <c r="A1457" t="s">
        <v>1351</v>
      </c>
      <c r="B1457" t="s">
        <v>1833</v>
      </c>
      <c r="C1457" t="s">
        <v>283</v>
      </c>
      <c r="D1457" t="s">
        <v>438</v>
      </c>
      <c r="E1457" t="s">
        <v>1839</v>
      </c>
      <c r="F1457" t="s">
        <v>1835</v>
      </c>
      <c r="G1457" t="s">
        <v>1351</v>
      </c>
      <c r="H1457" t="s">
        <v>373</v>
      </c>
      <c r="I1457" t="s">
        <v>289</v>
      </c>
      <c r="J1457" t="s">
        <v>1836</v>
      </c>
      <c r="K1457">
        <v>13</v>
      </c>
      <c r="L1457" s="6">
        <v>3.9624000000000001</v>
      </c>
      <c r="M1457" s="7">
        <v>88.9</v>
      </c>
      <c r="N1457" s="7">
        <v>139.69999999999999</v>
      </c>
      <c r="O1457" s="7">
        <f t="shared" si="117"/>
        <v>156</v>
      </c>
      <c r="P1457" s="7">
        <f t="shared" si="118"/>
        <v>3.5000000000000004</v>
      </c>
      <c r="Q1457" s="7">
        <f t="shared" si="118"/>
        <v>5.5</v>
      </c>
      <c r="R1457" s="6">
        <f t="shared" si="119"/>
        <v>264.17200000000003</v>
      </c>
      <c r="S1457" s="6">
        <f t="shared" si="120"/>
        <v>4.9210353192000005E-2</v>
      </c>
      <c r="T1457" t="str">
        <f t="shared" si="116"/>
        <v>Ipe S4S E4E 4x6 Long</v>
      </c>
    </row>
    <row r="1458" spans="1:20" x14ac:dyDescent="0.25">
      <c r="A1458" t="s">
        <v>1351</v>
      </c>
      <c r="B1458" t="s">
        <v>1833</v>
      </c>
      <c r="C1458" t="s">
        <v>283</v>
      </c>
      <c r="D1458" t="s">
        <v>438</v>
      </c>
      <c r="E1458" t="s">
        <v>1840</v>
      </c>
      <c r="F1458" t="s">
        <v>1835</v>
      </c>
      <c r="G1458" t="s">
        <v>1351</v>
      </c>
      <c r="H1458" t="s">
        <v>373</v>
      </c>
      <c r="I1458" t="s">
        <v>289</v>
      </c>
      <c r="J1458" t="s">
        <v>1836</v>
      </c>
      <c r="K1458">
        <v>14</v>
      </c>
      <c r="L1458" s="6">
        <v>4.2671999999999999</v>
      </c>
      <c r="M1458" s="7">
        <v>88.9</v>
      </c>
      <c r="N1458" s="7">
        <v>139.69999999999999</v>
      </c>
      <c r="O1458" s="7">
        <f t="shared" si="117"/>
        <v>168</v>
      </c>
      <c r="P1458" s="7">
        <f t="shared" si="118"/>
        <v>3.5000000000000004</v>
      </c>
      <c r="Q1458" s="7">
        <f t="shared" si="118"/>
        <v>5.5</v>
      </c>
      <c r="R1458" s="6">
        <f t="shared" si="119"/>
        <v>264.17200000000003</v>
      </c>
      <c r="S1458" s="6">
        <f t="shared" si="120"/>
        <v>5.2995764976000004E-2</v>
      </c>
      <c r="T1458" t="str">
        <f t="shared" si="116"/>
        <v>Ipe S4S E4E 4x6 Long</v>
      </c>
    </row>
    <row r="1459" spans="1:20" x14ac:dyDescent="0.25">
      <c r="A1459" t="s">
        <v>1351</v>
      </c>
      <c r="B1459" t="s">
        <v>1833</v>
      </c>
      <c r="C1459" t="s">
        <v>283</v>
      </c>
      <c r="D1459" t="s">
        <v>438</v>
      </c>
      <c r="E1459" t="s">
        <v>1841</v>
      </c>
      <c r="F1459" t="s">
        <v>1835</v>
      </c>
      <c r="G1459" t="s">
        <v>1351</v>
      </c>
      <c r="H1459" t="s">
        <v>373</v>
      </c>
      <c r="I1459" t="s">
        <v>289</v>
      </c>
      <c r="J1459" t="s">
        <v>1836</v>
      </c>
      <c r="K1459">
        <v>15</v>
      </c>
      <c r="L1459" s="6">
        <v>4.5720000000000001</v>
      </c>
      <c r="M1459" s="7">
        <v>88.9</v>
      </c>
      <c r="N1459" s="7">
        <v>139.69999999999999</v>
      </c>
      <c r="O1459" s="7">
        <f t="shared" si="117"/>
        <v>180</v>
      </c>
      <c r="P1459" s="7">
        <f t="shared" si="118"/>
        <v>3.5000000000000004</v>
      </c>
      <c r="Q1459" s="7">
        <f t="shared" si="118"/>
        <v>5.5</v>
      </c>
      <c r="R1459" s="6">
        <f t="shared" si="119"/>
        <v>264.17200000000003</v>
      </c>
      <c r="S1459" s="6">
        <f t="shared" si="120"/>
        <v>5.6781176759999996E-2</v>
      </c>
      <c r="T1459" t="str">
        <f t="shared" si="116"/>
        <v>Ipe S4S E4E 4x6 Long</v>
      </c>
    </row>
    <row r="1460" spans="1:20" x14ac:dyDescent="0.25">
      <c r="A1460" t="s">
        <v>1351</v>
      </c>
      <c r="B1460" t="s">
        <v>1833</v>
      </c>
      <c r="C1460" t="s">
        <v>283</v>
      </c>
      <c r="D1460" t="s">
        <v>438</v>
      </c>
      <c r="E1460" t="s">
        <v>1842</v>
      </c>
      <c r="F1460" t="s">
        <v>1835</v>
      </c>
      <c r="G1460" t="s">
        <v>1351</v>
      </c>
      <c r="H1460" t="s">
        <v>373</v>
      </c>
      <c r="I1460" t="s">
        <v>289</v>
      </c>
      <c r="J1460" t="s">
        <v>1836</v>
      </c>
      <c r="K1460">
        <v>16</v>
      </c>
      <c r="L1460" s="6">
        <v>4.8768000000000002</v>
      </c>
      <c r="M1460" s="7">
        <v>88.9</v>
      </c>
      <c r="N1460" s="7">
        <v>139.69999999999999</v>
      </c>
      <c r="O1460" s="7">
        <f t="shared" si="117"/>
        <v>192.00000000000003</v>
      </c>
      <c r="P1460" s="7">
        <f t="shared" si="118"/>
        <v>3.5000000000000004</v>
      </c>
      <c r="Q1460" s="7">
        <f t="shared" si="118"/>
        <v>5.5</v>
      </c>
      <c r="R1460" s="6">
        <f t="shared" si="119"/>
        <v>264.17200000000003</v>
      </c>
      <c r="S1460" s="6">
        <f t="shared" si="120"/>
        <v>6.0566588544000002E-2</v>
      </c>
      <c r="T1460" t="str">
        <f t="shared" si="116"/>
        <v>Ipe S4S E4E 4x6 Long</v>
      </c>
    </row>
    <row r="1461" spans="1:20" x14ac:dyDescent="0.25">
      <c r="A1461" t="s">
        <v>1351</v>
      </c>
      <c r="B1461" t="s">
        <v>1833</v>
      </c>
      <c r="C1461" t="s">
        <v>283</v>
      </c>
      <c r="D1461" t="s">
        <v>438</v>
      </c>
      <c r="E1461" t="s">
        <v>1843</v>
      </c>
      <c r="F1461" t="s">
        <v>1835</v>
      </c>
      <c r="G1461" t="s">
        <v>1351</v>
      </c>
      <c r="H1461" t="s">
        <v>373</v>
      </c>
      <c r="I1461" t="s">
        <v>289</v>
      </c>
      <c r="J1461" t="s">
        <v>1836</v>
      </c>
      <c r="K1461">
        <v>17</v>
      </c>
      <c r="L1461" s="6">
        <v>5.1816000000000004</v>
      </c>
      <c r="M1461" s="7">
        <v>88.9</v>
      </c>
      <c r="N1461" s="7">
        <v>139.69999999999999</v>
      </c>
      <c r="O1461" s="7">
        <f t="shared" si="117"/>
        <v>204.00000000000003</v>
      </c>
      <c r="P1461" s="7">
        <f t="shared" si="118"/>
        <v>3.5000000000000004</v>
      </c>
      <c r="Q1461" s="7">
        <f t="shared" si="118"/>
        <v>5.5</v>
      </c>
      <c r="R1461" s="6">
        <f t="shared" si="119"/>
        <v>264.17200000000003</v>
      </c>
      <c r="S1461" s="6">
        <f t="shared" si="120"/>
        <v>6.4352000328000009E-2</v>
      </c>
      <c r="T1461" t="str">
        <f t="shared" si="116"/>
        <v>Ipe S4S E4E 4x6 Long</v>
      </c>
    </row>
    <row r="1462" spans="1:20" x14ac:dyDescent="0.25">
      <c r="A1462" t="s">
        <v>1351</v>
      </c>
      <c r="B1462" t="s">
        <v>1833</v>
      </c>
      <c r="C1462" t="s">
        <v>283</v>
      </c>
      <c r="D1462" t="s">
        <v>438</v>
      </c>
      <c r="E1462" t="s">
        <v>1844</v>
      </c>
      <c r="F1462" t="s">
        <v>1835</v>
      </c>
      <c r="G1462" t="s">
        <v>1351</v>
      </c>
      <c r="H1462" t="s">
        <v>373</v>
      </c>
      <c r="I1462" t="s">
        <v>289</v>
      </c>
      <c r="J1462" t="s">
        <v>1836</v>
      </c>
      <c r="K1462">
        <v>18</v>
      </c>
      <c r="L1462" s="6">
        <v>5.4863999999999997</v>
      </c>
      <c r="M1462" s="7">
        <v>88.9</v>
      </c>
      <c r="N1462" s="7">
        <v>139.69999999999999</v>
      </c>
      <c r="O1462" s="7">
        <f t="shared" si="117"/>
        <v>216</v>
      </c>
      <c r="P1462" s="7">
        <f t="shared" si="118"/>
        <v>3.5000000000000004</v>
      </c>
      <c r="Q1462" s="7">
        <f t="shared" si="118"/>
        <v>5.5</v>
      </c>
      <c r="R1462" s="6">
        <f t="shared" si="119"/>
        <v>264.17200000000003</v>
      </c>
      <c r="S1462" s="6">
        <f t="shared" si="120"/>
        <v>6.8137412112000001E-2</v>
      </c>
      <c r="T1462" t="str">
        <f t="shared" si="116"/>
        <v>Ipe S4S E4E 4x6 Long</v>
      </c>
    </row>
    <row r="1463" spans="1:20" x14ac:dyDescent="0.25">
      <c r="A1463" t="s">
        <v>1351</v>
      </c>
      <c r="B1463" t="s">
        <v>1833</v>
      </c>
      <c r="C1463" t="s">
        <v>283</v>
      </c>
      <c r="D1463" t="s">
        <v>438</v>
      </c>
      <c r="E1463" t="s">
        <v>1845</v>
      </c>
      <c r="F1463" t="s">
        <v>1835</v>
      </c>
      <c r="G1463" t="s">
        <v>1351</v>
      </c>
      <c r="H1463" t="s">
        <v>373</v>
      </c>
      <c r="I1463" t="s">
        <v>289</v>
      </c>
      <c r="J1463" t="s">
        <v>1836</v>
      </c>
      <c r="K1463">
        <v>19</v>
      </c>
      <c r="L1463" s="6">
        <v>5.7911999999999999</v>
      </c>
      <c r="M1463" s="7">
        <v>88.9</v>
      </c>
      <c r="N1463" s="7">
        <v>139.69999999999999</v>
      </c>
      <c r="O1463" s="7">
        <f t="shared" si="117"/>
        <v>228</v>
      </c>
      <c r="P1463" s="7">
        <f t="shared" si="118"/>
        <v>3.5000000000000004</v>
      </c>
      <c r="Q1463" s="7">
        <f t="shared" si="118"/>
        <v>5.5</v>
      </c>
      <c r="R1463" s="6">
        <f t="shared" si="119"/>
        <v>264.17200000000003</v>
      </c>
      <c r="S1463" s="6">
        <f t="shared" si="120"/>
        <v>7.1922823895999979E-2</v>
      </c>
      <c r="T1463" t="str">
        <f t="shared" si="116"/>
        <v>Ipe S4S E4E 4x6 Long</v>
      </c>
    </row>
    <row r="1464" spans="1:20" x14ac:dyDescent="0.25">
      <c r="A1464" t="s">
        <v>1351</v>
      </c>
      <c r="B1464" t="s">
        <v>1833</v>
      </c>
      <c r="C1464" t="s">
        <v>283</v>
      </c>
      <c r="D1464" t="s">
        <v>438</v>
      </c>
      <c r="E1464" t="s">
        <v>1846</v>
      </c>
      <c r="F1464" t="s">
        <v>1835</v>
      </c>
      <c r="G1464" t="s">
        <v>1351</v>
      </c>
      <c r="H1464" t="s">
        <v>373</v>
      </c>
      <c r="I1464" t="s">
        <v>289</v>
      </c>
      <c r="J1464" t="s">
        <v>1836</v>
      </c>
      <c r="K1464">
        <v>2</v>
      </c>
      <c r="L1464" s="6">
        <v>0.60960000000000003</v>
      </c>
      <c r="M1464" s="7">
        <v>88.9</v>
      </c>
      <c r="N1464" s="7">
        <v>139.69999999999999</v>
      </c>
      <c r="O1464" s="7">
        <f t="shared" si="117"/>
        <v>24.000000000000004</v>
      </c>
      <c r="P1464" s="7">
        <f t="shared" si="118"/>
        <v>3.5000000000000004</v>
      </c>
      <c r="Q1464" s="7">
        <f t="shared" si="118"/>
        <v>5.5</v>
      </c>
      <c r="R1464" s="6">
        <f t="shared" si="119"/>
        <v>264.17200000000003</v>
      </c>
      <c r="S1464" s="6">
        <f t="shared" si="120"/>
        <v>7.5708235680000003E-3</v>
      </c>
      <c r="T1464" t="str">
        <f t="shared" si="116"/>
        <v>Ipe S4S E4E 4x6 Long</v>
      </c>
    </row>
    <row r="1465" spans="1:20" x14ac:dyDescent="0.25">
      <c r="A1465" t="s">
        <v>1351</v>
      </c>
      <c r="B1465" t="s">
        <v>1833</v>
      </c>
      <c r="C1465" t="s">
        <v>283</v>
      </c>
      <c r="D1465" t="s">
        <v>438</v>
      </c>
      <c r="E1465" t="s">
        <v>1847</v>
      </c>
      <c r="F1465" t="s">
        <v>1835</v>
      </c>
      <c r="G1465" t="s">
        <v>1351</v>
      </c>
      <c r="H1465" t="s">
        <v>373</v>
      </c>
      <c r="I1465" t="s">
        <v>289</v>
      </c>
      <c r="J1465" t="s">
        <v>1836</v>
      </c>
      <c r="K1465">
        <v>20</v>
      </c>
      <c r="L1465" s="6">
        <v>6.0960000000000001</v>
      </c>
      <c r="M1465" s="7">
        <v>88.9</v>
      </c>
      <c r="N1465" s="7">
        <v>139.69999999999999</v>
      </c>
      <c r="O1465" s="7">
        <f t="shared" si="117"/>
        <v>240</v>
      </c>
      <c r="P1465" s="7">
        <f t="shared" si="118"/>
        <v>3.5000000000000004</v>
      </c>
      <c r="Q1465" s="7">
        <f t="shared" si="118"/>
        <v>5.5</v>
      </c>
      <c r="R1465" s="6">
        <f t="shared" si="119"/>
        <v>264.17200000000003</v>
      </c>
      <c r="S1465" s="6">
        <f t="shared" si="120"/>
        <v>7.5708235680000013E-2</v>
      </c>
      <c r="T1465" t="str">
        <f t="shared" si="116"/>
        <v>Ipe S4S E4E 4x6 Long</v>
      </c>
    </row>
    <row r="1466" spans="1:20" x14ac:dyDescent="0.25">
      <c r="A1466" t="s">
        <v>1351</v>
      </c>
      <c r="B1466" t="s">
        <v>1833</v>
      </c>
      <c r="C1466" t="s">
        <v>283</v>
      </c>
      <c r="D1466" t="s">
        <v>438</v>
      </c>
      <c r="E1466" t="s">
        <v>1848</v>
      </c>
      <c r="F1466" t="s">
        <v>1835</v>
      </c>
      <c r="G1466" t="s">
        <v>1351</v>
      </c>
      <c r="H1466" t="s">
        <v>373</v>
      </c>
      <c r="I1466" t="s">
        <v>289</v>
      </c>
      <c r="J1466" t="s">
        <v>1836</v>
      </c>
      <c r="K1466">
        <v>21</v>
      </c>
      <c r="L1466" s="6">
        <v>6.4008000000000003</v>
      </c>
      <c r="M1466" s="7">
        <v>88.9</v>
      </c>
      <c r="N1466" s="7">
        <v>139.69999999999999</v>
      </c>
      <c r="O1466" s="7">
        <f t="shared" si="117"/>
        <v>252.00000000000003</v>
      </c>
      <c r="P1466" s="7">
        <f t="shared" si="118"/>
        <v>3.5000000000000004</v>
      </c>
      <c r="Q1466" s="7">
        <f t="shared" si="118"/>
        <v>5.5</v>
      </c>
      <c r="R1466" s="6">
        <f t="shared" si="119"/>
        <v>264.17200000000003</v>
      </c>
      <c r="S1466" s="6">
        <f t="shared" si="120"/>
        <v>7.9493647464000006E-2</v>
      </c>
      <c r="T1466" t="str">
        <f t="shared" si="116"/>
        <v>Ipe S4S E4E 4x6 Long</v>
      </c>
    </row>
    <row r="1467" spans="1:20" x14ac:dyDescent="0.25">
      <c r="A1467" t="s">
        <v>1351</v>
      </c>
      <c r="B1467" t="s">
        <v>1833</v>
      </c>
      <c r="C1467" t="s">
        <v>283</v>
      </c>
      <c r="D1467" t="s">
        <v>438</v>
      </c>
      <c r="E1467" t="s">
        <v>1849</v>
      </c>
      <c r="F1467" t="s">
        <v>1835</v>
      </c>
      <c r="G1467" t="s">
        <v>1351</v>
      </c>
      <c r="H1467" t="s">
        <v>373</v>
      </c>
      <c r="I1467" t="s">
        <v>289</v>
      </c>
      <c r="J1467" t="s">
        <v>1836</v>
      </c>
      <c r="K1467">
        <v>22</v>
      </c>
      <c r="L1467" s="6">
        <v>6.7055999999999996</v>
      </c>
      <c r="M1467" s="7">
        <v>88.9</v>
      </c>
      <c r="N1467" s="7">
        <v>139.69999999999999</v>
      </c>
      <c r="O1467" s="7">
        <f t="shared" si="117"/>
        <v>264</v>
      </c>
      <c r="P1467" s="7">
        <f t="shared" si="118"/>
        <v>3.5000000000000004</v>
      </c>
      <c r="Q1467" s="7">
        <f t="shared" si="118"/>
        <v>5.5</v>
      </c>
      <c r="R1467" s="6">
        <f t="shared" si="119"/>
        <v>264.17200000000003</v>
      </c>
      <c r="S1467" s="6">
        <f t="shared" si="120"/>
        <v>8.3279059247999984E-2</v>
      </c>
      <c r="T1467" t="str">
        <f t="shared" si="116"/>
        <v>Ipe S4S E4E 4x6 Long</v>
      </c>
    </row>
    <row r="1468" spans="1:20" x14ac:dyDescent="0.25">
      <c r="A1468" t="s">
        <v>1351</v>
      </c>
      <c r="B1468" t="s">
        <v>1833</v>
      </c>
      <c r="C1468" t="s">
        <v>524</v>
      </c>
      <c r="D1468" t="s">
        <v>438</v>
      </c>
      <c r="E1468" t="s">
        <v>1850</v>
      </c>
      <c r="F1468" t="s">
        <v>1835</v>
      </c>
      <c r="G1468" t="s">
        <v>1351</v>
      </c>
      <c r="H1468" t="s">
        <v>373</v>
      </c>
      <c r="I1468" t="s">
        <v>289</v>
      </c>
      <c r="J1468" t="s">
        <v>1836</v>
      </c>
      <c r="K1468">
        <v>3</v>
      </c>
      <c r="L1468" s="6">
        <v>0.91439999999999999</v>
      </c>
      <c r="M1468" s="7">
        <v>88.9</v>
      </c>
      <c r="N1468" s="7">
        <v>139.69999999999999</v>
      </c>
      <c r="O1468" s="7">
        <f t="shared" si="117"/>
        <v>36</v>
      </c>
      <c r="P1468" s="7">
        <f t="shared" si="118"/>
        <v>3.5000000000000004</v>
      </c>
      <c r="Q1468" s="7">
        <f t="shared" si="118"/>
        <v>5.5</v>
      </c>
      <c r="R1468" s="6">
        <f t="shared" si="119"/>
        <v>264.17200000000003</v>
      </c>
      <c r="S1468" s="6">
        <f t="shared" si="120"/>
        <v>1.1356235352E-2</v>
      </c>
      <c r="T1468" t="str">
        <f t="shared" si="116"/>
        <v>Ipe S4S E4E 4x6 Short</v>
      </c>
    </row>
    <row r="1469" spans="1:20" x14ac:dyDescent="0.25">
      <c r="A1469" t="s">
        <v>1351</v>
      </c>
      <c r="B1469" t="s">
        <v>1833</v>
      </c>
      <c r="C1469" t="s">
        <v>524</v>
      </c>
      <c r="D1469" t="s">
        <v>438</v>
      </c>
      <c r="E1469" t="s">
        <v>1851</v>
      </c>
      <c r="F1469" t="s">
        <v>1835</v>
      </c>
      <c r="G1469" t="s">
        <v>1351</v>
      </c>
      <c r="H1469" t="s">
        <v>373</v>
      </c>
      <c r="I1469" t="s">
        <v>289</v>
      </c>
      <c r="J1469" t="s">
        <v>1836</v>
      </c>
      <c r="K1469">
        <v>4</v>
      </c>
      <c r="L1469" s="6">
        <v>1.2192000000000001</v>
      </c>
      <c r="M1469" s="7">
        <v>88.9</v>
      </c>
      <c r="N1469" s="7">
        <v>139.69999999999999</v>
      </c>
      <c r="O1469" s="7">
        <f t="shared" si="117"/>
        <v>48.000000000000007</v>
      </c>
      <c r="P1469" s="7">
        <f t="shared" si="118"/>
        <v>3.5000000000000004</v>
      </c>
      <c r="Q1469" s="7">
        <f t="shared" si="118"/>
        <v>5.5</v>
      </c>
      <c r="R1469" s="6">
        <f t="shared" si="119"/>
        <v>264.17200000000003</v>
      </c>
      <c r="S1469" s="6">
        <f t="shared" si="120"/>
        <v>1.5141647136000001E-2</v>
      </c>
      <c r="T1469" t="str">
        <f t="shared" si="116"/>
        <v>Ipe S4S E4E 4x6 Short</v>
      </c>
    </row>
    <row r="1470" spans="1:20" x14ac:dyDescent="0.25">
      <c r="A1470" t="s">
        <v>1351</v>
      </c>
      <c r="B1470" t="s">
        <v>1833</v>
      </c>
      <c r="C1470" t="s">
        <v>524</v>
      </c>
      <c r="D1470" t="s">
        <v>438</v>
      </c>
      <c r="E1470" t="s">
        <v>1852</v>
      </c>
      <c r="F1470" t="s">
        <v>1835</v>
      </c>
      <c r="G1470" t="s">
        <v>1351</v>
      </c>
      <c r="H1470" t="s">
        <v>373</v>
      </c>
      <c r="I1470" t="s">
        <v>289</v>
      </c>
      <c r="J1470" t="s">
        <v>1836</v>
      </c>
      <c r="K1470">
        <v>5</v>
      </c>
      <c r="L1470" s="6">
        <v>1.524</v>
      </c>
      <c r="M1470" s="7">
        <v>88.9</v>
      </c>
      <c r="N1470" s="7">
        <v>139.69999999999999</v>
      </c>
      <c r="O1470" s="7">
        <f t="shared" si="117"/>
        <v>60</v>
      </c>
      <c r="P1470" s="7">
        <f t="shared" si="118"/>
        <v>3.5000000000000004</v>
      </c>
      <c r="Q1470" s="7">
        <f t="shared" si="118"/>
        <v>5.5</v>
      </c>
      <c r="R1470" s="6">
        <f t="shared" si="119"/>
        <v>264.17200000000003</v>
      </c>
      <c r="S1470" s="6">
        <f t="shared" si="120"/>
        <v>1.8927058920000003E-2</v>
      </c>
      <c r="T1470" t="str">
        <f t="shared" si="116"/>
        <v>Ipe S4S E4E 4x6 Short</v>
      </c>
    </row>
    <row r="1471" spans="1:20" x14ac:dyDescent="0.25">
      <c r="A1471" t="s">
        <v>1351</v>
      </c>
      <c r="B1471" t="s">
        <v>1833</v>
      </c>
      <c r="C1471" t="s">
        <v>524</v>
      </c>
      <c r="D1471" t="s">
        <v>438</v>
      </c>
      <c r="E1471" t="s">
        <v>1853</v>
      </c>
      <c r="F1471" t="s">
        <v>1835</v>
      </c>
      <c r="G1471" t="s">
        <v>1351</v>
      </c>
      <c r="H1471" t="s">
        <v>373</v>
      </c>
      <c r="I1471" t="s">
        <v>289</v>
      </c>
      <c r="J1471" t="s">
        <v>1836</v>
      </c>
      <c r="K1471">
        <v>6</v>
      </c>
      <c r="L1471" s="6">
        <v>1.8288</v>
      </c>
      <c r="M1471" s="7">
        <v>88.9</v>
      </c>
      <c r="N1471" s="7">
        <v>139.69999999999999</v>
      </c>
      <c r="O1471" s="7">
        <f t="shared" si="117"/>
        <v>72</v>
      </c>
      <c r="P1471" s="7">
        <f t="shared" si="118"/>
        <v>3.5000000000000004</v>
      </c>
      <c r="Q1471" s="7">
        <f t="shared" si="118"/>
        <v>5.5</v>
      </c>
      <c r="R1471" s="6">
        <f t="shared" si="119"/>
        <v>264.17200000000003</v>
      </c>
      <c r="S1471" s="6">
        <f t="shared" si="120"/>
        <v>2.2712470703999999E-2</v>
      </c>
      <c r="T1471" t="str">
        <f t="shared" si="116"/>
        <v>Ipe S4S E4E 4x6 Short</v>
      </c>
    </row>
    <row r="1472" spans="1:20" x14ac:dyDescent="0.25">
      <c r="A1472" t="s">
        <v>1351</v>
      </c>
      <c r="B1472" t="s">
        <v>1833</v>
      </c>
      <c r="C1472" t="s">
        <v>524</v>
      </c>
      <c r="D1472" t="s">
        <v>438</v>
      </c>
      <c r="E1472" t="s">
        <v>1854</v>
      </c>
      <c r="F1472" t="s">
        <v>1835</v>
      </c>
      <c r="G1472" t="s">
        <v>1351</v>
      </c>
      <c r="H1472" t="s">
        <v>373</v>
      </c>
      <c r="I1472" t="s">
        <v>289</v>
      </c>
      <c r="J1472" t="s">
        <v>1836</v>
      </c>
      <c r="K1472">
        <v>7</v>
      </c>
      <c r="L1472" s="6">
        <v>2.1335999999999999</v>
      </c>
      <c r="M1472" s="7">
        <v>88.9</v>
      </c>
      <c r="N1472" s="7">
        <v>139.69999999999999</v>
      </c>
      <c r="O1472" s="7">
        <f t="shared" si="117"/>
        <v>84</v>
      </c>
      <c r="P1472" s="7">
        <f t="shared" si="118"/>
        <v>3.5000000000000004</v>
      </c>
      <c r="Q1472" s="7">
        <f t="shared" si="118"/>
        <v>5.5</v>
      </c>
      <c r="R1472" s="6">
        <f t="shared" si="119"/>
        <v>264.17200000000003</v>
      </c>
      <c r="S1472" s="6">
        <f t="shared" si="120"/>
        <v>2.6497882488000002E-2</v>
      </c>
      <c r="T1472" t="str">
        <f t="shared" si="116"/>
        <v>Ipe S4S E4E 4x6 Short</v>
      </c>
    </row>
    <row r="1473" spans="1:20" x14ac:dyDescent="0.25">
      <c r="A1473" t="s">
        <v>1351</v>
      </c>
      <c r="B1473" t="s">
        <v>1833</v>
      </c>
      <c r="C1473" t="s">
        <v>283</v>
      </c>
      <c r="D1473" t="s">
        <v>438</v>
      </c>
      <c r="E1473" t="s">
        <v>1855</v>
      </c>
      <c r="F1473" t="s">
        <v>1835</v>
      </c>
      <c r="G1473" t="s">
        <v>1351</v>
      </c>
      <c r="H1473" t="s">
        <v>373</v>
      </c>
      <c r="I1473" t="s">
        <v>289</v>
      </c>
      <c r="J1473" t="s">
        <v>1836</v>
      </c>
      <c r="K1473">
        <v>8</v>
      </c>
      <c r="L1473" s="6">
        <v>2.4384000000000001</v>
      </c>
      <c r="M1473" s="7">
        <v>88.9</v>
      </c>
      <c r="N1473" s="7">
        <v>139.69999999999999</v>
      </c>
      <c r="O1473" s="7">
        <f t="shared" si="117"/>
        <v>96.000000000000014</v>
      </c>
      <c r="P1473" s="7">
        <f t="shared" si="118"/>
        <v>3.5000000000000004</v>
      </c>
      <c r="Q1473" s="7">
        <f t="shared" si="118"/>
        <v>5.5</v>
      </c>
      <c r="R1473" s="6">
        <f t="shared" si="119"/>
        <v>264.17200000000003</v>
      </c>
      <c r="S1473" s="6">
        <f t="shared" si="120"/>
        <v>3.0283294272000001E-2</v>
      </c>
      <c r="T1473" t="str">
        <f t="shared" si="116"/>
        <v>Ipe S4S E4E 4x6 Long</v>
      </c>
    </row>
    <row r="1474" spans="1:20" x14ac:dyDescent="0.25">
      <c r="A1474" t="s">
        <v>1351</v>
      </c>
      <c r="B1474" t="s">
        <v>1833</v>
      </c>
      <c r="C1474" t="s">
        <v>283</v>
      </c>
      <c r="D1474" t="s">
        <v>438</v>
      </c>
      <c r="E1474" t="s">
        <v>1856</v>
      </c>
      <c r="F1474" t="s">
        <v>1835</v>
      </c>
      <c r="G1474" t="s">
        <v>1351</v>
      </c>
      <c r="H1474" t="s">
        <v>373</v>
      </c>
      <c r="I1474" t="s">
        <v>289</v>
      </c>
      <c r="J1474" t="s">
        <v>1836</v>
      </c>
      <c r="K1474">
        <v>9</v>
      </c>
      <c r="L1474" s="6">
        <v>2.7431999999999999</v>
      </c>
      <c r="M1474" s="7">
        <v>88.9</v>
      </c>
      <c r="N1474" s="7">
        <v>139.69999999999999</v>
      </c>
      <c r="O1474" s="7">
        <f t="shared" si="117"/>
        <v>108</v>
      </c>
      <c r="P1474" s="7">
        <f t="shared" si="118"/>
        <v>3.5000000000000004</v>
      </c>
      <c r="Q1474" s="7">
        <f t="shared" si="118"/>
        <v>5.5</v>
      </c>
      <c r="R1474" s="6">
        <f t="shared" si="119"/>
        <v>264.17200000000003</v>
      </c>
      <c r="S1474" s="6">
        <f t="shared" si="120"/>
        <v>3.4068706056E-2</v>
      </c>
      <c r="T1474" t="str">
        <f t="shared" ref="T1474:T1537" si="121">F1474&amp;" "&amp;C1474</f>
        <v>Ipe S4S E4E 4x6 Long</v>
      </c>
    </row>
    <row r="1475" spans="1:20" x14ac:dyDescent="0.25">
      <c r="A1475" t="s">
        <v>1351</v>
      </c>
      <c r="B1475" t="s">
        <v>1857</v>
      </c>
      <c r="C1475" t="s">
        <v>283</v>
      </c>
      <c r="D1475" t="s">
        <v>438</v>
      </c>
      <c r="E1475" t="s">
        <v>1858</v>
      </c>
      <c r="F1475" t="s">
        <v>1859</v>
      </c>
      <c r="G1475" t="s">
        <v>1351</v>
      </c>
      <c r="H1475" t="s">
        <v>373</v>
      </c>
      <c r="I1475" t="s">
        <v>289</v>
      </c>
      <c r="J1475" t="s">
        <v>1033</v>
      </c>
      <c r="K1475">
        <v>10</v>
      </c>
      <c r="L1475" s="6">
        <v>3.048</v>
      </c>
      <c r="M1475" s="7">
        <v>88.9</v>
      </c>
      <c r="N1475" s="7">
        <v>184.15</v>
      </c>
      <c r="O1475" s="7">
        <f t="shared" si="117"/>
        <v>120</v>
      </c>
      <c r="P1475" s="7">
        <f t="shared" si="118"/>
        <v>3.5000000000000004</v>
      </c>
      <c r="Q1475" s="7">
        <f t="shared" si="118"/>
        <v>7.2500000000000009</v>
      </c>
      <c r="R1475" s="6">
        <f t="shared" si="119"/>
        <v>200.40600000000001</v>
      </c>
      <c r="S1475" s="6">
        <f t="shared" si="120"/>
        <v>4.9898609880000014E-2</v>
      </c>
      <c r="T1475" t="str">
        <f t="shared" si="121"/>
        <v>Ipe S4S E4E 4x8 Long</v>
      </c>
    </row>
    <row r="1476" spans="1:20" x14ac:dyDescent="0.25">
      <c r="A1476" t="s">
        <v>1351</v>
      </c>
      <c r="B1476" t="s">
        <v>1857</v>
      </c>
      <c r="C1476" t="s">
        <v>283</v>
      </c>
      <c r="D1476" t="s">
        <v>438</v>
      </c>
      <c r="E1476" t="s">
        <v>1860</v>
      </c>
      <c r="F1476" t="s">
        <v>1859</v>
      </c>
      <c r="G1476" t="s">
        <v>1351</v>
      </c>
      <c r="H1476" t="s">
        <v>373</v>
      </c>
      <c r="I1476" t="s">
        <v>289</v>
      </c>
      <c r="J1476" t="s">
        <v>1033</v>
      </c>
      <c r="K1476">
        <v>11</v>
      </c>
      <c r="L1476" s="6">
        <v>3.3527999999999998</v>
      </c>
      <c r="M1476" s="7">
        <v>88.9</v>
      </c>
      <c r="N1476" s="7">
        <v>184.15</v>
      </c>
      <c r="O1476" s="7">
        <f t="shared" si="117"/>
        <v>132</v>
      </c>
      <c r="P1476" s="7">
        <f t="shared" si="118"/>
        <v>3.5000000000000004</v>
      </c>
      <c r="Q1476" s="7">
        <f t="shared" si="118"/>
        <v>7.2500000000000009</v>
      </c>
      <c r="R1476" s="6">
        <f t="shared" si="119"/>
        <v>200.40600000000001</v>
      </c>
      <c r="S1476" s="6">
        <f t="shared" si="120"/>
        <v>5.4888470868E-2</v>
      </c>
      <c r="T1476" t="str">
        <f t="shared" si="121"/>
        <v>Ipe S4S E4E 4x8 Long</v>
      </c>
    </row>
    <row r="1477" spans="1:20" x14ac:dyDescent="0.25">
      <c r="A1477" t="s">
        <v>1351</v>
      </c>
      <c r="B1477" t="s">
        <v>1857</v>
      </c>
      <c r="C1477" t="s">
        <v>283</v>
      </c>
      <c r="D1477" t="s">
        <v>438</v>
      </c>
      <c r="E1477" t="s">
        <v>1861</v>
      </c>
      <c r="F1477" t="s">
        <v>1859</v>
      </c>
      <c r="G1477" t="s">
        <v>1351</v>
      </c>
      <c r="H1477" t="s">
        <v>373</v>
      </c>
      <c r="I1477" t="s">
        <v>289</v>
      </c>
      <c r="J1477" t="s">
        <v>1033</v>
      </c>
      <c r="K1477">
        <v>12</v>
      </c>
      <c r="L1477" s="6">
        <v>3.6576</v>
      </c>
      <c r="M1477" s="7">
        <v>88.9</v>
      </c>
      <c r="N1477" s="7">
        <v>184.15</v>
      </c>
      <c r="O1477" s="7">
        <f t="shared" si="117"/>
        <v>144</v>
      </c>
      <c r="P1477" s="7">
        <f t="shared" si="118"/>
        <v>3.5000000000000004</v>
      </c>
      <c r="Q1477" s="7">
        <f t="shared" si="118"/>
        <v>7.2500000000000009</v>
      </c>
      <c r="R1477" s="6">
        <f t="shared" si="119"/>
        <v>200.40600000000001</v>
      </c>
      <c r="S1477" s="6">
        <f t="shared" si="120"/>
        <v>5.9878331856E-2</v>
      </c>
      <c r="T1477" t="str">
        <f t="shared" si="121"/>
        <v>Ipe S4S E4E 4x8 Long</v>
      </c>
    </row>
    <row r="1478" spans="1:20" x14ac:dyDescent="0.25">
      <c r="A1478" t="s">
        <v>1351</v>
      </c>
      <c r="B1478" t="s">
        <v>1857</v>
      </c>
      <c r="C1478" t="s">
        <v>283</v>
      </c>
      <c r="D1478" t="s">
        <v>438</v>
      </c>
      <c r="E1478" t="s">
        <v>1862</v>
      </c>
      <c r="F1478" t="s">
        <v>1859</v>
      </c>
      <c r="G1478" t="s">
        <v>1351</v>
      </c>
      <c r="H1478" t="s">
        <v>373</v>
      </c>
      <c r="I1478" t="s">
        <v>289</v>
      </c>
      <c r="J1478" t="s">
        <v>1033</v>
      </c>
      <c r="K1478">
        <v>13</v>
      </c>
      <c r="L1478" s="6">
        <v>3.9624000000000001</v>
      </c>
      <c r="M1478" s="7">
        <v>88.9</v>
      </c>
      <c r="N1478" s="7">
        <v>184.15</v>
      </c>
      <c r="O1478" s="7">
        <f t="shared" si="117"/>
        <v>156</v>
      </c>
      <c r="P1478" s="7">
        <f t="shared" si="118"/>
        <v>3.5000000000000004</v>
      </c>
      <c r="Q1478" s="7">
        <f t="shared" si="118"/>
        <v>7.2500000000000009</v>
      </c>
      <c r="R1478" s="6">
        <f t="shared" si="119"/>
        <v>200.40600000000001</v>
      </c>
      <c r="S1478" s="6">
        <f t="shared" si="120"/>
        <v>6.4868192844000014E-2</v>
      </c>
      <c r="T1478" t="str">
        <f t="shared" si="121"/>
        <v>Ipe S4S E4E 4x8 Long</v>
      </c>
    </row>
    <row r="1479" spans="1:20" x14ac:dyDescent="0.25">
      <c r="A1479" t="s">
        <v>1351</v>
      </c>
      <c r="B1479" t="s">
        <v>1857</v>
      </c>
      <c r="C1479" t="s">
        <v>283</v>
      </c>
      <c r="D1479" t="s">
        <v>438</v>
      </c>
      <c r="E1479" t="s">
        <v>1863</v>
      </c>
      <c r="F1479" t="s">
        <v>1859</v>
      </c>
      <c r="G1479" t="s">
        <v>1351</v>
      </c>
      <c r="H1479" t="s">
        <v>373</v>
      </c>
      <c r="I1479" t="s">
        <v>289</v>
      </c>
      <c r="J1479" t="s">
        <v>1033</v>
      </c>
      <c r="K1479">
        <v>14</v>
      </c>
      <c r="L1479" s="6">
        <v>4.2671999999999999</v>
      </c>
      <c r="M1479" s="7">
        <v>88.9</v>
      </c>
      <c r="N1479" s="7">
        <v>184.15</v>
      </c>
      <c r="O1479" s="7">
        <f t="shared" si="117"/>
        <v>168</v>
      </c>
      <c r="P1479" s="7">
        <f t="shared" si="118"/>
        <v>3.5000000000000004</v>
      </c>
      <c r="Q1479" s="7">
        <f t="shared" si="118"/>
        <v>7.2500000000000009</v>
      </c>
      <c r="R1479" s="6">
        <f t="shared" si="119"/>
        <v>200.40600000000001</v>
      </c>
      <c r="S1479" s="6">
        <f t="shared" si="120"/>
        <v>6.9858053832000014E-2</v>
      </c>
      <c r="T1479" t="str">
        <f t="shared" si="121"/>
        <v>Ipe S4S E4E 4x8 Long</v>
      </c>
    </row>
    <row r="1480" spans="1:20" x14ac:dyDescent="0.25">
      <c r="A1480" t="s">
        <v>1351</v>
      </c>
      <c r="B1480" t="s">
        <v>1857</v>
      </c>
      <c r="C1480" t="s">
        <v>283</v>
      </c>
      <c r="D1480" t="s">
        <v>438</v>
      </c>
      <c r="E1480" t="s">
        <v>1864</v>
      </c>
      <c r="F1480" t="s">
        <v>1859</v>
      </c>
      <c r="G1480" t="s">
        <v>1351</v>
      </c>
      <c r="H1480" t="s">
        <v>373</v>
      </c>
      <c r="I1480" t="s">
        <v>289</v>
      </c>
      <c r="J1480" t="s">
        <v>1033</v>
      </c>
      <c r="K1480">
        <v>15</v>
      </c>
      <c r="L1480" s="6">
        <v>4.5720000000000001</v>
      </c>
      <c r="M1480" s="7">
        <v>88.9</v>
      </c>
      <c r="N1480" s="7">
        <v>184.15</v>
      </c>
      <c r="O1480" s="7">
        <f t="shared" si="117"/>
        <v>180</v>
      </c>
      <c r="P1480" s="7">
        <f t="shared" si="118"/>
        <v>3.5000000000000004</v>
      </c>
      <c r="Q1480" s="7">
        <f t="shared" si="118"/>
        <v>7.2500000000000009</v>
      </c>
      <c r="R1480" s="6">
        <f t="shared" si="119"/>
        <v>200.40600000000001</v>
      </c>
      <c r="S1480" s="6">
        <f t="shared" si="120"/>
        <v>7.484791482E-2</v>
      </c>
      <c r="T1480" t="str">
        <f t="shared" si="121"/>
        <v>Ipe S4S E4E 4x8 Long</v>
      </c>
    </row>
    <row r="1481" spans="1:20" x14ac:dyDescent="0.25">
      <c r="A1481" t="s">
        <v>1351</v>
      </c>
      <c r="B1481" t="s">
        <v>1857</v>
      </c>
      <c r="C1481" t="s">
        <v>283</v>
      </c>
      <c r="D1481" t="s">
        <v>438</v>
      </c>
      <c r="E1481" t="s">
        <v>1865</v>
      </c>
      <c r="F1481" t="s">
        <v>1859</v>
      </c>
      <c r="G1481" t="s">
        <v>1351</v>
      </c>
      <c r="H1481" t="s">
        <v>373</v>
      </c>
      <c r="I1481" t="s">
        <v>289</v>
      </c>
      <c r="J1481" t="s">
        <v>1033</v>
      </c>
      <c r="K1481">
        <v>16</v>
      </c>
      <c r="L1481" s="6">
        <v>4.8768000000000002</v>
      </c>
      <c r="M1481" s="7">
        <v>88.9</v>
      </c>
      <c r="N1481" s="7">
        <v>184.15</v>
      </c>
      <c r="O1481" s="7">
        <f t="shared" si="117"/>
        <v>192.00000000000003</v>
      </c>
      <c r="P1481" s="7">
        <f t="shared" si="118"/>
        <v>3.5000000000000004</v>
      </c>
      <c r="Q1481" s="7">
        <f t="shared" si="118"/>
        <v>7.2500000000000009</v>
      </c>
      <c r="R1481" s="6">
        <f t="shared" si="119"/>
        <v>200.40600000000001</v>
      </c>
      <c r="S1481" s="6">
        <f t="shared" si="120"/>
        <v>7.9837775808000014E-2</v>
      </c>
      <c r="T1481" t="str">
        <f t="shared" si="121"/>
        <v>Ipe S4S E4E 4x8 Long</v>
      </c>
    </row>
    <row r="1482" spans="1:20" x14ac:dyDescent="0.25">
      <c r="A1482" t="s">
        <v>1351</v>
      </c>
      <c r="B1482" t="s">
        <v>1857</v>
      </c>
      <c r="C1482" t="s">
        <v>283</v>
      </c>
      <c r="D1482" t="s">
        <v>438</v>
      </c>
      <c r="E1482" t="s">
        <v>1866</v>
      </c>
      <c r="F1482" t="s">
        <v>1859</v>
      </c>
      <c r="G1482" t="s">
        <v>1351</v>
      </c>
      <c r="H1482" t="s">
        <v>373</v>
      </c>
      <c r="I1482" t="s">
        <v>289</v>
      </c>
      <c r="J1482" t="s">
        <v>1033</v>
      </c>
      <c r="K1482">
        <v>17</v>
      </c>
      <c r="L1482" s="6">
        <v>5.1816000000000004</v>
      </c>
      <c r="M1482" s="7">
        <v>88.9</v>
      </c>
      <c r="N1482" s="7">
        <v>184.15</v>
      </c>
      <c r="O1482" s="7">
        <f t="shared" si="117"/>
        <v>204.00000000000003</v>
      </c>
      <c r="P1482" s="7">
        <f t="shared" si="118"/>
        <v>3.5000000000000004</v>
      </c>
      <c r="Q1482" s="7">
        <f t="shared" si="118"/>
        <v>7.2500000000000009</v>
      </c>
      <c r="R1482" s="6">
        <f t="shared" si="119"/>
        <v>200.40600000000001</v>
      </c>
      <c r="S1482" s="6">
        <f t="shared" si="120"/>
        <v>8.4827636796000028E-2</v>
      </c>
      <c r="T1482" t="str">
        <f t="shared" si="121"/>
        <v>Ipe S4S E4E 4x8 Long</v>
      </c>
    </row>
    <row r="1483" spans="1:20" x14ac:dyDescent="0.25">
      <c r="A1483" t="s">
        <v>1351</v>
      </c>
      <c r="B1483" t="s">
        <v>1857</v>
      </c>
      <c r="C1483" t="s">
        <v>283</v>
      </c>
      <c r="D1483" t="s">
        <v>438</v>
      </c>
      <c r="E1483" t="s">
        <v>1867</v>
      </c>
      <c r="F1483" t="s">
        <v>1859</v>
      </c>
      <c r="G1483" t="s">
        <v>1351</v>
      </c>
      <c r="H1483" t="s">
        <v>373</v>
      </c>
      <c r="I1483" t="s">
        <v>289</v>
      </c>
      <c r="J1483" t="s">
        <v>1033</v>
      </c>
      <c r="K1483">
        <v>18</v>
      </c>
      <c r="L1483" s="6">
        <v>5.4863999999999997</v>
      </c>
      <c r="M1483" s="7">
        <v>88.9</v>
      </c>
      <c r="N1483" s="7">
        <v>184.15</v>
      </c>
      <c r="O1483" s="7">
        <f t="shared" si="117"/>
        <v>216</v>
      </c>
      <c r="P1483" s="7">
        <f t="shared" si="118"/>
        <v>3.5000000000000004</v>
      </c>
      <c r="Q1483" s="7">
        <f t="shared" si="118"/>
        <v>7.2500000000000009</v>
      </c>
      <c r="R1483" s="6">
        <f t="shared" si="119"/>
        <v>200.40600000000001</v>
      </c>
      <c r="S1483" s="6">
        <f t="shared" si="120"/>
        <v>8.9817497784000014E-2</v>
      </c>
      <c r="T1483" t="str">
        <f t="shared" si="121"/>
        <v>Ipe S4S E4E 4x8 Long</v>
      </c>
    </row>
    <row r="1484" spans="1:20" x14ac:dyDescent="0.25">
      <c r="A1484" t="s">
        <v>1351</v>
      </c>
      <c r="B1484" t="s">
        <v>1857</v>
      </c>
      <c r="C1484" t="s">
        <v>283</v>
      </c>
      <c r="D1484" t="s">
        <v>438</v>
      </c>
      <c r="E1484" t="s">
        <v>1868</v>
      </c>
      <c r="F1484" t="s">
        <v>1859</v>
      </c>
      <c r="G1484" t="s">
        <v>1351</v>
      </c>
      <c r="H1484" t="s">
        <v>373</v>
      </c>
      <c r="I1484" t="s">
        <v>289</v>
      </c>
      <c r="J1484" t="s">
        <v>1033</v>
      </c>
      <c r="K1484">
        <v>19</v>
      </c>
      <c r="L1484" s="6">
        <v>5.7911999999999999</v>
      </c>
      <c r="M1484" s="7">
        <v>88.9</v>
      </c>
      <c r="N1484" s="7">
        <v>184.15</v>
      </c>
      <c r="O1484" s="7">
        <f t="shared" si="117"/>
        <v>228</v>
      </c>
      <c r="P1484" s="7">
        <f t="shared" si="118"/>
        <v>3.5000000000000004</v>
      </c>
      <c r="Q1484" s="7">
        <f t="shared" si="118"/>
        <v>7.2500000000000009</v>
      </c>
      <c r="R1484" s="6">
        <f t="shared" si="119"/>
        <v>200.40600000000001</v>
      </c>
      <c r="S1484" s="6">
        <f t="shared" si="120"/>
        <v>9.4807358772E-2</v>
      </c>
      <c r="T1484" t="str">
        <f t="shared" si="121"/>
        <v>Ipe S4S E4E 4x8 Long</v>
      </c>
    </row>
    <row r="1485" spans="1:20" x14ac:dyDescent="0.25">
      <c r="A1485" t="s">
        <v>1351</v>
      </c>
      <c r="B1485" t="s">
        <v>1857</v>
      </c>
      <c r="C1485" t="s">
        <v>283</v>
      </c>
      <c r="D1485" t="s">
        <v>438</v>
      </c>
      <c r="E1485" t="s">
        <v>1869</v>
      </c>
      <c r="F1485" t="s">
        <v>1859</v>
      </c>
      <c r="G1485" t="s">
        <v>1351</v>
      </c>
      <c r="H1485" t="s">
        <v>373</v>
      </c>
      <c r="I1485" t="s">
        <v>289</v>
      </c>
      <c r="J1485" t="s">
        <v>1033</v>
      </c>
      <c r="K1485">
        <v>20</v>
      </c>
      <c r="L1485" s="6">
        <v>6.0960000000000001</v>
      </c>
      <c r="M1485" s="7">
        <v>88.9</v>
      </c>
      <c r="N1485" s="7">
        <v>184.15</v>
      </c>
      <c r="O1485" s="7">
        <f t="shared" si="117"/>
        <v>240</v>
      </c>
      <c r="P1485" s="7">
        <f t="shared" si="118"/>
        <v>3.5000000000000004</v>
      </c>
      <c r="Q1485" s="7">
        <f t="shared" si="118"/>
        <v>7.2500000000000009</v>
      </c>
      <c r="R1485" s="6">
        <f t="shared" si="119"/>
        <v>200.40600000000001</v>
      </c>
      <c r="S1485" s="6">
        <f t="shared" si="120"/>
        <v>9.9797219760000028E-2</v>
      </c>
      <c r="T1485" t="str">
        <f t="shared" si="121"/>
        <v>Ipe S4S E4E 4x8 Long</v>
      </c>
    </row>
    <row r="1486" spans="1:20" x14ac:dyDescent="0.25">
      <c r="A1486" t="s">
        <v>1351</v>
      </c>
      <c r="B1486" t="s">
        <v>1857</v>
      </c>
      <c r="C1486" t="s">
        <v>283</v>
      </c>
      <c r="D1486" t="s">
        <v>438</v>
      </c>
      <c r="E1486" t="s">
        <v>1870</v>
      </c>
      <c r="F1486" t="s">
        <v>1859</v>
      </c>
      <c r="G1486" t="s">
        <v>1351</v>
      </c>
      <c r="H1486" t="s">
        <v>373</v>
      </c>
      <c r="I1486" t="s">
        <v>289</v>
      </c>
      <c r="J1486" t="s">
        <v>1033</v>
      </c>
      <c r="K1486">
        <v>21</v>
      </c>
      <c r="L1486" s="6">
        <v>6.4008000000000003</v>
      </c>
      <c r="M1486" s="7">
        <v>88.9</v>
      </c>
      <c r="N1486" s="7">
        <v>184.15</v>
      </c>
      <c r="O1486" s="7">
        <f t="shared" si="117"/>
        <v>252.00000000000003</v>
      </c>
      <c r="P1486" s="7">
        <f t="shared" si="118"/>
        <v>3.5000000000000004</v>
      </c>
      <c r="Q1486" s="7">
        <f t="shared" si="118"/>
        <v>7.2500000000000009</v>
      </c>
      <c r="R1486" s="6">
        <f t="shared" si="119"/>
        <v>200.40600000000001</v>
      </c>
      <c r="S1486" s="6">
        <f t="shared" si="120"/>
        <v>0.10478708074800003</v>
      </c>
      <c r="T1486" t="str">
        <f t="shared" si="121"/>
        <v>Ipe S4S E4E 4x8 Long</v>
      </c>
    </row>
    <row r="1487" spans="1:20" x14ac:dyDescent="0.25">
      <c r="A1487" t="s">
        <v>1351</v>
      </c>
      <c r="B1487" t="s">
        <v>1857</v>
      </c>
      <c r="C1487" t="s">
        <v>283</v>
      </c>
      <c r="D1487" t="s">
        <v>438</v>
      </c>
      <c r="E1487" t="s">
        <v>1871</v>
      </c>
      <c r="F1487" t="s">
        <v>1859</v>
      </c>
      <c r="G1487" t="s">
        <v>1351</v>
      </c>
      <c r="H1487" t="s">
        <v>373</v>
      </c>
      <c r="I1487" t="s">
        <v>289</v>
      </c>
      <c r="J1487" t="s">
        <v>1033</v>
      </c>
      <c r="K1487">
        <v>22</v>
      </c>
      <c r="L1487" s="6">
        <v>6.7055999999999996</v>
      </c>
      <c r="M1487" s="7">
        <v>88.9</v>
      </c>
      <c r="N1487" s="7">
        <v>184.15</v>
      </c>
      <c r="O1487" s="7">
        <f t="shared" si="117"/>
        <v>264</v>
      </c>
      <c r="P1487" s="7">
        <f t="shared" si="118"/>
        <v>3.5000000000000004</v>
      </c>
      <c r="Q1487" s="7">
        <f t="shared" si="118"/>
        <v>7.2500000000000009</v>
      </c>
      <c r="R1487" s="6">
        <f t="shared" si="119"/>
        <v>200.40600000000001</v>
      </c>
      <c r="S1487" s="6">
        <f t="shared" si="120"/>
        <v>0.109776941736</v>
      </c>
      <c r="T1487" t="str">
        <f t="shared" si="121"/>
        <v>Ipe S4S E4E 4x8 Long</v>
      </c>
    </row>
    <row r="1488" spans="1:20" x14ac:dyDescent="0.25">
      <c r="A1488" t="s">
        <v>1351</v>
      </c>
      <c r="B1488" t="s">
        <v>1857</v>
      </c>
      <c r="C1488" t="s">
        <v>524</v>
      </c>
      <c r="D1488" t="s">
        <v>438</v>
      </c>
      <c r="E1488" t="s">
        <v>1872</v>
      </c>
      <c r="F1488" t="s">
        <v>1859</v>
      </c>
      <c r="G1488" t="s">
        <v>1351</v>
      </c>
      <c r="H1488" t="s">
        <v>373</v>
      </c>
      <c r="I1488" t="s">
        <v>289</v>
      </c>
      <c r="J1488" t="s">
        <v>1033</v>
      </c>
      <c r="K1488">
        <v>3</v>
      </c>
      <c r="L1488" s="6">
        <v>0.91439999999999999</v>
      </c>
      <c r="M1488" s="7">
        <v>88.9</v>
      </c>
      <c r="N1488" s="7">
        <v>184.15</v>
      </c>
      <c r="O1488" s="7">
        <f t="shared" si="117"/>
        <v>36</v>
      </c>
      <c r="P1488" s="7">
        <f t="shared" si="118"/>
        <v>3.5000000000000004</v>
      </c>
      <c r="Q1488" s="7">
        <f t="shared" si="118"/>
        <v>7.2500000000000009</v>
      </c>
      <c r="R1488" s="6">
        <f t="shared" si="119"/>
        <v>200.40600000000001</v>
      </c>
      <c r="S1488" s="6">
        <f t="shared" si="120"/>
        <v>1.4969582964E-2</v>
      </c>
      <c r="T1488" t="str">
        <f t="shared" si="121"/>
        <v>Ipe S4S E4E 4x8 Short</v>
      </c>
    </row>
    <row r="1489" spans="1:20" x14ac:dyDescent="0.25">
      <c r="A1489" t="s">
        <v>1351</v>
      </c>
      <c r="B1489" t="s">
        <v>1857</v>
      </c>
      <c r="C1489" t="s">
        <v>524</v>
      </c>
      <c r="D1489" t="s">
        <v>438</v>
      </c>
      <c r="E1489" t="s">
        <v>1873</v>
      </c>
      <c r="F1489" t="s">
        <v>1859</v>
      </c>
      <c r="G1489" t="s">
        <v>1351</v>
      </c>
      <c r="H1489" t="s">
        <v>373</v>
      </c>
      <c r="I1489" t="s">
        <v>289</v>
      </c>
      <c r="J1489" t="s">
        <v>1033</v>
      </c>
      <c r="K1489">
        <v>4</v>
      </c>
      <c r="L1489" s="6">
        <v>1.2192000000000001</v>
      </c>
      <c r="M1489" s="7">
        <v>88.9</v>
      </c>
      <c r="N1489" s="7">
        <v>184.15</v>
      </c>
      <c r="O1489" s="7">
        <f t="shared" si="117"/>
        <v>48.000000000000007</v>
      </c>
      <c r="P1489" s="7">
        <f t="shared" si="118"/>
        <v>3.5000000000000004</v>
      </c>
      <c r="Q1489" s="7">
        <f t="shared" si="118"/>
        <v>7.2500000000000009</v>
      </c>
      <c r="R1489" s="6">
        <f t="shared" si="119"/>
        <v>200.40600000000001</v>
      </c>
      <c r="S1489" s="6">
        <f t="shared" si="120"/>
        <v>1.9959443952000003E-2</v>
      </c>
      <c r="T1489" t="str">
        <f t="shared" si="121"/>
        <v>Ipe S4S E4E 4x8 Short</v>
      </c>
    </row>
    <row r="1490" spans="1:20" x14ac:dyDescent="0.25">
      <c r="A1490" t="s">
        <v>1351</v>
      </c>
      <c r="B1490" t="s">
        <v>1857</v>
      </c>
      <c r="C1490" t="s">
        <v>524</v>
      </c>
      <c r="D1490" t="s">
        <v>438</v>
      </c>
      <c r="E1490" t="s">
        <v>1874</v>
      </c>
      <c r="F1490" t="s">
        <v>1859</v>
      </c>
      <c r="G1490" t="s">
        <v>1351</v>
      </c>
      <c r="H1490" t="s">
        <v>373</v>
      </c>
      <c r="I1490" t="s">
        <v>289</v>
      </c>
      <c r="J1490" t="s">
        <v>1033</v>
      </c>
      <c r="K1490">
        <v>5</v>
      </c>
      <c r="L1490" s="6">
        <v>1.524</v>
      </c>
      <c r="M1490" s="7">
        <v>88.9</v>
      </c>
      <c r="N1490" s="7">
        <v>184.15</v>
      </c>
      <c r="O1490" s="7">
        <f t="shared" si="117"/>
        <v>60</v>
      </c>
      <c r="P1490" s="7">
        <f t="shared" si="118"/>
        <v>3.5000000000000004</v>
      </c>
      <c r="Q1490" s="7">
        <f t="shared" si="118"/>
        <v>7.2500000000000009</v>
      </c>
      <c r="R1490" s="6">
        <f t="shared" si="119"/>
        <v>200.40600000000001</v>
      </c>
      <c r="S1490" s="6">
        <f t="shared" si="120"/>
        <v>2.4949304940000007E-2</v>
      </c>
      <c r="T1490" t="str">
        <f t="shared" si="121"/>
        <v>Ipe S4S E4E 4x8 Short</v>
      </c>
    </row>
    <row r="1491" spans="1:20" x14ac:dyDescent="0.25">
      <c r="A1491" t="s">
        <v>1351</v>
      </c>
      <c r="B1491" t="s">
        <v>1857</v>
      </c>
      <c r="C1491" t="s">
        <v>524</v>
      </c>
      <c r="D1491" t="s">
        <v>438</v>
      </c>
      <c r="E1491" t="s">
        <v>1875</v>
      </c>
      <c r="F1491" t="s">
        <v>1859</v>
      </c>
      <c r="G1491" t="s">
        <v>1351</v>
      </c>
      <c r="H1491" t="s">
        <v>373</v>
      </c>
      <c r="I1491" t="s">
        <v>289</v>
      </c>
      <c r="J1491" t="s">
        <v>1033</v>
      </c>
      <c r="K1491">
        <v>6</v>
      </c>
      <c r="L1491" s="6">
        <v>1.8288</v>
      </c>
      <c r="M1491" s="7">
        <v>88.9</v>
      </c>
      <c r="N1491" s="7">
        <v>184.15</v>
      </c>
      <c r="O1491" s="7">
        <f t="shared" si="117"/>
        <v>72</v>
      </c>
      <c r="P1491" s="7">
        <f t="shared" si="118"/>
        <v>3.5000000000000004</v>
      </c>
      <c r="Q1491" s="7">
        <f t="shared" si="118"/>
        <v>7.2500000000000009</v>
      </c>
      <c r="R1491" s="6">
        <f t="shared" si="119"/>
        <v>200.40600000000001</v>
      </c>
      <c r="S1491" s="6">
        <f t="shared" si="120"/>
        <v>2.9939165928E-2</v>
      </c>
      <c r="T1491" t="str">
        <f t="shared" si="121"/>
        <v>Ipe S4S E4E 4x8 Short</v>
      </c>
    </row>
    <row r="1492" spans="1:20" x14ac:dyDescent="0.25">
      <c r="A1492" t="s">
        <v>1351</v>
      </c>
      <c r="B1492" t="s">
        <v>1857</v>
      </c>
      <c r="C1492" t="s">
        <v>524</v>
      </c>
      <c r="D1492" t="s">
        <v>438</v>
      </c>
      <c r="E1492" t="s">
        <v>1876</v>
      </c>
      <c r="F1492" t="s">
        <v>1859</v>
      </c>
      <c r="G1492" t="s">
        <v>1351</v>
      </c>
      <c r="H1492" t="s">
        <v>373</v>
      </c>
      <c r="I1492" t="s">
        <v>289</v>
      </c>
      <c r="J1492" t="s">
        <v>1033</v>
      </c>
      <c r="K1492">
        <v>7</v>
      </c>
      <c r="L1492" s="6">
        <v>2.1335999999999999</v>
      </c>
      <c r="M1492" s="7">
        <v>88.9</v>
      </c>
      <c r="N1492" s="7">
        <v>184.15</v>
      </c>
      <c r="O1492" s="7">
        <f t="shared" si="117"/>
        <v>84</v>
      </c>
      <c r="P1492" s="7">
        <f t="shared" si="118"/>
        <v>3.5000000000000004</v>
      </c>
      <c r="Q1492" s="7">
        <f t="shared" si="118"/>
        <v>7.2500000000000009</v>
      </c>
      <c r="R1492" s="6">
        <f t="shared" si="119"/>
        <v>200.40600000000001</v>
      </c>
      <c r="S1492" s="6">
        <f t="shared" si="120"/>
        <v>3.4929026916000007E-2</v>
      </c>
      <c r="T1492" t="str">
        <f t="shared" si="121"/>
        <v>Ipe S4S E4E 4x8 Short</v>
      </c>
    </row>
    <row r="1493" spans="1:20" x14ac:dyDescent="0.25">
      <c r="A1493" t="s">
        <v>1351</v>
      </c>
      <c r="B1493" t="s">
        <v>1857</v>
      </c>
      <c r="C1493" t="s">
        <v>283</v>
      </c>
      <c r="D1493" t="s">
        <v>438</v>
      </c>
      <c r="E1493" t="s">
        <v>1877</v>
      </c>
      <c r="F1493" t="s">
        <v>1859</v>
      </c>
      <c r="G1493" t="s">
        <v>1351</v>
      </c>
      <c r="H1493" t="s">
        <v>373</v>
      </c>
      <c r="I1493" t="s">
        <v>289</v>
      </c>
      <c r="J1493" t="s">
        <v>1033</v>
      </c>
      <c r="K1493">
        <v>8</v>
      </c>
      <c r="L1493" s="6">
        <v>2.4384000000000001</v>
      </c>
      <c r="M1493" s="7">
        <v>88.9</v>
      </c>
      <c r="N1493" s="7">
        <v>184.15</v>
      </c>
      <c r="O1493" s="7">
        <f t="shared" si="117"/>
        <v>96.000000000000014</v>
      </c>
      <c r="P1493" s="7">
        <f t="shared" si="118"/>
        <v>3.5000000000000004</v>
      </c>
      <c r="Q1493" s="7">
        <f t="shared" si="118"/>
        <v>7.2500000000000009</v>
      </c>
      <c r="R1493" s="6">
        <f t="shared" si="119"/>
        <v>200.40600000000001</v>
      </c>
      <c r="S1493" s="6">
        <f t="shared" si="120"/>
        <v>3.9918887904000007E-2</v>
      </c>
      <c r="T1493" t="str">
        <f t="shared" si="121"/>
        <v>Ipe S4S E4E 4x8 Long</v>
      </c>
    </row>
    <row r="1494" spans="1:20" x14ac:dyDescent="0.25">
      <c r="A1494" t="s">
        <v>1351</v>
      </c>
      <c r="B1494" t="s">
        <v>1857</v>
      </c>
      <c r="C1494" t="s">
        <v>283</v>
      </c>
      <c r="D1494" t="s">
        <v>438</v>
      </c>
      <c r="E1494" t="s">
        <v>1878</v>
      </c>
      <c r="F1494" t="s">
        <v>1859</v>
      </c>
      <c r="G1494" t="s">
        <v>1351</v>
      </c>
      <c r="H1494" t="s">
        <v>373</v>
      </c>
      <c r="I1494" t="s">
        <v>289</v>
      </c>
      <c r="J1494" t="s">
        <v>1033</v>
      </c>
      <c r="K1494">
        <v>9</v>
      </c>
      <c r="L1494" s="6">
        <v>2.7431999999999999</v>
      </c>
      <c r="M1494" s="7">
        <v>88.9</v>
      </c>
      <c r="N1494" s="7">
        <v>184.15</v>
      </c>
      <c r="O1494" s="7">
        <f t="shared" si="117"/>
        <v>108</v>
      </c>
      <c r="P1494" s="7">
        <f t="shared" si="118"/>
        <v>3.5000000000000004</v>
      </c>
      <c r="Q1494" s="7">
        <f t="shared" si="118"/>
        <v>7.2500000000000009</v>
      </c>
      <c r="R1494" s="6">
        <f t="shared" si="119"/>
        <v>200.40600000000001</v>
      </c>
      <c r="S1494" s="6">
        <f t="shared" si="120"/>
        <v>4.4908748892000007E-2</v>
      </c>
      <c r="T1494" t="str">
        <f t="shared" si="121"/>
        <v>Ipe S4S E4E 4x8 Long</v>
      </c>
    </row>
    <row r="1495" spans="1:20" x14ac:dyDescent="0.25">
      <c r="A1495" t="s">
        <v>1351</v>
      </c>
      <c r="B1495" t="s">
        <v>1879</v>
      </c>
      <c r="C1495" t="s">
        <v>283</v>
      </c>
      <c r="D1495" t="s">
        <v>438</v>
      </c>
      <c r="E1495" t="s">
        <v>1880</v>
      </c>
      <c r="F1495" t="s">
        <v>1881</v>
      </c>
      <c r="G1495" t="s">
        <v>1351</v>
      </c>
      <c r="H1495" t="s">
        <v>373</v>
      </c>
      <c r="I1495" t="s">
        <v>289</v>
      </c>
      <c r="J1495" t="s">
        <v>1058</v>
      </c>
      <c r="K1495">
        <v>10</v>
      </c>
      <c r="L1495" s="6">
        <v>3.048</v>
      </c>
      <c r="M1495" s="7">
        <v>25.4</v>
      </c>
      <c r="N1495" s="7">
        <v>234.95</v>
      </c>
      <c r="O1495" s="7">
        <f t="shared" si="117"/>
        <v>120</v>
      </c>
      <c r="P1495" s="7">
        <f t="shared" si="118"/>
        <v>1</v>
      </c>
      <c r="Q1495" s="7">
        <f t="shared" si="118"/>
        <v>9.25</v>
      </c>
      <c r="R1495" s="6">
        <f t="shared" si="119"/>
        <v>549.76300000000003</v>
      </c>
      <c r="S1495" s="6">
        <f t="shared" si="120"/>
        <v>1.8189641040000003E-2</v>
      </c>
      <c r="T1495" t="str">
        <f t="shared" si="121"/>
        <v>Ipe S4S E4E 5/4x10 Long</v>
      </c>
    </row>
    <row r="1496" spans="1:20" x14ac:dyDescent="0.25">
      <c r="A1496" t="s">
        <v>1351</v>
      </c>
      <c r="B1496" t="s">
        <v>1879</v>
      </c>
      <c r="C1496" t="s">
        <v>283</v>
      </c>
      <c r="D1496" t="s">
        <v>438</v>
      </c>
      <c r="E1496" t="s">
        <v>1882</v>
      </c>
      <c r="F1496" t="s">
        <v>1881</v>
      </c>
      <c r="G1496" t="s">
        <v>1351</v>
      </c>
      <c r="H1496" t="s">
        <v>373</v>
      </c>
      <c r="I1496" t="s">
        <v>289</v>
      </c>
      <c r="J1496" t="s">
        <v>1058</v>
      </c>
      <c r="K1496">
        <v>11</v>
      </c>
      <c r="L1496" s="6">
        <v>3.3527999999999998</v>
      </c>
      <c r="M1496" s="7">
        <v>25.4</v>
      </c>
      <c r="N1496" s="7">
        <v>234.95</v>
      </c>
      <c r="O1496" s="7">
        <f t="shared" si="117"/>
        <v>132</v>
      </c>
      <c r="P1496" s="7">
        <f t="shared" si="118"/>
        <v>1</v>
      </c>
      <c r="Q1496" s="7">
        <f t="shared" si="118"/>
        <v>9.25</v>
      </c>
      <c r="R1496" s="6">
        <f t="shared" si="119"/>
        <v>549.76300000000003</v>
      </c>
      <c r="S1496" s="6">
        <f t="shared" si="120"/>
        <v>2.0008605143999995E-2</v>
      </c>
      <c r="T1496" t="str">
        <f t="shared" si="121"/>
        <v>Ipe S4S E4E 5/4x10 Long</v>
      </c>
    </row>
    <row r="1497" spans="1:20" x14ac:dyDescent="0.25">
      <c r="A1497" t="s">
        <v>1351</v>
      </c>
      <c r="B1497" t="s">
        <v>1879</v>
      </c>
      <c r="C1497" t="s">
        <v>283</v>
      </c>
      <c r="D1497" t="s">
        <v>438</v>
      </c>
      <c r="E1497" t="s">
        <v>1883</v>
      </c>
      <c r="F1497" t="s">
        <v>1881</v>
      </c>
      <c r="G1497" t="s">
        <v>1351</v>
      </c>
      <c r="H1497" t="s">
        <v>373</v>
      </c>
      <c r="I1497" t="s">
        <v>289</v>
      </c>
      <c r="J1497" t="s">
        <v>1058</v>
      </c>
      <c r="K1497">
        <v>12</v>
      </c>
      <c r="L1497" s="6">
        <v>3.6576</v>
      </c>
      <c r="M1497" s="7">
        <v>25.4</v>
      </c>
      <c r="N1497" s="7">
        <v>234.95</v>
      </c>
      <c r="O1497" s="7">
        <f t="shared" si="117"/>
        <v>144</v>
      </c>
      <c r="P1497" s="7">
        <f t="shared" si="118"/>
        <v>1</v>
      </c>
      <c r="Q1497" s="7">
        <f t="shared" si="118"/>
        <v>9.25</v>
      </c>
      <c r="R1497" s="6">
        <f t="shared" si="119"/>
        <v>549.76300000000003</v>
      </c>
      <c r="S1497" s="6">
        <f t="shared" si="120"/>
        <v>2.1827569247999997E-2</v>
      </c>
      <c r="T1497" t="str">
        <f t="shared" si="121"/>
        <v>Ipe S4S E4E 5/4x10 Long</v>
      </c>
    </row>
    <row r="1498" spans="1:20" x14ac:dyDescent="0.25">
      <c r="A1498" t="s">
        <v>1351</v>
      </c>
      <c r="B1498" t="s">
        <v>1879</v>
      </c>
      <c r="C1498" t="s">
        <v>283</v>
      </c>
      <c r="D1498" t="s">
        <v>438</v>
      </c>
      <c r="E1498" t="s">
        <v>1884</v>
      </c>
      <c r="F1498" t="s">
        <v>1881</v>
      </c>
      <c r="G1498" t="s">
        <v>1351</v>
      </c>
      <c r="H1498" t="s">
        <v>373</v>
      </c>
      <c r="I1498" t="s">
        <v>289</v>
      </c>
      <c r="J1498" t="s">
        <v>1058</v>
      </c>
      <c r="K1498">
        <v>13</v>
      </c>
      <c r="L1498" s="6">
        <v>3.9624000000000001</v>
      </c>
      <c r="M1498" s="7">
        <v>25.4</v>
      </c>
      <c r="N1498" s="7">
        <v>234.95</v>
      </c>
      <c r="O1498" s="7">
        <f t="shared" si="117"/>
        <v>156</v>
      </c>
      <c r="P1498" s="7">
        <f t="shared" si="118"/>
        <v>1</v>
      </c>
      <c r="Q1498" s="7">
        <f t="shared" si="118"/>
        <v>9.25</v>
      </c>
      <c r="R1498" s="6">
        <f t="shared" si="119"/>
        <v>549.76300000000003</v>
      </c>
      <c r="S1498" s="6">
        <f t="shared" si="120"/>
        <v>2.3646533351999996E-2</v>
      </c>
      <c r="T1498" t="str">
        <f t="shared" si="121"/>
        <v>Ipe S4S E4E 5/4x10 Long</v>
      </c>
    </row>
    <row r="1499" spans="1:20" x14ac:dyDescent="0.25">
      <c r="A1499" t="s">
        <v>1351</v>
      </c>
      <c r="B1499" t="s">
        <v>1879</v>
      </c>
      <c r="C1499" t="s">
        <v>283</v>
      </c>
      <c r="D1499" t="s">
        <v>438</v>
      </c>
      <c r="E1499" t="s">
        <v>1885</v>
      </c>
      <c r="F1499" t="s">
        <v>1881</v>
      </c>
      <c r="G1499" t="s">
        <v>1351</v>
      </c>
      <c r="H1499" t="s">
        <v>373</v>
      </c>
      <c r="I1499" t="s">
        <v>289</v>
      </c>
      <c r="J1499" t="s">
        <v>1058</v>
      </c>
      <c r="K1499">
        <v>14</v>
      </c>
      <c r="L1499" s="6">
        <v>4.2671999999999999</v>
      </c>
      <c r="M1499" s="7">
        <v>25.4</v>
      </c>
      <c r="N1499" s="7">
        <v>234.95</v>
      </c>
      <c r="O1499" s="7">
        <f t="shared" si="117"/>
        <v>168</v>
      </c>
      <c r="P1499" s="7">
        <f t="shared" si="118"/>
        <v>1</v>
      </c>
      <c r="Q1499" s="7">
        <f t="shared" si="118"/>
        <v>9.25</v>
      </c>
      <c r="R1499" s="6">
        <f t="shared" si="119"/>
        <v>549.76300000000003</v>
      </c>
      <c r="S1499" s="6">
        <f t="shared" si="120"/>
        <v>2.5465497455999998E-2</v>
      </c>
      <c r="T1499" t="str">
        <f t="shared" si="121"/>
        <v>Ipe S4S E4E 5/4x10 Long</v>
      </c>
    </row>
    <row r="1500" spans="1:20" x14ac:dyDescent="0.25">
      <c r="A1500" t="s">
        <v>1351</v>
      </c>
      <c r="B1500" t="s">
        <v>1879</v>
      </c>
      <c r="C1500" t="s">
        <v>283</v>
      </c>
      <c r="D1500" t="s">
        <v>438</v>
      </c>
      <c r="E1500" t="s">
        <v>1886</v>
      </c>
      <c r="F1500" t="s">
        <v>1881</v>
      </c>
      <c r="G1500" t="s">
        <v>1351</v>
      </c>
      <c r="H1500" t="s">
        <v>373</v>
      </c>
      <c r="I1500" t="s">
        <v>289</v>
      </c>
      <c r="J1500" t="s">
        <v>1058</v>
      </c>
      <c r="K1500">
        <v>15</v>
      </c>
      <c r="L1500" s="6">
        <v>4.5720000000000001</v>
      </c>
      <c r="M1500" s="7">
        <v>25.4</v>
      </c>
      <c r="N1500" s="7">
        <v>234.95</v>
      </c>
      <c r="O1500" s="7">
        <f t="shared" si="117"/>
        <v>180</v>
      </c>
      <c r="P1500" s="7">
        <f t="shared" si="118"/>
        <v>1</v>
      </c>
      <c r="Q1500" s="7">
        <f t="shared" si="118"/>
        <v>9.25</v>
      </c>
      <c r="R1500" s="6">
        <f t="shared" si="119"/>
        <v>549.76300000000003</v>
      </c>
      <c r="S1500" s="6">
        <f t="shared" si="120"/>
        <v>2.7284461560000001E-2</v>
      </c>
      <c r="T1500" t="str">
        <f t="shared" si="121"/>
        <v>Ipe S4S E4E 5/4x10 Long</v>
      </c>
    </row>
    <row r="1501" spans="1:20" x14ac:dyDescent="0.25">
      <c r="A1501" t="s">
        <v>1351</v>
      </c>
      <c r="B1501" t="s">
        <v>1879</v>
      </c>
      <c r="C1501" t="s">
        <v>283</v>
      </c>
      <c r="D1501" t="s">
        <v>438</v>
      </c>
      <c r="E1501" t="s">
        <v>1887</v>
      </c>
      <c r="F1501" t="s">
        <v>1881</v>
      </c>
      <c r="G1501" t="s">
        <v>1351</v>
      </c>
      <c r="H1501" t="s">
        <v>373</v>
      </c>
      <c r="I1501" t="s">
        <v>289</v>
      </c>
      <c r="J1501" t="s">
        <v>1058</v>
      </c>
      <c r="K1501">
        <v>16</v>
      </c>
      <c r="L1501" s="6">
        <v>4.8768000000000002</v>
      </c>
      <c r="M1501" s="7">
        <v>25.4</v>
      </c>
      <c r="N1501" s="7">
        <v>234.95</v>
      </c>
      <c r="O1501" s="7">
        <f t="shared" si="117"/>
        <v>192.00000000000003</v>
      </c>
      <c r="P1501" s="7">
        <f t="shared" si="118"/>
        <v>1</v>
      </c>
      <c r="Q1501" s="7">
        <f t="shared" si="118"/>
        <v>9.25</v>
      </c>
      <c r="R1501" s="6">
        <f t="shared" si="119"/>
        <v>549.76300000000003</v>
      </c>
      <c r="S1501" s="6">
        <f t="shared" si="120"/>
        <v>2.9103425664E-2</v>
      </c>
      <c r="T1501" t="str">
        <f t="shared" si="121"/>
        <v>Ipe S4S E4E 5/4x10 Long</v>
      </c>
    </row>
    <row r="1502" spans="1:20" x14ac:dyDescent="0.25">
      <c r="A1502" t="s">
        <v>1351</v>
      </c>
      <c r="B1502" t="s">
        <v>1879</v>
      </c>
      <c r="C1502" t="s">
        <v>283</v>
      </c>
      <c r="D1502" t="s">
        <v>438</v>
      </c>
      <c r="E1502" t="s">
        <v>1888</v>
      </c>
      <c r="F1502" t="s">
        <v>1881</v>
      </c>
      <c r="G1502" t="s">
        <v>1351</v>
      </c>
      <c r="H1502" t="s">
        <v>373</v>
      </c>
      <c r="I1502" t="s">
        <v>289</v>
      </c>
      <c r="J1502" t="s">
        <v>1058</v>
      </c>
      <c r="K1502">
        <v>17</v>
      </c>
      <c r="L1502" s="6">
        <v>5.1816000000000004</v>
      </c>
      <c r="M1502" s="7">
        <v>25.4</v>
      </c>
      <c r="N1502" s="7">
        <v>234.95</v>
      </c>
      <c r="O1502" s="7">
        <f t="shared" ref="O1502:O1565" si="122">L1502/0.0254</f>
        <v>204.00000000000003</v>
      </c>
      <c r="P1502" s="7">
        <f t="shared" ref="P1502:Q1565" si="123">M1502/25.4</f>
        <v>1</v>
      </c>
      <c r="Q1502" s="7">
        <f t="shared" si="123"/>
        <v>9.25</v>
      </c>
      <c r="R1502" s="6">
        <f t="shared" ref="R1502:R1565" si="124">ROUND(IFERROR(1/((M1502*N1502*0.3048)/1000000),0),3)</f>
        <v>549.76300000000003</v>
      </c>
      <c r="S1502" s="6">
        <f t="shared" ref="S1502:S1565" si="125">L1502*M1502/1000*N1502/1000</f>
        <v>3.0922389767999998E-2</v>
      </c>
      <c r="T1502" t="str">
        <f t="shared" si="121"/>
        <v>Ipe S4S E4E 5/4x10 Long</v>
      </c>
    </row>
    <row r="1503" spans="1:20" x14ac:dyDescent="0.25">
      <c r="A1503" t="s">
        <v>1351</v>
      </c>
      <c r="B1503" t="s">
        <v>1879</v>
      </c>
      <c r="C1503" t="s">
        <v>283</v>
      </c>
      <c r="D1503" t="s">
        <v>438</v>
      </c>
      <c r="E1503" t="s">
        <v>1889</v>
      </c>
      <c r="F1503" t="s">
        <v>1881</v>
      </c>
      <c r="G1503" t="s">
        <v>1351</v>
      </c>
      <c r="H1503" t="s">
        <v>373</v>
      </c>
      <c r="I1503" t="s">
        <v>289</v>
      </c>
      <c r="J1503" t="s">
        <v>1058</v>
      </c>
      <c r="K1503">
        <v>18</v>
      </c>
      <c r="L1503" s="6">
        <v>5.4863999999999997</v>
      </c>
      <c r="M1503" s="7">
        <v>25.4</v>
      </c>
      <c r="N1503" s="7">
        <v>234.95</v>
      </c>
      <c r="O1503" s="7">
        <f t="shared" si="122"/>
        <v>216</v>
      </c>
      <c r="P1503" s="7">
        <f t="shared" si="123"/>
        <v>1</v>
      </c>
      <c r="Q1503" s="7">
        <f t="shared" si="123"/>
        <v>9.25</v>
      </c>
      <c r="R1503" s="6">
        <f t="shared" si="124"/>
        <v>549.76300000000003</v>
      </c>
      <c r="S1503" s="6">
        <f t="shared" si="125"/>
        <v>3.2741353872000001E-2</v>
      </c>
      <c r="T1503" t="str">
        <f t="shared" si="121"/>
        <v>Ipe S4S E4E 5/4x10 Long</v>
      </c>
    </row>
    <row r="1504" spans="1:20" x14ac:dyDescent="0.25">
      <c r="A1504" t="s">
        <v>1351</v>
      </c>
      <c r="B1504" t="s">
        <v>1879</v>
      </c>
      <c r="C1504" t="s">
        <v>283</v>
      </c>
      <c r="D1504" t="s">
        <v>438</v>
      </c>
      <c r="E1504" t="s">
        <v>1890</v>
      </c>
      <c r="F1504" t="s">
        <v>1881</v>
      </c>
      <c r="G1504" t="s">
        <v>1351</v>
      </c>
      <c r="H1504" t="s">
        <v>373</v>
      </c>
      <c r="I1504" t="s">
        <v>289</v>
      </c>
      <c r="J1504" t="s">
        <v>1058</v>
      </c>
      <c r="K1504">
        <v>19</v>
      </c>
      <c r="L1504" s="6">
        <v>5.7911999999999999</v>
      </c>
      <c r="M1504" s="7">
        <v>25.4</v>
      </c>
      <c r="N1504" s="7">
        <v>234.95</v>
      </c>
      <c r="O1504" s="7">
        <f t="shared" si="122"/>
        <v>228</v>
      </c>
      <c r="P1504" s="7">
        <f t="shared" si="123"/>
        <v>1</v>
      </c>
      <c r="Q1504" s="7">
        <f t="shared" si="123"/>
        <v>9.25</v>
      </c>
      <c r="R1504" s="6">
        <f t="shared" si="124"/>
        <v>549.76300000000003</v>
      </c>
      <c r="S1504" s="6">
        <f t="shared" si="125"/>
        <v>3.4560317975999996E-2</v>
      </c>
      <c r="T1504" t="str">
        <f t="shared" si="121"/>
        <v>Ipe S4S E4E 5/4x10 Long</v>
      </c>
    </row>
    <row r="1505" spans="1:20" x14ac:dyDescent="0.25">
      <c r="A1505" t="s">
        <v>1351</v>
      </c>
      <c r="B1505" t="s">
        <v>1879</v>
      </c>
      <c r="C1505" t="s">
        <v>283</v>
      </c>
      <c r="D1505" t="s">
        <v>438</v>
      </c>
      <c r="E1505" t="s">
        <v>1891</v>
      </c>
      <c r="F1505" t="s">
        <v>1881</v>
      </c>
      <c r="G1505" t="s">
        <v>1351</v>
      </c>
      <c r="H1505" t="s">
        <v>373</v>
      </c>
      <c r="I1505" t="s">
        <v>289</v>
      </c>
      <c r="J1505" t="s">
        <v>1058</v>
      </c>
      <c r="K1505">
        <v>20</v>
      </c>
      <c r="L1505" s="6">
        <v>6.0960000000000001</v>
      </c>
      <c r="M1505" s="7">
        <v>25.4</v>
      </c>
      <c r="N1505" s="7">
        <v>234.95</v>
      </c>
      <c r="O1505" s="7">
        <f t="shared" si="122"/>
        <v>240</v>
      </c>
      <c r="P1505" s="7">
        <f t="shared" si="123"/>
        <v>1</v>
      </c>
      <c r="Q1505" s="7">
        <f t="shared" si="123"/>
        <v>9.25</v>
      </c>
      <c r="R1505" s="6">
        <f t="shared" si="124"/>
        <v>549.76300000000003</v>
      </c>
      <c r="S1505" s="6">
        <f t="shared" si="125"/>
        <v>3.6379282080000006E-2</v>
      </c>
      <c r="T1505" t="str">
        <f t="shared" si="121"/>
        <v>Ipe S4S E4E 5/4x10 Long</v>
      </c>
    </row>
    <row r="1506" spans="1:20" x14ac:dyDescent="0.25">
      <c r="A1506" t="s">
        <v>1351</v>
      </c>
      <c r="B1506" t="s">
        <v>1879</v>
      </c>
      <c r="C1506" t="s">
        <v>283</v>
      </c>
      <c r="D1506" t="s">
        <v>438</v>
      </c>
      <c r="E1506" t="s">
        <v>1892</v>
      </c>
      <c r="F1506" t="s">
        <v>1881</v>
      </c>
      <c r="G1506" t="s">
        <v>1351</v>
      </c>
      <c r="H1506" t="s">
        <v>373</v>
      </c>
      <c r="I1506" t="s">
        <v>289</v>
      </c>
      <c r="J1506" t="s">
        <v>1058</v>
      </c>
      <c r="K1506">
        <v>21</v>
      </c>
      <c r="L1506" s="6">
        <v>6.4008000000000003</v>
      </c>
      <c r="M1506" s="7">
        <v>25.4</v>
      </c>
      <c r="N1506" s="7">
        <v>234.95</v>
      </c>
      <c r="O1506" s="7">
        <f t="shared" si="122"/>
        <v>252.00000000000003</v>
      </c>
      <c r="P1506" s="7">
        <f t="shared" si="123"/>
        <v>1</v>
      </c>
      <c r="Q1506" s="7">
        <f t="shared" si="123"/>
        <v>9.25</v>
      </c>
      <c r="R1506" s="6">
        <f t="shared" si="124"/>
        <v>549.76300000000003</v>
      </c>
      <c r="S1506" s="6">
        <f t="shared" si="125"/>
        <v>3.8198246184000001E-2</v>
      </c>
      <c r="T1506" t="str">
        <f t="shared" si="121"/>
        <v>Ipe S4S E4E 5/4x10 Long</v>
      </c>
    </row>
    <row r="1507" spans="1:20" x14ac:dyDescent="0.25">
      <c r="A1507" t="s">
        <v>1351</v>
      </c>
      <c r="B1507" t="s">
        <v>1879</v>
      </c>
      <c r="C1507" t="s">
        <v>283</v>
      </c>
      <c r="D1507" t="s">
        <v>438</v>
      </c>
      <c r="E1507" t="s">
        <v>1893</v>
      </c>
      <c r="F1507" t="s">
        <v>1881</v>
      </c>
      <c r="G1507" t="s">
        <v>1351</v>
      </c>
      <c r="H1507" t="s">
        <v>373</v>
      </c>
      <c r="I1507" t="s">
        <v>289</v>
      </c>
      <c r="J1507" t="s">
        <v>1058</v>
      </c>
      <c r="K1507">
        <v>22</v>
      </c>
      <c r="L1507" s="6">
        <v>6.7055999999999996</v>
      </c>
      <c r="M1507" s="7">
        <v>25.4</v>
      </c>
      <c r="N1507" s="7">
        <v>234.95</v>
      </c>
      <c r="O1507" s="7">
        <f t="shared" si="122"/>
        <v>264</v>
      </c>
      <c r="P1507" s="7">
        <f t="shared" si="123"/>
        <v>1</v>
      </c>
      <c r="Q1507" s="7">
        <f t="shared" si="123"/>
        <v>9.25</v>
      </c>
      <c r="R1507" s="6">
        <f t="shared" si="124"/>
        <v>549.76300000000003</v>
      </c>
      <c r="S1507" s="6">
        <f t="shared" si="125"/>
        <v>4.0017210287999989E-2</v>
      </c>
      <c r="T1507" t="str">
        <f t="shared" si="121"/>
        <v>Ipe S4S E4E 5/4x10 Long</v>
      </c>
    </row>
    <row r="1508" spans="1:20" x14ac:dyDescent="0.25">
      <c r="A1508" t="s">
        <v>1351</v>
      </c>
      <c r="B1508" t="s">
        <v>1879</v>
      </c>
      <c r="C1508" t="s">
        <v>283</v>
      </c>
      <c r="D1508" t="s">
        <v>438</v>
      </c>
      <c r="E1508" t="s">
        <v>1894</v>
      </c>
      <c r="F1508" t="s">
        <v>1881</v>
      </c>
      <c r="G1508" t="s">
        <v>1351</v>
      </c>
      <c r="H1508" t="s">
        <v>373</v>
      </c>
      <c r="I1508" t="s">
        <v>289</v>
      </c>
      <c r="J1508" t="s">
        <v>1058</v>
      </c>
      <c r="K1508">
        <v>23</v>
      </c>
      <c r="L1508" s="6">
        <v>7.0103999999999997</v>
      </c>
      <c r="M1508" s="7">
        <v>25.4</v>
      </c>
      <c r="N1508" s="7">
        <v>234.95</v>
      </c>
      <c r="O1508" s="7">
        <f t="shared" si="122"/>
        <v>276</v>
      </c>
      <c r="P1508" s="7">
        <f t="shared" si="123"/>
        <v>1</v>
      </c>
      <c r="Q1508" s="7">
        <f t="shared" si="123"/>
        <v>9.25</v>
      </c>
      <c r="R1508" s="6">
        <f t="shared" si="124"/>
        <v>549.76300000000003</v>
      </c>
      <c r="S1508" s="6">
        <f t="shared" si="125"/>
        <v>4.1836174391999999E-2</v>
      </c>
      <c r="T1508" t="str">
        <f t="shared" si="121"/>
        <v>Ipe S4S E4E 5/4x10 Long</v>
      </c>
    </row>
    <row r="1509" spans="1:20" x14ac:dyDescent="0.25">
      <c r="A1509" t="s">
        <v>1351</v>
      </c>
      <c r="B1509" t="s">
        <v>1879</v>
      </c>
      <c r="C1509" t="s">
        <v>283</v>
      </c>
      <c r="D1509" t="s">
        <v>438</v>
      </c>
      <c r="E1509" t="s">
        <v>1895</v>
      </c>
      <c r="F1509" t="s">
        <v>1881</v>
      </c>
      <c r="G1509" t="s">
        <v>1351</v>
      </c>
      <c r="H1509" t="s">
        <v>373</v>
      </c>
      <c r="I1509" t="s">
        <v>289</v>
      </c>
      <c r="J1509" t="s">
        <v>1058</v>
      </c>
      <c r="K1509">
        <v>24</v>
      </c>
      <c r="L1509" s="6">
        <v>7.3152000000000008</v>
      </c>
      <c r="M1509" s="7">
        <v>25.4</v>
      </c>
      <c r="N1509" s="7">
        <v>234.95</v>
      </c>
      <c r="O1509" s="7">
        <f t="shared" si="122"/>
        <v>288.00000000000006</v>
      </c>
      <c r="P1509" s="7">
        <f t="shared" si="123"/>
        <v>1</v>
      </c>
      <c r="Q1509" s="7">
        <f t="shared" si="123"/>
        <v>9.25</v>
      </c>
      <c r="R1509" s="6">
        <f t="shared" si="124"/>
        <v>549.76300000000003</v>
      </c>
      <c r="S1509" s="6">
        <f t="shared" si="125"/>
        <v>4.3655138496000001E-2</v>
      </c>
      <c r="T1509" t="str">
        <f t="shared" si="121"/>
        <v>Ipe S4S E4E 5/4x10 Long</v>
      </c>
    </row>
    <row r="1510" spans="1:20" x14ac:dyDescent="0.25">
      <c r="A1510" t="s">
        <v>1351</v>
      </c>
      <c r="B1510" t="s">
        <v>1879</v>
      </c>
      <c r="C1510" t="s">
        <v>524</v>
      </c>
      <c r="D1510" t="s">
        <v>438</v>
      </c>
      <c r="E1510" t="s">
        <v>1896</v>
      </c>
      <c r="F1510" t="s">
        <v>1881</v>
      </c>
      <c r="G1510" t="s">
        <v>1351</v>
      </c>
      <c r="H1510" t="s">
        <v>373</v>
      </c>
      <c r="I1510" t="s">
        <v>289</v>
      </c>
      <c r="J1510" t="s">
        <v>1058</v>
      </c>
      <c r="K1510">
        <v>3</v>
      </c>
      <c r="L1510" s="6">
        <v>0.91439999999999999</v>
      </c>
      <c r="M1510" s="7">
        <v>25.4</v>
      </c>
      <c r="N1510" s="7">
        <v>234.95</v>
      </c>
      <c r="O1510" s="7">
        <f t="shared" si="122"/>
        <v>36</v>
      </c>
      <c r="P1510" s="7">
        <f t="shared" si="123"/>
        <v>1</v>
      </c>
      <c r="Q1510" s="7">
        <f t="shared" si="123"/>
        <v>9.25</v>
      </c>
      <c r="R1510" s="6">
        <f t="shared" si="124"/>
        <v>549.76300000000003</v>
      </c>
      <c r="S1510" s="6">
        <f t="shared" si="125"/>
        <v>5.4568923119999993E-3</v>
      </c>
      <c r="T1510" t="str">
        <f t="shared" si="121"/>
        <v>Ipe S4S E4E 5/4x10 Short</v>
      </c>
    </row>
    <row r="1511" spans="1:20" x14ac:dyDescent="0.25">
      <c r="A1511" t="s">
        <v>1351</v>
      </c>
      <c r="B1511" t="s">
        <v>1879</v>
      </c>
      <c r="C1511" t="s">
        <v>524</v>
      </c>
      <c r="D1511" t="s">
        <v>438</v>
      </c>
      <c r="E1511" t="s">
        <v>1897</v>
      </c>
      <c r="F1511" t="s">
        <v>1881</v>
      </c>
      <c r="G1511" t="s">
        <v>1351</v>
      </c>
      <c r="H1511" t="s">
        <v>373</v>
      </c>
      <c r="I1511" t="s">
        <v>289</v>
      </c>
      <c r="J1511" t="s">
        <v>1058</v>
      </c>
      <c r="K1511">
        <v>4</v>
      </c>
      <c r="L1511" s="6">
        <v>1.2192000000000001</v>
      </c>
      <c r="M1511" s="7">
        <v>25.4</v>
      </c>
      <c r="N1511" s="7">
        <v>234.95</v>
      </c>
      <c r="O1511" s="7">
        <f t="shared" si="122"/>
        <v>48.000000000000007</v>
      </c>
      <c r="P1511" s="7">
        <f t="shared" si="123"/>
        <v>1</v>
      </c>
      <c r="Q1511" s="7">
        <f t="shared" si="123"/>
        <v>9.25</v>
      </c>
      <c r="R1511" s="6">
        <f t="shared" si="124"/>
        <v>549.76300000000003</v>
      </c>
      <c r="S1511" s="6">
        <f t="shared" si="125"/>
        <v>7.2758564159999999E-3</v>
      </c>
      <c r="T1511" t="str">
        <f t="shared" si="121"/>
        <v>Ipe S4S E4E 5/4x10 Short</v>
      </c>
    </row>
    <row r="1512" spans="1:20" x14ac:dyDescent="0.25">
      <c r="A1512" t="s">
        <v>1351</v>
      </c>
      <c r="B1512" t="s">
        <v>1879</v>
      </c>
      <c r="C1512" t="s">
        <v>524</v>
      </c>
      <c r="D1512" t="s">
        <v>438</v>
      </c>
      <c r="E1512" t="s">
        <v>1898</v>
      </c>
      <c r="F1512" t="s">
        <v>1881</v>
      </c>
      <c r="G1512" t="s">
        <v>1351</v>
      </c>
      <c r="H1512" t="s">
        <v>373</v>
      </c>
      <c r="I1512" t="s">
        <v>289</v>
      </c>
      <c r="J1512" t="s">
        <v>1058</v>
      </c>
      <c r="K1512">
        <v>5</v>
      </c>
      <c r="L1512" s="6">
        <v>1.524</v>
      </c>
      <c r="M1512" s="7">
        <v>25.4</v>
      </c>
      <c r="N1512" s="7">
        <v>234.95</v>
      </c>
      <c r="O1512" s="7">
        <f t="shared" si="122"/>
        <v>60</v>
      </c>
      <c r="P1512" s="7">
        <f t="shared" si="123"/>
        <v>1</v>
      </c>
      <c r="Q1512" s="7">
        <f t="shared" si="123"/>
        <v>9.25</v>
      </c>
      <c r="R1512" s="6">
        <f t="shared" si="124"/>
        <v>549.76300000000003</v>
      </c>
      <c r="S1512" s="6">
        <f t="shared" si="125"/>
        <v>9.0948205200000014E-3</v>
      </c>
      <c r="T1512" t="str">
        <f t="shared" si="121"/>
        <v>Ipe S4S E4E 5/4x10 Short</v>
      </c>
    </row>
    <row r="1513" spans="1:20" x14ac:dyDescent="0.25">
      <c r="A1513" t="s">
        <v>1351</v>
      </c>
      <c r="B1513" t="s">
        <v>1879</v>
      </c>
      <c r="C1513" t="s">
        <v>524</v>
      </c>
      <c r="D1513" t="s">
        <v>438</v>
      </c>
      <c r="E1513" t="s">
        <v>1899</v>
      </c>
      <c r="F1513" t="s">
        <v>1881</v>
      </c>
      <c r="G1513" t="s">
        <v>1351</v>
      </c>
      <c r="H1513" t="s">
        <v>373</v>
      </c>
      <c r="I1513" t="s">
        <v>289</v>
      </c>
      <c r="J1513" t="s">
        <v>1058</v>
      </c>
      <c r="K1513">
        <v>6</v>
      </c>
      <c r="L1513" s="6">
        <v>1.8288</v>
      </c>
      <c r="M1513" s="7">
        <v>25.4</v>
      </c>
      <c r="N1513" s="7">
        <v>234.95</v>
      </c>
      <c r="O1513" s="7">
        <f t="shared" si="122"/>
        <v>72</v>
      </c>
      <c r="P1513" s="7">
        <f t="shared" si="123"/>
        <v>1</v>
      </c>
      <c r="Q1513" s="7">
        <f t="shared" si="123"/>
        <v>9.25</v>
      </c>
      <c r="R1513" s="6">
        <f t="shared" si="124"/>
        <v>549.76300000000003</v>
      </c>
      <c r="S1513" s="6">
        <f t="shared" si="125"/>
        <v>1.0913784623999999E-2</v>
      </c>
      <c r="T1513" t="str">
        <f t="shared" si="121"/>
        <v>Ipe S4S E4E 5/4x10 Short</v>
      </c>
    </row>
    <row r="1514" spans="1:20" x14ac:dyDescent="0.25">
      <c r="A1514" t="s">
        <v>1351</v>
      </c>
      <c r="B1514" t="s">
        <v>1879</v>
      </c>
      <c r="C1514" t="s">
        <v>524</v>
      </c>
      <c r="D1514" t="s">
        <v>438</v>
      </c>
      <c r="E1514" t="s">
        <v>1900</v>
      </c>
      <c r="F1514" t="s">
        <v>1881</v>
      </c>
      <c r="G1514" t="s">
        <v>1351</v>
      </c>
      <c r="H1514" t="s">
        <v>373</v>
      </c>
      <c r="I1514" t="s">
        <v>289</v>
      </c>
      <c r="J1514" t="s">
        <v>1058</v>
      </c>
      <c r="K1514">
        <v>7</v>
      </c>
      <c r="L1514" s="6">
        <v>2.1335999999999999</v>
      </c>
      <c r="M1514" s="7">
        <v>25.4</v>
      </c>
      <c r="N1514" s="7">
        <v>234.95</v>
      </c>
      <c r="O1514" s="7">
        <f t="shared" si="122"/>
        <v>84</v>
      </c>
      <c r="P1514" s="7">
        <f t="shared" si="123"/>
        <v>1</v>
      </c>
      <c r="Q1514" s="7">
        <f t="shared" si="123"/>
        <v>9.25</v>
      </c>
      <c r="R1514" s="6">
        <f t="shared" si="124"/>
        <v>549.76300000000003</v>
      </c>
      <c r="S1514" s="6">
        <f t="shared" si="125"/>
        <v>1.2732748727999999E-2</v>
      </c>
      <c r="T1514" t="str">
        <f t="shared" si="121"/>
        <v>Ipe S4S E4E 5/4x10 Short</v>
      </c>
    </row>
    <row r="1515" spans="1:20" x14ac:dyDescent="0.25">
      <c r="A1515" t="s">
        <v>1351</v>
      </c>
      <c r="B1515" t="s">
        <v>1879</v>
      </c>
      <c r="C1515" t="s">
        <v>283</v>
      </c>
      <c r="D1515" t="s">
        <v>438</v>
      </c>
      <c r="E1515" t="s">
        <v>1901</v>
      </c>
      <c r="F1515" t="s">
        <v>1881</v>
      </c>
      <c r="G1515" t="s">
        <v>1351</v>
      </c>
      <c r="H1515" t="s">
        <v>373</v>
      </c>
      <c r="I1515" t="s">
        <v>289</v>
      </c>
      <c r="J1515" t="s">
        <v>1058</v>
      </c>
      <c r="K1515">
        <v>8</v>
      </c>
      <c r="L1515" s="6">
        <v>2.4384000000000001</v>
      </c>
      <c r="M1515" s="7">
        <v>25.4</v>
      </c>
      <c r="N1515" s="7">
        <v>234.95</v>
      </c>
      <c r="O1515" s="7">
        <f t="shared" si="122"/>
        <v>96.000000000000014</v>
      </c>
      <c r="P1515" s="7">
        <f t="shared" si="123"/>
        <v>1</v>
      </c>
      <c r="Q1515" s="7">
        <f t="shared" si="123"/>
        <v>9.25</v>
      </c>
      <c r="R1515" s="6">
        <f t="shared" si="124"/>
        <v>549.76300000000003</v>
      </c>
      <c r="S1515" s="6">
        <f t="shared" si="125"/>
        <v>1.4551712832E-2</v>
      </c>
      <c r="T1515" t="str">
        <f t="shared" si="121"/>
        <v>Ipe S4S E4E 5/4x10 Long</v>
      </c>
    </row>
    <row r="1516" spans="1:20" x14ac:dyDescent="0.25">
      <c r="A1516" t="s">
        <v>1351</v>
      </c>
      <c r="B1516" t="s">
        <v>1879</v>
      </c>
      <c r="C1516" t="s">
        <v>283</v>
      </c>
      <c r="D1516" t="s">
        <v>438</v>
      </c>
      <c r="E1516" t="s">
        <v>1902</v>
      </c>
      <c r="F1516" t="s">
        <v>1881</v>
      </c>
      <c r="G1516" t="s">
        <v>1351</v>
      </c>
      <c r="H1516" t="s">
        <v>373</v>
      </c>
      <c r="I1516" t="s">
        <v>289</v>
      </c>
      <c r="J1516" t="s">
        <v>1058</v>
      </c>
      <c r="K1516">
        <v>9</v>
      </c>
      <c r="L1516" s="6">
        <v>2.7431999999999999</v>
      </c>
      <c r="M1516" s="7">
        <v>25.4</v>
      </c>
      <c r="N1516" s="7">
        <v>234.95</v>
      </c>
      <c r="O1516" s="7">
        <f t="shared" si="122"/>
        <v>108</v>
      </c>
      <c r="P1516" s="7">
        <f t="shared" si="123"/>
        <v>1</v>
      </c>
      <c r="Q1516" s="7">
        <f t="shared" si="123"/>
        <v>9.25</v>
      </c>
      <c r="R1516" s="6">
        <f t="shared" si="124"/>
        <v>549.76300000000003</v>
      </c>
      <c r="S1516" s="6">
        <f t="shared" si="125"/>
        <v>1.6370676936E-2</v>
      </c>
      <c r="T1516" t="str">
        <f t="shared" si="121"/>
        <v>Ipe S4S E4E 5/4x10 Long</v>
      </c>
    </row>
    <row r="1517" spans="1:20" x14ac:dyDescent="0.25">
      <c r="A1517" t="s">
        <v>1351</v>
      </c>
      <c r="B1517" t="s">
        <v>1903</v>
      </c>
      <c r="C1517" t="s">
        <v>283</v>
      </c>
      <c r="D1517" t="s">
        <v>438</v>
      </c>
      <c r="E1517" t="s">
        <v>1904</v>
      </c>
      <c r="F1517" t="s">
        <v>1905</v>
      </c>
      <c r="G1517" t="s">
        <v>1351</v>
      </c>
      <c r="H1517" t="s">
        <v>373</v>
      </c>
      <c r="I1517" t="s">
        <v>289</v>
      </c>
      <c r="J1517" t="s">
        <v>1083</v>
      </c>
      <c r="K1517">
        <v>10</v>
      </c>
      <c r="L1517" s="6">
        <v>3.048</v>
      </c>
      <c r="M1517" s="7">
        <v>25.4</v>
      </c>
      <c r="N1517" s="7">
        <v>285.75</v>
      </c>
      <c r="O1517" s="7">
        <f t="shared" si="122"/>
        <v>120</v>
      </c>
      <c r="P1517" s="7">
        <f t="shared" si="123"/>
        <v>1</v>
      </c>
      <c r="Q1517" s="7">
        <f t="shared" si="123"/>
        <v>11.25</v>
      </c>
      <c r="R1517" s="6">
        <f t="shared" si="124"/>
        <v>452.02800000000002</v>
      </c>
      <c r="S1517" s="6">
        <f t="shared" si="125"/>
        <v>2.21225364E-2</v>
      </c>
      <c r="T1517" t="str">
        <f t="shared" si="121"/>
        <v>Ipe S4S E4E 5/4x12 Long</v>
      </c>
    </row>
    <row r="1518" spans="1:20" x14ac:dyDescent="0.25">
      <c r="A1518" t="s">
        <v>1351</v>
      </c>
      <c r="B1518" t="s">
        <v>1903</v>
      </c>
      <c r="C1518" t="s">
        <v>283</v>
      </c>
      <c r="D1518" t="s">
        <v>438</v>
      </c>
      <c r="E1518" t="s">
        <v>1906</v>
      </c>
      <c r="F1518" t="s">
        <v>1905</v>
      </c>
      <c r="G1518" t="s">
        <v>1351</v>
      </c>
      <c r="H1518" t="s">
        <v>373</v>
      </c>
      <c r="I1518" t="s">
        <v>289</v>
      </c>
      <c r="J1518" t="s">
        <v>1083</v>
      </c>
      <c r="K1518">
        <v>10</v>
      </c>
      <c r="L1518" s="6">
        <v>3.048</v>
      </c>
      <c r="M1518" s="7">
        <v>25.4</v>
      </c>
      <c r="N1518" s="7">
        <v>285.75</v>
      </c>
      <c r="O1518" s="7">
        <f t="shared" si="122"/>
        <v>120</v>
      </c>
      <c r="P1518" s="7">
        <f t="shared" si="123"/>
        <v>1</v>
      </c>
      <c r="Q1518" s="7">
        <f t="shared" si="123"/>
        <v>11.25</v>
      </c>
      <c r="R1518" s="6">
        <f t="shared" si="124"/>
        <v>452.02800000000002</v>
      </c>
      <c r="S1518" s="6">
        <f t="shared" si="125"/>
        <v>2.21225364E-2</v>
      </c>
      <c r="T1518" t="str">
        <f t="shared" si="121"/>
        <v>Ipe S4S E4E 5/4x12 Long</v>
      </c>
    </row>
    <row r="1519" spans="1:20" x14ac:dyDescent="0.25">
      <c r="A1519" t="s">
        <v>1351</v>
      </c>
      <c r="B1519" t="s">
        <v>1903</v>
      </c>
      <c r="C1519" t="s">
        <v>283</v>
      </c>
      <c r="D1519" t="s">
        <v>438</v>
      </c>
      <c r="E1519" t="s">
        <v>1907</v>
      </c>
      <c r="F1519" t="s">
        <v>1905</v>
      </c>
      <c r="G1519" t="s">
        <v>1351</v>
      </c>
      <c r="H1519" t="s">
        <v>373</v>
      </c>
      <c r="I1519" t="s">
        <v>289</v>
      </c>
      <c r="J1519" t="s">
        <v>1083</v>
      </c>
      <c r="K1519">
        <v>11</v>
      </c>
      <c r="L1519" s="6">
        <v>3.3527999999999998</v>
      </c>
      <c r="M1519" s="7">
        <v>25.4</v>
      </c>
      <c r="N1519" s="7">
        <v>285.75</v>
      </c>
      <c r="O1519" s="7">
        <f t="shared" si="122"/>
        <v>132</v>
      </c>
      <c r="P1519" s="7">
        <f t="shared" si="123"/>
        <v>1</v>
      </c>
      <c r="Q1519" s="7">
        <f t="shared" si="123"/>
        <v>11.25</v>
      </c>
      <c r="R1519" s="6">
        <f t="shared" si="124"/>
        <v>452.02800000000002</v>
      </c>
      <c r="S1519" s="6">
        <f t="shared" si="125"/>
        <v>2.4334790039999995E-2</v>
      </c>
      <c r="T1519" t="str">
        <f t="shared" si="121"/>
        <v>Ipe S4S E4E 5/4x12 Long</v>
      </c>
    </row>
    <row r="1520" spans="1:20" x14ac:dyDescent="0.25">
      <c r="A1520" t="s">
        <v>1351</v>
      </c>
      <c r="B1520" t="s">
        <v>1903</v>
      </c>
      <c r="C1520" t="s">
        <v>283</v>
      </c>
      <c r="D1520" t="s">
        <v>438</v>
      </c>
      <c r="E1520" t="s">
        <v>1908</v>
      </c>
      <c r="F1520" t="s">
        <v>1905</v>
      </c>
      <c r="G1520" t="s">
        <v>1351</v>
      </c>
      <c r="H1520" t="s">
        <v>373</v>
      </c>
      <c r="I1520" t="s">
        <v>289</v>
      </c>
      <c r="J1520" t="s">
        <v>1083</v>
      </c>
      <c r="K1520">
        <v>11</v>
      </c>
      <c r="L1520" s="6">
        <v>3.3527999999999998</v>
      </c>
      <c r="M1520" s="7">
        <v>25.4</v>
      </c>
      <c r="N1520" s="7">
        <v>285.75</v>
      </c>
      <c r="O1520" s="7">
        <f t="shared" si="122"/>
        <v>132</v>
      </c>
      <c r="P1520" s="7">
        <f t="shared" si="123"/>
        <v>1</v>
      </c>
      <c r="Q1520" s="7">
        <f t="shared" si="123"/>
        <v>11.25</v>
      </c>
      <c r="R1520" s="6">
        <f t="shared" si="124"/>
        <v>452.02800000000002</v>
      </c>
      <c r="S1520" s="6">
        <f t="shared" si="125"/>
        <v>2.4334790039999995E-2</v>
      </c>
      <c r="T1520" t="str">
        <f t="shared" si="121"/>
        <v>Ipe S4S E4E 5/4x12 Long</v>
      </c>
    </row>
    <row r="1521" spans="1:20" x14ac:dyDescent="0.25">
      <c r="A1521" t="s">
        <v>1351</v>
      </c>
      <c r="B1521" t="s">
        <v>1903</v>
      </c>
      <c r="C1521" t="s">
        <v>283</v>
      </c>
      <c r="D1521" t="s">
        <v>438</v>
      </c>
      <c r="E1521" t="s">
        <v>1909</v>
      </c>
      <c r="F1521" t="s">
        <v>1905</v>
      </c>
      <c r="G1521" t="s">
        <v>1351</v>
      </c>
      <c r="H1521" t="s">
        <v>373</v>
      </c>
      <c r="I1521" t="s">
        <v>289</v>
      </c>
      <c r="J1521" t="s">
        <v>1083</v>
      </c>
      <c r="K1521">
        <v>12</v>
      </c>
      <c r="L1521" s="6">
        <v>3.6576</v>
      </c>
      <c r="M1521" s="7">
        <v>25.4</v>
      </c>
      <c r="N1521" s="7">
        <v>285.75</v>
      </c>
      <c r="O1521" s="7">
        <f t="shared" si="122"/>
        <v>144</v>
      </c>
      <c r="P1521" s="7">
        <f t="shared" si="123"/>
        <v>1</v>
      </c>
      <c r="Q1521" s="7">
        <f t="shared" si="123"/>
        <v>11.25</v>
      </c>
      <c r="R1521" s="6">
        <f t="shared" si="124"/>
        <v>452.02800000000002</v>
      </c>
      <c r="S1521" s="6">
        <f t="shared" si="125"/>
        <v>2.6547043679999997E-2</v>
      </c>
      <c r="T1521" t="str">
        <f t="shared" si="121"/>
        <v>Ipe S4S E4E 5/4x12 Long</v>
      </c>
    </row>
    <row r="1522" spans="1:20" x14ac:dyDescent="0.25">
      <c r="A1522" t="s">
        <v>1351</v>
      </c>
      <c r="B1522" t="s">
        <v>1903</v>
      </c>
      <c r="C1522" t="s">
        <v>283</v>
      </c>
      <c r="D1522" t="s">
        <v>438</v>
      </c>
      <c r="E1522" t="s">
        <v>1910</v>
      </c>
      <c r="F1522" t="s">
        <v>1905</v>
      </c>
      <c r="G1522" t="s">
        <v>1351</v>
      </c>
      <c r="H1522" t="s">
        <v>373</v>
      </c>
      <c r="I1522" t="s">
        <v>289</v>
      </c>
      <c r="J1522" t="s">
        <v>1083</v>
      </c>
      <c r="K1522">
        <v>12</v>
      </c>
      <c r="L1522" s="6">
        <v>3.6576</v>
      </c>
      <c r="M1522" s="7">
        <v>25.4</v>
      </c>
      <c r="N1522" s="7">
        <v>285.75</v>
      </c>
      <c r="O1522" s="7">
        <f t="shared" si="122"/>
        <v>144</v>
      </c>
      <c r="P1522" s="7">
        <f t="shared" si="123"/>
        <v>1</v>
      </c>
      <c r="Q1522" s="7">
        <f t="shared" si="123"/>
        <v>11.25</v>
      </c>
      <c r="R1522" s="6">
        <f t="shared" si="124"/>
        <v>452.02800000000002</v>
      </c>
      <c r="S1522" s="6">
        <f t="shared" si="125"/>
        <v>2.6547043679999997E-2</v>
      </c>
      <c r="T1522" t="str">
        <f t="shared" si="121"/>
        <v>Ipe S4S E4E 5/4x12 Long</v>
      </c>
    </row>
    <row r="1523" spans="1:20" x14ac:dyDescent="0.25">
      <c r="A1523" t="s">
        <v>1351</v>
      </c>
      <c r="B1523" t="s">
        <v>1903</v>
      </c>
      <c r="C1523" t="s">
        <v>283</v>
      </c>
      <c r="D1523" t="s">
        <v>438</v>
      </c>
      <c r="E1523" t="s">
        <v>1911</v>
      </c>
      <c r="F1523" t="s">
        <v>1905</v>
      </c>
      <c r="G1523" t="s">
        <v>1351</v>
      </c>
      <c r="H1523" t="s">
        <v>373</v>
      </c>
      <c r="I1523" t="s">
        <v>289</v>
      </c>
      <c r="J1523" t="s">
        <v>1083</v>
      </c>
      <c r="K1523">
        <v>13</v>
      </c>
      <c r="L1523" s="6">
        <v>3.9624000000000001</v>
      </c>
      <c r="M1523" s="7">
        <v>25.4</v>
      </c>
      <c r="N1523" s="7">
        <v>285.75</v>
      </c>
      <c r="O1523" s="7">
        <f t="shared" si="122"/>
        <v>156</v>
      </c>
      <c r="P1523" s="7">
        <f t="shared" si="123"/>
        <v>1</v>
      </c>
      <c r="Q1523" s="7">
        <f t="shared" si="123"/>
        <v>11.25</v>
      </c>
      <c r="R1523" s="6">
        <f t="shared" si="124"/>
        <v>452.02800000000002</v>
      </c>
      <c r="S1523" s="6">
        <f t="shared" si="125"/>
        <v>2.8759297319999998E-2</v>
      </c>
      <c r="T1523" t="str">
        <f t="shared" si="121"/>
        <v>Ipe S4S E4E 5/4x12 Long</v>
      </c>
    </row>
    <row r="1524" spans="1:20" x14ac:dyDescent="0.25">
      <c r="A1524" t="s">
        <v>1351</v>
      </c>
      <c r="B1524" t="s">
        <v>1903</v>
      </c>
      <c r="C1524" t="s">
        <v>283</v>
      </c>
      <c r="D1524" t="s">
        <v>438</v>
      </c>
      <c r="E1524" t="s">
        <v>1912</v>
      </c>
      <c r="F1524" t="s">
        <v>1905</v>
      </c>
      <c r="G1524" t="s">
        <v>1351</v>
      </c>
      <c r="H1524" t="s">
        <v>373</v>
      </c>
      <c r="I1524" t="s">
        <v>289</v>
      </c>
      <c r="J1524" t="s">
        <v>1083</v>
      </c>
      <c r="K1524">
        <v>13</v>
      </c>
      <c r="L1524" s="6">
        <v>3.9624000000000001</v>
      </c>
      <c r="M1524" s="7">
        <v>25.4</v>
      </c>
      <c r="N1524" s="7">
        <v>285.75</v>
      </c>
      <c r="O1524" s="7">
        <f t="shared" si="122"/>
        <v>156</v>
      </c>
      <c r="P1524" s="7">
        <f t="shared" si="123"/>
        <v>1</v>
      </c>
      <c r="Q1524" s="7">
        <f t="shared" si="123"/>
        <v>11.25</v>
      </c>
      <c r="R1524" s="6">
        <f t="shared" si="124"/>
        <v>452.02800000000002</v>
      </c>
      <c r="S1524" s="6">
        <f t="shared" si="125"/>
        <v>2.8759297319999998E-2</v>
      </c>
      <c r="T1524" t="str">
        <f t="shared" si="121"/>
        <v>Ipe S4S E4E 5/4x12 Long</v>
      </c>
    </row>
    <row r="1525" spans="1:20" x14ac:dyDescent="0.25">
      <c r="A1525" t="s">
        <v>1351</v>
      </c>
      <c r="B1525" t="s">
        <v>1903</v>
      </c>
      <c r="C1525" t="s">
        <v>283</v>
      </c>
      <c r="D1525" t="s">
        <v>438</v>
      </c>
      <c r="E1525" t="s">
        <v>1913</v>
      </c>
      <c r="F1525" t="s">
        <v>1905</v>
      </c>
      <c r="G1525" t="s">
        <v>1351</v>
      </c>
      <c r="H1525" t="s">
        <v>373</v>
      </c>
      <c r="I1525" t="s">
        <v>289</v>
      </c>
      <c r="J1525" t="s">
        <v>1083</v>
      </c>
      <c r="K1525">
        <v>14</v>
      </c>
      <c r="L1525" s="6">
        <v>4.2671999999999999</v>
      </c>
      <c r="M1525" s="7">
        <v>25.4</v>
      </c>
      <c r="N1525" s="7">
        <v>285.75</v>
      </c>
      <c r="O1525" s="7">
        <f t="shared" si="122"/>
        <v>168</v>
      </c>
      <c r="P1525" s="7">
        <f t="shared" si="123"/>
        <v>1</v>
      </c>
      <c r="Q1525" s="7">
        <f t="shared" si="123"/>
        <v>11.25</v>
      </c>
      <c r="R1525" s="6">
        <f t="shared" si="124"/>
        <v>452.02800000000002</v>
      </c>
      <c r="S1525" s="6">
        <f t="shared" si="125"/>
        <v>3.0971550959999997E-2</v>
      </c>
      <c r="T1525" t="str">
        <f t="shared" si="121"/>
        <v>Ipe S4S E4E 5/4x12 Long</v>
      </c>
    </row>
    <row r="1526" spans="1:20" x14ac:dyDescent="0.25">
      <c r="A1526" t="s">
        <v>1351</v>
      </c>
      <c r="B1526" t="s">
        <v>1903</v>
      </c>
      <c r="C1526" t="s">
        <v>283</v>
      </c>
      <c r="D1526" t="s">
        <v>438</v>
      </c>
      <c r="E1526" t="s">
        <v>139</v>
      </c>
      <c r="F1526" t="s">
        <v>1905</v>
      </c>
      <c r="G1526" t="s">
        <v>1351</v>
      </c>
      <c r="H1526" t="s">
        <v>373</v>
      </c>
      <c r="I1526" t="s">
        <v>289</v>
      </c>
      <c r="J1526" t="s">
        <v>1083</v>
      </c>
      <c r="K1526">
        <v>14</v>
      </c>
      <c r="L1526" s="6">
        <v>4.2671999999999999</v>
      </c>
      <c r="M1526" s="7">
        <v>25.4</v>
      </c>
      <c r="N1526" s="7">
        <v>285.75</v>
      </c>
      <c r="O1526" s="7">
        <f t="shared" si="122"/>
        <v>168</v>
      </c>
      <c r="P1526" s="7">
        <f t="shared" si="123"/>
        <v>1</v>
      </c>
      <c r="Q1526" s="7">
        <f t="shared" si="123"/>
        <v>11.25</v>
      </c>
      <c r="R1526" s="6">
        <f t="shared" si="124"/>
        <v>452.02800000000002</v>
      </c>
      <c r="S1526" s="6">
        <f t="shared" si="125"/>
        <v>3.0971550959999997E-2</v>
      </c>
      <c r="T1526" t="str">
        <f t="shared" si="121"/>
        <v>Ipe S4S E4E 5/4x12 Long</v>
      </c>
    </row>
    <row r="1527" spans="1:20" x14ac:dyDescent="0.25">
      <c r="A1527" t="s">
        <v>1351</v>
      </c>
      <c r="B1527" t="s">
        <v>1903</v>
      </c>
      <c r="C1527" t="s">
        <v>283</v>
      </c>
      <c r="D1527" t="s">
        <v>438</v>
      </c>
      <c r="E1527" t="s">
        <v>1914</v>
      </c>
      <c r="F1527" t="s">
        <v>1905</v>
      </c>
      <c r="G1527" t="s">
        <v>1351</v>
      </c>
      <c r="H1527" t="s">
        <v>373</v>
      </c>
      <c r="I1527" t="s">
        <v>289</v>
      </c>
      <c r="J1527" t="s">
        <v>1083</v>
      </c>
      <c r="K1527">
        <v>15</v>
      </c>
      <c r="L1527" s="6">
        <v>4.5720000000000001</v>
      </c>
      <c r="M1527" s="7">
        <v>25.4</v>
      </c>
      <c r="N1527" s="7">
        <v>285.75</v>
      </c>
      <c r="O1527" s="7">
        <f t="shared" si="122"/>
        <v>180</v>
      </c>
      <c r="P1527" s="7">
        <f t="shared" si="123"/>
        <v>1</v>
      </c>
      <c r="Q1527" s="7">
        <f t="shared" si="123"/>
        <v>11.25</v>
      </c>
      <c r="R1527" s="6">
        <f t="shared" si="124"/>
        <v>452.02800000000002</v>
      </c>
      <c r="S1527" s="6">
        <f t="shared" si="125"/>
        <v>3.3183804600000005E-2</v>
      </c>
      <c r="T1527" t="str">
        <f t="shared" si="121"/>
        <v>Ipe S4S E4E 5/4x12 Long</v>
      </c>
    </row>
    <row r="1528" spans="1:20" x14ac:dyDescent="0.25">
      <c r="A1528" t="s">
        <v>1351</v>
      </c>
      <c r="B1528" t="s">
        <v>1903</v>
      </c>
      <c r="C1528" t="s">
        <v>283</v>
      </c>
      <c r="D1528" t="s">
        <v>438</v>
      </c>
      <c r="E1528" t="s">
        <v>1915</v>
      </c>
      <c r="F1528" t="s">
        <v>1905</v>
      </c>
      <c r="G1528" t="s">
        <v>1351</v>
      </c>
      <c r="H1528" t="s">
        <v>373</v>
      </c>
      <c r="I1528" t="s">
        <v>289</v>
      </c>
      <c r="J1528" t="s">
        <v>1083</v>
      </c>
      <c r="K1528">
        <v>15</v>
      </c>
      <c r="L1528" s="6">
        <v>4.5720000000000001</v>
      </c>
      <c r="M1528" s="7">
        <v>25.4</v>
      </c>
      <c r="N1528" s="7">
        <v>285.75</v>
      </c>
      <c r="O1528" s="7">
        <f t="shared" si="122"/>
        <v>180</v>
      </c>
      <c r="P1528" s="7">
        <f t="shared" si="123"/>
        <v>1</v>
      </c>
      <c r="Q1528" s="7">
        <f t="shared" si="123"/>
        <v>11.25</v>
      </c>
      <c r="R1528" s="6">
        <f t="shared" si="124"/>
        <v>452.02800000000002</v>
      </c>
      <c r="S1528" s="6">
        <f t="shared" si="125"/>
        <v>3.3183804600000005E-2</v>
      </c>
      <c r="T1528" t="str">
        <f t="shared" si="121"/>
        <v>Ipe S4S E4E 5/4x12 Long</v>
      </c>
    </row>
    <row r="1529" spans="1:20" x14ac:dyDescent="0.25">
      <c r="A1529" t="s">
        <v>1351</v>
      </c>
      <c r="B1529" t="s">
        <v>1903</v>
      </c>
      <c r="C1529" t="s">
        <v>283</v>
      </c>
      <c r="D1529" t="s">
        <v>438</v>
      </c>
      <c r="E1529" t="s">
        <v>1916</v>
      </c>
      <c r="F1529" t="s">
        <v>1905</v>
      </c>
      <c r="G1529" t="s">
        <v>1351</v>
      </c>
      <c r="H1529" t="s">
        <v>373</v>
      </c>
      <c r="I1529" t="s">
        <v>289</v>
      </c>
      <c r="J1529" t="s">
        <v>1083</v>
      </c>
      <c r="K1529">
        <v>16</v>
      </c>
      <c r="L1529" s="6">
        <v>4.8768000000000002</v>
      </c>
      <c r="M1529" s="7">
        <v>25.4</v>
      </c>
      <c r="N1529" s="7">
        <v>285.75</v>
      </c>
      <c r="O1529" s="7">
        <f t="shared" si="122"/>
        <v>192.00000000000003</v>
      </c>
      <c r="P1529" s="7">
        <f t="shared" si="123"/>
        <v>1</v>
      </c>
      <c r="Q1529" s="7">
        <f t="shared" si="123"/>
        <v>11.25</v>
      </c>
      <c r="R1529" s="6">
        <f t="shared" si="124"/>
        <v>452.02800000000002</v>
      </c>
      <c r="S1529" s="6">
        <f t="shared" si="125"/>
        <v>3.539605824E-2</v>
      </c>
      <c r="T1529" t="str">
        <f t="shared" si="121"/>
        <v>Ipe S4S E4E 5/4x12 Long</v>
      </c>
    </row>
    <row r="1530" spans="1:20" x14ac:dyDescent="0.25">
      <c r="A1530" t="s">
        <v>1351</v>
      </c>
      <c r="B1530" t="s">
        <v>1903</v>
      </c>
      <c r="C1530" t="s">
        <v>283</v>
      </c>
      <c r="D1530" t="s">
        <v>438</v>
      </c>
      <c r="E1530" t="s">
        <v>1917</v>
      </c>
      <c r="F1530" t="s">
        <v>1905</v>
      </c>
      <c r="G1530" t="s">
        <v>1351</v>
      </c>
      <c r="H1530" t="s">
        <v>373</v>
      </c>
      <c r="I1530" t="s">
        <v>289</v>
      </c>
      <c r="J1530" t="s">
        <v>1083</v>
      </c>
      <c r="K1530">
        <v>16</v>
      </c>
      <c r="L1530" s="6">
        <v>4.8768000000000002</v>
      </c>
      <c r="M1530" s="7">
        <v>25.4</v>
      </c>
      <c r="N1530" s="7">
        <v>285.75</v>
      </c>
      <c r="O1530" s="7">
        <f t="shared" si="122"/>
        <v>192.00000000000003</v>
      </c>
      <c r="P1530" s="7">
        <f t="shared" si="123"/>
        <v>1</v>
      </c>
      <c r="Q1530" s="7">
        <f t="shared" si="123"/>
        <v>11.25</v>
      </c>
      <c r="R1530" s="6">
        <f t="shared" si="124"/>
        <v>452.02800000000002</v>
      </c>
      <c r="S1530" s="6">
        <f t="shared" si="125"/>
        <v>3.539605824E-2</v>
      </c>
      <c r="T1530" t="str">
        <f t="shared" si="121"/>
        <v>Ipe S4S E4E 5/4x12 Long</v>
      </c>
    </row>
    <row r="1531" spans="1:20" x14ac:dyDescent="0.25">
      <c r="A1531" t="s">
        <v>1351</v>
      </c>
      <c r="B1531" t="s">
        <v>1903</v>
      </c>
      <c r="C1531" t="s">
        <v>283</v>
      </c>
      <c r="D1531" t="s">
        <v>438</v>
      </c>
      <c r="E1531" t="s">
        <v>1918</v>
      </c>
      <c r="F1531" t="s">
        <v>1905</v>
      </c>
      <c r="G1531" t="s">
        <v>1351</v>
      </c>
      <c r="H1531" t="s">
        <v>373</v>
      </c>
      <c r="I1531" t="s">
        <v>289</v>
      </c>
      <c r="J1531" t="s">
        <v>1083</v>
      </c>
      <c r="K1531">
        <v>17</v>
      </c>
      <c r="L1531" s="6">
        <v>5.1816000000000004</v>
      </c>
      <c r="M1531" s="7">
        <v>25.4</v>
      </c>
      <c r="N1531" s="7">
        <v>285.75</v>
      </c>
      <c r="O1531" s="7">
        <f t="shared" si="122"/>
        <v>204.00000000000003</v>
      </c>
      <c r="P1531" s="7">
        <f t="shared" si="123"/>
        <v>1</v>
      </c>
      <c r="Q1531" s="7">
        <f t="shared" si="123"/>
        <v>11.25</v>
      </c>
      <c r="R1531" s="6">
        <f t="shared" si="124"/>
        <v>452.02800000000002</v>
      </c>
      <c r="S1531" s="6">
        <f t="shared" si="125"/>
        <v>3.7608311880000002E-2</v>
      </c>
      <c r="T1531" t="str">
        <f t="shared" si="121"/>
        <v>Ipe S4S E4E 5/4x12 Long</v>
      </c>
    </row>
    <row r="1532" spans="1:20" x14ac:dyDescent="0.25">
      <c r="A1532" t="s">
        <v>1351</v>
      </c>
      <c r="B1532" t="s">
        <v>1903</v>
      </c>
      <c r="C1532" t="s">
        <v>283</v>
      </c>
      <c r="D1532" t="s">
        <v>438</v>
      </c>
      <c r="E1532" t="s">
        <v>1919</v>
      </c>
      <c r="F1532" t="s">
        <v>1905</v>
      </c>
      <c r="G1532" t="s">
        <v>1351</v>
      </c>
      <c r="H1532" t="s">
        <v>373</v>
      </c>
      <c r="I1532" t="s">
        <v>289</v>
      </c>
      <c r="J1532" t="s">
        <v>1083</v>
      </c>
      <c r="K1532">
        <v>17</v>
      </c>
      <c r="L1532" s="6">
        <v>5.1816000000000004</v>
      </c>
      <c r="M1532" s="7">
        <v>25.4</v>
      </c>
      <c r="N1532" s="7">
        <v>285.75</v>
      </c>
      <c r="O1532" s="7">
        <f t="shared" si="122"/>
        <v>204.00000000000003</v>
      </c>
      <c r="P1532" s="7">
        <f t="shared" si="123"/>
        <v>1</v>
      </c>
      <c r="Q1532" s="7">
        <f t="shared" si="123"/>
        <v>11.25</v>
      </c>
      <c r="R1532" s="6">
        <f t="shared" si="124"/>
        <v>452.02800000000002</v>
      </c>
      <c r="S1532" s="6">
        <f t="shared" si="125"/>
        <v>3.7608311880000002E-2</v>
      </c>
      <c r="T1532" t="str">
        <f t="shared" si="121"/>
        <v>Ipe S4S E4E 5/4x12 Long</v>
      </c>
    </row>
    <row r="1533" spans="1:20" x14ac:dyDescent="0.25">
      <c r="A1533" t="s">
        <v>1351</v>
      </c>
      <c r="B1533" t="s">
        <v>1903</v>
      </c>
      <c r="C1533" t="s">
        <v>283</v>
      </c>
      <c r="D1533" t="s">
        <v>438</v>
      </c>
      <c r="E1533" t="s">
        <v>1920</v>
      </c>
      <c r="F1533" t="s">
        <v>1905</v>
      </c>
      <c r="G1533" t="s">
        <v>1351</v>
      </c>
      <c r="H1533" t="s">
        <v>373</v>
      </c>
      <c r="I1533" t="s">
        <v>289</v>
      </c>
      <c r="J1533" t="s">
        <v>1083</v>
      </c>
      <c r="K1533">
        <v>18</v>
      </c>
      <c r="L1533" s="6">
        <v>5.4863999999999997</v>
      </c>
      <c r="M1533" s="7">
        <v>25.4</v>
      </c>
      <c r="N1533" s="7">
        <v>285.75</v>
      </c>
      <c r="O1533" s="7">
        <f t="shared" si="122"/>
        <v>216</v>
      </c>
      <c r="P1533" s="7">
        <f t="shared" si="123"/>
        <v>1</v>
      </c>
      <c r="Q1533" s="7">
        <f t="shared" si="123"/>
        <v>11.25</v>
      </c>
      <c r="R1533" s="6">
        <f t="shared" si="124"/>
        <v>452.02800000000002</v>
      </c>
      <c r="S1533" s="6">
        <f t="shared" si="125"/>
        <v>3.9820565519999997E-2</v>
      </c>
      <c r="T1533" t="str">
        <f t="shared" si="121"/>
        <v>Ipe S4S E4E 5/4x12 Long</v>
      </c>
    </row>
    <row r="1534" spans="1:20" x14ac:dyDescent="0.25">
      <c r="A1534" t="s">
        <v>1351</v>
      </c>
      <c r="B1534" t="s">
        <v>1903</v>
      </c>
      <c r="C1534" t="s">
        <v>283</v>
      </c>
      <c r="D1534" t="s">
        <v>438</v>
      </c>
      <c r="E1534" t="s">
        <v>1921</v>
      </c>
      <c r="F1534" t="s">
        <v>1905</v>
      </c>
      <c r="G1534" t="s">
        <v>1351</v>
      </c>
      <c r="H1534" t="s">
        <v>373</v>
      </c>
      <c r="I1534" t="s">
        <v>289</v>
      </c>
      <c r="J1534" t="s">
        <v>1083</v>
      </c>
      <c r="K1534">
        <v>18</v>
      </c>
      <c r="L1534" s="6">
        <v>5.4863999999999997</v>
      </c>
      <c r="M1534" s="7">
        <v>25.4</v>
      </c>
      <c r="N1534" s="7">
        <v>285.75</v>
      </c>
      <c r="O1534" s="7">
        <f t="shared" si="122"/>
        <v>216</v>
      </c>
      <c r="P1534" s="7">
        <f t="shared" si="123"/>
        <v>1</v>
      </c>
      <c r="Q1534" s="7">
        <f t="shared" si="123"/>
        <v>11.25</v>
      </c>
      <c r="R1534" s="6">
        <f t="shared" si="124"/>
        <v>452.02800000000002</v>
      </c>
      <c r="S1534" s="6">
        <f t="shared" si="125"/>
        <v>3.9820565519999997E-2</v>
      </c>
      <c r="T1534" t="str">
        <f t="shared" si="121"/>
        <v>Ipe S4S E4E 5/4x12 Long</v>
      </c>
    </row>
    <row r="1535" spans="1:20" x14ac:dyDescent="0.25">
      <c r="A1535" t="s">
        <v>1351</v>
      </c>
      <c r="B1535" t="s">
        <v>1903</v>
      </c>
      <c r="C1535" t="s">
        <v>283</v>
      </c>
      <c r="D1535" t="s">
        <v>438</v>
      </c>
      <c r="E1535" t="s">
        <v>1922</v>
      </c>
      <c r="F1535" t="s">
        <v>1905</v>
      </c>
      <c r="G1535" t="s">
        <v>1351</v>
      </c>
      <c r="H1535" t="s">
        <v>373</v>
      </c>
      <c r="I1535" t="s">
        <v>289</v>
      </c>
      <c r="J1535" t="s">
        <v>1083</v>
      </c>
      <c r="K1535">
        <v>19</v>
      </c>
      <c r="L1535" s="6">
        <v>5.7911999999999999</v>
      </c>
      <c r="M1535" s="7">
        <v>25.4</v>
      </c>
      <c r="N1535" s="7">
        <v>285.75</v>
      </c>
      <c r="O1535" s="7">
        <f t="shared" si="122"/>
        <v>228</v>
      </c>
      <c r="P1535" s="7">
        <f t="shared" si="123"/>
        <v>1</v>
      </c>
      <c r="Q1535" s="7">
        <f t="shared" si="123"/>
        <v>11.25</v>
      </c>
      <c r="R1535" s="6">
        <f t="shared" si="124"/>
        <v>452.02800000000002</v>
      </c>
      <c r="S1535" s="6">
        <f t="shared" si="125"/>
        <v>4.2032819159999998E-2</v>
      </c>
      <c r="T1535" t="str">
        <f t="shared" si="121"/>
        <v>Ipe S4S E4E 5/4x12 Long</v>
      </c>
    </row>
    <row r="1536" spans="1:20" x14ac:dyDescent="0.25">
      <c r="A1536" t="s">
        <v>1351</v>
      </c>
      <c r="B1536" t="s">
        <v>1903</v>
      </c>
      <c r="C1536" t="s">
        <v>283</v>
      </c>
      <c r="D1536" t="s">
        <v>438</v>
      </c>
      <c r="E1536" t="s">
        <v>1923</v>
      </c>
      <c r="F1536" t="s">
        <v>1905</v>
      </c>
      <c r="G1536" t="s">
        <v>1351</v>
      </c>
      <c r="H1536" t="s">
        <v>373</v>
      </c>
      <c r="I1536" t="s">
        <v>289</v>
      </c>
      <c r="J1536" t="s">
        <v>1083</v>
      </c>
      <c r="K1536">
        <v>19</v>
      </c>
      <c r="L1536" s="6">
        <v>5.7911999999999999</v>
      </c>
      <c r="M1536" s="7">
        <v>25.4</v>
      </c>
      <c r="N1536" s="7">
        <v>285.75</v>
      </c>
      <c r="O1536" s="7">
        <f t="shared" si="122"/>
        <v>228</v>
      </c>
      <c r="P1536" s="7">
        <f t="shared" si="123"/>
        <v>1</v>
      </c>
      <c r="Q1536" s="7">
        <f t="shared" si="123"/>
        <v>11.25</v>
      </c>
      <c r="R1536" s="6">
        <f t="shared" si="124"/>
        <v>452.02800000000002</v>
      </c>
      <c r="S1536" s="6">
        <f t="shared" si="125"/>
        <v>4.2032819159999998E-2</v>
      </c>
      <c r="T1536" t="str">
        <f t="shared" si="121"/>
        <v>Ipe S4S E4E 5/4x12 Long</v>
      </c>
    </row>
    <row r="1537" spans="1:20" x14ac:dyDescent="0.25">
      <c r="A1537" t="s">
        <v>1351</v>
      </c>
      <c r="B1537" t="s">
        <v>1903</v>
      </c>
      <c r="C1537" t="s">
        <v>283</v>
      </c>
      <c r="D1537" t="s">
        <v>438</v>
      </c>
      <c r="E1537" t="s">
        <v>1924</v>
      </c>
      <c r="F1537" t="s">
        <v>1905</v>
      </c>
      <c r="G1537" t="s">
        <v>1351</v>
      </c>
      <c r="H1537" t="s">
        <v>373</v>
      </c>
      <c r="I1537" t="s">
        <v>289</v>
      </c>
      <c r="J1537" t="s">
        <v>1083</v>
      </c>
      <c r="K1537">
        <v>20</v>
      </c>
      <c r="L1537" s="6">
        <v>6.0960000000000001</v>
      </c>
      <c r="M1537" s="7">
        <v>25.4</v>
      </c>
      <c r="N1537" s="7">
        <v>285.75</v>
      </c>
      <c r="O1537" s="7">
        <f t="shared" si="122"/>
        <v>240</v>
      </c>
      <c r="P1537" s="7">
        <f t="shared" si="123"/>
        <v>1</v>
      </c>
      <c r="Q1537" s="7">
        <f t="shared" si="123"/>
        <v>11.25</v>
      </c>
      <c r="R1537" s="6">
        <f t="shared" si="124"/>
        <v>452.02800000000002</v>
      </c>
      <c r="S1537" s="6">
        <f t="shared" si="125"/>
        <v>4.42450728E-2</v>
      </c>
      <c r="T1537" t="str">
        <f t="shared" si="121"/>
        <v>Ipe S4S E4E 5/4x12 Long</v>
      </c>
    </row>
    <row r="1538" spans="1:20" x14ac:dyDescent="0.25">
      <c r="A1538" t="s">
        <v>1351</v>
      </c>
      <c r="B1538" t="s">
        <v>1903</v>
      </c>
      <c r="C1538" t="s">
        <v>283</v>
      </c>
      <c r="D1538" t="s">
        <v>438</v>
      </c>
      <c r="E1538" t="s">
        <v>1925</v>
      </c>
      <c r="F1538" t="s">
        <v>1905</v>
      </c>
      <c r="G1538" t="s">
        <v>1351</v>
      </c>
      <c r="H1538" t="s">
        <v>373</v>
      </c>
      <c r="I1538" t="s">
        <v>289</v>
      </c>
      <c r="J1538" t="s">
        <v>1083</v>
      </c>
      <c r="K1538">
        <v>20</v>
      </c>
      <c r="L1538" s="6">
        <v>6.0960000000000001</v>
      </c>
      <c r="M1538" s="7">
        <v>25.4</v>
      </c>
      <c r="N1538" s="7">
        <v>285.75</v>
      </c>
      <c r="O1538" s="7">
        <f t="shared" si="122"/>
        <v>240</v>
      </c>
      <c r="P1538" s="7">
        <f t="shared" si="123"/>
        <v>1</v>
      </c>
      <c r="Q1538" s="7">
        <f t="shared" si="123"/>
        <v>11.25</v>
      </c>
      <c r="R1538" s="6">
        <f t="shared" si="124"/>
        <v>452.02800000000002</v>
      </c>
      <c r="S1538" s="6">
        <f t="shared" si="125"/>
        <v>4.42450728E-2</v>
      </c>
      <c r="T1538" t="str">
        <f t="shared" ref="T1538:T1601" si="126">F1538&amp;" "&amp;C1538</f>
        <v>Ipe S4S E4E 5/4x12 Long</v>
      </c>
    </row>
    <row r="1539" spans="1:20" x14ac:dyDescent="0.25">
      <c r="A1539" t="s">
        <v>1351</v>
      </c>
      <c r="B1539" t="s">
        <v>1903</v>
      </c>
      <c r="C1539" t="s">
        <v>283</v>
      </c>
      <c r="D1539" t="s">
        <v>438</v>
      </c>
      <c r="E1539" t="s">
        <v>1926</v>
      </c>
      <c r="F1539" t="s">
        <v>1905</v>
      </c>
      <c r="G1539" t="s">
        <v>1351</v>
      </c>
      <c r="H1539" t="s">
        <v>373</v>
      </c>
      <c r="I1539" t="s">
        <v>289</v>
      </c>
      <c r="J1539" t="s">
        <v>1083</v>
      </c>
      <c r="K1539">
        <v>21</v>
      </c>
      <c r="L1539" s="6">
        <v>6.4008000000000003</v>
      </c>
      <c r="M1539" s="7">
        <v>25.4</v>
      </c>
      <c r="N1539" s="7">
        <v>285.75</v>
      </c>
      <c r="O1539" s="7">
        <f t="shared" si="122"/>
        <v>252.00000000000003</v>
      </c>
      <c r="P1539" s="7">
        <f t="shared" si="123"/>
        <v>1</v>
      </c>
      <c r="Q1539" s="7">
        <f t="shared" si="123"/>
        <v>11.25</v>
      </c>
      <c r="R1539" s="6">
        <f t="shared" si="124"/>
        <v>452.02800000000002</v>
      </c>
      <c r="S1539" s="6">
        <f t="shared" si="125"/>
        <v>4.6457326440000002E-2</v>
      </c>
      <c r="T1539" t="str">
        <f t="shared" si="126"/>
        <v>Ipe S4S E4E 5/4x12 Long</v>
      </c>
    </row>
    <row r="1540" spans="1:20" x14ac:dyDescent="0.25">
      <c r="A1540" t="s">
        <v>1351</v>
      </c>
      <c r="B1540" t="s">
        <v>1903</v>
      </c>
      <c r="C1540" t="s">
        <v>283</v>
      </c>
      <c r="D1540" t="s">
        <v>438</v>
      </c>
      <c r="E1540" t="s">
        <v>1927</v>
      </c>
      <c r="F1540" t="s">
        <v>1905</v>
      </c>
      <c r="G1540" t="s">
        <v>1351</v>
      </c>
      <c r="H1540" t="s">
        <v>373</v>
      </c>
      <c r="I1540" t="s">
        <v>289</v>
      </c>
      <c r="J1540" t="s">
        <v>1083</v>
      </c>
      <c r="K1540">
        <v>21</v>
      </c>
      <c r="L1540" s="6">
        <v>6.4008000000000003</v>
      </c>
      <c r="M1540" s="7">
        <v>25.4</v>
      </c>
      <c r="N1540" s="7">
        <v>285.75</v>
      </c>
      <c r="O1540" s="7">
        <f t="shared" si="122"/>
        <v>252.00000000000003</v>
      </c>
      <c r="P1540" s="7">
        <f t="shared" si="123"/>
        <v>1</v>
      </c>
      <c r="Q1540" s="7">
        <f t="shared" si="123"/>
        <v>11.25</v>
      </c>
      <c r="R1540" s="6">
        <f t="shared" si="124"/>
        <v>452.02800000000002</v>
      </c>
      <c r="S1540" s="6">
        <f t="shared" si="125"/>
        <v>4.6457326440000002E-2</v>
      </c>
      <c r="T1540" t="str">
        <f t="shared" si="126"/>
        <v>Ipe S4S E4E 5/4x12 Long</v>
      </c>
    </row>
    <row r="1541" spans="1:20" x14ac:dyDescent="0.25">
      <c r="A1541" t="s">
        <v>1351</v>
      </c>
      <c r="B1541" t="s">
        <v>1903</v>
      </c>
      <c r="C1541" t="s">
        <v>283</v>
      </c>
      <c r="D1541" t="s">
        <v>438</v>
      </c>
      <c r="E1541" t="s">
        <v>1928</v>
      </c>
      <c r="F1541" t="s">
        <v>1905</v>
      </c>
      <c r="G1541" t="s">
        <v>1351</v>
      </c>
      <c r="H1541" t="s">
        <v>373</v>
      </c>
      <c r="I1541" t="s">
        <v>289</v>
      </c>
      <c r="J1541" t="s">
        <v>1083</v>
      </c>
      <c r="K1541">
        <v>22</v>
      </c>
      <c r="L1541" s="6">
        <v>6.7055999999999996</v>
      </c>
      <c r="M1541" s="7">
        <v>25.4</v>
      </c>
      <c r="N1541" s="7">
        <v>285.75</v>
      </c>
      <c r="O1541" s="7">
        <f t="shared" si="122"/>
        <v>264</v>
      </c>
      <c r="P1541" s="7">
        <f t="shared" si="123"/>
        <v>1</v>
      </c>
      <c r="Q1541" s="7">
        <f t="shared" si="123"/>
        <v>11.25</v>
      </c>
      <c r="R1541" s="6">
        <f t="shared" si="124"/>
        <v>452.02800000000002</v>
      </c>
      <c r="S1541" s="6">
        <f t="shared" si="125"/>
        <v>4.866958007999999E-2</v>
      </c>
      <c r="T1541" t="str">
        <f t="shared" si="126"/>
        <v>Ipe S4S E4E 5/4x12 Long</v>
      </c>
    </row>
    <row r="1542" spans="1:20" x14ac:dyDescent="0.25">
      <c r="A1542" t="s">
        <v>1351</v>
      </c>
      <c r="B1542" t="s">
        <v>1903</v>
      </c>
      <c r="C1542" t="s">
        <v>283</v>
      </c>
      <c r="D1542" t="s">
        <v>438</v>
      </c>
      <c r="E1542" t="s">
        <v>1929</v>
      </c>
      <c r="F1542" t="s">
        <v>1905</v>
      </c>
      <c r="G1542" t="s">
        <v>1351</v>
      </c>
      <c r="H1542" t="s">
        <v>373</v>
      </c>
      <c r="I1542" t="s">
        <v>289</v>
      </c>
      <c r="J1542" t="s">
        <v>1083</v>
      </c>
      <c r="K1542">
        <v>22</v>
      </c>
      <c r="L1542" s="6">
        <v>6.7055999999999996</v>
      </c>
      <c r="M1542" s="7">
        <v>25.4</v>
      </c>
      <c r="N1542" s="7">
        <v>285.75</v>
      </c>
      <c r="O1542" s="7">
        <f t="shared" si="122"/>
        <v>264</v>
      </c>
      <c r="P1542" s="7">
        <f t="shared" si="123"/>
        <v>1</v>
      </c>
      <c r="Q1542" s="7">
        <f t="shared" si="123"/>
        <v>11.25</v>
      </c>
      <c r="R1542" s="6">
        <f t="shared" si="124"/>
        <v>452.02800000000002</v>
      </c>
      <c r="S1542" s="6">
        <f t="shared" si="125"/>
        <v>4.866958007999999E-2</v>
      </c>
      <c r="T1542" t="str">
        <f t="shared" si="126"/>
        <v>Ipe S4S E4E 5/4x12 Long</v>
      </c>
    </row>
    <row r="1543" spans="1:20" x14ac:dyDescent="0.25">
      <c r="A1543" t="s">
        <v>1351</v>
      </c>
      <c r="B1543" t="s">
        <v>1903</v>
      </c>
      <c r="C1543" t="s">
        <v>524</v>
      </c>
      <c r="D1543" t="s">
        <v>438</v>
      </c>
      <c r="E1543" t="s">
        <v>1930</v>
      </c>
      <c r="F1543" t="s">
        <v>1905</v>
      </c>
      <c r="G1543" t="s">
        <v>1351</v>
      </c>
      <c r="H1543" t="s">
        <v>373</v>
      </c>
      <c r="I1543" t="s">
        <v>289</v>
      </c>
      <c r="J1543" t="s">
        <v>1083</v>
      </c>
      <c r="K1543">
        <v>3</v>
      </c>
      <c r="L1543" s="6">
        <v>0.91439999999999999</v>
      </c>
      <c r="M1543" s="7">
        <v>25.4</v>
      </c>
      <c r="N1543" s="7">
        <v>285.75</v>
      </c>
      <c r="O1543" s="7">
        <f t="shared" si="122"/>
        <v>36</v>
      </c>
      <c r="P1543" s="7">
        <f t="shared" si="123"/>
        <v>1</v>
      </c>
      <c r="Q1543" s="7">
        <f t="shared" si="123"/>
        <v>11.25</v>
      </c>
      <c r="R1543" s="6">
        <f t="shared" si="124"/>
        <v>452.02800000000002</v>
      </c>
      <c r="S1543" s="6">
        <f t="shared" si="125"/>
        <v>6.6367609199999992E-3</v>
      </c>
      <c r="T1543" t="str">
        <f t="shared" si="126"/>
        <v>Ipe S4S E4E 5/4x12 Short</v>
      </c>
    </row>
    <row r="1544" spans="1:20" x14ac:dyDescent="0.25">
      <c r="A1544" t="s">
        <v>1351</v>
      </c>
      <c r="B1544" t="s">
        <v>1903</v>
      </c>
      <c r="C1544" t="s">
        <v>524</v>
      </c>
      <c r="D1544" t="s">
        <v>438</v>
      </c>
      <c r="E1544" t="s">
        <v>1931</v>
      </c>
      <c r="F1544" t="s">
        <v>1905</v>
      </c>
      <c r="G1544" t="s">
        <v>1351</v>
      </c>
      <c r="H1544" t="s">
        <v>373</v>
      </c>
      <c r="I1544" t="s">
        <v>289</v>
      </c>
      <c r="J1544" t="s">
        <v>1083</v>
      </c>
      <c r="K1544">
        <v>3</v>
      </c>
      <c r="L1544" s="6">
        <v>0.91439999999999999</v>
      </c>
      <c r="M1544" s="7">
        <v>25.4</v>
      </c>
      <c r="N1544" s="7">
        <v>285.75</v>
      </c>
      <c r="O1544" s="7">
        <f t="shared" si="122"/>
        <v>36</v>
      </c>
      <c r="P1544" s="7">
        <f t="shared" si="123"/>
        <v>1</v>
      </c>
      <c r="Q1544" s="7">
        <f t="shared" si="123"/>
        <v>11.25</v>
      </c>
      <c r="R1544" s="6">
        <f t="shared" si="124"/>
        <v>452.02800000000002</v>
      </c>
      <c r="S1544" s="6">
        <f t="shared" si="125"/>
        <v>6.6367609199999992E-3</v>
      </c>
      <c r="T1544" t="str">
        <f t="shared" si="126"/>
        <v>Ipe S4S E4E 5/4x12 Short</v>
      </c>
    </row>
    <row r="1545" spans="1:20" x14ac:dyDescent="0.25">
      <c r="A1545" t="s">
        <v>1351</v>
      </c>
      <c r="B1545" t="s">
        <v>1903</v>
      </c>
      <c r="C1545" t="s">
        <v>524</v>
      </c>
      <c r="D1545" t="s">
        <v>438</v>
      </c>
      <c r="E1545" t="s">
        <v>1932</v>
      </c>
      <c r="F1545" t="s">
        <v>1905</v>
      </c>
      <c r="G1545" t="s">
        <v>1351</v>
      </c>
      <c r="H1545" t="s">
        <v>373</v>
      </c>
      <c r="I1545" t="s">
        <v>289</v>
      </c>
      <c r="J1545" t="s">
        <v>1083</v>
      </c>
      <c r="K1545">
        <v>4</v>
      </c>
      <c r="L1545" s="6">
        <v>1.2192000000000001</v>
      </c>
      <c r="M1545" s="7">
        <v>25.4</v>
      </c>
      <c r="N1545" s="7">
        <v>285.75</v>
      </c>
      <c r="O1545" s="7">
        <f t="shared" si="122"/>
        <v>48.000000000000007</v>
      </c>
      <c r="P1545" s="7">
        <f t="shared" si="123"/>
        <v>1</v>
      </c>
      <c r="Q1545" s="7">
        <f t="shared" si="123"/>
        <v>11.25</v>
      </c>
      <c r="R1545" s="6">
        <f t="shared" si="124"/>
        <v>452.02800000000002</v>
      </c>
      <c r="S1545" s="6">
        <f t="shared" si="125"/>
        <v>8.84901456E-3</v>
      </c>
      <c r="T1545" t="str">
        <f t="shared" si="126"/>
        <v>Ipe S4S E4E 5/4x12 Short</v>
      </c>
    </row>
    <row r="1546" spans="1:20" x14ac:dyDescent="0.25">
      <c r="A1546" t="s">
        <v>1351</v>
      </c>
      <c r="B1546" t="s">
        <v>1903</v>
      </c>
      <c r="C1546" t="s">
        <v>524</v>
      </c>
      <c r="D1546" t="s">
        <v>438</v>
      </c>
      <c r="E1546" t="s">
        <v>1933</v>
      </c>
      <c r="F1546" t="s">
        <v>1905</v>
      </c>
      <c r="G1546" t="s">
        <v>1351</v>
      </c>
      <c r="H1546" t="s">
        <v>373</v>
      </c>
      <c r="I1546" t="s">
        <v>289</v>
      </c>
      <c r="J1546" t="s">
        <v>1083</v>
      </c>
      <c r="K1546">
        <v>4</v>
      </c>
      <c r="L1546" s="6">
        <v>1.2192000000000001</v>
      </c>
      <c r="M1546" s="7">
        <v>25.4</v>
      </c>
      <c r="N1546" s="7">
        <v>285.75</v>
      </c>
      <c r="O1546" s="7">
        <f t="shared" si="122"/>
        <v>48.000000000000007</v>
      </c>
      <c r="P1546" s="7">
        <f t="shared" si="123"/>
        <v>1</v>
      </c>
      <c r="Q1546" s="7">
        <f t="shared" si="123"/>
        <v>11.25</v>
      </c>
      <c r="R1546" s="6">
        <f t="shared" si="124"/>
        <v>452.02800000000002</v>
      </c>
      <c r="S1546" s="6">
        <f t="shared" si="125"/>
        <v>8.84901456E-3</v>
      </c>
      <c r="T1546" t="str">
        <f t="shared" si="126"/>
        <v>Ipe S4S E4E 5/4x12 Short</v>
      </c>
    </row>
    <row r="1547" spans="1:20" x14ac:dyDescent="0.25">
      <c r="A1547" t="s">
        <v>1351</v>
      </c>
      <c r="B1547" t="s">
        <v>1903</v>
      </c>
      <c r="C1547" t="s">
        <v>524</v>
      </c>
      <c r="D1547" t="s">
        <v>438</v>
      </c>
      <c r="E1547" t="s">
        <v>1934</v>
      </c>
      <c r="F1547" t="s">
        <v>1905</v>
      </c>
      <c r="G1547" t="s">
        <v>1351</v>
      </c>
      <c r="H1547" t="s">
        <v>373</v>
      </c>
      <c r="I1547" t="s">
        <v>289</v>
      </c>
      <c r="J1547" t="s">
        <v>1083</v>
      </c>
      <c r="K1547">
        <v>5</v>
      </c>
      <c r="L1547" s="6">
        <v>1.524</v>
      </c>
      <c r="M1547" s="7">
        <v>25.4</v>
      </c>
      <c r="N1547" s="7">
        <v>285.75</v>
      </c>
      <c r="O1547" s="7">
        <f t="shared" si="122"/>
        <v>60</v>
      </c>
      <c r="P1547" s="7">
        <f t="shared" si="123"/>
        <v>1</v>
      </c>
      <c r="Q1547" s="7">
        <f t="shared" si="123"/>
        <v>11.25</v>
      </c>
      <c r="R1547" s="6">
        <f t="shared" si="124"/>
        <v>452.02800000000002</v>
      </c>
      <c r="S1547" s="6">
        <f t="shared" si="125"/>
        <v>1.10612682E-2</v>
      </c>
      <c r="T1547" t="str">
        <f t="shared" si="126"/>
        <v>Ipe S4S E4E 5/4x12 Short</v>
      </c>
    </row>
    <row r="1548" spans="1:20" x14ac:dyDescent="0.25">
      <c r="A1548" t="s">
        <v>1351</v>
      </c>
      <c r="B1548" t="s">
        <v>1903</v>
      </c>
      <c r="C1548" t="s">
        <v>524</v>
      </c>
      <c r="D1548" t="s">
        <v>438</v>
      </c>
      <c r="E1548" t="s">
        <v>1935</v>
      </c>
      <c r="F1548" t="s">
        <v>1905</v>
      </c>
      <c r="G1548" t="s">
        <v>1351</v>
      </c>
      <c r="H1548" t="s">
        <v>373</v>
      </c>
      <c r="I1548" t="s">
        <v>289</v>
      </c>
      <c r="J1548" t="s">
        <v>1083</v>
      </c>
      <c r="K1548">
        <v>5</v>
      </c>
      <c r="L1548" s="6">
        <v>1.524</v>
      </c>
      <c r="M1548" s="7">
        <v>25.4</v>
      </c>
      <c r="N1548" s="7">
        <v>285.75</v>
      </c>
      <c r="O1548" s="7">
        <f t="shared" si="122"/>
        <v>60</v>
      </c>
      <c r="P1548" s="7">
        <f t="shared" si="123"/>
        <v>1</v>
      </c>
      <c r="Q1548" s="7">
        <f t="shared" si="123"/>
        <v>11.25</v>
      </c>
      <c r="R1548" s="6">
        <f t="shared" si="124"/>
        <v>452.02800000000002</v>
      </c>
      <c r="S1548" s="6">
        <f t="shared" si="125"/>
        <v>1.10612682E-2</v>
      </c>
      <c r="T1548" t="str">
        <f t="shared" si="126"/>
        <v>Ipe S4S E4E 5/4x12 Short</v>
      </c>
    </row>
    <row r="1549" spans="1:20" x14ac:dyDescent="0.25">
      <c r="A1549" t="s">
        <v>1351</v>
      </c>
      <c r="B1549" t="s">
        <v>1903</v>
      </c>
      <c r="C1549" t="s">
        <v>524</v>
      </c>
      <c r="D1549" t="s">
        <v>438</v>
      </c>
      <c r="E1549" t="s">
        <v>1936</v>
      </c>
      <c r="F1549" t="s">
        <v>1905</v>
      </c>
      <c r="G1549" t="s">
        <v>1351</v>
      </c>
      <c r="H1549" t="s">
        <v>373</v>
      </c>
      <c r="I1549" t="s">
        <v>289</v>
      </c>
      <c r="J1549" t="s">
        <v>1083</v>
      </c>
      <c r="K1549">
        <v>6</v>
      </c>
      <c r="L1549" s="6">
        <v>1.8288</v>
      </c>
      <c r="M1549" s="7">
        <v>25.4</v>
      </c>
      <c r="N1549" s="7">
        <v>285.75</v>
      </c>
      <c r="O1549" s="7">
        <f t="shared" si="122"/>
        <v>72</v>
      </c>
      <c r="P1549" s="7">
        <f t="shared" si="123"/>
        <v>1</v>
      </c>
      <c r="Q1549" s="7">
        <f t="shared" si="123"/>
        <v>11.25</v>
      </c>
      <c r="R1549" s="6">
        <f t="shared" si="124"/>
        <v>452.02800000000002</v>
      </c>
      <c r="S1549" s="6">
        <f t="shared" si="125"/>
        <v>1.3273521839999998E-2</v>
      </c>
      <c r="T1549" t="str">
        <f t="shared" si="126"/>
        <v>Ipe S4S E4E 5/4x12 Short</v>
      </c>
    </row>
    <row r="1550" spans="1:20" x14ac:dyDescent="0.25">
      <c r="A1550" t="s">
        <v>1351</v>
      </c>
      <c r="B1550" t="s">
        <v>1903</v>
      </c>
      <c r="C1550" t="s">
        <v>524</v>
      </c>
      <c r="D1550" t="s">
        <v>438</v>
      </c>
      <c r="E1550" t="s">
        <v>1937</v>
      </c>
      <c r="F1550" t="s">
        <v>1905</v>
      </c>
      <c r="G1550" t="s">
        <v>1351</v>
      </c>
      <c r="H1550" t="s">
        <v>373</v>
      </c>
      <c r="I1550" t="s">
        <v>289</v>
      </c>
      <c r="J1550" t="s">
        <v>1083</v>
      </c>
      <c r="K1550">
        <v>6</v>
      </c>
      <c r="L1550" s="6">
        <v>1.8288</v>
      </c>
      <c r="M1550" s="7">
        <v>25.4</v>
      </c>
      <c r="N1550" s="7">
        <v>285.75</v>
      </c>
      <c r="O1550" s="7">
        <f t="shared" si="122"/>
        <v>72</v>
      </c>
      <c r="P1550" s="7">
        <f t="shared" si="123"/>
        <v>1</v>
      </c>
      <c r="Q1550" s="7">
        <f t="shared" si="123"/>
        <v>11.25</v>
      </c>
      <c r="R1550" s="6">
        <f t="shared" si="124"/>
        <v>452.02800000000002</v>
      </c>
      <c r="S1550" s="6">
        <f t="shared" si="125"/>
        <v>1.3273521839999998E-2</v>
      </c>
      <c r="T1550" t="str">
        <f t="shared" si="126"/>
        <v>Ipe S4S E4E 5/4x12 Short</v>
      </c>
    </row>
    <row r="1551" spans="1:20" x14ac:dyDescent="0.25">
      <c r="A1551" t="s">
        <v>1351</v>
      </c>
      <c r="B1551" t="s">
        <v>1903</v>
      </c>
      <c r="C1551" t="s">
        <v>524</v>
      </c>
      <c r="D1551" t="s">
        <v>438</v>
      </c>
      <c r="E1551" t="s">
        <v>1938</v>
      </c>
      <c r="F1551" t="s">
        <v>1905</v>
      </c>
      <c r="G1551" t="s">
        <v>1351</v>
      </c>
      <c r="H1551" t="s">
        <v>373</v>
      </c>
      <c r="I1551" t="s">
        <v>289</v>
      </c>
      <c r="J1551" t="s">
        <v>1083</v>
      </c>
      <c r="K1551">
        <v>7</v>
      </c>
      <c r="L1551" s="6">
        <v>2.1335999999999999</v>
      </c>
      <c r="M1551" s="7">
        <v>25.4</v>
      </c>
      <c r="N1551" s="7">
        <v>285.75</v>
      </c>
      <c r="O1551" s="7">
        <f t="shared" si="122"/>
        <v>84</v>
      </c>
      <c r="P1551" s="7">
        <f t="shared" si="123"/>
        <v>1</v>
      </c>
      <c r="Q1551" s="7">
        <f t="shared" si="123"/>
        <v>11.25</v>
      </c>
      <c r="R1551" s="6">
        <f t="shared" si="124"/>
        <v>452.02800000000002</v>
      </c>
      <c r="S1551" s="6">
        <f t="shared" si="125"/>
        <v>1.5485775479999998E-2</v>
      </c>
      <c r="T1551" t="str">
        <f t="shared" si="126"/>
        <v>Ipe S4S E4E 5/4x12 Short</v>
      </c>
    </row>
    <row r="1552" spans="1:20" x14ac:dyDescent="0.25">
      <c r="A1552" t="s">
        <v>1351</v>
      </c>
      <c r="B1552" t="s">
        <v>1903</v>
      </c>
      <c r="C1552" t="s">
        <v>524</v>
      </c>
      <c r="D1552" t="s">
        <v>438</v>
      </c>
      <c r="E1552" t="s">
        <v>1939</v>
      </c>
      <c r="F1552" t="s">
        <v>1905</v>
      </c>
      <c r="G1552" t="s">
        <v>1351</v>
      </c>
      <c r="H1552" t="s">
        <v>373</v>
      </c>
      <c r="I1552" t="s">
        <v>289</v>
      </c>
      <c r="J1552" t="s">
        <v>1083</v>
      </c>
      <c r="K1552">
        <v>7</v>
      </c>
      <c r="L1552" s="6">
        <v>2.1335999999999999</v>
      </c>
      <c r="M1552" s="7">
        <v>25.4</v>
      </c>
      <c r="N1552" s="7">
        <v>285.75</v>
      </c>
      <c r="O1552" s="7">
        <f t="shared" si="122"/>
        <v>84</v>
      </c>
      <c r="P1552" s="7">
        <f t="shared" si="123"/>
        <v>1</v>
      </c>
      <c r="Q1552" s="7">
        <f t="shared" si="123"/>
        <v>11.25</v>
      </c>
      <c r="R1552" s="6">
        <f t="shared" si="124"/>
        <v>452.02800000000002</v>
      </c>
      <c r="S1552" s="6">
        <f t="shared" si="125"/>
        <v>1.5485775479999998E-2</v>
      </c>
      <c r="T1552" t="str">
        <f t="shared" si="126"/>
        <v>Ipe S4S E4E 5/4x12 Short</v>
      </c>
    </row>
    <row r="1553" spans="1:20" x14ac:dyDescent="0.25">
      <c r="A1553" t="s">
        <v>1351</v>
      </c>
      <c r="B1553" t="s">
        <v>1903</v>
      </c>
      <c r="C1553" t="s">
        <v>283</v>
      </c>
      <c r="D1553" t="s">
        <v>438</v>
      </c>
      <c r="E1553" t="s">
        <v>1940</v>
      </c>
      <c r="F1553" t="s">
        <v>1905</v>
      </c>
      <c r="G1553" t="s">
        <v>1351</v>
      </c>
      <c r="H1553" t="s">
        <v>373</v>
      </c>
      <c r="I1553" t="s">
        <v>289</v>
      </c>
      <c r="J1553" t="s">
        <v>1083</v>
      </c>
      <c r="K1553">
        <v>8</v>
      </c>
      <c r="L1553" s="6">
        <v>2.4384000000000001</v>
      </c>
      <c r="M1553" s="7">
        <v>25.4</v>
      </c>
      <c r="N1553" s="7">
        <v>285.75</v>
      </c>
      <c r="O1553" s="7">
        <f t="shared" si="122"/>
        <v>96.000000000000014</v>
      </c>
      <c r="P1553" s="7">
        <f t="shared" si="123"/>
        <v>1</v>
      </c>
      <c r="Q1553" s="7">
        <f t="shared" si="123"/>
        <v>11.25</v>
      </c>
      <c r="R1553" s="6">
        <f t="shared" si="124"/>
        <v>452.02800000000002</v>
      </c>
      <c r="S1553" s="6">
        <f t="shared" si="125"/>
        <v>1.769802912E-2</v>
      </c>
      <c r="T1553" t="str">
        <f t="shared" si="126"/>
        <v>Ipe S4S E4E 5/4x12 Long</v>
      </c>
    </row>
    <row r="1554" spans="1:20" x14ac:dyDescent="0.25">
      <c r="A1554" t="s">
        <v>1351</v>
      </c>
      <c r="B1554" t="s">
        <v>1903</v>
      </c>
      <c r="C1554" t="s">
        <v>283</v>
      </c>
      <c r="D1554" t="s">
        <v>438</v>
      </c>
      <c r="E1554" t="s">
        <v>1941</v>
      </c>
      <c r="F1554" t="s">
        <v>1905</v>
      </c>
      <c r="G1554" t="s">
        <v>1351</v>
      </c>
      <c r="H1554" t="s">
        <v>373</v>
      </c>
      <c r="I1554" t="s">
        <v>289</v>
      </c>
      <c r="J1554" t="s">
        <v>1083</v>
      </c>
      <c r="K1554">
        <v>8</v>
      </c>
      <c r="L1554" s="6">
        <v>2.4384000000000001</v>
      </c>
      <c r="M1554" s="7">
        <v>25.4</v>
      </c>
      <c r="N1554" s="7">
        <v>285.75</v>
      </c>
      <c r="O1554" s="7">
        <f t="shared" si="122"/>
        <v>96.000000000000014</v>
      </c>
      <c r="P1554" s="7">
        <f t="shared" si="123"/>
        <v>1</v>
      </c>
      <c r="Q1554" s="7">
        <f t="shared" si="123"/>
        <v>11.25</v>
      </c>
      <c r="R1554" s="6">
        <f t="shared" si="124"/>
        <v>452.02800000000002</v>
      </c>
      <c r="S1554" s="6">
        <f t="shared" si="125"/>
        <v>1.769802912E-2</v>
      </c>
      <c r="T1554" t="str">
        <f t="shared" si="126"/>
        <v>Ipe S4S E4E 5/4x12 Long</v>
      </c>
    </row>
    <row r="1555" spans="1:20" x14ac:dyDescent="0.25">
      <c r="A1555" t="s">
        <v>1351</v>
      </c>
      <c r="B1555" t="s">
        <v>1903</v>
      </c>
      <c r="C1555" t="s">
        <v>283</v>
      </c>
      <c r="D1555" t="s">
        <v>438</v>
      </c>
      <c r="E1555" t="s">
        <v>1942</v>
      </c>
      <c r="F1555" t="s">
        <v>1905</v>
      </c>
      <c r="G1555" t="s">
        <v>1351</v>
      </c>
      <c r="H1555" t="s">
        <v>373</v>
      </c>
      <c r="I1555" t="s">
        <v>289</v>
      </c>
      <c r="J1555" t="s">
        <v>1083</v>
      </c>
      <c r="K1555">
        <v>9</v>
      </c>
      <c r="L1555" s="6">
        <v>2.7431999999999999</v>
      </c>
      <c r="M1555" s="7">
        <v>25.4</v>
      </c>
      <c r="N1555" s="7">
        <v>285.75</v>
      </c>
      <c r="O1555" s="7">
        <f t="shared" si="122"/>
        <v>108</v>
      </c>
      <c r="P1555" s="7">
        <f t="shared" si="123"/>
        <v>1</v>
      </c>
      <c r="Q1555" s="7">
        <f t="shared" si="123"/>
        <v>11.25</v>
      </c>
      <c r="R1555" s="6">
        <f t="shared" si="124"/>
        <v>452.02800000000002</v>
      </c>
      <c r="S1555" s="6">
        <f t="shared" si="125"/>
        <v>1.9910282759999998E-2</v>
      </c>
      <c r="T1555" t="str">
        <f t="shared" si="126"/>
        <v>Ipe S4S E4E 5/4x12 Long</v>
      </c>
    </row>
    <row r="1556" spans="1:20" x14ac:dyDescent="0.25">
      <c r="A1556" t="s">
        <v>1351</v>
      </c>
      <c r="B1556" t="s">
        <v>1903</v>
      </c>
      <c r="C1556" t="s">
        <v>283</v>
      </c>
      <c r="D1556" t="s">
        <v>438</v>
      </c>
      <c r="E1556" t="s">
        <v>1943</v>
      </c>
      <c r="F1556" t="s">
        <v>1905</v>
      </c>
      <c r="G1556" t="s">
        <v>1351</v>
      </c>
      <c r="H1556" t="s">
        <v>373</v>
      </c>
      <c r="I1556" t="s">
        <v>289</v>
      </c>
      <c r="J1556" t="s">
        <v>1083</v>
      </c>
      <c r="K1556">
        <v>9</v>
      </c>
      <c r="L1556" s="6">
        <v>2.7431999999999999</v>
      </c>
      <c r="M1556" s="7">
        <v>25.4</v>
      </c>
      <c r="N1556" s="7">
        <v>285.75</v>
      </c>
      <c r="O1556" s="7">
        <f t="shared" si="122"/>
        <v>108</v>
      </c>
      <c r="P1556" s="7">
        <f t="shared" si="123"/>
        <v>1</v>
      </c>
      <c r="Q1556" s="7">
        <f t="shared" si="123"/>
        <v>11.25</v>
      </c>
      <c r="R1556" s="6">
        <f t="shared" si="124"/>
        <v>452.02800000000002</v>
      </c>
      <c r="S1556" s="6">
        <f t="shared" si="125"/>
        <v>1.9910282759999998E-2</v>
      </c>
      <c r="T1556" t="str">
        <f t="shared" si="126"/>
        <v>Ipe S4S E4E 5/4x12 Long</v>
      </c>
    </row>
    <row r="1557" spans="1:20" x14ac:dyDescent="0.25">
      <c r="A1557" t="s">
        <v>1351</v>
      </c>
      <c r="B1557" t="s">
        <v>1944</v>
      </c>
      <c r="C1557" t="s">
        <v>283</v>
      </c>
      <c r="D1557" t="s">
        <v>438</v>
      </c>
      <c r="E1557" t="s">
        <v>1945</v>
      </c>
      <c r="F1557" t="s">
        <v>1946</v>
      </c>
      <c r="G1557" t="s">
        <v>1351</v>
      </c>
      <c r="H1557" t="s">
        <v>373</v>
      </c>
      <c r="I1557" t="s">
        <v>289</v>
      </c>
      <c r="J1557" t="s">
        <v>1947</v>
      </c>
      <c r="K1557">
        <v>10</v>
      </c>
      <c r="L1557" s="6">
        <v>3.048</v>
      </c>
      <c r="M1557" s="7">
        <v>25.4</v>
      </c>
      <c r="N1557" s="7">
        <v>76.199999999999989</v>
      </c>
      <c r="O1557" s="7">
        <f t="shared" si="122"/>
        <v>120</v>
      </c>
      <c r="P1557" s="7">
        <f t="shared" si="123"/>
        <v>1</v>
      </c>
      <c r="Q1557" s="7">
        <f t="shared" si="123"/>
        <v>2.9999999999999996</v>
      </c>
      <c r="R1557" s="6">
        <f t="shared" si="124"/>
        <v>1695.104</v>
      </c>
      <c r="S1557" s="6">
        <f t="shared" si="125"/>
        <v>5.8993430399999994E-3</v>
      </c>
      <c r="T1557" t="str">
        <f t="shared" si="126"/>
        <v>Ipe S4S E4E 5/4x3 Long</v>
      </c>
    </row>
    <row r="1558" spans="1:20" x14ac:dyDescent="0.25">
      <c r="A1558" t="s">
        <v>1351</v>
      </c>
      <c r="B1558" t="s">
        <v>1944</v>
      </c>
      <c r="C1558" t="s">
        <v>283</v>
      </c>
      <c r="D1558" t="s">
        <v>438</v>
      </c>
      <c r="E1558" t="s">
        <v>1948</v>
      </c>
      <c r="F1558" t="s">
        <v>1946</v>
      </c>
      <c r="G1558" t="s">
        <v>1351</v>
      </c>
      <c r="H1558" t="s">
        <v>373</v>
      </c>
      <c r="I1558" t="s">
        <v>289</v>
      </c>
      <c r="J1558" t="s">
        <v>1947</v>
      </c>
      <c r="K1558">
        <v>11</v>
      </c>
      <c r="L1558" s="6">
        <v>3.3528000000000002</v>
      </c>
      <c r="M1558" s="7">
        <v>25.4</v>
      </c>
      <c r="N1558" s="7">
        <v>76.2</v>
      </c>
      <c r="O1558" s="7">
        <f t="shared" si="122"/>
        <v>132</v>
      </c>
      <c r="P1558" s="7">
        <f t="shared" si="123"/>
        <v>1</v>
      </c>
      <c r="Q1558" s="7">
        <f t="shared" si="123"/>
        <v>3.0000000000000004</v>
      </c>
      <c r="R1558" s="6">
        <f t="shared" si="124"/>
        <v>1695.104</v>
      </c>
      <c r="S1558" s="6">
        <f t="shared" si="125"/>
        <v>6.4892773439999994E-3</v>
      </c>
      <c r="T1558" t="str">
        <f t="shared" si="126"/>
        <v>Ipe S4S E4E 5/4x3 Long</v>
      </c>
    </row>
    <row r="1559" spans="1:20" x14ac:dyDescent="0.25">
      <c r="A1559" t="s">
        <v>1351</v>
      </c>
      <c r="B1559" t="s">
        <v>1944</v>
      </c>
      <c r="C1559" t="s">
        <v>283</v>
      </c>
      <c r="D1559" t="s">
        <v>438</v>
      </c>
      <c r="E1559" t="s">
        <v>1949</v>
      </c>
      <c r="F1559" t="s">
        <v>1946</v>
      </c>
      <c r="G1559" t="s">
        <v>1351</v>
      </c>
      <c r="H1559" t="s">
        <v>373</v>
      </c>
      <c r="I1559" t="s">
        <v>289</v>
      </c>
      <c r="J1559" t="s">
        <v>1947</v>
      </c>
      <c r="K1559">
        <v>12</v>
      </c>
      <c r="L1559" s="6">
        <v>3.6576000000000004</v>
      </c>
      <c r="M1559" s="7">
        <v>25.4</v>
      </c>
      <c r="N1559" s="7">
        <v>76.2</v>
      </c>
      <c r="O1559" s="7">
        <f t="shared" si="122"/>
        <v>144.00000000000003</v>
      </c>
      <c r="P1559" s="7">
        <f t="shared" si="123"/>
        <v>1</v>
      </c>
      <c r="Q1559" s="7">
        <f t="shared" si="123"/>
        <v>3.0000000000000004</v>
      </c>
      <c r="R1559" s="6">
        <f t="shared" si="124"/>
        <v>1695.104</v>
      </c>
      <c r="S1559" s="6">
        <f t="shared" si="125"/>
        <v>7.0792116480000011E-3</v>
      </c>
      <c r="T1559" t="str">
        <f t="shared" si="126"/>
        <v>Ipe S4S E4E 5/4x3 Long</v>
      </c>
    </row>
    <row r="1560" spans="1:20" x14ac:dyDescent="0.25">
      <c r="A1560" t="s">
        <v>1351</v>
      </c>
      <c r="B1560" t="s">
        <v>1944</v>
      </c>
      <c r="C1560" t="s">
        <v>283</v>
      </c>
      <c r="D1560" t="s">
        <v>438</v>
      </c>
      <c r="E1560" t="s">
        <v>1950</v>
      </c>
      <c r="F1560" t="s">
        <v>1946</v>
      </c>
      <c r="G1560" t="s">
        <v>1351</v>
      </c>
      <c r="H1560" t="s">
        <v>373</v>
      </c>
      <c r="I1560" t="s">
        <v>289</v>
      </c>
      <c r="J1560" t="s">
        <v>1947</v>
      </c>
      <c r="K1560">
        <v>13</v>
      </c>
      <c r="L1560" s="6">
        <v>3.9624000000000001</v>
      </c>
      <c r="M1560" s="7">
        <v>25.4</v>
      </c>
      <c r="N1560" s="7">
        <v>76.2</v>
      </c>
      <c r="O1560" s="7">
        <f t="shared" si="122"/>
        <v>156</v>
      </c>
      <c r="P1560" s="7">
        <f t="shared" si="123"/>
        <v>1</v>
      </c>
      <c r="Q1560" s="7">
        <f t="shared" si="123"/>
        <v>3.0000000000000004</v>
      </c>
      <c r="R1560" s="6">
        <f t="shared" si="124"/>
        <v>1695.104</v>
      </c>
      <c r="S1560" s="6">
        <f t="shared" si="125"/>
        <v>7.6691459520000001E-3</v>
      </c>
      <c r="T1560" t="str">
        <f t="shared" si="126"/>
        <v>Ipe S4S E4E 5/4x3 Long</v>
      </c>
    </row>
    <row r="1561" spans="1:20" x14ac:dyDescent="0.25">
      <c r="A1561" t="s">
        <v>1351</v>
      </c>
      <c r="B1561" t="s">
        <v>1944</v>
      </c>
      <c r="C1561" t="s">
        <v>283</v>
      </c>
      <c r="D1561" t="s">
        <v>438</v>
      </c>
      <c r="E1561" t="s">
        <v>1951</v>
      </c>
      <c r="F1561" t="s">
        <v>1946</v>
      </c>
      <c r="G1561" t="s">
        <v>1351</v>
      </c>
      <c r="H1561" t="s">
        <v>373</v>
      </c>
      <c r="I1561" t="s">
        <v>289</v>
      </c>
      <c r="J1561" t="s">
        <v>1947</v>
      </c>
      <c r="K1561">
        <v>14</v>
      </c>
      <c r="L1561" s="6">
        <v>4.2671999999999999</v>
      </c>
      <c r="M1561" s="7">
        <v>25.4</v>
      </c>
      <c r="N1561" s="7">
        <v>76.2</v>
      </c>
      <c r="O1561" s="7">
        <f t="shared" si="122"/>
        <v>168</v>
      </c>
      <c r="P1561" s="7">
        <f t="shared" si="123"/>
        <v>1</v>
      </c>
      <c r="Q1561" s="7">
        <f t="shared" si="123"/>
        <v>3.0000000000000004</v>
      </c>
      <c r="R1561" s="6">
        <f t="shared" si="124"/>
        <v>1695.104</v>
      </c>
      <c r="S1561" s="6">
        <f t="shared" si="125"/>
        <v>8.2590802559999992E-3</v>
      </c>
      <c r="T1561" t="str">
        <f t="shared" si="126"/>
        <v>Ipe S4S E4E 5/4x3 Long</v>
      </c>
    </row>
    <row r="1562" spans="1:20" x14ac:dyDescent="0.25">
      <c r="A1562" t="s">
        <v>1351</v>
      </c>
      <c r="B1562" t="s">
        <v>1944</v>
      </c>
      <c r="C1562" t="s">
        <v>283</v>
      </c>
      <c r="D1562" t="s">
        <v>438</v>
      </c>
      <c r="E1562" t="s">
        <v>1952</v>
      </c>
      <c r="F1562" t="s">
        <v>1946</v>
      </c>
      <c r="G1562" t="s">
        <v>1351</v>
      </c>
      <c r="H1562" t="s">
        <v>373</v>
      </c>
      <c r="I1562" t="s">
        <v>289</v>
      </c>
      <c r="J1562" t="s">
        <v>1947</v>
      </c>
      <c r="K1562">
        <v>15</v>
      </c>
      <c r="L1562" s="6">
        <v>4.5720000000000001</v>
      </c>
      <c r="M1562" s="7">
        <v>25.4</v>
      </c>
      <c r="N1562" s="7">
        <v>76.2</v>
      </c>
      <c r="O1562" s="7">
        <f t="shared" si="122"/>
        <v>180</v>
      </c>
      <c r="P1562" s="7">
        <f t="shared" si="123"/>
        <v>1</v>
      </c>
      <c r="Q1562" s="7">
        <f t="shared" si="123"/>
        <v>3.0000000000000004</v>
      </c>
      <c r="R1562" s="6">
        <f t="shared" si="124"/>
        <v>1695.104</v>
      </c>
      <c r="S1562" s="6">
        <f t="shared" si="125"/>
        <v>8.84901456E-3</v>
      </c>
      <c r="T1562" t="str">
        <f t="shared" si="126"/>
        <v>Ipe S4S E4E 5/4x3 Long</v>
      </c>
    </row>
    <row r="1563" spans="1:20" x14ac:dyDescent="0.25">
      <c r="A1563" t="s">
        <v>1351</v>
      </c>
      <c r="B1563" t="s">
        <v>1944</v>
      </c>
      <c r="C1563" t="s">
        <v>283</v>
      </c>
      <c r="D1563" t="s">
        <v>438</v>
      </c>
      <c r="E1563" t="s">
        <v>1953</v>
      </c>
      <c r="F1563" t="s">
        <v>1946</v>
      </c>
      <c r="G1563" t="s">
        <v>1351</v>
      </c>
      <c r="H1563" t="s">
        <v>373</v>
      </c>
      <c r="I1563" t="s">
        <v>289</v>
      </c>
      <c r="J1563" t="s">
        <v>1947</v>
      </c>
      <c r="K1563">
        <v>16</v>
      </c>
      <c r="L1563" s="6">
        <v>4.8768000000000002</v>
      </c>
      <c r="M1563" s="7">
        <v>25.4</v>
      </c>
      <c r="N1563" s="7">
        <v>76.2</v>
      </c>
      <c r="O1563" s="7">
        <f t="shared" si="122"/>
        <v>192.00000000000003</v>
      </c>
      <c r="P1563" s="7">
        <f t="shared" si="123"/>
        <v>1</v>
      </c>
      <c r="Q1563" s="7">
        <f t="shared" si="123"/>
        <v>3.0000000000000004</v>
      </c>
      <c r="R1563" s="6">
        <f t="shared" si="124"/>
        <v>1695.104</v>
      </c>
      <c r="S1563" s="6">
        <f t="shared" si="125"/>
        <v>9.4389488640000008E-3</v>
      </c>
      <c r="T1563" t="str">
        <f t="shared" si="126"/>
        <v>Ipe S4S E4E 5/4x3 Long</v>
      </c>
    </row>
    <row r="1564" spans="1:20" x14ac:dyDescent="0.25">
      <c r="A1564" t="s">
        <v>1351</v>
      </c>
      <c r="B1564" t="s">
        <v>1944</v>
      </c>
      <c r="C1564" t="s">
        <v>283</v>
      </c>
      <c r="D1564" t="s">
        <v>438</v>
      </c>
      <c r="E1564" t="s">
        <v>1954</v>
      </c>
      <c r="F1564" t="s">
        <v>1946</v>
      </c>
      <c r="G1564" t="s">
        <v>1351</v>
      </c>
      <c r="H1564" t="s">
        <v>373</v>
      </c>
      <c r="I1564" t="s">
        <v>289</v>
      </c>
      <c r="J1564" t="s">
        <v>1947</v>
      </c>
      <c r="K1564">
        <v>17</v>
      </c>
      <c r="L1564" s="6">
        <v>5.1816000000000004</v>
      </c>
      <c r="M1564" s="7">
        <v>25.4</v>
      </c>
      <c r="N1564" s="7">
        <v>76.2</v>
      </c>
      <c r="O1564" s="7">
        <f t="shared" si="122"/>
        <v>204.00000000000003</v>
      </c>
      <c r="P1564" s="7">
        <f t="shared" si="123"/>
        <v>1</v>
      </c>
      <c r="Q1564" s="7">
        <f t="shared" si="123"/>
        <v>3.0000000000000004</v>
      </c>
      <c r="R1564" s="6">
        <f t="shared" si="124"/>
        <v>1695.104</v>
      </c>
      <c r="S1564" s="6">
        <f t="shared" si="125"/>
        <v>1.0028883168E-2</v>
      </c>
      <c r="T1564" t="str">
        <f t="shared" si="126"/>
        <v>Ipe S4S E4E 5/4x3 Long</v>
      </c>
    </row>
    <row r="1565" spans="1:20" x14ac:dyDescent="0.25">
      <c r="A1565" t="s">
        <v>1351</v>
      </c>
      <c r="B1565" t="s">
        <v>1944</v>
      </c>
      <c r="C1565" t="s">
        <v>283</v>
      </c>
      <c r="D1565" t="s">
        <v>438</v>
      </c>
      <c r="E1565" t="s">
        <v>1955</v>
      </c>
      <c r="F1565" t="s">
        <v>1946</v>
      </c>
      <c r="G1565" t="s">
        <v>1351</v>
      </c>
      <c r="H1565" t="s">
        <v>373</v>
      </c>
      <c r="I1565" t="s">
        <v>289</v>
      </c>
      <c r="J1565" t="s">
        <v>1947</v>
      </c>
      <c r="K1565">
        <v>18</v>
      </c>
      <c r="L1565" s="6">
        <v>5.4864000000000006</v>
      </c>
      <c r="M1565" s="7">
        <v>25.4</v>
      </c>
      <c r="N1565" s="7">
        <v>76.2</v>
      </c>
      <c r="O1565" s="7">
        <f t="shared" si="122"/>
        <v>216.00000000000003</v>
      </c>
      <c r="P1565" s="7">
        <f t="shared" si="123"/>
        <v>1</v>
      </c>
      <c r="Q1565" s="7">
        <f t="shared" si="123"/>
        <v>3.0000000000000004</v>
      </c>
      <c r="R1565" s="6">
        <f t="shared" si="124"/>
        <v>1695.104</v>
      </c>
      <c r="S1565" s="6">
        <f t="shared" si="125"/>
        <v>1.0618817472000002E-2</v>
      </c>
      <c r="T1565" t="str">
        <f t="shared" si="126"/>
        <v>Ipe S4S E4E 5/4x3 Long</v>
      </c>
    </row>
    <row r="1566" spans="1:20" x14ac:dyDescent="0.25">
      <c r="A1566" t="s">
        <v>1351</v>
      </c>
      <c r="B1566" t="s">
        <v>1944</v>
      </c>
      <c r="C1566" t="s">
        <v>283</v>
      </c>
      <c r="D1566" t="s">
        <v>438</v>
      </c>
      <c r="E1566" t="s">
        <v>1956</v>
      </c>
      <c r="F1566" t="s">
        <v>1946</v>
      </c>
      <c r="G1566" t="s">
        <v>1351</v>
      </c>
      <c r="H1566" t="s">
        <v>373</v>
      </c>
      <c r="I1566" t="s">
        <v>289</v>
      </c>
      <c r="J1566" t="s">
        <v>1947</v>
      </c>
      <c r="K1566">
        <v>19</v>
      </c>
      <c r="L1566" s="6">
        <v>5.7911999999999999</v>
      </c>
      <c r="M1566" s="7">
        <v>25.4</v>
      </c>
      <c r="N1566" s="7">
        <v>76.2</v>
      </c>
      <c r="O1566" s="7">
        <f t="shared" ref="O1566:O1629" si="127">L1566/0.0254</f>
        <v>228</v>
      </c>
      <c r="P1566" s="7">
        <f t="shared" ref="P1566:Q1629" si="128">M1566/25.4</f>
        <v>1</v>
      </c>
      <c r="Q1566" s="7">
        <f t="shared" si="128"/>
        <v>3.0000000000000004</v>
      </c>
      <c r="R1566" s="6">
        <f t="shared" ref="R1566:R1629" si="129">ROUND(IFERROR(1/((M1566*N1566*0.3048)/1000000),0),3)</f>
        <v>1695.104</v>
      </c>
      <c r="S1566" s="6">
        <f t="shared" ref="S1566:S1629" si="130">L1566*M1566/1000*N1566/1000</f>
        <v>1.1208751775999998E-2</v>
      </c>
      <c r="T1566" t="str">
        <f t="shared" si="126"/>
        <v>Ipe S4S E4E 5/4x3 Long</v>
      </c>
    </row>
    <row r="1567" spans="1:20" x14ac:dyDescent="0.25">
      <c r="A1567" t="s">
        <v>1351</v>
      </c>
      <c r="B1567" t="s">
        <v>1944</v>
      </c>
      <c r="C1567" t="s">
        <v>283</v>
      </c>
      <c r="D1567" t="s">
        <v>438</v>
      </c>
      <c r="E1567" t="s">
        <v>1957</v>
      </c>
      <c r="F1567" t="s">
        <v>1946</v>
      </c>
      <c r="G1567" t="s">
        <v>1351</v>
      </c>
      <c r="H1567" t="s">
        <v>373</v>
      </c>
      <c r="I1567" t="s">
        <v>289</v>
      </c>
      <c r="J1567" t="s">
        <v>1947</v>
      </c>
      <c r="K1567">
        <v>20</v>
      </c>
      <c r="L1567" s="6">
        <v>6.0960000000000001</v>
      </c>
      <c r="M1567" s="7">
        <v>25.4</v>
      </c>
      <c r="N1567" s="7">
        <v>76.2</v>
      </c>
      <c r="O1567" s="7">
        <f t="shared" si="127"/>
        <v>240</v>
      </c>
      <c r="P1567" s="7">
        <f t="shared" si="128"/>
        <v>1</v>
      </c>
      <c r="Q1567" s="7">
        <f t="shared" si="128"/>
        <v>3.0000000000000004</v>
      </c>
      <c r="R1567" s="6">
        <f t="shared" si="129"/>
        <v>1695.104</v>
      </c>
      <c r="S1567" s="6">
        <f t="shared" si="130"/>
        <v>1.1798686080000001E-2</v>
      </c>
      <c r="T1567" t="str">
        <f t="shared" si="126"/>
        <v>Ipe S4S E4E 5/4x3 Long</v>
      </c>
    </row>
    <row r="1568" spans="1:20" x14ac:dyDescent="0.25">
      <c r="A1568" t="s">
        <v>1351</v>
      </c>
      <c r="B1568" t="s">
        <v>1944</v>
      </c>
      <c r="C1568" t="s">
        <v>524</v>
      </c>
      <c r="D1568" t="s">
        <v>438</v>
      </c>
      <c r="E1568" t="s">
        <v>1958</v>
      </c>
      <c r="F1568" t="s">
        <v>1946</v>
      </c>
      <c r="G1568" t="s">
        <v>1351</v>
      </c>
      <c r="H1568" t="s">
        <v>373</v>
      </c>
      <c r="I1568" t="s">
        <v>289</v>
      </c>
      <c r="J1568" t="s">
        <v>1947</v>
      </c>
      <c r="K1568">
        <v>3</v>
      </c>
      <c r="L1568" s="6">
        <v>0.9144000000000001</v>
      </c>
      <c r="M1568" s="7">
        <v>25.4</v>
      </c>
      <c r="N1568" s="7">
        <v>76.2</v>
      </c>
      <c r="O1568" s="7">
        <f t="shared" si="127"/>
        <v>36.000000000000007</v>
      </c>
      <c r="P1568" s="7">
        <f t="shared" si="128"/>
        <v>1</v>
      </c>
      <c r="Q1568" s="7">
        <f t="shared" si="128"/>
        <v>3.0000000000000004</v>
      </c>
      <c r="R1568" s="6">
        <f t="shared" si="129"/>
        <v>1695.104</v>
      </c>
      <c r="S1568" s="6">
        <f t="shared" si="130"/>
        <v>1.7698029120000003E-3</v>
      </c>
      <c r="T1568" t="str">
        <f t="shared" si="126"/>
        <v>Ipe S4S E4E 5/4x3 Short</v>
      </c>
    </row>
    <row r="1569" spans="1:20" x14ac:dyDescent="0.25">
      <c r="A1569" t="s">
        <v>1351</v>
      </c>
      <c r="B1569" t="s">
        <v>1944</v>
      </c>
      <c r="C1569" t="s">
        <v>524</v>
      </c>
      <c r="D1569" t="s">
        <v>438</v>
      </c>
      <c r="E1569" t="s">
        <v>1959</v>
      </c>
      <c r="F1569" t="s">
        <v>1946</v>
      </c>
      <c r="G1569" t="s">
        <v>1351</v>
      </c>
      <c r="H1569" t="s">
        <v>373</v>
      </c>
      <c r="I1569" t="s">
        <v>289</v>
      </c>
      <c r="J1569" t="s">
        <v>1947</v>
      </c>
      <c r="K1569">
        <v>4</v>
      </c>
      <c r="L1569" s="6">
        <v>1.2192000000000001</v>
      </c>
      <c r="M1569" s="7">
        <v>25.4</v>
      </c>
      <c r="N1569" s="7">
        <v>76.2</v>
      </c>
      <c r="O1569" s="7">
        <f t="shared" si="127"/>
        <v>48.000000000000007</v>
      </c>
      <c r="P1569" s="7">
        <f t="shared" si="128"/>
        <v>1</v>
      </c>
      <c r="Q1569" s="7">
        <f t="shared" si="128"/>
        <v>3.0000000000000004</v>
      </c>
      <c r="R1569" s="6">
        <f t="shared" si="129"/>
        <v>1695.104</v>
      </c>
      <c r="S1569" s="6">
        <f t="shared" si="130"/>
        <v>2.3597372160000002E-3</v>
      </c>
      <c r="T1569" t="str">
        <f t="shared" si="126"/>
        <v>Ipe S4S E4E 5/4x3 Short</v>
      </c>
    </row>
    <row r="1570" spans="1:20" x14ac:dyDescent="0.25">
      <c r="A1570" t="s">
        <v>1351</v>
      </c>
      <c r="B1570" t="s">
        <v>1944</v>
      </c>
      <c r="C1570" t="s">
        <v>524</v>
      </c>
      <c r="D1570" t="s">
        <v>438</v>
      </c>
      <c r="E1570" t="s">
        <v>1960</v>
      </c>
      <c r="F1570" t="s">
        <v>1946</v>
      </c>
      <c r="G1570" t="s">
        <v>1351</v>
      </c>
      <c r="H1570" t="s">
        <v>373</v>
      </c>
      <c r="I1570" t="s">
        <v>289</v>
      </c>
      <c r="J1570" t="s">
        <v>1947</v>
      </c>
      <c r="K1570">
        <v>5</v>
      </c>
      <c r="L1570" s="6">
        <v>1.524</v>
      </c>
      <c r="M1570" s="7">
        <v>25.4</v>
      </c>
      <c r="N1570" s="7">
        <v>76.2</v>
      </c>
      <c r="O1570" s="7">
        <f t="shared" si="127"/>
        <v>60</v>
      </c>
      <c r="P1570" s="7">
        <f t="shared" si="128"/>
        <v>1</v>
      </c>
      <c r="Q1570" s="7">
        <f t="shared" si="128"/>
        <v>3.0000000000000004</v>
      </c>
      <c r="R1570" s="6">
        <f t="shared" si="129"/>
        <v>1695.104</v>
      </c>
      <c r="S1570" s="6">
        <f t="shared" si="130"/>
        <v>2.9496715200000002E-3</v>
      </c>
      <c r="T1570" t="str">
        <f t="shared" si="126"/>
        <v>Ipe S4S E4E 5/4x3 Short</v>
      </c>
    </row>
    <row r="1571" spans="1:20" x14ac:dyDescent="0.25">
      <c r="A1571" t="s">
        <v>1351</v>
      </c>
      <c r="B1571" t="s">
        <v>1944</v>
      </c>
      <c r="C1571" t="s">
        <v>524</v>
      </c>
      <c r="D1571" t="s">
        <v>438</v>
      </c>
      <c r="E1571" t="s">
        <v>1961</v>
      </c>
      <c r="F1571" t="s">
        <v>1946</v>
      </c>
      <c r="G1571" t="s">
        <v>1351</v>
      </c>
      <c r="H1571" t="s">
        <v>373</v>
      </c>
      <c r="I1571" t="s">
        <v>289</v>
      </c>
      <c r="J1571" t="s">
        <v>1947</v>
      </c>
      <c r="K1571">
        <v>6</v>
      </c>
      <c r="L1571" s="6">
        <v>1.8288000000000002</v>
      </c>
      <c r="M1571" s="7">
        <v>25.4</v>
      </c>
      <c r="N1571" s="7">
        <v>76.2</v>
      </c>
      <c r="O1571" s="7">
        <f t="shared" si="127"/>
        <v>72.000000000000014</v>
      </c>
      <c r="P1571" s="7">
        <f t="shared" si="128"/>
        <v>1</v>
      </c>
      <c r="Q1571" s="7">
        <f t="shared" si="128"/>
        <v>3.0000000000000004</v>
      </c>
      <c r="R1571" s="6">
        <f t="shared" si="129"/>
        <v>1695.104</v>
      </c>
      <c r="S1571" s="6">
        <f t="shared" si="130"/>
        <v>3.5396058240000005E-3</v>
      </c>
      <c r="T1571" t="str">
        <f t="shared" si="126"/>
        <v>Ipe S4S E4E 5/4x3 Short</v>
      </c>
    </row>
    <row r="1572" spans="1:20" x14ac:dyDescent="0.25">
      <c r="A1572" t="s">
        <v>1351</v>
      </c>
      <c r="B1572" t="s">
        <v>1944</v>
      </c>
      <c r="C1572" t="s">
        <v>524</v>
      </c>
      <c r="D1572" t="s">
        <v>438</v>
      </c>
      <c r="E1572" t="s">
        <v>1962</v>
      </c>
      <c r="F1572" t="s">
        <v>1946</v>
      </c>
      <c r="G1572" t="s">
        <v>1351</v>
      </c>
      <c r="H1572" t="s">
        <v>373</v>
      </c>
      <c r="I1572" t="s">
        <v>289</v>
      </c>
      <c r="J1572" t="s">
        <v>1947</v>
      </c>
      <c r="K1572">
        <v>7</v>
      </c>
      <c r="L1572" s="6">
        <v>2.1335999999999999</v>
      </c>
      <c r="M1572" s="7">
        <v>25.4</v>
      </c>
      <c r="N1572" s="7">
        <v>76.2</v>
      </c>
      <c r="O1572" s="7">
        <f t="shared" si="127"/>
        <v>84</v>
      </c>
      <c r="P1572" s="7">
        <f t="shared" si="128"/>
        <v>1</v>
      </c>
      <c r="Q1572" s="7">
        <f t="shared" si="128"/>
        <v>3.0000000000000004</v>
      </c>
      <c r="R1572" s="6">
        <f t="shared" si="129"/>
        <v>1695.104</v>
      </c>
      <c r="S1572" s="6">
        <f t="shared" si="130"/>
        <v>4.1295401279999996E-3</v>
      </c>
      <c r="T1572" t="str">
        <f t="shared" si="126"/>
        <v>Ipe S4S E4E 5/4x3 Short</v>
      </c>
    </row>
    <row r="1573" spans="1:20" x14ac:dyDescent="0.25">
      <c r="A1573" t="s">
        <v>1351</v>
      </c>
      <c r="B1573" t="s">
        <v>1944</v>
      </c>
      <c r="C1573" t="s">
        <v>283</v>
      </c>
      <c r="D1573" t="s">
        <v>438</v>
      </c>
      <c r="E1573" t="s">
        <v>1963</v>
      </c>
      <c r="F1573" t="s">
        <v>1946</v>
      </c>
      <c r="G1573" t="s">
        <v>1351</v>
      </c>
      <c r="H1573" t="s">
        <v>373</v>
      </c>
      <c r="I1573" t="s">
        <v>289</v>
      </c>
      <c r="J1573" t="s">
        <v>1947</v>
      </c>
      <c r="K1573">
        <v>8</v>
      </c>
      <c r="L1573" s="6">
        <v>2.4384000000000001</v>
      </c>
      <c r="M1573" s="7">
        <v>25.4</v>
      </c>
      <c r="N1573" s="7">
        <v>76.2</v>
      </c>
      <c r="O1573" s="7">
        <f t="shared" si="127"/>
        <v>96.000000000000014</v>
      </c>
      <c r="P1573" s="7">
        <f t="shared" si="128"/>
        <v>1</v>
      </c>
      <c r="Q1573" s="7">
        <f t="shared" si="128"/>
        <v>3.0000000000000004</v>
      </c>
      <c r="R1573" s="6">
        <f t="shared" si="129"/>
        <v>1695.104</v>
      </c>
      <c r="S1573" s="6">
        <f t="shared" si="130"/>
        <v>4.7194744320000004E-3</v>
      </c>
      <c r="T1573" t="str">
        <f t="shared" si="126"/>
        <v>Ipe S4S E4E 5/4x3 Long</v>
      </c>
    </row>
    <row r="1574" spans="1:20" x14ac:dyDescent="0.25">
      <c r="A1574" t="s">
        <v>1351</v>
      </c>
      <c r="B1574" t="s">
        <v>1944</v>
      </c>
      <c r="C1574" t="s">
        <v>283</v>
      </c>
      <c r="D1574" t="s">
        <v>438</v>
      </c>
      <c r="E1574" t="s">
        <v>1964</v>
      </c>
      <c r="F1574" t="s">
        <v>1946</v>
      </c>
      <c r="G1574" t="s">
        <v>1351</v>
      </c>
      <c r="H1574" t="s">
        <v>373</v>
      </c>
      <c r="I1574" t="s">
        <v>289</v>
      </c>
      <c r="J1574" t="s">
        <v>1947</v>
      </c>
      <c r="K1574">
        <v>9</v>
      </c>
      <c r="L1574" s="6">
        <v>2.7432000000000003</v>
      </c>
      <c r="M1574" s="7">
        <v>25.4</v>
      </c>
      <c r="N1574" s="7">
        <v>76.2</v>
      </c>
      <c r="O1574" s="7">
        <f t="shared" si="127"/>
        <v>108.00000000000001</v>
      </c>
      <c r="P1574" s="7">
        <f t="shared" si="128"/>
        <v>1</v>
      </c>
      <c r="Q1574" s="7">
        <f t="shared" si="128"/>
        <v>3.0000000000000004</v>
      </c>
      <c r="R1574" s="6">
        <f t="shared" si="129"/>
        <v>1695.104</v>
      </c>
      <c r="S1574" s="6">
        <f t="shared" si="130"/>
        <v>5.3094087360000012E-3</v>
      </c>
      <c r="T1574" t="str">
        <f t="shared" si="126"/>
        <v>Ipe S4S E4E 5/4x3 Long</v>
      </c>
    </row>
    <row r="1575" spans="1:20" x14ac:dyDescent="0.25">
      <c r="A1575" t="s">
        <v>1351</v>
      </c>
      <c r="B1575" t="s">
        <v>1965</v>
      </c>
      <c r="C1575" t="s">
        <v>283</v>
      </c>
      <c r="D1575" t="s">
        <v>438</v>
      </c>
      <c r="E1575" t="s">
        <v>1966</v>
      </c>
      <c r="F1575" t="s">
        <v>1967</v>
      </c>
      <c r="G1575" t="s">
        <v>1351</v>
      </c>
      <c r="H1575" t="s">
        <v>373</v>
      </c>
      <c r="I1575" t="s">
        <v>289</v>
      </c>
      <c r="J1575" t="s">
        <v>1968</v>
      </c>
      <c r="K1575">
        <v>10</v>
      </c>
      <c r="L1575" s="6">
        <v>3.048</v>
      </c>
      <c r="M1575" s="7">
        <v>25.4</v>
      </c>
      <c r="N1575" s="7">
        <v>88.9</v>
      </c>
      <c r="O1575" s="7">
        <f t="shared" si="127"/>
        <v>120</v>
      </c>
      <c r="P1575" s="7">
        <f t="shared" si="128"/>
        <v>1</v>
      </c>
      <c r="Q1575" s="7">
        <f t="shared" si="128"/>
        <v>3.5000000000000004</v>
      </c>
      <c r="R1575" s="6">
        <f t="shared" si="129"/>
        <v>1452.9459999999999</v>
      </c>
      <c r="S1575" s="6">
        <f t="shared" si="130"/>
        <v>6.8825668800000014E-3</v>
      </c>
      <c r="T1575" t="str">
        <f t="shared" si="126"/>
        <v>Ipe S4S E4E 5/4x4 Long</v>
      </c>
    </row>
    <row r="1576" spans="1:20" x14ac:dyDescent="0.25">
      <c r="A1576" t="s">
        <v>1351</v>
      </c>
      <c r="B1576" t="s">
        <v>1965</v>
      </c>
      <c r="C1576" t="s">
        <v>283</v>
      </c>
      <c r="D1576" t="s">
        <v>438</v>
      </c>
      <c r="E1576" t="s">
        <v>1969</v>
      </c>
      <c r="F1576" t="s">
        <v>1970</v>
      </c>
      <c r="G1576" t="s">
        <v>1351</v>
      </c>
      <c r="H1576" t="s">
        <v>324</v>
      </c>
      <c r="I1576" t="s">
        <v>289</v>
      </c>
      <c r="J1576" t="s">
        <v>1968</v>
      </c>
      <c r="K1576">
        <v>10</v>
      </c>
      <c r="L1576" s="6">
        <v>3.048</v>
      </c>
      <c r="M1576" s="7">
        <v>25.4</v>
      </c>
      <c r="N1576" s="7">
        <v>88.9</v>
      </c>
      <c r="O1576" s="7">
        <f t="shared" si="127"/>
        <v>120</v>
      </c>
      <c r="P1576" s="7">
        <f t="shared" si="128"/>
        <v>1</v>
      </c>
      <c r="Q1576" s="7">
        <f t="shared" si="128"/>
        <v>3.5000000000000004</v>
      </c>
      <c r="R1576" s="6">
        <f t="shared" si="129"/>
        <v>1452.9459999999999</v>
      </c>
      <c r="S1576" s="6">
        <f t="shared" si="130"/>
        <v>6.8825668800000014E-3</v>
      </c>
      <c r="T1576" t="str">
        <f t="shared" si="126"/>
        <v>Ipe Grooved 5/4x4 Long</v>
      </c>
    </row>
    <row r="1577" spans="1:20" x14ac:dyDescent="0.25">
      <c r="A1577" t="s">
        <v>1351</v>
      </c>
      <c r="B1577" t="s">
        <v>1965</v>
      </c>
      <c r="C1577" t="s">
        <v>283</v>
      </c>
      <c r="D1577" t="s">
        <v>438</v>
      </c>
      <c r="E1577" t="s">
        <v>1971</v>
      </c>
      <c r="F1577" t="s">
        <v>1967</v>
      </c>
      <c r="G1577" t="s">
        <v>1351</v>
      </c>
      <c r="H1577" t="s">
        <v>373</v>
      </c>
      <c r="I1577" t="s">
        <v>289</v>
      </c>
      <c r="J1577" t="s">
        <v>1968</v>
      </c>
      <c r="K1577">
        <v>11</v>
      </c>
      <c r="L1577" s="6">
        <v>3.3527999999999998</v>
      </c>
      <c r="M1577" s="7">
        <v>25.4</v>
      </c>
      <c r="N1577" s="7">
        <v>88.9</v>
      </c>
      <c r="O1577" s="7">
        <f t="shared" si="127"/>
        <v>132</v>
      </c>
      <c r="P1577" s="7">
        <f t="shared" si="128"/>
        <v>1</v>
      </c>
      <c r="Q1577" s="7">
        <f t="shared" si="128"/>
        <v>3.5000000000000004</v>
      </c>
      <c r="R1577" s="6">
        <f t="shared" si="129"/>
        <v>1452.9459999999999</v>
      </c>
      <c r="S1577" s="6">
        <f t="shared" si="130"/>
        <v>7.5708235679999986E-3</v>
      </c>
      <c r="T1577" t="str">
        <f t="shared" si="126"/>
        <v>Ipe S4S E4E 5/4x4 Long</v>
      </c>
    </row>
    <row r="1578" spans="1:20" x14ac:dyDescent="0.25">
      <c r="A1578" t="s">
        <v>1351</v>
      </c>
      <c r="B1578" t="s">
        <v>1965</v>
      </c>
      <c r="C1578" t="s">
        <v>283</v>
      </c>
      <c r="D1578" t="s">
        <v>438</v>
      </c>
      <c r="E1578" t="s">
        <v>1972</v>
      </c>
      <c r="F1578" t="s">
        <v>1970</v>
      </c>
      <c r="G1578" t="s">
        <v>1351</v>
      </c>
      <c r="H1578" t="s">
        <v>324</v>
      </c>
      <c r="I1578" t="s">
        <v>289</v>
      </c>
      <c r="J1578" t="s">
        <v>1968</v>
      </c>
      <c r="K1578">
        <v>11</v>
      </c>
      <c r="L1578" s="6">
        <v>3.3527999999999998</v>
      </c>
      <c r="M1578" s="7">
        <v>25.4</v>
      </c>
      <c r="N1578" s="7">
        <v>88.9</v>
      </c>
      <c r="O1578" s="7">
        <f t="shared" si="127"/>
        <v>132</v>
      </c>
      <c r="P1578" s="7">
        <f t="shared" si="128"/>
        <v>1</v>
      </c>
      <c r="Q1578" s="7">
        <f t="shared" si="128"/>
        <v>3.5000000000000004</v>
      </c>
      <c r="R1578" s="6">
        <f t="shared" si="129"/>
        <v>1452.9459999999999</v>
      </c>
      <c r="S1578" s="6">
        <f t="shared" si="130"/>
        <v>7.5708235679999986E-3</v>
      </c>
      <c r="T1578" t="str">
        <f t="shared" si="126"/>
        <v>Ipe Grooved 5/4x4 Long</v>
      </c>
    </row>
    <row r="1579" spans="1:20" x14ac:dyDescent="0.25">
      <c r="A1579" t="s">
        <v>1351</v>
      </c>
      <c r="B1579" t="s">
        <v>1965</v>
      </c>
      <c r="C1579" t="s">
        <v>283</v>
      </c>
      <c r="D1579" t="s">
        <v>438</v>
      </c>
      <c r="E1579" t="s">
        <v>1973</v>
      </c>
      <c r="F1579" t="s">
        <v>1967</v>
      </c>
      <c r="G1579" t="s">
        <v>1351</v>
      </c>
      <c r="H1579" t="s">
        <v>373</v>
      </c>
      <c r="I1579" t="s">
        <v>289</v>
      </c>
      <c r="J1579" t="s">
        <v>1968</v>
      </c>
      <c r="K1579">
        <v>12</v>
      </c>
      <c r="L1579" s="6">
        <v>3.6576</v>
      </c>
      <c r="M1579" s="7">
        <v>25.4</v>
      </c>
      <c r="N1579" s="7">
        <v>88.9</v>
      </c>
      <c r="O1579" s="7">
        <f t="shared" si="127"/>
        <v>144</v>
      </c>
      <c r="P1579" s="7">
        <f t="shared" si="128"/>
        <v>1</v>
      </c>
      <c r="Q1579" s="7">
        <f t="shared" si="128"/>
        <v>3.5000000000000004</v>
      </c>
      <c r="R1579" s="6">
        <f t="shared" si="129"/>
        <v>1452.9459999999999</v>
      </c>
      <c r="S1579" s="6">
        <f t="shared" si="130"/>
        <v>8.259080256000001E-3</v>
      </c>
      <c r="T1579" t="str">
        <f t="shared" si="126"/>
        <v>Ipe S4S E4E 5/4x4 Long</v>
      </c>
    </row>
    <row r="1580" spans="1:20" x14ac:dyDescent="0.25">
      <c r="A1580" t="s">
        <v>1351</v>
      </c>
      <c r="B1580" t="s">
        <v>1965</v>
      </c>
      <c r="C1580" t="s">
        <v>283</v>
      </c>
      <c r="D1580" t="s">
        <v>438</v>
      </c>
      <c r="E1580" t="s">
        <v>1974</v>
      </c>
      <c r="F1580" t="s">
        <v>1970</v>
      </c>
      <c r="G1580" t="s">
        <v>1351</v>
      </c>
      <c r="H1580" t="s">
        <v>324</v>
      </c>
      <c r="I1580" t="s">
        <v>289</v>
      </c>
      <c r="J1580" t="s">
        <v>1968</v>
      </c>
      <c r="K1580">
        <v>12</v>
      </c>
      <c r="L1580" s="6">
        <v>3.6576</v>
      </c>
      <c r="M1580" s="7">
        <v>25.4</v>
      </c>
      <c r="N1580" s="7">
        <v>88.9</v>
      </c>
      <c r="O1580" s="7">
        <f t="shared" si="127"/>
        <v>144</v>
      </c>
      <c r="P1580" s="7">
        <f t="shared" si="128"/>
        <v>1</v>
      </c>
      <c r="Q1580" s="7">
        <f t="shared" si="128"/>
        <v>3.5000000000000004</v>
      </c>
      <c r="R1580" s="6">
        <f t="shared" si="129"/>
        <v>1452.9459999999999</v>
      </c>
      <c r="S1580" s="6">
        <f t="shared" si="130"/>
        <v>8.259080256000001E-3</v>
      </c>
      <c r="T1580" t="str">
        <f t="shared" si="126"/>
        <v>Ipe Grooved 5/4x4 Long</v>
      </c>
    </row>
    <row r="1581" spans="1:20" x14ac:dyDescent="0.25">
      <c r="A1581" t="s">
        <v>1351</v>
      </c>
      <c r="B1581" t="s">
        <v>1965</v>
      </c>
      <c r="C1581" t="s">
        <v>283</v>
      </c>
      <c r="D1581" t="s">
        <v>438</v>
      </c>
      <c r="E1581" t="s">
        <v>1975</v>
      </c>
      <c r="F1581" t="s">
        <v>1967</v>
      </c>
      <c r="G1581" t="s">
        <v>1351</v>
      </c>
      <c r="H1581" t="s">
        <v>373</v>
      </c>
      <c r="I1581" t="s">
        <v>289</v>
      </c>
      <c r="J1581" t="s">
        <v>1968</v>
      </c>
      <c r="K1581">
        <v>13</v>
      </c>
      <c r="L1581" s="6">
        <v>3.9624000000000001</v>
      </c>
      <c r="M1581" s="7">
        <v>25.4</v>
      </c>
      <c r="N1581" s="7">
        <v>88.9</v>
      </c>
      <c r="O1581" s="7">
        <f t="shared" si="127"/>
        <v>156</v>
      </c>
      <c r="P1581" s="7">
        <f t="shared" si="128"/>
        <v>1</v>
      </c>
      <c r="Q1581" s="7">
        <f t="shared" si="128"/>
        <v>3.5000000000000004</v>
      </c>
      <c r="R1581" s="6">
        <f t="shared" si="129"/>
        <v>1452.9459999999999</v>
      </c>
      <c r="S1581" s="6">
        <f t="shared" si="130"/>
        <v>8.9473369439999999E-3</v>
      </c>
      <c r="T1581" t="str">
        <f t="shared" si="126"/>
        <v>Ipe S4S E4E 5/4x4 Long</v>
      </c>
    </row>
    <row r="1582" spans="1:20" x14ac:dyDescent="0.25">
      <c r="A1582" t="s">
        <v>1351</v>
      </c>
      <c r="B1582" t="s">
        <v>1965</v>
      </c>
      <c r="C1582" t="s">
        <v>283</v>
      </c>
      <c r="D1582" t="s">
        <v>438</v>
      </c>
      <c r="E1582" t="s">
        <v>1976</v>
      </c>
      <c r="F1582" t="s">
        <v>1970</v>
      </c>
      <c r="G1582" t="s">
        <v>1351</v>
      </c>
      <c r="H1582" t="s">
        <v>324</v>
      </c>
      <c r="I1582" t="s">
        <v>289</v>
      </c>
      <c r="J1582" t="s">
        <v>1968</v>
      </c>
      <c r="K1582">
        <v>13</v>
      </c>
      <c r="L1582" s="6">
        <v>3.9624000000000001</v>
      </c>
      <c r="M1582" s="7">
        <v>25.4</v>
      </c>
      <c r="N1582" s="7">
        <v>88.9</v>
      </c>
      <c r="O1582" s="7">
        <f t="shared" si="127"/>
        <v>156</v>
      </c>
      <c r="P1582" s="7">
        <f t="shared" si="128"/>
        <v>1</v>
      </c>
      <c r="Q1582" s="7">
        <f t="shared" si="128"/>
        <v>3.5000000000000004</v>
      </c>
      <c r="R1582" s="6">
        <f t="shared" si="129"/>
        <v>1452.9459999999999</v>
      </c>
      <c r="S1582" s="6">
        <f t="shared" si="130"/>
        <v>8.9473369439999999E-3</v>
      </c>
      <c r="T1582" t="str">
        <f t="shared" si="126"/>
        <v>Ipe Grooved 5/4x4 Long</v>
      </c>
    </row>
    <row r="1583" spans="1:20" x14ac:dyDescent="0.25">
      <c r="A1583" t="s">
        <v>1351</v>
      </c>
      <c r="B1583" t="s">
        <v>1965</v>
      </c>
      <c r="C1583" t="s">
        <v>283</v>
      </c>
      <c r="D1583" t="s">
        <v>438</v>
      </c>
      <c r="E1583" t="s">
        <v>48</v>
      </c>
      <c r="F1583" t="s">
        <v>1967</v>
      </c>
      <c r="G1583" t="s">
        <v>1351</v>
      </c>
      <c r="H1583" t="s">
        <v>373</v>
      </c>
      <c r="I1583" t="s">
        <v>289</v>
      </c>
      <c r="J1583" t="s">
        <v>1968</v>
      </c>
      <c r="K1583">
        <v>14</v>
      </c>
      <c r="L1583" s="6">
        <v>4.2671999999999999</v>
      </c>
      <c r="M1583" s="7">
        <v>25.4</v>
      </c>
      <c r="N1583" s="7">
        <v>88.9</v>
      </c>
      <c r="O1583" s="7">
        <f t="shared" si="127"/>
        <v>168</v>
      </c>
      <c r="P1583" s="7">
        <f t="shared" si="128"/>
        <v>1</v>
      </c>
      <c r="Q1583" s="7">
        <f t="shared" si="128"/>
        <v>3.5000000000000004</v>
      </c>
      <c r="R1583" s="6">
        <f t="shared" si="129"/>
        <v>1452.9459999999999</v>
      </c>
      <c r="S1583" s="6">
        <f t="shared" si="130"/>
        <v>9.6355936319999988E-3</v>
      </c>
      <c r="T1583" t="str">
        <f t="shared" si="126"/>
        <v>Ipe S4S E4E 5/4x4 Long</v>
      </c>
    </row>
    <row r="1584" spans="1:20" x14ac:dyDescent="0.25">
      <c r="A1584" t="s">
        <v>1351</v>
      </c>
      <c r="B1584" t="s">
        <v>1965</v>
      </c>
      <c r="C1584" t="s">
        <v>283</v>
      </c>
      <c r="D1584" t="s">
        <v>438</v>
      </c>
      <c r="E1584" t="s">
        <v>1977</v>
      </c>
      <c r="F1584" t="s">
        <v>1970</v>
      </c>
      <c r="G1584" t="s">
        <v>1351</v>
      </c>
      <c r="H1584" t="s">
        <v>324</v>
      </c>
      <c r="I1584" t="s">
        <v>289</v>
      </c>
      <c r="J1584" t="s">
        <v>1968</v>
      </c>
      <c r="K1584">
        <v>14</v>
      </c>
      <c r="L1584" s="6">
        <v>4.2671999999999999</v>
      </c>
      <c r="M1584" s="7">
        <v>25.4</v>
      </c>
      <c r="N1584" s="7">
        <v>88.9</v>
      </c>
      <c r="O1584" s="7">
        <f t="shared" si="127"/>
        <v>168</v>
      </c>
      <c r="P1584" s="7">
        <f t="shared" si="128"/>
        <v>1</v>
      </c>
      <c r="Q1584" s="7">
        <f t="shared" si="128"/>
        <v>3.5000000000000004</v>
      </c>
      <c r="R1584" s="6">
        <f t="shared" si="129"/>
        <v>1452.9459999999999</v>
      </c>
      <c r="S1584" s="6">
        <f t="shared" si="130"/>
        <v>9.6355936319999988E-3</v>
      </c>
      <c r="T1584" t="str">
        <f t="shared" si="126"/>
        <v>Ipe Grooved 5/4x4 Long</v>
      </c>
    </row>
    <row r="1585" spans="1:20" x14ac:dyDescent="0.25">
      <c r="A1585" t="s">
        <v>1351</v>
      </c>
      <c r="B1585" t="s">
        <v>1965</v>
      </c>
      <c r="C1585" t="s">
        <v>283</v>
      </c>
      <c r="D1585" t="s">
        <v>438</v>
      </c>
      <c r="E1585" t="s">
        <v>1978</v>
      </c>
      <c r="F1585" t="s">
        <v>1967</v>
      </c>
      <c r="G1585" t="s">
        <v>1351</v>
      </c>
      <c r="H1585" t="s">
        <v>373</v>
      </c>
      <c r="I1585" t="s">
        <v>289</v>
      </c>
      <c r="J1585" t="s">
        <v>1968</v>
      </c>
      <c r="K1585">
        <v>15</v>
      </c>
      <c r="L1585" s="6">
        <v>4.5720000000000001</v>
      </c>
      <c r="M1585" s="7">
        <v>25.4</v>
      </c>
      <c r="N1585" s="7">
        <v>88.9</v>
      </c>
      <c r="O1585" s="7">
        <f t="shared" si="127"/>
        <v>180</v>
      </c>
      <c r="P1585" s="7">
        <f t="shared" si="128"/>
        <v>1</v>
      </c>
      <c r="Q1585" s="7">
        <f t="shared" si="128"/>
        <v>3.5000000000000004</v>
      </c>
      <c r="R1585" s="6">
        <f t="shared" si="129"/>
        <v>1452.9459999999999</v>
      </c>
      <c r="S1585" s="6">
        <f t="shared" si="130"/>
        <v>1.0323850320000001E-2</v>
      </c>
      <c r="T1585" t="str">
        <f t="shared" si="126"/>
        <v>Ipe S4S E4E 5/4x4 Long</v>
      </c>
    </row>
    <row r="1586" spans="1:20" x14ac:dyDescent="0.25">
      <c r="A1586" t="s">
        <v>1351</v>
      </c>
      <c r="B1586" t="s">
        <v>1965</v>
      </c>
      <c r="C1586" t="s">
        <v>283</v>
      </c>
      <c r="D1586" t="s">
        <v>438</v>
      </c>
      <c r="E1586" t="s">
        <v>1979</v>
      </c>
      <c r="F1586" t="s">
        <v>1970</v>
      </c>
      <c r="G1586" t="s">
        <v>1351</v>
      </c>
      <c r="H1586" t="s">
        <v>324</v>
      </c>
      <c r="I1586" t="s">
        <v>289</v>
      </c>
      <c r="J1586" t="s">
        <v>1968</v>
      </c>
      <c r="K1586">
        <v>15</v>
      </c>
      <c r="L1586" s="6">
        <v>4.5720000000000001</v>
      </c>
      <c r="M1586" s="7">
        <v>25.4</v>
      </c>
      <c r="N1586" s="7">
        <v>88.9</v>
      </c>
      <c r="O1586" s="7">
        <f t="shared" si="127"/>
        <v>180</v>
      </c>
      <c r="P1586" s="7">
        <f t="shared" si="128"/>
        <v>1</v>
      </c>
      <c r="Q1586" s="7">
        <f t="shared" si="128"/>
        <v>3.5000000000000004</v>
      </c>
      <c r="R1586" s="6">
        <f t="shared" si="129"/>
        <v>1452.9459999999999</v>
      </c>
      <c r="S1586" s="6">
        <f t="shared" si="130"/>
        <v>1.0323850320000001E-2</v>
      </c>
      <c r="T1586" t="str">
        <f t="shared" si="126"/>
        <v>Ipe Grooved 5/4x4 Long</v>
      </c>
    </row>
    <row r="1587" spans="1:20" x14ac:dyDescent="0.25">
      <c r="A1587" t="s">
        <v>1351</v>
      </c>
      <c r="B1587" t="s">
        <v>1965</v>
      </c>
      <c r="C1587" t="s">
        <v>283</v>
      </c>
      <c r="D1587" t="s">
        <v>438</v>
      </c>
      <c r="E1587" t="s">
        <v>1980</v>
      </c>
      <c r="F1587" t="s">
        <v>1967</v>
      </c>
      <c r="G1587" t="s">
        <v>1351</v>
      </c>
      <c r="H1587" t="s">
        <v>373</v>
      </c>
      <c r="I1587" t="s">
        <v>289</v>
      </c>
      <c r="J1587" t="s">
        <v>1968</v>
      </c>
      <c r="K1587">
        <v>16</v>
      </c>
      <c r="L1587" s="6">
        <v>4.8768000000000002</v>
      </c>
      <c r="M1587" s="7">
        <v>25.4</v>
      </c>
      <c r="N1587" s="7">
        <v>88.9</v>
      </c>
      <c r="O1587" s="7">
        <f t="shared" si="127"/>
        <v>192.00000000000003</v>
      </c>
      <c r="P1587" s="7">
        <f t="shared" si="128"/>
        <v>1</v>
      </c>
      <c r="Q1587" s="7">
        <f t="shared" si="128"/>
        <v>3.5000000000000004</v>
      </c>
      <c r="R1587" s="6">
        <f t="shared" si="129"/>
        <v>1452.9459999999999</v>
      </c>
      <c r="S1587" s="6">
        <f t="shared" si="130"/>
        <v>1.1012107008E-2</v>
      </c>
      <c r="T1587" t="str">
        <f t="shared" si="126"/>
        <v>Ipe S4S E4E 5/4x4 Long</v>
      </c>
    </row>
    <row r="1588" spans="1:20" x14ac:dyDescent="0.25">
      <c r="A1588" t="s">
        <v>1351</v>
      </c>
      <c r="B1588" t="s">
        <v>1965</v>
      </c>
      <c r="C1588" t="s">
        <v>283</v>
      </c>
      <c r="D1588" t="s">
        <v>438</v>
      </c>
      <c r="E1588" t="s">
        <v>1981</v>
      </c>
      <c r="F1588" t="s">
        <v>1970</v>
      </c>
      <c r="G1588" t="s">
        <v>1351</v>
      </c>
      <c r="H1588" t="s">
        <v>324</v>
      </c>
      <c r="I1588" t="s">
        <v>289</v>
      </c>
      <c r="J1588" t="s">
        <v>1968</v>
      </c>
      <c r="K1588">
        <v>16</v>
      </c>
      <c r="L1588" s="6">
        <v>4.8768000000000002</v>
      </c>
      <c r="M1588" s="7">
        <v>25.4</v>
      </c>
      <c r="N1588" s="7">
        <v>88.9</v>
      </c>
      <c r="O1588" s="7">
        <f t="shared" si="127"/>
        <v>192.00000000000003</v>
      </c>
      <c r="P1588" s="7">
        <f t="shared" si="128"/>
        <v>1</v>
      </c>
      <c r="Q1588" s="7">
        <f t="shared" si="128"/>
        <v>3.5000000000000004</v>
      </c>
      <c r="R1588" s="6">
        <f t="shared" si="129"/>
        <v>1452.9459999999999</v>
      </c>
      <c r="S1588" s="6">
        <f t="shared" si="130"/>
        <v>1.1012107008E-2</v>
      </c>
      <c r="T1588" t="str">
        <f t="shared" si="126"/>
        <v>Ipe Grooved 5/4x4 Long</v>
      </c>
    </row>
    <row r="1589" spans="1:20" x14ac:dyDescent="0.25">
      <c r="A1589" t="s">
        <v>1351</v>
      </c>
      <c r="B1589" t="s">
        <v>1965</v>
      </c>
      <c r="C1589" t="s">
        <v>283</v>
      </c>
      <c r="D1589" t="s">
        <v>438</v>
      </c>
      <c r="E1589" t="s">
        <v>1982</v>
      </c>
      <c r="F1589" t="s">
        <v>1967</v>
      </c>
      <c r="G1589" t="s">
        <v>1351</v>
      </c>
      <c r="H1589" t="s">
        <v>373</v>
      </c>
      <c r="I1589" t="s">
        <v>289</v>
      </c>
      <c r="J1589" t="s">
        <v>1968</v>
      </c>
      <c r="K1589">
        <v>17</v>
      </c>
      <c r="L1589" s="6">
        <v>5.1816000000000004</v>
      </c>
      <c r="M1589" s="7">
        <v>25.4</v>
      </c>
      <c r="N1589" s="7">
        <v>88.9</v>
      </c>
      <c r="O1589" s="7">
        <f t="shared" si="127"/>
        <v>204.00000000000003</v>
      </c>
      <c r="P1589" s="7">
        <f t="shared" si="128"/>
        <v>1</v>
      </c>
      <c r="Q1589" s="7">
        <f t="shared" si="128"/>
        <v>3.5000000000000004</v>
      </c>
      <c r="R1589" s="6">
        <f t="shared" si="129"/>
        <v>1452.9459999999999</v>
      </c>
      <c r="S1589" s="6">
        <f t="shared" si="130"/>
        <v>1.1700363696000001E-2</v>
      </c>
      <c r="T1589" t="str">
        <f t="shared" si="126"/>
        <v>Ipe S4S E4E 5/4x4 Long</v>
      </c>
    </row>
    <row r="1590" spans="1:20" x14ac:dyDescent="0.25">
      <c r="A1590" t="s">
        <v>1351</v>
      </c>
      <c r="B1590" t="s">
        <v>1965</v>
      </c>
      <c r="C1590" t="s">
        <v>283</v>
      </c>
      <c r="D1590" t="s">
        <v>438</v>
      </c>
      <c r="E1590" t="s">
        <v>1983</v>
      </c>
      <c r="F1590" t="s">
        <v>1970</v>
      </c>
      <c r="G1590" t="s">
        <v>1351</v>
      </c>
      <c r="H1590" t="s">
        <v>324</v>
      </c>
      <c r="I1590" t="s">
        <v>289</v>
      </c>
      <c r="J1590" t="s">
        <v>1968</v>
      </c>
      <c r="K1590">
        <v>17</v>
      </c>
      <c r="L1590" s="6">
        <v>5.1816000000000004</v>
      </c>
      <c r="M1590" s="7">
        <v>25.4</v>
      </c>
      <c r="N1590" s="7">
        <v>88.9</v>
      </c>
      <c r="O1590" s="7">
        <f t="shared" si="127"/>
        <v>204.00000000000003</v>
      </c>
      <c r="P1590" s="7">
        <f t="shared" si="128"/>
        <v>1</v>
      </c>
      <c r="Q1590" s="7">
        <f t="shared" si="128"/>
        <v>3.5000000000000004</v>
      </c>
      <c r="R1590" s="6">
        <f t="shared" si="129"/>
        <v>1452.9459999999999</v>
      </c>
      <c r="S1590" s="6">
        <f t="shared" si="130"/>
        <v>1.1700363696000001E-2</v>
      </c>
      <c r="T1590" t="str">
        <f t="shared" si="126"/>
        <v>Ipe Grooved 5/4x4 Long</v>
      </c>
    </row>
    <row r="1591" spans="1:20" x14ac:dyDescent="0.25">
      <c r="A1591" t="s">
        <v>1351</v>
      </c>
      <c r="B1591" t="s">
        <v>1965</v>
      </c>
      <c r="C1591" t="s">
        <v>283</v>
      </c>
      <c r="D1591" t="s">
        <v>438</v>
      </c>
      <c r="E1591" t="s">
        <v>1984</v>
      </c>
      <c r="F1591" t="s">
        <v>1967</v>
      </c>
      <c r="G1591" t="s">
        <v>1351</v>
      </c>
      <c r="H1591" t="s">
        <v>373</v>
      </c>
      <c r="I1591" t="s">
        <v>289</v>
      </c>
      <c r="J1591" t="s">
        <v>1968</v>
      </c>
      <c r="K1591">
        <v>18</v>
      </c>
      <c r="L1591" s="6">
        <v>5.4863999999999997</v>
      </c>
      <c r="M1591" s="7">
        <v>25.4</v>
      </c>
      <c r="N1591" s="7">
        <v>88.9</v>
      </c>
      <c r="O1591" s="7">
        <f t="shared" si="127"/>
        <v>216</v>
      </c>
      <c r="P1591" s="7">
        <f t="shared" si="128"/>
        <v>1</v>
      </c>
      <c r="Q1591" s="7">
        <f t="shared" si="128"/>
        <v>3.5000000000000004</v>
      </c>
      <c r="R1591" s="6">
        <f t="shared" si="129"/>
        <v>1452.9459999999999</v>
      </c>
      <c r="S1591" s="6">
        <f t="shared" si="130"/>
        <v>1.2388620384E-2</v>
      </c>
      <c r="T1591" t="str">
        <f t="shared" si="126"/>
        <v>Ipe S4S E4E 5/4x4 Long</v>
      </c>
    </row>
    <row r="1592" spans="1:20" x14ac:dyDescent="0.25">
      <c r="A1592" t="s">
        <v>1351</v>
      </c>
      <c r="B1592" t="s">
        <v>1965</v>
      </c>
      <c r="C1592" t="s">
        <v>283</v>
      </c>
      <c r="D1592" t="s">
        <v>438</v>
      </c>
      <c r="E1592" t="s">
        <v>1985</v>
      </c>
      <c r="F1592" t="s">
        <v>1970</v>
      </c>
      <c r="G1592" t="s">
        <v>1351</v>
      </c>
      <c r="H1592" t="s">
        <v>324</v>
      </c>
      <c r="I1592" t="s">
        <v>289</v>
      </c>
      <c r="J1592" t="s">
        <v>1968</v>
      </c>
      <c r="K1592">
        <v>18</v>
      </c>
      <c r="L1592" s="6">
        <v>5.4863999999999997</v>
      </c>
      <c r="M1592" s="7">
        <v>25.4</v>
      </c>
      <c r="N1592" s="7">
        <v>88.9</v>
      </c>
      <c r="O1592" s="7">
        <f t="shared" si="127"/>
        <v>216</v>
      </c>
      <c r="P1592" s="7">
        <f t="shared" si="128"/>
        <v>1</v>
      </c>
      <c r="Q1592" s="7">
        <f t="shared" si="128"/>
        <v>3.5000000000000004</v>
      </c>
      <c r="R1592" s="6">
        <f t="shared" si="129"/>
        <v>1452.9459999999999</v>
      </c>
      <c r="S1592" s="6">
        <f t="shared" si="130"/>
        <v>1.2388620384E-2</v>
      </c>
      <c r="T1592" t="str">
        <f t="shared" si="126"/>
        <v>Ipe Grooved 5/4x4 Long</v>
      </c>
    </row>
    <row r="1593" spans="1:20" x14ac:dyDescent="0.25">
      <c r="A1593" t="s">
        <v>1351</v>
      </c>
      <c r="B1593" t="s">
        <v>1965</v>
      </c>
      <c r="C1593" t="s">
        <v>283</v>
      </c>
      <c r="D1593" t="s">
        <v>438</v>
      </c>
      <c r="E1593" t="s">
        <v>1986</v>
      </c>
      <c r="F1593" t="s">
        <v>1967</v>
      </c>
      <c r="G1593" t="s">
        <v>1351</v>
      </c>
      <c r="H1593" t="s">
        <v>373</v>
      </c>
      <c r="I1593" t="s">
        <v>289</v>
      </c>
      <c r="J1593" t="s">
        <v>1968</v>
      </c>
      <c r="K1593">
        <v>19</v>
      </c>
      <c r="L1593" s="6">
        <v>5.7911999999999999</v>
      </c>
      <c r="M1593" s="7">
        <v>25.4</v>
      </c>
      <c r="N1593" s="7">
        <v>88.9</v>
      </c>
      <c r="O1593" s="7">
        <f t="shared" si="127"/>
        <v>228</v>
      </c>
      <c r="P1593" s="7">
        <f t="shared" si="128"/>
        <v>1</v>
      </c>
      <c r="Q1593" s="7">
        <f t="shared" si="128"/>
        <v>3.5000000000000004</v>
      </c>
      <c r="R1593" s="6">
        <f t="shared" si="129"/>
        <v>1452.9459999999999</v>
      </c>
      <c r="S1593" s="6">
        <f t="shared" si="130"/>
        <v>1.3076877071999999E-2</v>
      </c>
      <c r="T1593" t="str">
        <f t="shared" si="126"/>
        <v>Ipe S4S E4E 5/4x4 Long</v>
      </c>
    </row>
    <row r="1594" spans="1:20" x14ac:dyDescent="0.25">
      <c r="A1594" t="s">
        <v>1351</v>
      </c>
      <c r="B1594" t="s">
        <v>1965</v>
      </c>
      <c r="C1594" t="s">
        <v>283</v>
      </c>
      <c r="D1594" t="s">
        <v>438</v>
      </c>
      <c r="E1594" t="s">
        <v>1987</v>
      </c>
      <c r="F1594" t="s">
        <v>1970</v>
      </c>
      <c r="G1594" t="s">
        <v>1351</v>
      </c>
      <c r="H1594" t="s">
        <v>324</v>
      </c>
      <c r="I1594" t="s">
        <v>289</v>
      </c>
      <c r="J1594" t="s">
        <v>1968</v>
      </c>
      <c r="K1594">
        <v>19</v>
      </c>
      <c r="L1594" s="6">
        <v>5.7911999999999999</v>
      </c>
      <c r="M1594" s="7">
        <v>25.4</v>
      </c>
      <c r="N1594" s="7">
        <v>88.9</v>
      </c>
      <c r="O1594" s="7">
        <f t="shared" si="127"/>
        <v>228</v>
      </c>
      <c r="P1594" s="7">
        <f t="shared" si="128"/>
        <v>1</v>
      </c>
      <c r="Q1594" s="7">
        <f t="shared" si="128"/>
        <v>3.5000000000000004</v>
      </c>
      <c r="R1594" s="6">
        <f t="shared" si="129"/>
        <v>1452.9459999999999</v>
      </c>
      <c r="S1594" s="6">
        <f t="shared" si="130"/>
        <v>1.3076877071999999E-2</v>
      </c>
      <c r="T1594" t="str">
        <f t="shared" si="126"/>
        <v>Ipe Grooved 5/4x4 Long</v>
      </c>
    </row>
    <row r="1595" spans="1:20" x14ac:dyDescent="0.25">
      <c r="A1595" t="s">
        <v>1351</v>
      </c>
      <c r="B1595" t="s">
        <v>1965</v>
      </c>
      <c r="C1595" t="s">
        <v>283</v>
      </c>
      <c r="D1595" t="s">
        <v>438</v>
      </c>
      <c r="E1595" t="s">
        <v>1988</v>
      </c>
      <c r="F1595" t="s">
        <v>1967</v>
      </c>
      <c r="G1595" t="s">
        <v>1351</v>
      </c>
      <c r="H1595" t="s">
        <v>373</v>
      </c>
      <c r="I1595" t="s">
        <v>289</v>
      </c>
      <c r="J1595" t="s">
        <v>1968</v>
      </c>
      <c r="K1595">
        <v>20</v>
      </c>
      <c r="L1595" s="6">
        <v>6.0960000000000001</v>
      </c>
      <c r="M1595" s="7">
        <v>25.4</v>
      </c>
      <c r="N1595" s="7">
        <v>88.9</v>
      </c>
      <c r="O1595" s="7">
        <f t="shared" si="127"/>
        <v>240</v>
      </c>
      <c r="P1595" s="7">
        <f t="shared" si="128"/>
        <v>1</v>
      </c>
      <c r="Q1595" s="7">
        <f t="shared" si="128"/>
        <v>3.5000000000000004</v>
      </c>
      <c r="R1595" s="6">
        <f t="shared" si="129"/>
        <v>1452.9459999999999</v>
      </c>
      <c r="S1595" s="6">
        <f t="shared" si="130"/>
        <v>1.3765133760000003E-2</v>
      </c>
      <c r="T1595" t="str">
        <f t="shared" si="126"/>
        <v>Ipe S4S E4E 5/4x4 Long</v>
      </c>
    </row>
    <row r="1596" spans="1:20" x14ac:dyDescent="0.25">
      <c r="A1596" t="s">
        <v>1351</v>
      </c>
      <c r="B1596" t="s">
        <v>1965</v>
      </c>
      <c r="C1596" t="s">
        <v>283</v>
      </c>
      <c r="D1596" t="s">
        <v>438</v>
      </c>
      <c r="E1596" t="s">
        <v>1989</v>
      </c>
      <c r="F1596" t="s">
        <v>1970</v>
      </c>
      <c r="G1596" t="s">
        <v>1351</v>
      </c>
      <c r="H1596" t="s">
        <v>324</v>
      </c>
      <c r="I1596" t="s">
        <v>289</v>
      </c>
      <c r="J1596" t="s">
        <v>1968</v>
      </c>
      <c r="K1596">
        <v>20</v>
      </c>
      <c r="L1596" s="6">
        <v>6.0960000000000001</v>
      </c>
      <c r="M1596" s="7">
        <v>25.4</v>
      </c>
      <c r="N1596" s="7">
        <v>88.9</v>
      </c>
      <c r="O1596" s="7">
        <f t="shared" si="127"/>
        <v>240</v>
      </c>
      <c r="P1596" s="7">
        <f t="shared" si="128"/>
        <v>1</v>
      </c>
      <c r="Q1596" s="7">
        <f t="shared" si="128"/>
        <v>3.5000000000000004</v>
      </c>
      <c r="R1596" s="6">
        <f t="shared" si="129"/>
        <v>1452.9459999999999</v>
      </c>
      <c r="S1596" s="6">
        <f t="shared" si="130"/>
        <v>1.3765133760000003E-2</v>
      </c>
      <c r="T1596" t="str">
        <f t="shared" si="126"/>
        <v>Ipe Grooved 5/4x4 Long</v>
      </c>
    </row>
    <row r="1597" spans="1:20" x14ac:dyDescent="0.25">
      <c r="A1597" t="s">
        <v>1351</v>
      </c>
      <c r="B1597" t="s">
        <v>1965</v>
      </c>
      <c r="C1597" t="s">
        <v>283</v>
      </c>
      <c r="D1597" t="s">
        <v>438</v>
      </c>
      <c r="E1597" t="s">
        <v>1990</v>
      </c>
      <c r="F1597" t="s">
        <v>1967</v>
      </c>
      <c r="G1597" t="s">
        <v>1351</v>
      </c>
      <c r="H1597" t="s">
        <v>373</v>
      </c>
      <c r="I1597" t="s">
        <v>289</v>
      </c>
      <c r="J1597" t="s">
        <v>1968</v>
      </c>
      <c r="K1597">
        <v>21</v>
      </c>
      <c r="L1597" s="6">
        <v>6.4008000000000003</v>
      </c>
      <c r="M1597" s="7">
        <v>25.4</v>
      </c>
      <c r="N1597" s="7">
        <v>88.9</v>
      </c>
      <c r="O1597" s="7">
        <f t="shared" si="127"/>
        <v>252.00000000000003</v>
      </c>
      <c r="P1597" s="7">
        <f t="shared" si="128"/>
        <v>1</v>
      </c>
      <c r="Q1597" s="7">
        <f t="shared" si="128"/>
        <v>3.5000000000000004</v>
      </c>
      <c r="R1597" s="6">
        <f t="shared" si="129"/>
        <v>1452.9459999999999</v>
      </c>
      <c r="S1597" s="6">
        <f t="shared" si="130"/>
        <v>1.4453390448E-2</v>
      </c>
      <c r="T1597" t="str">
        <f t="shared" si="126"/>
        <v>Ipe S4S E4E 5/4x4 Long</v>
      </c>
    </row>
    <row r="1598" spans="1:20" x14ac:dyDescent="0.25">
      <c r="A1598" t="s">
        <v>1351</v>
      </c>
      <c r="B1598" t="s">
        <v>1965</v>
      </c>
      <c r="C1598" t="s">
        <v>283</v>
      </c>
      <c r="D1598" t="s">
        <v>438</v>
      </c>
      <c r="E1598" t="s">
        <v>1991</v>
      </c>
      <c r="F1598" t="s">
        <v>1970</v>
      </c>
      <c r="G1598" t="s">
        <v>1351</v>
      </c>
      <c r="H1598" t="s">
        <v>324</v>
      </c>
      <c r="I1598" t="s">
        <v>289</v>
      </c>
      <c r="J1598" t="s">
        <v>1968</v>
      </c>
      <c r="K1598">
        <v>21</v>
      </c>
      <c r="L1598" s="6">
        <v>6.4008000000000003</v>
      </c>
      <c r="M1598" s="7">
        <v>25.4</v>
      </c>
      <c r="N1598" s="7">
        <v>88.9</v>
      </c>
      <c r="O1598" s="7">
        <f t="shared" si="127"/>
        <v>252.00000000000003</v>
      </c>
      <c r="P1598" s="7">
        <f t="shared" si="128"/>
        <v>1</v>
      </c>
      <c r="Q1598" s="7">
        <f t="shared" si="128"/>
        <v>3.5000000000000004</v>
      </c>
      <c r="R1598" s="6">
        <f t="shared" si="129"/>
        <v>1452.9459999999999</v>
      </c>
      <c r="S1598" s="6">
        <f t="shared" si="130"/>
        <v>1.4453390448E-2</v>
      </c>
      <c r="T1598" t="str">
        <f t="shared" si="126"/>
        <v>Ipe Grooved 5/4x4 Long</v>
      </c>
    </row>
    <row r="1599" spans="1:20" x14ac:dyDescent="0.25">
      <c r="A1599" t="s">
        <v>1351</v>
      </c>
      <c r="B1599" t="s">
        <v>1965</v>
      </c>
      <c r="C1599" t="s">
        <v>283</v>
      </c>
      <c r="D1599" t="s">
        <v>438</v>
      </c>
      <c r="E1599" t="s">
        <v>1992</v>
      </c>
      <c r="F1599" t="s">
        <v>1967</v>
      </c>
      <c r="G1599" t="s">
        <v>1351</v>
      </c>
      <c r="H1599" t="s">
        <v>373</v>
      </c>
      <c r="I1599" t="s">
        <v>289</v>
      </c>
      <c r="J1599" t="s">
        <v>1968</v>
      </c>
      <c r="K1599">
        <v>22</v>
      </c>
      <c r="L1599" s="6">
        <v>6.7055999999999996</v>
      </c>
      <c r="M1599" s="7">
        <v>25.4</v>
      </c>
      <c r="N1599" s="7">
        <v>88.9</v>
      </c>
      <c r="O1599" s="7">
        <f t="shared" si="127"/>
        <v>264</v>
      </c>
      <c r="P1599" s="7">
        <f t="shared" si="128"/>
        <v>1</v>
      </c>
      <c r="Q1599" s="7">
        <f t="shared" si="128"/>
        <v>3.5000000000000004</v>
      </c>
      <c r="R1599" s="6">
        <f t="shared" si="129"/>
        <v>1452.9459999999999</v>
      </c>
      <c r="S1599" s="6">
        <f t="shared" si="130"/>
        <v>1.5141647135999997E-2</v>
      </c>
      <c r="T1599" t="str">
        <f t="shared" si="126"/>
        <v>Ipe S4S E4E 5/4x4 Long</v>
      </c>
    </row>
    <row r="1600" spans="1:20" x14ac:dyDescent="0.25">
      <c r="A1600" t="s">
        <v>1351</v>
      </c>
      <c r="B1600" t="s">
        <v>1965</v>
      </c>
      <c r="C1600" t="s">
        <v>283</v>
      </c>
      <c r="D1600" t="s">
        <v>438</v>
      </c>
      <c r="E1600" t="s">
        <v>1993</v>
      </c>
      <c r="F1600" t="s">
        <v>1970</v>
      </c>
      <c r="G1600" t="s">
        <v>1351</v>
      </c>
      <c r="H1600" t="s">
        <v>324</v>
      </c>
      <c r="I1600" t="s">
        <v>289</v>
      </c>
      <c r="J1600" t="s">
        <v>1968</v>
      </c>
      <c r="K1600">
        <v>22</v>
      </c>
      <c r="L1600" s="6">
        <v>6.7055999999999996</v>
      </c>
      <c r="M1600" s="7">
        <v>25.4</v>
      </c>
      <c r="N1600" s="7">
        <v>88.9</v>
      </c>
      <c r="O1600" s="7">
        <f t="shared" si="127"/>
        <v>264</v>
      </c>
      <c r="P1600" s="7">
        <f t="shared" si="128"/>
        <v>1</v>
      </c>
      <c r="Q1600" s="7">
        <f t="shared" si="128"/>
        <v>3.5000000000000004</v>
      </c>
      <c r="R1600" s="6">
        <f t="shared" si="129"/>
        <v>1452.9459999999999</v>
      </c>
      <c r="S1600" s="6">
        <f t="shared" si="130"/>
        <v>1.5141647135999997E-2</v>
      </c>
      <c r="T1600" t="str">
        <f t="shared" si="126"/>
        <v>Ipe Grooved 5/4x4 Long</v>
      </c>
    </row>
    <row r="1601" spans="1:20" x14ac:dyDescent="0.25">
      <c r="A1601" t="s">
        <v>1351</v>
      </c>
      <c r="B1601" t="s">
        <v>1965</v>
      </c>
      <c r="C1601" t="s">
        <v>524</v>
      </c>
      <c r="D1601" t="s">
        <v>438</v>
      </c>
      <c r="E1601" t="s">
        <v>1994</v>
      </c>
      <c r="F1601" t="s">
        <v>1967</v>
      </c>
      <c r="G1601" t="s">
        <v>1351</v>
      </c>
      <c r="H1601" t="s">
        <v>373</v>
      </c>
      <c r="I1601" t="s">
        <v>289</v>
      </c>
      <c r="J1601" t="s">
        <v>1968</v>
      </c>
      <c r="K1601">
        <v>3</v>
      </c>
      <c r="L1601" s="6">
        <v>0.91439999999999999</v>
      </c>
      <c r="M1601" s="7">
        <v>25.4</v>
      </c>
      <c r="N1601" s="7">
        <v>88.9</v>
      </c>
      <c r="O1601" s="7">
        <f t="shared" si="127"/>
        <v>36</v>
      </c>
      <c r="P1601" s="7">
        <f t="shared" si="128"/>
        <v>1</v>
      </c>
      <c r="Q1601" s="7">
        <f t="shared" si="128"/>
        <v>3.5000000000000004</v>
      </c>
      <c r="R1601" s="6">
        <f t="shared" si="129"/>
        <v>1452.9459999999999</v>
      </c>
      <c r="S1601" s="6">
        <f t="shared" si="130"/>
        <v>2.0647700640000002E-3</v>
      </c>
      <c r="T1601" t="str">
        <f t="shared" si="126"/>
        <v>Ipe S4S E4E 5/4x4 Short</v>
      </c>
    </row>
    <row r="1602" spans="1:20" x14ac:dyDescent="0.25">
      <c r="A1602" t="s">
        <v>1351</v>
      </c>
      <c r="B1602" t="s">
        <v>1965</v>
      </c>
      <c r="C1602" t="s">
        <v>524</v>
      </c>
      <c r="D1602" t="s">
        <v>438</v>
      </c>
      <c r="E1602" t="s">
        <v>1995</v>
      </c>
      <c r="F1602" t="s">
        <v>1970</v>
      </c>
      <c r="G1602" t="s">
        <v>1351</v>
      </c>
      <c r="H1602" t="s">
        <v>324</v>
      </c>
      <c r="I1602" t="s">
        <v>289</v>
      </c>
      <c r="J1602" t="s">
        <v>1968</v>
      </c>
      <c r="K1602">
        <v>3</v>
      </c>
      <c r="L1602" s="6">
        <v>0.91439999999999999</v>
      </c>
      <c r="M1602" s="7">
        <v>25.4</v>
      </c>
      <c r="N1602" s="7">
        <v>88.9</v>
      </c>
      <c r="O1602" s="7">
        <f t="shared" si="127"/>
        <v>36</v>
      </c>
      <c r="P1602" s="7">
        <f t="shared" si="128"/>
        <v>1</v>
      </c>
      <c r="Q1602" s="7">
        <f t="shared" si="128"/>
        <v>3.5000000000000004</v>
      </c>
      <c r="R1602" s="6">
        <f t="shared" si="129"/>
        <v>1452.9459999999999</v>
      </c>
      <c r="S1602" s="6">
        <f t="shared" si="130"/>
        <v>2.0647700640000002E-3</v>
      </c>
      <c r="T1602" t="str">
        <f t="shared" ref="T1602:T1665" si="131">F1602&amp;" "&amp;C1602</f>
        <v>Ipe Grooved 5/4x4 Short</v>
      </c>
    </row>
    <row r="1603" spans="1:20" x14ac:dyDescent="0.25">
      <c r="A1603" t="s">
        <v>1351</v>
      </c>
      <c r="B1603" t="s">
        <v>1965</v>
      </c>
      <c r="C1603" t="s">
        <v>524</v>
      </c>
      <c r="D1603" t="s">
        <v>438</v>
      </c>
      <c r="E1603" t="s">
        <v>1996</v>
      </c>
      <c r="F1603" t="s">
        <v>1967</v>
      </c>
      <c r="G1603" t="s">
        <v>1351</v>
      </c>
      <c r="H1603" t="s">
        <v>373</v>
      </c>
      <c r="I1603" t="s">
        <v>289</v>
      </c>
      <c r="J1603" t="s">
        <v>1968</v>
      </c>
      <c r="K1603">
        <v>4</v>
      </c>
      <c r="L1603" s="6">
        <v>1.2192000000000001</v>
      </c>
      <c r="M1603" s="7">
        <v>25.4</v>
      </c>
      <c r="N1603" s="7">
        <v>88.9</v>
      </c>
      <c r="O1603" s="7">
        <f t="shared" si="127"/>
        <v>48.000000000000007</v>
      </c>
      <c r="P1603" s="7">
        <f t="shared" si="128"/>
        <v>1</v>
      </c>
      <c r="Q1603" s="7">
        <f t="shared" si="128"/>
        <v>3.5000000000000004</v>
      </c>
      <c r="R1603" s="6">
        <f t="shared" si="129"/>
        <v>1452.9459999999999</v>
      </c>
      <c r="S1603" s="6">
        <f t="shared" si="130"/>
        <v>2.753026752E-3</v>
      </c>
      <c r="T1603" t="str">
        <f t="shared" si="131"/>
        <v>Ipe S4S E4E 5/4x4 Short</v>
      </c>
    </row>
    <row r="1604" spans="1:20" x14ac:dyDescent="0.25">
      <c r="A1604" t="s">
        <v>1351</v>
      </c>
      <c r="B1604" t="s">
        <v>1965</v>
      </c>
      <c r="C1604" t="s">
        <v>524</v>
      </c>
      <c r="D1604" t="s">
        <v>438</v>
      </c>
      <c r="E1604" t="s">
        <v>1997</v>
      </c>
      <c r="F1604" t="s">
        <v>1970</v>
      </c>
      <c r="G1604" t="s">
        <v>1351</v>
      </c>
      <c r="H1604" t="s">
        <v>324</v>
      </c>
      <c r="I1604" t="s">
        <v>289</v>
      </c>
      <c r="J1604" t="s">
        <v>1968</v>
      </c>
      <c r="K1604">
        <v>4</v>
      </c>
      <c r="L1604" s="6">
        <v>1.2192000000000001</v>
      </c>
      <c r="M1604" s="7">
        <v>25.4</v>
      </c>
      <c r="N1604" s="7">
        <v>88.9</v>
      </c>
      <c r="O1604" s="7">
        <f t="shared" si="127"/>
        <v>48.000000000000007</v>
      </c>
      <c r="P1604" s="7">
        <f t="shared" si="128"/>
        <v>1</v>
      </c>
      <c r="Q1604" s="7">
        <f t="shared" si="128"/>
        <v>3.5000000000000004</v>
      </c>
      <c r="R1604" s="6">
        <f t="shared" si="129"/>
        <v>1452.9459999999999</v>
      </c>
      <c r="S1604" s="6">
        <f t="shared" si="130"/>
        <v>2.753026752E-3</v>
      </c>
      <c r="T1604" t="str">
        <f t="shared" si="131"/>
        <v>Ipe Grooved 5/4x4 Short</v>
      </c>
    </row>
    <row r="1605" spans="1:20" x14ac:dyDescent="0.25">
      <c r="A1605" t="s">
        <v>1351</v>
      </c>
      <c r="B1605" t="s">
        <v>1965</v>
      </c>
      <c r="C1605" t="s">
        <v>524</v>
      </c>
      <c r="D1605" t="s">
        <v>438</v>
      </c>
      <c r="E1605" t="s">
        <v>1998</v>
      </c>
      <c r="F1605" t="s">
        <v>1967</v>
      </c>
      <c r="G1605" t="s">
        <v>1351</v>
      </c>
      <c r="H1605" t="s">
        <v>373</v>
      </c>
      <c r="I1605" t="s">
        <v>289</v>
      </c>
      <c r="J1605" t="s">
        <v>1968</v>
      </c>
      <c r="K1605">
        <v>5</v>
      </c>
      <c r="L1605" s="6">
        <v>1.524</v>
      </c>
      <c r="M1605" s="7">
        <v>25.4</v>
      </c>
      <c r="N1605" s="7">
        <v>88.9</v>
      </c>
      <c r="O1605" s="7">
        <f t="shared" si="127"/>
        <v>60</v>
      </c>
      <c r="P1605" s="7">
        <f t="shared" si="128"/>
        <v>1</v>
      </c>
      <c r="Q1605" s="7">
        <f t="shared" si="128"/>
        <v>3.5000000000000004</v>
      </c>
      <c r="R1605" s="6">
        <f t="shared" si="129"/>
        <v>1452.9459999999999</v>
      </c>
      <c r="S1605" s="6">
        <f t="shared" si="130"/>
        <v>3.4412834400000007E-3</v>
      </c>
      <c r="T1605" t="str">
        <f t="shared" si="131"/>
        <v>Ipe S4S E4E 5/4x4 Short</v>
      </c>
    </row>
    <row r="1606" spans="1:20" x14ac:dyDescent="0.25">
      <c r="A1606" t="s">
        <v>1351</v>
      </c>
      <c r="B1606" t="s">
        <v>1965</v>
      </c>
      <c r="C1606" t="s">
        <v>524</v>
      </c>
      <c r="D1606" t="s">
        <v>438</v>
      </c>
      <c r="E1606" t="s">
        <v>1999</v>
      </c>
      <c r="F1606" t="s">
        <v>1970</v>
      </c>
      <c r="G1606" t="s">
        <v>1351</v>
      </c>
      <c r="H1606" t="s">
        <v>324</v>
      </c>
      <c r="I1606" t="s">
        <v>289</v>
      </c>
      <c r="J1606" t="s">
        <v>1968</v>
      </c>
      <c r="K1606">
        <v>5</v>
      </c>
      <c r="L1606" s="6">
        <v>1.524</v>
      </c>
      <c r="M1606" s="7">
        <v>25.4</v>
      </c>
      <c r="N1606" s="7">
        <v>88.9</v>
      </c>
      <c r="O1606" s="7">
        <f t="shared" si="127"/>
        <v>60</v>
      </c>
      <c r="P1606" s="7">
        <f t="shared" si="128"/>
        <v>1</v>
      </c>
      <c r="Q1606" s="7">
        <f t="shared" si="128"/>
        <v>3.5000000000000004</v>
      </c>
      <c r="R1606" s="6">
        <f t="shared" si="129"/>
        <v>1452.9459999999999</v>
      </c>
      <c r="S1606" s="6">
        <f t="shared" si="130"/>
        <v>3.4412834400000007E-3</v>
      </c>
      <c r="T1606" t="str">
        <f t="shared" si="131"/>
        <v>Ipe Grooved 5/4x4 Short</v>
      </c>
    </row>
    <row r="1607" spans="1:20" x14ac:dyDescent="0.25">
      <c r="A1607" t="s">
        <v>1351</v>
      </c>
      <c r="B1607" t="s">
        <v>1965</v>
      </c>
      <c r="C1607" t="s">
        <v>524</v>
      </c>
      <c r="D1607" t="s">
        <v>438</v>
      </c>
      <c r="E1607" t="s">
        <v>2000</v>
      </c>
      <c r="F1607" t="s">
        <v>1967</v>
      </c>
      <c r="G1607" t="s">
        <v>1351</v>
      </c>
      <c r="H1607" t="s">
        <v>373</v>
      </c>
      <c r="I1607" t="s">
        <v>289</v>
      </c>
      <c r="J1607" t="s">
        <v>1968</v>
      </c>
      <c r="K1607">
        <v>6</v>
      </c>
      <c r="L1607" s="6">
        <v>1.8288</v>
      </c>
      <c r="M1607" s="7">
        <v>25.4</v>
      </c>
      <c r="N1607" s="7">
        <v>88.9</v>
      </c>
      <c r="O1607" s="7">
        <f t="shared" si="127"/>
        <v>72</v>
      </c>
      <c r="P1607" s="7">
        <f t="shared" si="128"/>
        <v>1</v>
      </c>
      <c r="Q1607" s="7">
        <f t="shared" si="128"/>
        <v>3.5000000000000004</v>
      </c>
      <c r="R1607" s="6">
        <f t="shared" si="129"/>
        <v>1452.9459999999999</v>
      </c>
      <c r="S1607" s="6">
        <f t="shared" si="130"/>
        <v>4.1295401280000005E-3</v>
      </c>
      <c r="T1607" t="str">
        <f t="shared" si="131"/>
        <v>Ipe S4S E4E 5/4x4 Short</v>
      </c>
    </row>
    <row r="1608" spans="1:20" x14ac:dyDescent="0.25">
      <c r="A1608" t="s">
        <v>1351</v>
      </c>
      <c r="B1608" t="s">
        <v>1965</v>
      </c>
      <c r="C1608" t="s">
        <v>524</v>
      </c>
      <c r="D1608" t="s">
        <v>438</v>
      </c>
      <c r="E1608" t="s">
        <v>2001</v>
      </c>
      <c r="F1608" t="s">
        <v>1970</v>
      </c>
      <c r="G1608" t="s">
        <v>1351</v>
      </c>
      <c r="H1608" t="s">
        <v>324</v>
      </c>
      <c r="I1608" t="s">
        <v>289</v>
      </c>
      <c r="J1608" t="s">
        <v>1968</v>
      </c>
      <c r="K1608">
        <v>6</v>
      </c>
      <c r="L1608" s="6">
        <v>1.8288</v>
      </c>
      <c r="M1608" s="7">
        <v>25.4</v>
      </c>
      <c r="N1608" s="7">
        <v>88.9</v>
      </c>
      <c r="O1608" s="7">
        <f t="shared" si="127"/>
        <v>72</v>
      </c>
      <c r="P1608" s="7">
        <f t="shared" si="128"/>
        <v>1</v>
      </c>
      <c r="Q1608" s="7">
        <f t="shared" si="128"/>
        <v>3.5000000000000004</v>
      </c>
      <c r="R1608" s="6">
        <f t="shared" si="129"/>
        <v>1452.9459999999999</v>
      </c>
      <c r="S1608" s="6">
        <f t="shared" si="130"/>
        <v>4.1295401280000005E-3</v>
      </c>
      <c r="T1608" t="str">
        <f t="shared" si="131"/>
        <v>Ipe Grooved 5/4x4 Short</v>
      </c>
    </row>
    <row r="1609" spans="1:20" x14ac:dyDescent="0.25">
      <c r="A1609" t="s">
        <v>1351</v>
      </c>
      <c r="B1609" t="s">
        <v>1965</v>
      </c>
      <c r="C1609" t="s">
        <v>524</v>
      </c>
      <c r="D1609" t="s">
        <v>438</v>
      </c>
      <c r="E1609" t="s">
        <v>2002</v>
      </c>
      <c r="F1609" t="s">
        <v>1967</v>
      </c>
      <c r="G1609" t="s">
        <v>1351</v>
      </c>
      <c r="H1609" t="s">
        <v>373</v>
      </c>
      <c r="I1609" t="s">
        <v>289</v>
      </c>
      <c r="J1609" t="s">
        <v>1968</v>
      </c>
      <c r="K1609">
        <v>7</v>
      </c>
      <c r="L1609" s="6">
        <v>2.1335999999999999</v>
      </c>
      <c r="M1609" s="7">
        <v>25.4</v>
      </c>
      <c r="N1609" s="7">
        <v>88.9</v>
      </c>
      <c r="O1609" s="7">
        <f t="shared" si="127"/>
        <v>84</v>
      </c>
      <c r="P1609" s="7">
        <f t="shared" si="128"/>
        <v>1</v>
      </c>
      <c r="Q1609" s="7">
        <f t="shared" si="128"/>
        <v>3.5000000000000004</v>
      </c>
      <c r="R1609" s="6">
        <f t="shared" si="129"/>
        <v>1452.9459999999999</v>
      </c>
      <c r="S1609" s="6">
        <f t="shared" si="130"/>
        <v>4.8177968159999994E-3</v>
      </c>
      <c r="T1609" t="str">
        <f t="shared" si="131"/>
        <v>Ipe S4S E4E 5/4x4 Short</v>
      </c>
    </row>
    <row r="1610" spans="1:20" x14ac:dyDescent="0.25">
      <c r="A1610" t="s">
        <v>1351</v>
      </c>
      <c r="B1610" t="s">
        <v>1965</v>
      </c>
      <c r="C1610" t="s">
        <v>524</v>
      </c>
      <c r="D1610" t="s">
        <v>438</v>
      </c>
      <c r="E1610" t="s">
        <v>2003</v>
      </c>
      <c r="F1610" t="s">
        <v>1970</v>
      </c>
      <c r="G1610" t="s">
        <v>1351</v>
      </c>
      <c r="H1610" t="s">
        <v>324</v>
      </c>
      <c r="I1610" t="s">
        <v>289</v>
      </c>
      <c r="J1610" t="s">
        <v>1968</v>
      </c>
      <c r="K1610">
        <v>7</v>
      </c>
      <c r="L1610" s="6">
        <v>2.1335999999999999</v>
      </c>
      <c r="M1610" s="7">
        <v>25.4</v>
      </c>
      <c r="N1610" s="7">
        <v>88.9</v>
      </c>
      <c r="O1610" s="7">
        <f t="shared" si="127"/>
        <v>84</v>
      </c>
      <c r="P1610" s="7">
        <f t="shared" si="128"/>
        <v>1</v>
      </c>
      <c r="Q1610" s="7">
        <f t="shared" si="128"/>
        <v>3.5000000000000004</v>
      </c>
      <c r="R1610" s="6">
        <f t="shared" si="129"/>
        <v>1452.9459999999999</v>
      </c>
      <c r="S1610" s="6">
        <f t="shared" si="130"/>
        <v>4.8177968159999994E-3</v>
      </c>
      <c r="T1610" t="str">
        <f t="shared" si="131"/>
        <v>Ipe Grooved 5/4x4 Short</v>
      </c>
    </row>
    <row r="1611" spans="1:20" x14ac:dyDescent="0.25">
      <c r="A1611" t="s">
        <v>1351</v>
      </c>
      <c r="B1611" t="s">
        <v>1965</v>
      </c>
      <c r="C1611" t="s">
        <v>283</v>
      </c>
      <c r="D1611" t="s">
        <v>438</v>
      </c>
      <c r="E1611" t="s">
        <v>2004</v>
      </c>
      <c r="F1611" t="s">
        <v>1967</v>
      </c>
      <c r="G1611" t="s">
        <v>1351</v>
      </c>
      <c r="H1611" t="s">
        <v>373</v>
      </c>
      <c r="I1611" t="s">
        <v>289</v>
      </c>
      <c r="J1611" t="s">
        <v>1968</v>
      </c>
      <c r="K1611">
        <v>8</v>
      </c>
      <c r="L1611" s="6">
        <v>2.4384000000000001</v>
      </c>
      <c r="M1611" s="7">
        <v>25.4</v>
      </c>
      <c r="N1611" s="7">
        <v>88.9</v>
      </c>
      <c r="O1611" s="7">
        <f t="shared" si="127"/>
        <v>96.000000000000014</v>
      </c>
      <c r="P1611" s="7">
        <f t="shared" si="128"/>
        <v>1</v>
      </c>
      <c r="Q1611" s="7">
        <f t="shared" si="128"/>
        <v>3.5000000000000004</v>
      </c>
      <c r="R1611" s="6">
        <f t="shared" si="129"/>
        <v>1452.9459999999999</v>
      </c>
      <c r="S1611" s="6">
        <f t="shared" si="130"/>
        <v>5.5060535040000001E-3</v>
      </c>
      <c r="T1611" t="str">
        <f t="shared" si="131"/>
        <v>Ipe S4S E4E 5/4x4 Long</v>
      </c>
    </row>
    <row r="1612" spans="1:20" x14ac:dyDescent="0.25">
      <c r="A1612" t="s">
        <v>1351</v>
      </c>
      <c r="B1612" t="s">
        <v>1965</v>
      </c>
      <c r="C1612" t="s">
        <v>283</v>
      </c>
      <c r="D1612" t="s">
        <v>438</v>
      </c>
      <c r="E1612" t="s">
        <v>2005</v>
      </c>
      <c r="F1612" t="s">
        <v>1970</v>
      </c>
      <c r="G1612" t="s">
        <v>1351</v>
      </c>
      <c r="H1612" t="s">
        <v>324</v>
      </c>
      <c r="I1612" t="s">
        <v>289</v>
      </c>
      <c r="J1612" t="s">
        <v>1968</v>
      </c>
      <c r="K1612">
        <v>8</v>
      </c>
      <c r="L1612" s="6">
        <v>2.4384000000000001</v>
      </c>
      <c r="M1612" s="7">
        <v>25.4</v>
      </c>
      <c r="N1612" s="7">
        <v>88.9</v>
      </c>
      <c r="O1612" s="7">
        <f t="shared" si="127"/>
        <v>96.000000000000014</v>
      </c>
      <c r="P1612" s="7">
        <f t="shared" si="128"/>
        <v>1</v>
      </c>
      <c r="Q1612" s="7">
        <f t="shared" si="128"/>
        <v>3.5000000000000004</v>
      </c>
      <c r="R1612" s="6">
        <f t="shared" si="129"/>
        <v>1452.9459999999999</v>
      </c>
      <c r="S1612" s="6">
        <f t="shared" si="130"/>
        <v>5.5060535040000001E-3</v>
      </c>
      <c r="T1612" t="str">
        <f t="shared" si="131"/>
        <v>Ipe Grooved 5/4x4 Long</v>
      </c>
    </row>
    <row r="1613" spans="1:20" x14ac:dyDescent="0.25">
      <c r="A1613" t="s">
        <v>1351</v>
      </c>
      <c r="B1613" t="s">
        <v>1965</v>
      </c>
      <c r="C1613" t="s">
        <v>283</v>
      </c>
      <c r="D1613" t="s">
        <v>438</v>
      </c>
      <c r="E1613" t="s">
        <v>2006</v>
      </c>
      <c r="F1613" t="s">
        <v>1967</v>
      </c>
      <c r="G1613" t="s">
        <v>1351</v>
      </c>
      <c r="H1613" t="s">
        <v>373</v>
      </c>
      <c r="I1613" t="s">
        <v>289</v>
      </c>
      <c r="J1613" t="s">
        <v>1968</v>
      </c>
      <c r="K1613">
        <v>9</v>
      </c>
      <c r="L1613" s="6">
        <v>2.7431999999999999</v>
      </c>
      <c r="M1613" s="7">
        <v>25.4</v>
      </c>
      <c r="N1613" s="7">
        <v>88.9</v>
      </c>
      <c r="O1613" s="7">
        <f t="shared" si="127"/>
        <v>108</v>
      </c>
      <c r="P1613" s="7">
        <f t="shared" si="128"/>
        <v>1</v>
      </c>
      <c r="Q1613" s="7">
        <f t="shared" si="128"/>
        <v>3.5000000000000004</v>
      </c>
      <c r="R1613" s="6">
        <f t="shared" si="129"/>
        <v>1452.9459999999999</v>
      </c>
      <c r="S1613" s="6">
        <f t="shared" si="130"/>
        <v>6.1943101919999998E-3</v>
      </c>
      <c r="T1613" t="str">
        <f t="shared" si="131"/>
        <v>Ipe S4S E4E 5/4x4 Long</v>
      </c>
    </row>
    <row r="1614" spans="1:20" x14ac:dyDescent="0.25">
      <c r="A1614" t="s">
        <v>1351</v>
      </c>
      <c r="B1614" t="s">
        <v>1965</v>
      </c>
      <c r="C1614" t="s">
        <v>283</v>
      </c>
      <c r="D1614" t="s">
        <v>438</v>
      </c>
      <c r="E1614" t="s">
        <v>2007</v>
      </c>
      <c r="F1614" t="s">
        <v>1970</v>
      </c>
      <c r="G1614" t="s">
        <v>1351</v>
      </c>
      <c r="H1614" t="s">
        <v>324</v>
      </c>
      <c r="I1614" t="s">
        <v>289</v>
      </c>
      <c r="J1614" t="s">
        <v>1968</v>
      </c>
      <c r="K1614">
        <v>9</v>
      </c>
      <c r="L1614" s="6">
        <v>2.7431999999999999</v>
      </c>
      <c r="M1614" s="7">
        <v>25.4</v>
      </c>
      <c r="N1614" s="7">
        <v>88.9</v>
      </c>
      <c r="O1614" s="7">
        <f t="shared" si="127"/>
        <v>108</v>
      </c>
      <c r="P1614" s="7">
        <f t="shared" si="128"/>
        <v>1</v>
      </c>
      <c r="Q1614" s="7">
        <f t="shared" si="128"/>
        <v>3.5000000000000004</v>
      </c>
      <c r="R1614" s="6">
        <f t="shared" si="129"/>
        <v>1452.9459999999999</v>
      </c>
      <c r="S1614" s="6">
        <f t="shared" si="130"/>
        <v>6.1943101919999998E-3</v>
      </c>
      <c r="T1614" t="str">
        <f t="shared" si="131"/>
        <v>Ipe Grooved 5/4x4 Long</v>
      </c>
    </row>
    <row r="1615" spans="1:20" x14ac:dyDescent="0.25">
      <c r="A1615" t="s">
        <v>1351</v>
      </c>
      <c r="B1615" t="s">
        <v>1352</v>
      </c>
      <c r="C1615" t="s">
        <v>283</v>
      </c>
      <c r="D1615" t="s">
        <v>438</v>
      </c>
      <c r="E1615" t="s">
        <v>52</v>
      </c>
      <c r="F1615" t="s">
        <v>2008</v>
      </c>
      <c r="G1615" t="s">
        <v>1351</v>
      </c>
      <c r="H1615" t="s">
        <v>373</v>
      </c>
      <c r="I1615" t="s">
        <v>289</v>
      </c>
      <c r="J1615" t="s">
        <v>301</v>
      </c>
      <c r="K1615">
        <v>10</v>
      </c>
      <c r="L1615" s="6">
        <v>3.048</v>
      </c>
      <c r="M1615" s="7">
        <v>25.4</v>
      </c>
      <c r="N1615" s="7">
        <v>139.69999999999999</v>
      </c>
      <c r="O1615" s="7">
        <f t="shared" si="127"/>
        <v>120</v>
      </c>
      <c r="P1615" s="7">
        <f t="shared" si="128"/>
        <v>1</v>
      </c>
      <c r="Q1615" s="7">
        <f t="shared" si="128"/>
        <v>5.5</v>
      </c>
      <c r="R1615" s="6">
        <f t="shared" si="129"/>
        <v>924.60199999999998</v>
      </c>
      <c r="S1615" s="6">
        <f t="shared" si="130"/>
        <v>1.081546224E-2</v>
      </c>
      <c r="T1615" t="str">
        <f t="shared" si="131"/>
        <v>Ipe S4S E4E 5/4x6 Long</v>
      </c>
    </row>
    <row r="1616" spans="1:20" x14ac:dyDescent="0.25">
      <c r="A1616" t="s">
        <v>1351</v>
      </c>
      <c r="B1616" t="s">
        <v>1352</v>
      </c>
      <c r="C1616" t="s">
        <v>283</v>
      </c>
      <c r="D1616" t="s">
        <v>438</v>
      </c>
      <c r="E1616" t="s">
        <v>237</v>
      </c>
      <c r="F1616" t="s">
        <v>2009</v>
      </c>
      <c r="G1616" t="s">
        <v>1351</v>
      </c>
      <c r="H1616" t="s">
        <v>324</v>
      </c>
      <c r="I1616" t="s">
        <v>289</v>
      </c>
      <c r="J1616" t="s">
        <v>301</v>
      </c>
      <c r="K1616">
        <v>10</v>
      </c>
      <c r="L1616" s="6">
        <v>3.048</v>
      </c>
      <c r="M1616" s="7">
        <v>25.4</v>
      </c>
      <c r="N1616" s="7">
        <v>139.69999999999999</v>
      </c>
      <c r="O1616" s="7">
        <f t="shared" si="127"/>
        <v>120</v>
      </c>
      <c r="P1616" s="7">
        <f t="shared" si="128"/>
        <v>1</v>
      </c>
      <c r="Q1616" s="7">
        <f t="shared" si="128"/>
        <v>5.5</v>
      </c>
      <c r="R1616" s="6">
        <f t="shared" si="129"/>
        <v>924.60199999999998</v>
      </c>
      <c r="S1616" s="6">
        <f t="shared" si="130"/>
        <v>1.081546224E-2</v>
      </c>
      <c r="T1616" t="str">
        <f t="shared" si="131"/>
        <v>Ipe Grooved 5/4x6 Long</v>
      </c>
    </row>
    <row r="1617" spans="1:20" x14ac:dyDescent="0.25">
      <c r="A1617" t="s">
        <v>1351</v>
      </c>
      <c r="B1617" t="s">
        <v>1352</v>
      </c>
      <c r="C1617" t="s">
        <v>283</v>
      </c>
      <c r="D1617" t="s">
        <v>438</v>
      </c>
      <c r="E1617" t="s">
        <v>2010</v>
      </c>
      <c r="F1617" t="s">
        <v>2011</v>
      </c>
      <c r="G1617" t="s">
        <v>1351</v>
      </c>
      <c r="H1617" t="s">
        <v>2012</v>
      </c>
      <c r="I1617" t="s">
        <v>289</v>
      </c>
      <c r="J1617" t="s">
        <v>301</v>
      </c>
      <c r="K1617">
        <v>10</v>
      </c>
      <c r="L1617" s="6">
        <v>3.048</v>
      </c>
      <c r="M1617" s="7">
        <v>25.4</v>
      </c>
      <c r="N1617" s="7">
        <v>139.69999999999999</v>
      </c>
      <c r="O1617" s="7">
        <f t="shared" si="127"/>
        <v>120</v>
      </c>
      <c r="P1617" s="7">
        <f t="shared" si="128"/>
        <v>1</v>
      </c>
      <c r="Q1617" s="7">
        <f t="shared" si="128"/>
        <v>5.5</v>
      </c>
      <c r="R1617" s="6">
        <f t="shared" si="129"/>
        <v>924.60199999999998</v>
      </c>
      <c r="S1617" s="6">
        <f t="shared" si="130"/>
        <v>1.081546224E-2</v>
      </c>
      <c r="T1617" t="str">
        <f t="shared" si="131"/>
        <v>Ipe S4S E4E - Grade B 5/4x6 Long</v>
      </c>
    </row>
    <row r="1618" spans="1:20" x14ac:dyDescent="0.25">
      <c r="A1618" t="s">
        <v>1351</v>
      </c>
      <c r="B1618" t="s">
        <v>2013</v>
      </c>
      <c r="C1618" t="s">
        <v>283</v>
      </c>
      <c r="D1618" t="s">
        <v>438</v>
      </c>
      <c r="E1618" t="s">
        <v>202</v>
      </c>
      <c r="F1618" t="s">
        <v>2014</v>
      </c>
      <c r="G1618" t="s">
        <v>1351</v>
      </c>
      <c r="H1618" t="s">
        <v>2015</v>
      </c>
      <c r="I1618" t="s">
        <v>289</v>
      </c>
      <c r="J1618" t="s">
        <v>2016</v>
      </c>
      <c r="K1618">
        <v>10</v>
      </c>
      <c r="L1618" s="6">
        <v>3.048</v>
      </c>
      <c r="M1618" s="7">
        <v>23</v>
      </c>
      <c r="N1618" s="7">
        <v>139.69999999999999</v>
      </c>
      <c r="O1618" s="7">
        <f t="shared" si="127"/>
        <v>120</v>
      </c>
      <c r="P1618" s="7">
        <f t="shared" si="128"/>
        <v>0.9055118110236221</v>
      </c>
      <c r="Q1618" s="7">
        <f t="shared" si="128"/>
        <v>5.5</v>
      </c>
      <c r="R1618" s="6">
        <f t="shared" si="129"/>
        <v>1021.082</v>
      </c>
      <c r="S1618" s="6">
        <f t="shared" si="130"/>
        <v>9.7935287999999995E-3</v>
      </c>
      <c r="T1618" t="str">
        <f t="shared" si="131"/>
        <v>Ipe S4S E4E - TK 23 7/8x6 Long</v>
      </c>
    </row>
    <row r="1619" spans="1:20" x14ac:dyDescent="0.25">
      <c r="A1619" t="s">
        <v>1351</v>
      </c>
      <c r="B1619" t="s">
        <v>1352</v>
      </c>
      <c r="C1619" t="s">
        <v>283</v>
      </c>
      <c r="D1619" t="s">
        <v>438</v>
      </c>
      <c r="E1619" t="s">
        <v>2017</v>
      </c>
      <c r="F1619" t="s">
        <v>2008</v>
      </c>
      <c r="G1619" t="s">
        <v>1351</v>
      </c>
      <c r="H1619" t="s">
        <v>373</v>
      </c>
      <c r="I1619" t="s">
        <v>289</v>
      </c>
      <c r="J1619" t="s">
        <v>301</v>
      </c>
      <c r="K1619">
        <v>11</v>
      </c>
      <c r="L1619" s="6">
        <v>3.3527999999999998</v>
      </c>
      <c r="M1619" s="7">
        <v>25.4</v>
      </c>
      <c r="N1619" s="7">
        <v>139.69999999999999</v>
      </c>
      <c r="O1619" s="7">
        <f t="shared" si="127"/>
        <v>132</v>
      </c>
      <c r="P1619" s="7">
        <f t="shared" si="128"/>
        <v>1</v>
      </c>
      <c r="Q1619" s="7">
        <f t="shared" si="128"/>
        <v>5.5</v>
      </c>
      <c r="R1619" s="6">
        <f t="shared" si="129"/>
        <v>924.60199999999998</v>
      </c>
      <c r="S1619" s="6">
        <f t="shared" si="130"/>
        <v>1.1897008463999995E-2</v>
      </c>
      <c r="T1619" t="str">
        <f t="shared" si="131"/>
        <v>Ipe S4S E4E 5/4x6 Long</v>
      </c>
    </row>
    <row r="1620" spans="1:20" x14ac:dyDescent="0.25">
      <c r="A1620" t="s">
        <v>1351</v>
      </c>
      <c r="B1620" t="s">
        <v>1352</v>
      </c>
      <c r="C1620" t="s">
        <v>283</v>
      </c>
      <c r="D1620" t="s">
        <v>438</v>
      </c>
      <c r="E1620" t="s">
        <v>2018</v>
      </c>
      <c r="F1620" t="s">
        <v>2009</v>
      </c>
      <c r="G1620" t="s">
        <v>1351</v>
      </c>
      <c r="H1620" t="s">
        <v>324</v>
      </c>
      <c r="I1620" t="s">
        <v>289</v>
      </c>
      <c r="J1620" t="s">
        <v>301</v>
      </c>
      <c r="K1620">
        <v>11</v>
      </c>
      <c r="L1620" s="6">
        <v>3.3527999999999998</v>
      </c>
      <c r="M1620" s="7">
        <v>25.4</v>
      </c>
      <c r="N1620" s="7">
        <v>139.69999999999999</v>
      </c>
      <c r="O1620" s="7">
        <f t="shared" si="127"/>
        <v>132</v>
      </c>
      <c r="P1620" s="7">
        <f t="shared" si="128"/>
        <v>1</v>
      </c>
      <c r="Q1620" s="7">
        <f t="shared" si="128"/>
        <v>5.5</v>
      </c>
      <c r="R1620" s="6">
        <f t="shared" si="129"/>
        <v>924.60199999999998</v>
      </c>
      <c r="S1620" s="6">
        <f t="shared" si="130"/>
        <v>1.1897008463999995E-2</v>
      </c>
      <c r="T1620" t="str">
        <f t="shared" si="131"/>
        <v>Ipe Grooved 5/4x6 Long</v>
      </c>
    </row>
    <row r="1621" spans="1:20" x14ac:dyDescent="0.25">
      <c r="A1621" t="s">
        <v>1351</v>
      </c>
      <c r="B1621" t="s">
        <v>1352</v>
      </c>
      <c r="C1621" t="s">
        <v>283</v>
      </c>
      <c r="D1621" t="s">
        <v>438</v>
      </c>
      <c r="E1621" t="s">
        <v>2019</v>
      </c>
      <c r="F1621" t="s">
        <v>2011</v>
      </c>
      <c r="G1621" t="s">
        <v>1351</v>
      </c>
      <c r="H1621" t="s">
        <v>2012</v>
      </c>
      <c r="I1621" t="s">
        <v>289</v>
      </c>
      <c r="J1621" t="s">
        <v>301</v>
      </c>
      <c r="K1621">
        <v>11</v>
      </c>
      <c r="L1621" s="6">
        <v>3.3527999999999998</v>
      </c>
      <c r="M1621" s="7">
        <v>25.4</v>
      </c>
      <c r="N1621" s="7">
        <v>139.69999999999999</v>
      </c>
      <c r="O1621" s="7">
        <f t="shared" si="127"/>
        <v>132</v>
      </c>
      <c r="P1621" s="7">
        <f t="shared" si="128"/>
        <v>1</v>
      </c>
      <c r="Q1621" s="7">
        <f t="shared" si="128"/>
        <v>5.5</v>
      </c>
      <c r="R1621" s="6">
        <f t="shared" si="129"/>
        <v>924.60199999999998</v>
      </c>
      <c r="S1621" s="6">
        <f t="shared" si="130"/>
        <v>1.1897008463999995E-2</v>
      </c>
      <c r="T1621" t="str">
        <f t="shared" si="131"/>
        <v>Ipe S4S E4E - Grade B 5/4x6 Long</v>
      </c>
    </row>
    <row r="1622" spans="1:20" x14ac:dyDescent="0.25">
      <c r="A1622" t="s">
        <v>1351</v>
      </c>
      <c r="B1622" t="s">
        <v>2013</v>
      </c>
      <c r="C1622" t="s">
        <v>283</v>
      </c>
      <c r="D1622" t="s">
        <v>438</v>
      </c>
      <c r="E1622" t="s">
        <v>2020</v>
      </c>
      <c r="F1622" t="s">
        <v>2014</v>
      </c>
      <c r="G1622" t="s">
        <v>1351</v>
      </c>
      <c r="H1622" t="s">
        <v>2015</v>
      </c>
      <c r="I1622" t="s">
        <v>289</v>
      </c>
      <c r="J1622" t="s">
        <v>2016</v>
      </c>
      <c r="K1622">
        <v>11</v>
      </c>
      <c r="L1622" s="6">
        <v>3.3527999999999998</v>
      </c>
      <c r="M1622" s="7">
        <v>23</v>
      </c>
      <c r="N1622" s="7">
        <v>139.69999999999999</v>
      </c>
      <c r="O1622" s="7">
        <f t="shared" si="127"/>
        <v>132</v>
      </c>
      <c r="P1622" s="7">
        <f t="shared" si="128"/>
        <v>0.9055118110236221</v>
      </c>
      <c r="Q1622" s="7">
        <f t="shared" si="128"/>
        <v>5.5</v>
      </c>
      <c r="R1622" s="6">
        <f t="shared" si="129"/>
        <v>1021.082</v>
      </c>
      <c r="S1622" s="6">
        <f t="shared" si="130"/>
        <v>1.0772881679999997E-2</v>
      </c>
      <c r="T1622" t="str">
        <f t="shared" si="131"/>
        <v>Ipe S4S E4E - TK 23 7/8x6 Long</v>
      </c>
    </row>
    <row r="1623" spans="1:20" x14ac:dyDescent="0.25">
      <c r="A1623" t="s">
        <v>1351</v>
      </c>
      <c r="B1623" t="s">
        <v>1352</v>
      </c>
      <c r="C1623" t="s">
        <v>283</v>
      </c>
      <c r="D1623" t="s">
        <v>438</v>
      </c>
      <c r="E1623" t="s">
        <v>198</v>
      </c>
      <c r="F1623" t="s">
        <v>2008</v>
      </c>
      <c r="G1623" t="s">
        <v>1351</v>
      </c>
      <c r="H1623" t="s">
        <v>373</v>
      </c>
      <c r="I1623" t="s">
        <v>289</v>
      </c>
      <c r="J1623" t="s">
        <v>301</v>
      </c>
      <c r="K1623">
        <v>12</v>
      </c>
      <c r="L1623" s="6">
        <v>3.6576</v>
      </c>
      <c r="M1623" s="7">
        <v>25.4</v>
      </c>
      <c r="N1623" s="7">
        <v>139.69999999999999</v>
      </c>
      <c r="O1623" s="7">
        <f t="shared" si="127"/>
        <v>144</v>
      </c>
      <c r="P1623" s="7">
        <f t="shared" si="128"/>
        <v>1</v>
      </c>
      <c r="Q1623" s="7">
        <f t="shared" si="128"/>
        <v>5.5</v>
      </c>
      <c r="R1623" s="6">
        <f t="shared" si="129"/>
        <v>924.60199999999998</v>
      </c>
      <c r="S1623" s="6">
        <f t="shared" si="130"/>
        <v>1.2978554687999997E-2</v>
      </c>
      <c r="T1623" t="str">
        <f t="shared" si="131"/>
        <v>Ipe S4S E4E 5/4x6 Long</v>
      </c>
    </row>
    <row r="1624" spans="1:20" x14ac:dyDescent="0.25">
      <c r="A1624" t="s">
        <v>1351</v>
      </c>
      <c r="B1624" t="s">
        <v>1352</v>
      </c>
      <c r="C1624" t="s">
        <v>283</v>
      </c>
      <c r="D1624" t="s">
        <v>438</v>
      </c>
      <c r="E1624" t="s">
        <v>206</v>
      </c>
      <c r="F1624" t="s">
        <v>2009</v>
      </c>
      <c r="G1624" t="s">
        <v>1351</v>
      </c>
      <c r="H1624" t="s">
        <v>324</v>
      </c>
      <c r="I1624" t="s">
        <v>289</v>
      </c>
      <c r="J1624" t="s">
        <v>301</v>
      </c>
      <c r="K1624">
        <v>12</v>
      </c>
      <c r="L1624" s="6">
        <v>3.6576</v>
      </c>
      <c r="M1624" s="7">
        <v>25.4</v>
      </c>
      <c r="N1624" s="7">
        <v>139.69999999999999</v>
      </c>
      <c r="O1624" s="7">
        <f t="shared" si="127"/>
        <v>144</v>
      </c>
      <c r="P1624" s="7">
        <f t="shared" si="128"/>
        <v>1</v>
      </c>
      <c r="Q1624" s="7">
        <f t="shared" si="128"/>
        <v>5.5</v>
      </c>
      <c r="R1624" s="6">
        <f t="shared" si="129"/>
        <v>924.60199999999998</v>
      </c>
      <c r="S1624" s="6">
        <f t="shared" si="130"/>
        <v>1.2978554687999997E-2</v>
      </c>
      <c r="T1624" t="str">
        <f t="shared" si="131"/>
        <v>Ipe Grooved 5/4x6 Long</v>
      </c>
    </row>
    <row r="1625" spans="1:20" x14ac:dyDescent="0.25">
      <c r="A1625" t="s">
        <v>1351</v>
      </c>
      <c r="B1625" t="s">
        <v>1352</v>
      </c>
      <c r="C1625" t="s">
        <v>283</v>
      </c>
      <c r="D1625" t="s">
        <v>438</v>
      </c>
      <c r="E1625" t="s">
        <v>2021</v>
      </c>
      <c r="F1625" t="s">
        <v>2011</v>
      </c>
      <c r="G1625" t="s">
        <v>1351</v>
      </c>
      <c r="H1625" t="s">
        <v>2012</v>
      </c>
      <c r="I1625" t="s">
        <v>289</v>
      </c>
      <c r="J1625" t="s">
        <v>301</v>
      </c>
      <c r="K1625">
        <v>12</v>
      </c>
      <c r="L1625" s="6">
        <v>3.6576</v>
      </c>
      <c r="M1625" s="7">
        <v>25.4</v>
      </c>
      <c r="N1625" s="7">
        <v>139.69999999999999</v>
      </c>
      <c r="O1625" s="7">
        <f t="shared" si="127"/>
        <v>144</v>
      </c>
      <c r="P1625" s="7">
        <f t="shared" si="128"/>
        <v>1</v>
      </c>
      <c r="Q1625" s="7">
        <f t="shared" si="128"/>
        <v>5.5</v>
      </c>
      <c r="R1625" s="6">
        <f t="shared" si="129"/>
        <v>924.60199999999998</v>
      </c>
      <c r="S1625" s="6">
        <f t="shared" si="130"/>
        <v>1.2978554687999997E-2</v>
      </c>
      <c r="T1625" t="str">
        <f t="shared" si="131"/>
        <v>Ipe S4S E4E - Grade B 5/4x6 Long</v>
      </c>
    </row>
    <row r="1626" spans="1:20" x14ac:dyDescent="0.25">
      <c r="A1626" t="s">
        <v>1351</v>
      </c>
      <c r="B1626" t="s">
        <v>2013</v>
      </c>
      <c r="C1626" t="s">
        <v>283</v>
      </c>
      <c r="D1626" t="s">
        <v>438</v>
      </c>
      <c r="E1626" t="s">
        <v>2022</v>
      </c>
      <c r="F1626" t="s">
        <v>2014</v>
      </c>
      <c r="G1626" t="s">
        <v>1351</v>
      </c>
      <c r="H1626" t="s">
        <v>2015</v>
      </c>
      <c r="I1626" t="s">
        <v>289</v>
      </c>
      <c r="J1626" t="s">
        <v>2016</v>
      </c>
      <c r="K1626">
        <v>12</v>
      </c>
      <c r="L1626" s="6">
        <v>3.6576</v>
      </c>
      <c r="M1626" s="7">
        <v>23</v>
      </c>
      <c r="N1626" s="7">
        <v>139.69999999999999</v>
      </c>
      <c r="O1626" s="7">
        <f t="shared" si="127"/>
        <v>144</v>
      </c>
      <c r="P1626" s="7">
        <f t="shared" si="128"/>
        <v>0.9055118110236221</v>
      </c>
      <c r="Q1626" s="7">
        <f t="shared" si="128"/>
        <v>5.5</v>
      </c>
      <c r="R1626" s="6">
        <f t="shared" si="129"/>
        <v>1021.082</v>
      </c>
      <c r="S1626" s="6">
        <f t="shared" si="130"/>
        <v>1.175223456E-2</v>
      </c>
      <c r="T1626" t="str">
        <f t="shared" si="131"/>
        <v>Ipe S4S E4E - TK 23 7/8x6 Long</v>
      </c>
    </row>
    <row r="1627" spans="1:20" x14ac:dyDescent="0.25">
      <c r="A1627" t="s">
        <v>1351</v>
      </c>
      <c r="B1627" t="s">
        <v>1352</v>
      </c>
      <c r="C1627" t="s">
        <v>283</v>
      </c>
      <c r="D1627" t="s">
        <v>438</v>
      </c>
      <c r="E1627" t="s">
        <v>2023</v>
      </c>
      <c r="F1627" t="s">
        <v>2008</v>
      </c>
      <c r="G1627" t="s">
        <v>1351</v>
      </c>
      <c r="H1627" t="s">
        <v>373</v>
      </c>
      <c r="I1627" t="s">
        <v>289</v>
      </c>
      <c r="J1627" t="s">
        <v>301</v>
      </c>
      <c r="K1627">
        <v>13</v>
      </c>
      <c r="L1627" s="6">
        <v>3.9624000000000001</v>
      </c>
      <c r="M1627" s="7">
        <v>25.4</v>
      </c>
      <c r="N1627" s="7">
        <v>139.69999999999999</v>
      </c>
      <c r="O1627" s="7">
        <f t="shared" si="127"/>
        <v>156</v>
      </c>
      <c r="P1627" s="7">
        <f t="shared" si="128"/>
        <v>1</v>
      </c>
      <c r="Q1627" s="7">
        <f t="shared" si="128"/>
        <v>5.5</v>
      </c>
      <c r="R1627" s="6">
        <f t="shared" si="129"/>
        <v>924.60199999999998</v>
      </c>
      <c r="S1627" s="6">
        <f t="shared" si="130"/>
        <v>1.4060100911999997E-2</v>
      </c>
      <c r="T1627" t="str">
        <f t="shared" si="131"/>
        <v>Ipe S4S E4E 5/4x6 Long</v>
      </c>
    </row>
    <row r="1628" spans="1:20" x14ac:dyDescent="0.25">
      <c r="A1628" t="s">
        <v>1351</v>
      </c>
      <c r="B1628" t="s">
        <v>1352</v>
      </c>
      <c r="C1628" t="s">
        <v>283</v>
      </c>
      <c r="D1628" t="s">
        <v>438</v>
      </c>
      <c r="E1628" t="s">
        <v>2024</v>
      </c>
      <c r="F1628" t="s">
        <v>2009</v>
      </c>
      <c r="G1628" t="s">
        <v>1351</v>
      </c>
      <c r="H1628" t="s">
        <v>324</v>
      </c>
      <c r="I1628" t="s">
        <v>289</v>
      </c>
      <c r="J1628" t="s">
        <v>301</v>
      </c>
      <c r="K1628">
        <v>13</v>
      </c>
      <c r="L1628" s="6">
        <v>3.9624000000000001</v>
      </c>
      <c r="M1628" s="7">
        <v>25.4</v>
      </c>
      <c r="N1628" s="7">
        <v>139.69999999999999</v>
      </c>
      <c r="O1628" s="7">
        <f t="shared" si="127"/>
        <v>156</v>
      </c>
      <c r="P1628" s="7">
        <f t="shared" si="128"/>
        <v>1</v>
      </c>
      <c r="Q1628" s="7">
        <f t="shared" si="128"/>
        <v>5.5</v>
      </c>
      <c r="R1628" s="6">
        <f t="shared" si="129"/>
        <v>924.60199999999998</v>
      </c>
      <c r="S1628" s="6">
        <f t="shared" si="130"/>
        <v>1.4060100911999997E-2</v>
      </c>
      <c r="T1628" t="str">
        <f t="shared" si="131"/>
        <v>Ipe Grooved 5/4x6 Long</v>
      </c>
    </row>
    <row r="1629" spans="1:20" x14ac:dyDescent="0.25">
      <c r="A1629" t="s">
        <v>1351</v>
      </c>
      <c r="B1629" t="s">
        <v>1352</v>
      </c>
      <c r="C1629" t="s">
        <v>283</v>
      </c>
      <c r="D1629" t="s">
        <v>438</v>
      </c>
      <c r="E1629" t="s">
        <v>2025</v>
      </c>
      <c r="F1629" t="s">
        <v>2011</v>
      </c>
      <c r="G1629" t="s">
        <v>1351</v>
      </c>
      <c r="H1629" t="s">
        <v>2012</v>
      </c>
      <c r="I1629" t="s">
        <v>289</v>
      </c>
      <c r="J1629" t="s">
        <v>301</v>
      </c>
      <c r="K1629">
        <v>13</v>
      </c>
      <c r="L1629" s="6">
        <v>3.9624000000000001</v>
      </c>
      <c r="M1629" s="7">
        <v>25.4</v>
      </c>
      <c r="N1629" s="7">
        <v>139.69999999999999</v>
      </c>
      <c r="O1629" s="7">
        <f t="shared" si="127"/>
        <v>156</v>
      </c>
      <c r="P1629" s="7">
        <f t="shared" si="128"/>
        <v>1</v>
      </c>
      <c r="Q1629" s="7">
        <f t="shared" si="128"/>
        <v>5.5</v>
      </c>
      <c r="R1629" s="6">
        <f t="shared" si="129"/>
        <v>924.60199999999998</v>
      </c>
      <c r="S1629" s="6">
        <f t="shared" si="130"/>
        <v>1.4060100911999997E-2</v>
      </c>
      <c r="T1629" t="str">
        <f t="shared" si="131"/>
        <v>Ipe S4S E4E - Grade B 5/4x6 Long</v>
      </c>
    </row>
    <row r="1630" spans="1:20" x14ac:dyDescent="0.25">
      <c r="A1630" t="s">
        <v>1351</v>
      </c>
      <c r="B1630" t="s">
        <v>2013</v>
      </c>
      <c r="C1630" t="s">
        <v>283</v>
      </c>
      <c r="D1630" t="s">
        <v>438</v>
      </c>
      <c r="E1630" t="s">
        <v>2026</v>
      </c>
      <c r="F1630" t="s">
        <v>2014</v>
      </c>
      <c r="G1630" t="s">
        <v>1351</v>
      </c>
      <c r="H1630" t="s">
        <v>2015</v>
      </c>
      <c r="I1630" t="s">
        <v>289</v>
      </c>
      <c r="J1630" t="s">
        <v>2016</v>
      </c>
      <c r="K1630">
        <v>13</v>
      </c>
      <c r="L1630" s="6">
        <v>3.9624000000000001</v>
      </c>
      <c r="M1630" s="7">
        <v>23</v>
      </c>
      <c r="N1630" s="7">
        <v>139.69999999999999</v>
      </c>
      <c r="O1630" s="7">
        <f t="shared" ref="O1630:O1693" si="132">L1630/0.0254</f>
        <v>156</v>
      </c>
      <c r="P1630" s="7">
        <f t="shared" ref="P1630:Q1693" si="133">M1630/25.4</f>
        <v>0.9055118110236221</v>
      </c>
      <c r="Q1630" s="7">
        <f t="shared" si="133"/>
        <v>5.5</v>
      </c>
      <c r="R1630" s="6">
        <f t="shared" ref="R1630:R1693" si="134">ROUND(IFERROR(1/((M1630*N1630*0.3048)/1000000),0),3)</f>
        <v>1021.082</v>
      </c>
      <c r="S1630" s="6">
        <f t="shared" ref="S1630:S1693" si="135">L1630*M1630/1000*N1630/1000</f>
        <v>1.2731587439999999E-2</v>
      </c>
      <c r="T1630" t="str">
        <f t="shared" si="131"/>
        <v>Ipe S4S E4E - TK 23 7/8x6 Long</v>
      </c>
    </row>
    <row r="1631" spans="1:20" x14ac:dyDescent="0.25">
      <c r="A1631" t="s">
        <v>1351</v>
      </c>
      <c r="B1631" t="s">
        <v>1352</v>
      </c>
      <c r="C1631" t="s">
        <v>283</v>
      </c>
      <c r="D1631" t="s">
        <v>438</v>
      </c>
      <c r="E1631" t="s">
        <v>197</v>
      </c>
      <c r="F1631" t="s">
        <v>2008</v>
      </c>
      <c r="G1631" t="s">
        <v>1351</v>
      </c>
      <c r="H1631" t="s">
        <v>373</v>
      </c>
      <c r="I1631" t="s">
        <v>289</v>
      </c>
      <c r="J1631" t="s">
        <v>301</v>
      </c>
      <c r="K1631">
        <v>14</v>
      </c>
      <c r="L1631" s="6">
        <v>4.2671999999999999</v>
      </c>
      <c r="M1631" s="7">
        <v>25.4</v>
      </c>
      <c r="N1631" s="7">
        <v>139.69999999999999</v>
      </c>
      <c r="O1631" s="7">
        <f t="shared" si="132"/>
        <v>168</v>
      </c>
      <c r="P1631" s="7">
        <f t="shared" si="133"/>
        <v>1</v>
      </c>
      <c r="Q1631" s="7">
        <f t="shared" si="133"/>
        <v>5.5</v>
      </c>
      <c r="R1631" s="6">
        <f t="shared" si="134"/>
        <v>924.60199999999998</v>
      </c>
      <c r="S1631" s="6">
        <f t="shared" si="135"/>
        <v>1.5141647135999997E-2</v>
      </c>
      <c r="T1631" t="str">
        <f t="shared" si="131"/>
        <v>Ipe S4S E4E 5/4x6 Long</v>
      </c>
    </row>
    <row r="1632" spans="1:20" x14ac:dyDescent="0.25">
      <c r="A1632" t="s">
        <v>1351</v>
      </c>
      <c r="B1632" t="s">
        <v>1352</v>
      </c>
      <c r="C1632" t="s">
        <v>283</v>
      </c>
      <c r="D1632" t="s">
        <v>438</v>
      </c>
      <c r="E1632" t="s">
        <v>238</v>
      </c>
      <c r="F1632" t="s">
        <v>2009</v>
      </c>
      <c r="G1632" t="s">
        <v>1351</v>
      </c>
      <c r="H1632" t="s">
        <v>324</v>
      </c>
      <c r="I1632" t="s">
        <v>289</v>
      </c>
      <c r="J1632" t="s">
        <v>301</v>
      </c>
      <c r="K1632">
        <v>14</v>
      </c>
      <c r="L1632" s="6">
        <v>4.2671999999999999</v>
      </c>
      <c r="M1632" s="7">
        <v>25.4</v>
      </c>
      <c r="N1632" s="7">
        <v>139.69999999999999</v>
      </c>
      <c r="O1632" s="7">
        <f t="shared" si="132"/>
        <v>168</v>
      </c>
      <c r="P1632" s="7">
        <f t="shared" si="133"/>
        <v>1</v>
      </c>
      <c r="Q1632" s="7">
        <f t="shared" si="133"/>
        <v>5.5</v>
      </c>
      <c r="R1632" s="6">
        <f t="shared" si="134"/>
        <v>924.60199999999998</v>
      </c>
      <c r="S1632" s="6">
        <f t="shared" si="135"/>
        <v>1.5141647135999997E-2</v>
      </c>
      <c r="T1632" t="str">
        <f t="shared" si="131"/>
        <v>Ipe Grooved 5/4x6 Long</v>
      </c>
    </row>
    <row r="1633" spans="1:20" x14ac:dyDescent="0.25">
      <c r="A1633" t="s">
        <v>1351</v>
      </c>
      <c r="B1633" t="s">
        <v>1352</v>
      </c>
      <c r="C1633" t="s">
        <v>283</v>
      </c>
      <c r="D1633" t="s">
        <v>438</v>
      </c>
      <c r="E1633" t="s">
        <v>2027</v>
      </c>
      <c r="F1633" t="s">
        <v>2011</v>
      </c>
      <c r="G1633" t="s">
        <v>1351</v>
      </c>
      <c r="H1633" t="s">
        <v>2012</v>
      </c>
      <c r="I1633" t="s">
        <v>289</v>
      </c>
      <c r="J1633" t="s">
        <v>301</v>
      </c>
      <c r="K1633">
        <v>14</v>
      </c>
      <c r="L1633" s="6">
        <v>4.2671999999999999</v>
      </c>
      <c r="M1633" s="7">
        <v>25.4</v>
      </c>
      <c r="N1633" s="7">
        <v>139.69999999999999</v>
      </c>
      <c r="O1633" s="7">
        <f t="shared" si="132"/>
        <v>168</v>
      </c>
      <c r="P1633" s="7">
        <f t="shared" si="133"/>
        <v>1</v>
      </c>
      <c r="Q1633" s="7">
        <f t="shared" si="133"/>
        <v>5.5</v>
      </c>
      <c r="R1633" s="6">
        <f t="shared" si="134"/>
        <v>924.60199999999998</v>
      </c>
      <c r="S1633" s="6">
        <f t="shared" si="135"/>
        <v>1.5141647135999997E-2</v>
      </c>
      <c r="T1633" t="str">
        <f t="shared" si="131"/>
        <v>Ipe S4S E4E - Grade B 5/4x6 Long</v>
      </c>
    </row>
    <row r="1634" spans="1:20" x14ac:dyDescent="0.25">
      <c r="A1634" t="s">
        <v>1351</v>
      </c>
      <c r="B1634" t="s">
        <v>2013</v>
      </c>
      <c r="C1634" t="s">
        <v>283</v>
      </c>
      <c r="D1634" t="s">
        <v>438</v>
      </c>
      <c r="E1634" t="s">
        <v>2028</v>
      </c>
      <c r="F1634" t="s">
        <v>2014</v>
      </c>
      <c r="G1634" t="s">
        <v>1351</v>
      </c>
      <c r="H1634" t="s">
        <v>2015</v>
      </c>
      <c r="I1634" t="s">
        <v>289</v>
      </c>
      <c r="J1634" t="s">
        <v>2016</v>
      </c>
      <c r="K1634">
        <v>14</v>
      </c>
      <c r="L1634" s="6">
        <v>4.2671999999999999</v>
      </c>
      <c r="M1634" s="7">
        <v>23</v>
      </c>
      <c r="N1634" s="7">
        <v>139.69999999999999</v>
      </c>
      <c r="O1634" s="7">
        <f t="shared" si="132"/>
        <v>168</v>
      </c>
      <c r="P1634" s="7">
        <f t="shared" si="133"/>
        <v>0.9055118110236221</v>
      </c>
      <c r="Q1634" s="7">
        <f t="shared" si="133"/>
        <v>5.5</v>
      </c>
      <c r="R1634" s="6">
        <f t="shared" si="134"/>
        <v>1021.082</v>
      </c>
      <c r="S1634" s="6">
        <f t="shared" si="135"/>
        <v>1.3710940319999998E-2</v>
      </c>
      <c r="T1634" t="str">
        <f t="shared" si="131"/>
        <v>Ipe S4S E4E - TK 23 7/8x6 Long</v>
      </c>
    </row>
    <row r="1635" spans="1:20" x14ac:dyDescent="0.25">
      <c r="A1635" t="s">
        <v>1351</v>
      </c>
      <c r="B1635" t="s">
        <v>1352</v>
      </c>
      <c r="C1635" t="s">
        <v>283</v>
      </c>
      <c r="D1635" t="s">
        <v>438</v>
      </c>
      <c r="E1635" t="s">
        <v>2029</v>
      </c>
      <c r="F1635" t="s">
        <v>2008</v>
      </c>
      <c r="G1635" t="s">
        <v>1351</v>
      </c>
      <c r="H1635" t="s">
        <v>373</v>
      </c>
      <c r="I1635" t="s">
        <v>289</v>
      </c>
      <c r="J1635" t="s">
        <v>301</v>
      </c>
      <c r="K1635">
        <v>15</v>
      </c>
      <c r="L1635" s="6">
        <v>4.5720000000000001</v>
      </c>
      <c r="M1635" s="7">
        <v>25.4</v>
      </c>
      <c r="N1635" s="7">
        <v>139.69999999999999</v>
      </c>
      <c r="O1635" s="7">
        <f t="shared" si="132"/>
        <v>180</v>
      </c>
      <c r="P1635" s="7">
        <f t="shared" si="133"/>
        <v>1</v>
      </c>
      <c r="Q1635" s="7">
        <f t="shared" si="133"/>
        <v>5.5</v>
      </c>
      <c r="R1635" s="6">
        <f t="shared" si="134"/>
        <v>924.60199999999998</v>
      </c>
      <c r="S1635" s="6">
        <f t="shared" si="135"/>
        <v>1.6223193359999999E-2</v>
      </c>
      <c r="T1635" t="str">
        <f t="shared" si="131"/>
        <v>Ipe S4S E4E 5/4x6 Long</v>
      </c>
    </row>
    <row r="1636" spans="1:20" x14ac:dyDescent="0.25">
      <c r="A1636" t="s">
        <v>1351</v>
      </c>
      <c r="B1636" t="s">
        <v>1352</v>
      </c>
      <c r="C1636" t="s">
        <v>283</v>
      </c>
      <c r="D1636" t="s">
        <v>438</v>
      </c>
      <c r="E1636" t="s">
        <v>2030</v>
      </c>
      <c r="F1636" t="s">
        <v>2009</v>
      </c>
      <c r="G1636" t="s">
        <v>1351</v>
      </c>
      <c r="H1636" t="s">
        <v>324</v>
      </c>
      <c r="I1636" t="s">
        <v>289</v>
      </c>
      <c r="J1636" t="s">
        <v>301</v>
      </c>
      <c r="K1636">
        <v>15</v>
      </c>
      <c r="L1636" s="6">
        <v>4.5720000000000001</v>
      </c>
      <c r="M1636" s="7">
        <v>25.4</v>
      </c>
      <c r="N1636" s="7">
        <v>139.69999999999999</v>
      </c>
      <c r="O1636" s="7">
        <f t="shared" si="132"/>
        <v>180</v>
      </c>
      <c r="P1636" s="7">
        <f t="shared" si="133"/>
        <v>1</v>
      </c>
      <c r="Q1636" s="7">
        <f t="shared" si="133"/>
        <v>5.5</v>
      </c>
      <c r="R1636" s="6">
        <f t="shared" si="134"/>
        <v>924.60199999999998</v>
      </c>
      <c r="S1636" s="6">
        <f t="shared" si="135"/>
        <v>1.6223193359999999E-2</v>
      </c>
      <c r="T1636" t="str">
        <f t="shared" si="131"/>
        <v>Ipe Grooved 5/4x6 Long</v>
      </c>
    </row>
    <row r="1637" spans="1:20" x14ac:dyDescent="0.25">
      <c r="A1637" t="s">
        <v>1351</v>
      </c>
      <c r="B1637" t="s">
        <v>1352</v>
      </c>
      <c r="C1637" t="s">
        <v>283</v>
      </c>
      <c r="D1637" t="s">
        <v>438</v>
      </c>
      <c r="E1637" t="s">
        <v>2031</v>
      </c>
      <c r="F1637" t="s">
        <v>2011</v>
      </c>
      <c r="G1637" t="s">
        <v>1351</v>
      </c>
      <c r="H1637" t="s">
        <v>2012</v>
      </c>
      <c r="I1637" t="s">
        <v>289</v>
      </c>
      <c r="J1637" t="s">
        <v>301</v>
      </c>
      <c r="K1637">
        <v>15</v>
      </c>
      <c r="L1637" s="6">
        <v>4.5720000000000001</v>
      </c>
      <c r="M1637" s="7">
        <v>25.4</v>
      </c>
      <c r="N1637" s="7">
        <v>139.69999999999999</v>
      </c>
      <c r="O1637" s="7">
        <f t="shared" si="132"/>
        <v>180</v>
      </c>
      <c r="P1637" s="7">
        <f t="shared" si="133"/>
        <v>1</v>
      </c>
      <c r="Q1637" s="7">
        <f t="shared" si="133"/>
        <v>5.5</v>
      </c>
      <c r="R1637" s="6">
        <f t="shared" si="134"/>
        <v>924.60199999999998</v>
      </c>
      <c r="S1637" s="6">
        <f t="shared" si="135"/>
        <v>1.6223193359999999E-2</v>
      </c>
      <c r="T1637" t="str">
        <f t="shared" si="131"/>
        <v>Ipe S4S E4E - Grade B 5/4x6 Long</v>
      </c>
    </row>
    <row r="1638" spans="1:20" x14ac:dyDescent="0.25">
      <c r="A1638" t="s">
        <v>1351</v>
      </c>
      <c r="B1638" t="s">
        <v>2013</v>
      </c>
      <c r="C1638" t="s">
        <v>283</v>
      </c>
      <c r="D1638" t="s">
        <v>438</v>
      </c>
      <c r="E1638" t="s">
        <v>2032</v>
      </c>
      <c r="F1638" t="s">
        <v>2014</v>
      </c>
      <c r="G1638" t="s">
        <v>1351</v>
      </c>
      <c r="H1638" t="s">
        <v>2015</v>
      </c>
      <c r="I1638" t="s">
        <v>289</v>
      </c>
      <c r="J1638" t="s">
        <v>2016</v>
      </c>
      <c r="K1638">
        <v>15</v>
      </c>
      <c r="L1638" s="6">
        <v>4.5720000000000001</v>
      </c>
      <c r="M1638" s="7">
        <v>23</v>
      </c>
      <c r="N1638" s="7">
        <v>139.69999999999999</v>
      </c>
      <c r="O1638" s="7">
        <f t="shared" si="132"/>
        <v>180</v>
      </c>
      <c r="P1638" s="7">
        <f t="shared" si="133"/>
        <v>0.9055118110236221</v>
      </c>
      <c r="Q1638" s="7">
        <f t="shared" si="133"/>
        <v>5.5</v>
      </c>
      <c r="R1638" s="6">
        <f t="shared" si="134"/>
        <v>1021.082</v>
      </c>
      <c r="S1638" s="6">
        <f t="shared" si="135"/>
        <v>1.4690293199999999E-2</v>
      </c>
      <c r="T1638" t="str">
        <f t="shared" si="131"/>
        <v>Ipe S4S E4E - TK 23 7/8x6 Long</v>
      </c>
    </row>
    <row r="1639" spans="1:20" x14ac:dyDescent="0.25">
      <c r="A1639" t="s">
        <v>1351</v>
      </c>
      <c r="B1639" t="s">
        <v>1352</v>
      </c>
      <c r="C1639" t="s">
        <v>283</v>
      </c>
      <c r="D1639" t="s">
        <v>438</v>
      </c>
      <c r="E1639" t="s">
        <v>199</v>
      </c>
      <c r="F1639" t="s">
        <v>2008</v>
      </c>
      <c r="G1639" t="s">
        <v>1351</v>
      </c>
      <c r="H1639" t="s">
        <v>373</v>
      </c>
      <c r="I1639" t="s">
        <v>289</v>
      </c>
      <c r="J1639" t="s">
        <v>301</v>
      </c>
      <c r="K1639">
        <v>16</v>
      </c>
      <c r="L1639" s="6">
        <v>4.8768000000000002</v>
      </c>
      <c r="M1639" s="7">
        <v>25.4</v>
      </c>
      <c r="N1639" s="7">
        <v>139.69999999999999</v>
      </c>
      <c r="O1639" s="7">
        <f t="shared" si="132"/>
        <v>192.00000000000003</v>
      </c>
      <c r="P1639" s="7">
        <f t="shared" si="133"/>
        <v>1</v>
      </c>
      <c r="Q1639" s="7">
        <f t="shared" si="133"/>
        <v>5.5</v>
      </c>
      <c r="R1639" s="6">
        <f t="shared" si="134"/>
        <v>924.60199999999998</v>
      </c>
      <c r="S1639" s="6">
        <f t="shared" si="135"/>
        <v>1.7304739584000001E-2</v>
      </c>
      <c r="T1639" t="str">
        <f t="shared" si="131"/>
        <v>Ipe S4S E4E 5/4x6 Long</v>
      </c>
    </row>
    <row r="1640" spans="1:20" x14ac:dyDescent="0.25">
      <c r="A1640" t="s">
        <v>1351</v>
      </c>
      <c r="B1640" t="s">
        <v>1352</v>
      </c>
      <c r="C1640" t="s">
        <v>283</v>
      </c>
      <c r="D1640" t="s">
        <v>438</v>
      </c>
      <c r="E1640" t="s">
        <v>207</v>
      </c>
      <c r="F1640" t="s">
        <v>2009</v>
      </c>
      <c r="G1640" t="s">
        <v>1351</v>
      </c>
      <c r="H1640" t="s">
        <v>324</v>
      </c>
      <c r="I1640" t="s">
        <v>289</v>
      </c>
      <c r="J1640" t="s">
        <v>301</v>
      </c>
      <c r="K1640">
        <v>16</v>
      </c>
      <c r="L1640" s="6">
        <v>4.8768000000000002</v>
      </c>
      <c r="M1640" s="7">
        <v>25.4</v>
      </c>
      <c r="N1640" s="7">
        <v>139.69999999999999</v>
      </c>
      <c r="O1640" s="7">
        <f t="shared" si="132"/>
        <v>192.00000000000003</v>
      </c>
      <c r="P1640" s="7">
        <f t="shared" si="133"/>
        <v>1</v>
      </c>
      <c r="Q1640" s="7">
        <f t="shared" si="133"/>
        <v>5.5</v>
      </c>
      <c r="R1640" s="6">
        <f t="shared" si="134"/>
        <v>924.60199999999998</v>
      </c>
      <c r="S1640" s="6">
        <f t="shared" si="135"/>
        <v>1.7304739584000001E-2</v>
      </c>
      <c r="T1640" t="str">
        <f t="shared" si="131"/>
        <v>Ipe Grooved 5/4x6 Long</v>
      </c>
    </row>
    <row r="1641" spans="1:20" x14ac:dyDescent="0.25">
      <c r="A1641" t="s">
        <v>1351</v>
      </c>
      <c r="B1641" t="s">
        <v>1352</v>
      </c>
      <c r="C1641" t="s">
        <v>283</v>
      </c>
      <c r="D1641" t="s">
        <v>438</v>
      </c>
      <c r="E1641" t="s">
        <v>2033</v>
      </c>
      <c r="F1641" t="s">
        <v>2011</v>
      </c>
      <c r="G1641" t="s">
        <v>1351</v>
      </c>
      <c r="H1641" t="s">
        <v>2012</v>
      </c>
      <c r="I1641" t="s">
        <v>289</v>
      </c>
      <c r="J1641" t="s">
        <v>301</v>
      </c>
      <c r="K1641">
        <v>16</v>
      </c>
      <c r="L1641" s="6">
        <v>4.8768000000000002</v>
      </c>
      <c r="M1641" s="7">
        <v>25.4</v>
      </c>
      <c r="N1641" s="7">
        <v>139.69999999999999</v>
      </c>
      <c r="O1641" s="7">
        <f t="shared" si="132"/>
        <v>192.00000000000003</v>
      </c>
      <c r="P1641" s="7">
        <f t="shared" si="133"/>
        <v>1</v>
      </c>
      <c r="Q1641" s="7">
        <f t="shared" si="133"/>
        <v>5.5</v>
      </c>
      <c r="R1641" s="6">
        <f t="shared" si="134"/>
        <v>924.60199999999998</v>
      </c>
      <c r="S1641" s="6">
        <f t="shared" si="135"/>
        <v>1.7304739584000001E-2</v>
      </c>
      <c r="T1641" t="str">
        <f t="shared" si="131"/>
        <v>Ipe S4S E4E - Grade B 5/4x6 Long</v>
      </c>
    </row>
    <row r="1642" spans="1:20" x14ac:dyDescent="0.25">
      <c r="A1642" t="s">
        <v>1351</v>
      </c>
      <c r="B1642" t="s">
        <v>2013</v>
      </c>
      <c r="C1642" t="s">
        <v>283</v>
      </c>
      <c r="D1642" t="s">
        <v>438</v>
      </c>
      <c r="E1642" t="s">
        <v>2034</v>
      </c>
      <c r="F1642" t="s">
        <v>2014</v>
      </c>
      <c r="G1642" t="s">
        <v>1351</v>
      </c>
      <c r="H1642" t="s">
        <v>2015</v>
      </c>
      <c r="I1642" t="s">
        <v>289</v>
      </c>
      <c r="J1642" t="s">
        <v>2016</v>
      </c>
      <c r="K1642">
        <v>16</v>
      </c>
      <c r="L1642" s="6">
        <v>4.8768000000000002</v>
      </c>
      <c r="M1642" s="7">
        <v>23</v>
      </c>
      <c r="N1642" s="7">
        <v>139.69999999999999</v>
      </c>
      <c r="O1642" s="7">
        <f t="shared" si="132"/>
        <v>192.00000000000003</v>
      </c>
      <c r="P1642" s="7">
        <f t="shared" si="133"/>
        <v>0.9055118110236221</v>
      </c>
      <c r="Q1642" s="7">
        <f t="shared" si="133"/>
        <v>5.5</v>
      </c>
      <c r="R1642" s="6">
        <f t="shared" si="134"/>
        <v>1021.082</v>
      </c>
      <c r="S1642" s="6">
        <f t="shared" si="135"/>
        <v>1.5669646079999999E-2</v>
      </c>
      <c r="T1642" t="str">
        <f t="shared" si="131"/>
        <v>Ipe S4S E4E - TK 23 7/8x6 Long</v>
      </c>
    </row>
    <row r="1643" spans="1:20" x14ac:dyDescent="0.25">
      <c r="A1643" t="s">
        <v>1351</v>
      </c>
      <c r="B1643" t="s">
        <v>1352</v>
      </c>
      <c r="C1643" t="s">
        <v>283</v>
      </c>
      <c r="D1643" t="s">
        <v>438</v>
      </c>
      <c r="E1643" t="s">
        <v>2035</v>
      </c>
      <c r="F1643" t="s">
        <v>2008</v>
      </c>
      <c r="G1643" t="s">
        <v>1351</v>
      </c>
      <c r="H1643" t="s">
        <v>373</v>
      </c>
      <c r="I1643" t="s">
        <v>289</v>
      </c>
      <c r="J1643" t="s">
        <v>301</v>
      </c>
      <c r="K1643">
        <v>17</v>
      </c>
      <c r="L1643" s="6">
        <v>5.1816000000000004</v>
      </c>
      <c r="M1643" s="7">
        <v>25.4</v>
      </c>
      <c r="N1643" s="7">
        <v>139.69999999999999</v>
      </c>
      <c r="O1643" s="7">
        <f t="shared" si="132"/>
        <v>204.00000000000003</v>
      </c>
      <c r="P1643" s="7">
        <f t="shared" si="133"/>
        <v>1</v>
      </c>
      <c r="Q1643" s="7">
        <f t="shared" si="133"/>
        <v>5.5</v>
      </c>
      <c r="R1643" s="6">
        <f t="shared" si="134"/>
        <v>924.60199999999998</v>
      </c>
      <c r="S1643" s="6">
        <f t="shared" si="135"/>
        <v>1.8386285807999999E-2</v>
      </c>
      <c r="T1643" t="str">
        <f t="shared" si="131"/>
        <v>Ipe S4S E4E 5/4x6 Long</v>
      </c>
    </row>
    <row r="1644" spans="1:20" x14ac:dyDescent="0.25">
      <c r="A1644" t="s">
        <v>1351</v>
      </c>
      <c r="B1644" t="s">
        <v>1352</v>
      </c>
      <c r="C1644" t="s">
        <v>283</v>
      </c>
      <c r="D1644" t="s">
        <v>438</v>
      </c>
      <c r="E1644" t="s">
        <v>2036</v>
      </c>
      <c r="F1644" t="s">
        <v>2009</v>
      </c>
      <c r="G1644" t="s">
        <v>1351</v>
      </c>
      <c r="H1644" t="s">
        <v>324</v>
      </c>
      <c r="I1644" t="s">
        <v>289</v>
      </c>
      <c r="J1644" t="s">
        <v>301</v>
      </c>
      <c r="K1644">
        <v>17</v>
      </c>
      <c r="L1644" s="6">
        <v>5.1816000000000004</v>
      </c>
      <c r="M1644" s="7">
        <v>25.4</v>
      </c>
      <c r="N1644" s="7">
        <v>139.69999999999999</v>
      </c>
      <c r="O1644" s="7">
        <f t="shared" si="132"/>
        <v>204.00000000000003</v>
      </c>
      <c r="P1644" s="7">
        <f t="shared" si="133"/>
        <v>1</v>
      </c>
      <c r="Q1644" s="7">
        <f t="shared" si="133"/>
        <v>5.5</v>
      </c>
      <c r="R1644" s="6">
        <f t="shared" si="134"/>
        <v>924.60199999999998</v>
      </c>
      <c r="S1644" s="6">
        <f t="shared" si="135"/>
        <v>1.8386285807999999E-2</v>
      </c>
      <c r="T1644" t="str">
        <f t="shared" si="131"/>
        <v>Ipe Grooved 5/4x6 Long</v>
      </c>
    </row>
    <row r="1645" spans="1:20" x14ac:dyDescent="0.25">
      <c r="A1645" t="s">
        <v>1351</v>
      </c>
      <c r="B1645" t="s">
        <v>1352</v>
      </c>
      <c r="C1645" t="s">
        <v>283</v>
      </c>
      <c r="D1645" t="s">
        <v>438</v>
      </c>
      <c r="E1645" t="s">
        <v>2037</v>
      </c>
      <c r="F1645" t="s">
        <v>2011</v>
      </c>
      <c r="G1645" t="s">
        <v>1351</v>
      </c>
      <c r="H1645" t="s">
        <v>2012</v>
      </c>
      <c r="I1645" t="s">
        <v>289</v>
      </c>
      <c r="J1645" t="s">
        <v>301</v>
      </c>
      <c r="K1645">
        <v>17</v>
      </c>
      <c r="L1645" s="6">
        <v>5.1816000000000004</v>
      </c>
      <c r="M1645" s="7">
        <v>25.4</v>
      </c>
      <c r="N1645" s="7">
        <v>139.69999999999999</v>
      </c>
      <c r="O1645" s="7">
        <f t="shared" si="132"/>
        <v>204.00000000000003</v>
      </c>
      <c r="P1645" s="7">
        <f t="shared" si="133"/>
        <v>1</v>
      </c>
      <c r="Q1645" s="7">
        <f t="shared" si="133"/>
        <v>5.5</v>
      </c>
      <c r="R1645" s="6">
        <f t="shared" si="134"/>
        <v>924.60199999999998</v>
      </c>
      <c r="S1645" s="6">
        <f t="shared" si="135"/>
        <v>1.8386285807999999E-2</v>
      </c>
      <c r="T1645" t="str">
        <f t="shared" si="131"/>
        <v>Ipe S4S E4E - Grade B 5/4x6 Long</v>
      </c>
    </row>
    <row r="1646" spans="1:20" x14ac:dyDescent="0.25">
      <c r="A1646" t="s">
        <v>1351</v>
      </c>
      <c r="B1646" t="s">
        <v>2013</v>
      </c>
      <c r="C1646" t="s">
        <v>283</v>
      </c>
      <c r="D1646" t="s">
        <v>438</v>
      </c>
      <c r="E1646" t="s">
        <v>2038</v>
      </c>
      <c r="F1646" t="s">
        <v>2014</v>
      </c>
      <c r="G1646" t="s">
        <v>1351</v>
      </c>
      <c r="H1646" t="s">
        <v>2015</v>
      </c>
      <c r="I1646" t="s">
        <v>289</v>
      </c>
      <c r="J1646" t="s">
        <v>2016</v>
      </c>
      <c r="K1646">
        <v>17</v>
      </c>
      <c r="L1646" s="6">
        <v>5.1816000000000004</v>
      </c>
      <c r="M1646" s="7">
        <v>23</v>
      </c>
      <c r="N1646" s="7">
        <v>139.69999999999999</v>
      </c>
      <c r="O1646" s="7">
        <f t="shared" si="132"/>
        <v>204.00000000000003</v>
      </c>
      <c r="P1646" s="7">
        <f t="shared" si="133"/>
        <v>0.9055118110236221</v>
      </c>
      <c r="Q1646" s="7">
        <f t="shared" si="133"/>
        <v>5.5</v>
      </c>
      <c r="R1646" s="6">
        <f t="shared" si="134"/>
        <v>1021.082</v>
      </c>
      <c r="S1646" s="6">
        <f t="shared" si="135"/>
        <v>1.6648998960000001E-2</v>
      </c>
      <c r="T1646" t="str">
        <f t="shared" si="131"/>
        <v>Ipe S4S E4E - TK 23 7/8x6 Long</v>
      </c>
    </row>
    <row r="1647" spans="1:20" x14ac:dyDescent="0.25">
      <c r="A1647" t="s">
        <v>1351</v>
      </c>
      <c r="B1647" t="s">
        <v>1352</v>
      </c>
      <c r="C1647" t="s">
        <v>283</v>
      </c>
      <c r="D1647" t="s">
        <v>438</v>
      </c>
      <c r="E1647" t="s">
        <v>205</v>
      </c>
      <c r="F1647" t="s">
        <v>2008</v>
      </c>
      <c r="G1647" t="s">
        <v>1351</v>
      </c>
      <c r="H1647" t="s">
        <v>373</v>
      </c>
      <c r="I1647" t="s">
        <v>289</v>
      </c>
      <c r="J1647" t="s">
        <v>301</v>
      </c>
      <c r="K1647">
        <v>18</v>
      </c>
      <c r="L1647" s="6">
        <v>5.4863999999999997</v>
      </c>
      <c r="M1647" s="7">
        <v>25.4</v>
      </c>
      <c r="N1647" s="7">
        <v>139.69999999999999</v>
      </c>
      <c r="O1647" s="7">
        <f t="shared" si="132"/>
        <v>216</v>
      </c>
      <c r="P1647" s="7">
        <f t="shared" si="133"/>
        <v>1</v>
      </c>
      <c r="Q1647" s="7">
        <f t="shared" si="133"/>
        <v>5.5</v>
      </c>
      <c r="R1647" s="6">
        <f t="shared" si="134"/>
        <v>924.60199999999998</v>
      </c>
      <c r="S1647" s="6">
        <f t="shared" si="135"/>
        <v>1.9467832031999997E-2</v>
      </c>
      <c r="T1647" t="str">
        <f t="shared" si="131"/>
        <v>Ipe S4S E4E 5/4x6 Long</v>
      </c>
    </row>
    <row r="1648" spans="1:20" x14ac:dyDescent="0.25">
      <c r="A1648" t="s">
        <v>1351</v>
      </c>
      <c r="B1648" t="s">
        <v>1352</v>
      </c>
      <c r="C1648" t="s">
        <v>283</v>
      </c>
      <c r="D1648" t="s">
        <v>438</v>
      </c>
      <c r="E1648" t="s">
        <v>208</v>
      </c>
      <c r="F1648" t="s">
        <v>2009</v>
      </c>
      <c r="G1648" t="s">
        <v>1351</v>
      </c>
      <c r="H1648" t="s">
        <v>324</v>
      </c>
      <c r="I1648" t="s">
        <v>289</v>
      </c>
      <c r="J1648" t="s">
        <v>301</v>
      </c>
      <c r="K1648">
        <v>18</v>
      </c>
      <c r="L1648" s="6">
        <v>5.4863999999999997</v>
      </c>
      <c r="M1648" s="7">
        <v>25.4</v>
      </c>
      <c r="N1648" s="7">
        <v>139.69999999999999</v>
      </c>
      <c r="O1648" s="7">
        <f t="shared" si="132"/>
        <v>216</v>
      </c>
      <c r="P1648" s="7">
        <f t="shared" si="133"/>
        <v>1</v>
      </c>
      <c r="Q1648" s="7">
        <f t="shared" si="133"/>
        <v>5.5</v>
      </c>
      <c r="R1648" s="6">
        <f t="shared" si="134"/>
        <v>924.60199999999998</v>
      </c>
      <c r="S1648" s="6">
        <f t="shared" si="135"/>
        <v>1.9467832031999997E-2</v>
      </c>
      <c r="T1648" t="str">
        <f t="shared" si="131"/>
        <v>Ipe Grooved 5/4x6 Long</v>
      </c>
    </row>
    <row r="1649" spans="1:20" x14ac:dyDescent="0.25">
      <c r="A1649" t="s">
        <v>1351</v>
      </c>
      <c r="B1649" t="s">
        <v>1352</v>
      </c>
      <c r="C1649" t="s">
        <v>283</v>
      </c>
      <c r="D1649" t="s">
        <v>438</v>
      </c>
      <c r="E1649" t="s">
        <v>2039</v>
      </c>
      <c r="F1649" t="s">
        <v>2011</v>
      </c>
      <c r="G1649" t="s">
        <v>1351</v>
      </c>
      <c r="H1649" t="s">
        <v>2012</v>
      </c>
      <c r="I1649" t="s">
        <v>289</v>
      </c>
      <c r="J1649" t="s">
        <v>301</v>
      </c>
      <c r="K1649">
        <v>18</v>
      </c>
      <c r="L1649" s="6">
        <v>5.4863999999999997</v>
      </c>
      <c r="M1649" s="7">
        <v>25.4</v>
      </c>
      <c r="N1649" s="7">
        <v>139.69999999999999</v>
      </c>
      <c r="O1649" s="7">
        <f t="shared" si="132"/>
        <v>216</v>
      </c>
      <c r="P1649" s="7">
        <f t="shared" si="133"/>
        <v>1</v>
      </c>
      <c r="Q1649" s="7">
        <f t="shared" si="133"/>
        <v>5.5</v>
      </c>
      <c r="R1649" s="6">
        <f t="shared" si="134"/>
        <v>924.60199999999998</v>
      </c>
      <c r="S1649" s="6">
        <f t="shared" si="135"/>
        <v>1.9467832031999997E-2</v>
      </c>
      <c r="T1649" t="str">
        <f t="shared" si="131"/>
        <v>Ipe S4S E4E - Grade B 5/4x6 Long</v>
      </c>
    </row>
    <row r="1650" spans="1:20" x14ac:dyDescent="0.25">
      <c r="A1650" t="s">
        <v>1351</v>
      </c>
      <c r="B1650" t="s">
        <v>2013</v>
      </c>
      <c r="C1650" t="s">
        <v>283</v>
      </c>
      <c r="D1650" t="s">
        <v>438</v>
      </c>
      <c r="E1650" t="s">
        <v>2040</v>
      </c>
      <c r="F1650" t="s">
        <v>2014</v>
      </c>
      <c r="G1650" t="s">
        <v>1351</v>
      </c>
      <c r="H1650" t="s">
        <v>2015</v>
      </c>
      <c r="I1650" t="s">
        <v>289</v>
      </c>
      <c r="J1650" t="s">
        <v>2016</v>
      </c>
      <c r="K1650">
        <v>18</v>
      </c>
      <c r="L1650" s="6">
        <v>5.4863999999999997</v>
      </c>
      <c r="M1650" s="7">
        <v>23</v>
      </c>
      <c r="N1650" s="7">
        <v>139.69999999999999</v>
      </c>
      <c r="O1650" s="7">
        <f t="shared" si="132"/>
        <v>216</v>
      </c>
      <c r="P1650" s="7">
        <f t="shared" si="133"/>
        <v>0.9055118110236221</v>
      </c>
      <c r="Q1650" s="7">
        <f t="shared" si="133"/>
        <v>5.5</v>
      </c>
      <c r="R1650" s="6">
        <f t="shared" si="134"/>
        <v>1021.082</v>
      </c>
      <c r="S1650" s="6">
        <f t="shared" si="135"/>
        <v>1.7628351839999997E-2</v>
      </c>
      <c r="T1650" t="str">
        <f t="shared" si="131"/>
        <v>Ipe S4S E4E - TK 23 7/8x6 Long</v>
      </c>
    </row>
    <row r="1651" spans="1:20" x14ac:dyDescent="0.25">
      <c r="A1651" t="s">
        <v>1351</v>
      </c>
      <c r="B1651" t="s">
        <v>1352</v>
      </c>
      <c r="C1651" t="s">
        <v>283</v>
      </c>
      <c r="D1651" t="s">
        <v>438</v>
      </c>
      <c r="E1651" t="s">
        <v>2041</v>
      </c>
      <c r="F1651" t="s">
        <v>2008</v>
      </c>
      <c r="G1651" t="s">
        <v>1351</v>
      </c>
      <c r="H1651" t="s">
        <v>373</v>
      </c>
      <c r="I1651" t="s">
        <v>289</v>
      </c>
      <c r="J1651" t="s">
        <v>301</v>
      </c>
      <c r="K1651">
        <v>19</v>
      </c>
      <c r="L1651" s="6">
        <v>5.7911999999999999</v>
      </c>
      <c r="M1651" s="7">
        <v>25.4</v>
      </c>
      <c r="N1651" s="7">
        <v>139.69999999999999</v>
      </c>
      <c r="O1651" s="7">
        <f t="shared" si="132"/>
        <v>228</v>
      </c>
      <c r="P1651" s="7">
        <f t="shared" si="133"/>
        <v>1</v>
      </c>
      <c r="Q1651" s="7">
        <f t="shared" si="133"/>
        <v>5.5</v>
      </c>
      <c r="R1651" s="6">
        <f t="shared" si="134"/>
        <v>924.60199999999998</v>
      </c>
      <c r="S1651" s="6">
        <f t="shared" si="135"/>
        <v>2.0549378255999992E-2</v>
      </c>
      <c r="T1651" t="str">
        <f t="shared" si="131"/>
        <v>Ipe S4S E4E 5/4x6 Long</v>
      </c>
    </row>
    <row r="1652" spans="1:20" x14ac:dyDescent="0.25">
      <c r="A1652" t="s">
        <v>1351</v>
      </c>
      <c r="B1652" t="s">
        <v>1352</v>
      </c>
      <c r="C1652" t="s">
        <v>283</v>
      </c>
      <c r="D1652" t="s">
        <v>438</v>
      </c>
      <c r="E1652" t="s">
        <v>2042</v>
      </c>
      <c r="F1652" t="s">
        <v>2009</v>
      </c>
      <c r="G1652" t="s">
        <v>1351</v>
      </c>
      <c r="H1652" t="s">
        <v>324</v>
      </c>
      <c r="I1652" t="s">
        <v>289</v>
      </c>
      <c r="J1652" t="s">
        <v>301</v>
      </c>
      <c r="K1652">
        <v>19</v>
      </c>
      <c r="L1652" s="6">
        <v>5.7911999999999999</v>
      </c>
      <c r="M1652" s="7">
        <v>25.4</v>
      </c>
      <c r="N1652" s="7">
        <v>139.69999999999999</v>
      </c>
      <c r="O1652" s="7">
        <f t="shared" si="132"/>
        <v>228</v>
      </c>
      <c r="P1652" s="7">
        <f t="shared" si="133"/>
        <v>1</v>
      </c>
      <c r="Q1652" s="7">
        <f t="shared" si="133"/>
        <v>5.5</v>
      </c>
      <c r="R1652" s="6">
        <f t="shared" si="134"/>
        <v>924.60199999999998</v>
      </c>
      <c r="S1652" s="6">
        <f t="shared" si="135"/>
        <v>2.0549378255999992E-2</v>
      </c>
      <c r="T1652" t="str">
        <f t="shared" si="131"/>
        <v>Ipe Grooved 5/4x6 Long</v>
      </c>
    </row>
    <row r="1653" spans="1:20" x14ac:dyDescent="0.25">
      <c r="A1653" t="s">
        <v>1351</v>
      </c>
      <c r="B1653" t="s">
        <v>1352</v>
      </c>
      <c r="C1653" t="s">
        <v>283</v>
      </c>
      <c r="D1653" t="s">
        <v>438</v>
      </c>
      <c r="E1653" t="s">
        <v>2043</v>
      </c>
      <c r="F1653" t="s">
        <v>2011</v>
      </c>
      <c r="G1653" t="s">
        <v>1351</v>
      </c>
      <c r="H1653" t="s">
        <v>2012</v>
      </c>
      <c r="I1653" t="s">
        <v>289</v>
      </c>
      <c r="J1653" t="s">
        <v>301</v>
      </c>
      <c r="K1653">
        <v>19</v>
      </c>
      <c r="L1653" s="6">
        <v>5.7911999999999999</v>
      </c>
      <c r="M1653" s="7">
        <v>25.4</v>
      </c>
      <c r="N1653" s="7">
        <v>139.69999999999999</v>
      </c>
      <c r="O1653" s="7">
        <f t="shared" si="132"/>
        <v>228</v>
      </c>
      <c r="P1653" s="7">
        <f t="shared" si="133"/>
        <v>1</v>
      </c>
      <c r="Q1653" s="7">
        <f t="shared" si="133"/>
        <v>5.5</v>
      </c>
      <c r="R1653" s="6">
        <f t="shared" si="134"/>
        <v>924.60199999999998</v>
      </c>
      <c r="S1653" s="6">
        <f t="shared" si="135"/>
        <v>2.0549378255999992E-2</v>
      </c>
      <c r="T1653" t="str">
        <f t="shared" si="131"/>
        <v>Ipe S4S E4E - Grade B 5/4x6 Long</v>
      </c>
    </row>
    <row r="1654" spans="1:20" x14ac:dyDescent="0.25">
      <c r="A1654" t="s">
        <v>1351</v>
      </c>
      <c r="B1654" t="s">
        <v>2013</v>
      </c>
      <c r="C1654" t="s">
        <v>283</v>
      </c>
      <c r="D1654" t="s">
        <v>438</v>
      </c>
      <c r="E1654" t="s">
        <v>2044</v>
      </c>
      <c r="F1654" t="s">
        <v>2014</v>
      </c>
      <c r="G1654" t="s">
        <v>1351</v>
      </c>
      <c r="H1654" t="s">
        <v>2015</v>
      </c>
      <c r="I1654" t="s">
        <v>289</v>
      </c>
      <c r="J1654" t="s">
        <v>2016</v>
      </c>
      <c r="K1654">
        <v>19</v>
      </c>
      <c r="L1654" s="6">
        <v>5.7911999999999999</v>
      </c>
      <c r="M1654" s="7">
        <v>23</v>
      </c>
      <c r="N1654" s="7">
        <v>139.69999999999999</v>
      </c>
      <c r="O1654" s="7">
        <f t="shared" si="132"/>
        <v>228</v>
      </c>
      <c r="P1654" s="7">
        <f t="shared" si="133"/>
        <v>0.9055118110236221</v>
      </c>
      <c r="Q1654" s="7">
        <f t="shared" si="133"/>
        <v>5.5</v>
      </c>
      <c r="R1654" s="6">
        <f t="shared" si="134"/>
        <v>1021.082</v>
      </c>
      <c r="S1654" s="6">
        <f t="shared" si="135"/>
        <v>1.8607704719999996E-2</v>
      </c>
      <c r="T1654" t="str">
        <f t="shared" si="131"/>
        <v>Ipe S4S E4E - TK 23 7/8x6 Long</v>
      </c>
    </row>
    <row r="1655" spans="1:20" x14ac:dyDescent="0.25">
      <c r="A1655" t="s">
        <v>1351</v>
      </c>
      <c r="B1655" t="s">
        <v>1352</v>
      </c>
      <c r="C1655" t="s">
        <v>283</v>
      </c>
      <c r="D1655" t="s">
        <v>438</v>
      </c>
      <c r="E1655" t="s">
        <v>200</v>
      </c>
      <c r="F1655" t="s">
        <v>2008</v>
      </c>
      <c r="G1655" t="s">
        <v>1351</v>
      </c>
      <c r="H1655" t="s">
        <v>373</v>
      </c>
      <c r="I1655" t="s">
        <v>289</v>
      </c>
      <c r="J1655" t="s">
        <v>301</v>
      </c>
      <c r="K1655">
        <v>20</v>
      </c>
      <c r="L1655" s="6">
        <v>6.0960000000000001</v>
      </c>
      <c r="M1655" s="7">
        <v>25.4</v>
      </c>
      <c r="N1655" s="7">
        <v>139.69999999999999</v>
      </c>
      <c r="O1655" s="7">
        <f t="shared" si="132"/>
        <v>240</v>
      </c>
      <c r="P1655" s="7">
        <f t="shared" si="133"/>
        <v>1</v>
      </c>
      <c r="Q1655" s="7">
        <f t="shared" si="133"/>
        <v>5.5</v>
      </c>
      <c r="R1655" s="6">
        <f t="shared" si="134"/>
        <v>924.60199999999998</v>
      </c>
      <c r="S1655" s="6">
        <f t="shared" si="135"/>
        <v>2.1630924480000001E-2</v>
      </c>
      <c r="T1655" t="str">
        <f t="shared" si="131"/>
        <v>Ipe S4S E4E 5/4x6 Long</v>
      </c>
    </row>
    <row r="1656" spans="1:20" x14ac:dyDescent="0.25">
      <c r="A1656" t="s">
        <v>1351</v>
      </c>
      <c r="B1656" t="s">
        <v>1352</v>
      </c>
      <c r="C1656" t="s">
        <v>283</v>
      </c>
      <c r="D1656" t="s">
        <v>438</v>
      </c>
      <c r="E1656" t="s">
        <v>239</v>
      </c>
      <c r="F1656" t="s">
        <v>2009</v>
      </c>
      <c r="G1656" t="s">
        <v>1351</v>
      </c>
      <c r="H1656" t="s">
        <v>324</v>
      </c>
      <c r="I1656" t="s">
        <v>289</v>
      </c>
      <c r="J1656" t="s">
        <v>301</v>
      </c>
      <c r="K1656">
        <v>20</v>
      </c>
      <c r="L1656" s="6">
        <v>6.0960000000000001</v>
      </c>
      <c r="M1656" s="7">
        <v>25.4</v>
      </c>
      <c r="N1656" s="7">
        <v>139.69999999999999</v>
      </c>
      <c r="O1656" s="7">
        <f t="shared" si="132"/>
        <v>240</v>
      </c>
      <c r="P1656" s="7">
        <f t="shared" si="133"/>
        <v>1</v>
      </c>
      <c r="Q1656" s="7">
        <f t="shared" si="133"/>
        <v>5.5</v>
      </c>
      <c r="R1656" s="6">
        <f t="shared" si="134"/>
        <v>924.60199999999998</v>
      </c>
      <c r="S1656" s="6">
        <f t="shared" si="135"/>
        <v>2.1630924480000001E-2</v>
      </c>
      <c r="T1656" t="str">
        <f t="shared" si="131"/>
        <v>Ipe Grooved 5/4x6 Long</v>
      </c>
    </row>
    <row r="1657" spans="1:20" x14ac:dyDescent="0.25">
      <c r="A1657" t="s">
        <v>1351</v>
      </c>
      <c r="B1657" t="s">
        <v>1352</v>
      </c>
      <c r="C1657" t="s">
        <v>283</v>
      </c>
      <c r="D1657" t="s">
        <v>438</v>
      </c>
      <c r="E1657" t="s">
        <v>2045</v>
      </c>
      <c r="F1657" t="s">
        <v>2011</v>
      </c>
      <c r="G1657" t="s">
        <v>1351</v>
      </c>
      <c r="H1657" t="s">
        <v>2012</v>
      </c>
      <c r="I1657" t="s">
        <v>289</v>
      </c>
      <c r="J1657" t="s">
        <v>301</v>
      </c>
      <c r="K1657">
        <v>20</v>
      </c>
      <c r="L1657" s="6">
        <v>6.0960000000000001</v>
      </c>
      <c r="M1657" s="7">
        <v>25.4</v>
      </c>
      <c r="N1657" s="7">
        <v>139.69999999999999</v>
      </c>
      <c r="O1657" s="7">
        <f t="shared" si="132"/>
        <v>240</v>
      </c>
      <c r="P1657" s="7">
        <f t="shared" si="133"/>
        <v>1</v>
      </c>
      <c r="Q1657" s="7">
        <f t="shared" si="133"/>
        <v>5.5</v>
      </c>
      <c r="R1657" s="6">
        <f t="shared" si="134"/>
        <v>924.60199999999998</v>
      </c>
      <c r="S1657" s="6">
        <f t="shared" si="135"/>
        <v>2.1630924480000001E-2</v>
      </c>
      <c r="T1657" t="str">
        <f t="shared" si="131"/>
        <v>Ipe S4S E4E - Grade B 5/4x6 Long</v>
      </c>
    </row>
    <row r="1658" spans="1:20" x14ac:dyDescent="0.25">
      <c r="A1658" t="s">
        <v>1351</v>
      </c>
      <c r="B1658" t="s">
        <v>2013</v>
      </c>
      <c r="C1658" t="s">
        <v>283</v>
      </c>
      <c r="D1658" t="s">
        <v>438</v>
      </c>
      <c r="E1658" t="s">
        <v>2046</v>
      </c>
      <c r="F1658" t="s">
        <v>2014</v>
      </c>
      <c r="G1658" t="s">
        <v>1351</v>
      </c>
      <c r="H1658" t="s">
        <v>2015</v>
      </c>
      <c r="I1658" t="s">
        <v>289</v>
      </c>
      <c r="J1658" t="s">
        <v>2016</v>
      </c>
      <c r="K1658">
        <v>20</v>
      </c>
      <c r="L1658" s="6">
        <v>6.0960000000000001</v>
      </c>
      <c r="M1658" s="7">
        <v>23</v>
      </c>
      <c r="N1658" s="7">
        <v>139.69999999999999</v>
      </c>
      <c r="O1658" s="7">
        <f t="shared" si="132"/>
        <v>240</v>
      </c>
      <c r="P1658" s="7">
        <f t="shared" si="133"/>
        <v>0.9055118110236221</v>
      </c>
      <c r="Q1658" s="7">
        <f t="shared" si="133"/>
        <v>5.5</v>
      </c>
      <c r="R1658" s="6">
        <f t="shared" si="134"/>
        <v>1021.082</v>
      </c>
      <c r="S1658" s="6">
        <f t="shared" si="135"/>
        <v>1.9587057599999999E-2</v>
      </c>
      <c r="T1658" t="str">
        <f t="shared" si="131"/>
        <v>Ipe S4S E4E - TK 23 7/8x6 Long</v>
      </c>
    </row>
    <row r="1659" spans="1:20" x14ac:dyDescent="0.25">
      <c r="A1659" t="s">
        <v>1351</v>
      </c>
      <c r="B1659" t="s">
        <v>1352</v>
      </c>
      <c r="C1659" t="s">
        <v>283</v>
      </c>
      <c r="D1659" t="s">
        <v>438</v>
      </c>
      <c r="E1659" t="s">
        <v>2047</v>
      </c>
      <c r="F1659" t="s">
        <v>2008</v>
      </c>
      <c r="G1659" t="s">
        <v>1351</v>
      </c>
      <c r="H1659" t="s">
        <v>373</v>
      </c>
      <c r="I1659" t="s">
        <v>289</v>
      </c>
      <c r="J1659" t="s">
        <v>301</v>
      </c>
      <c r="K1659">
        <v>21</v>
      </c>
      <c r="L1659" s="6">
        <v>6.4008000000000003</v>
      </c>
      <c r="M1659" s="7">
        <v>25.4</v>
      </c>
      <c r="N1659" s="7">
        <v>139.69999999999999</v>
      </c>
      <c r="O1659" s="7">
        <f t="shared" si="132"/>
        <v>252.00000000000003</v>
      </c>
      <c r="P1659" s="7">
        <f t="shared" si="133"/>
        <v>1</v>
      </c>
      <c r="Q1659" s="7">
        <f t="shared" si="133"/>
        <v>5.5</v>
      </c>
      <c r="R1659" s="6">
        <f t="shared" si="134"/>
        <v>924.60199999999998</v>
      </c>
      <c r="S1659" s="6">
        <f t="shared" si="135"/>
        <v>2.2712470703999999E-2</v>
      </c>
      <c r="T1659" t="str">
        <f t="shared" si="131"/>
        <v>Ipe S4S E4E 5/4x6 Long</v>
      </c>
    </row>
    <row r="1660" spans="1:20" x14ac:dyDescent="0.25">
      <c r="A1660" t="s">
        <v>1351</v>
      </c>
      <c r="B1660" t="s">
        <v>1352</v>
      </c>
      <c r="C1660" t="s">
        <v>283</v>
      </c>
      <c r="D1660" t="s">
        <v>438</v>
      </c>
      <c r="E1660" t="s">
        <v>2048</v>
      </c>
      <c r="F1660" t="s">
        <v>2009</v>
      </c>
      <c r="G1660" t="s">
        <v>1351</v>
      </c>
      <c r="H1660" t="s">
        <v>324</v>
      </c>
      <c r="I1660" t="s">
        <v>289</v>
      </c>
      <c r="J1660" t="s">
        <v>301</v>
      </c>
      <c r="K1660">
        <v>21</v>
      </c>
      <c r="L1660" s="6">
        <v>6.4008000000000003</v>
      </c>
      <c r="M1660" s="7">
        <v>25.4</v>
      </c>
      <c r="N1660" s="7">
        <v>139.69999999999999</v>
      </c>
      <c r="O1660" s="7">
        <f t="shared" si="132"/>
        <v>252.00000000000003</v>
      </c>
      <c r="P1660" s="7">
        <f t="shared" si="133"/>
        <v>1</v>
      </c>
      <c r="Q1660" s="7">
        <f t="shared" si="133"/>
        <v>5.5</v>
      </c>
      <c r="R1660" s="6">
        <f t="shared" si="134"/>
        <v>924.60199999999998</v>
      </c>
      <c r="S1660" s="6">
        <f t="shared" si="135"/>
        <v>2.2712470703999999E-2</v>
      </c>
      <c r="T1660" t="str">
        <f t="shared" si="131"/>
        <v>Ipe Grooved 5/4x6 Long</v>
      </c>
    </row>
    <row r="1661" spans="1:20" x14ac:dyDescent="0.25">
      <c r="A1661" t="s">
        <v>1351</v>
      </c>
      <c r="B1661" t="s">
        <v>1352</v>
      </c>
      <c r="C1661" t="s">
        <v>283</v>
      </c>
      <c r="D1661" t="s">
        <v>438</v>
      </c>
      <c r="E1661" t="s">
        <v>2049</v>
      </c>
      <c r="F1661" t="s">
        <v>2011</v>
      </c>
      <c r="G1661" t="s">
        <v>1351</v>
      </c>
      <c r="H1661" t="s">
        <v>2012</v>
      </c>
      <c r="I1661" t="s">
        <v>289</v>
      </c>
      <c r="J1661" t="s">
        <v>301</v>
      </c>
      <c r="K1661">
        <v>21</v>
      </c>
      <c r="L1661" s="6">
        <v>6.4008000000000003</v>
      </c>
      <c r="M1661" s="7">
        <v>25.4</v>
      </c>
      <c r="N1661" s="7">
        <v>139.69999999999999</v>
      </c>
      <c r="O1661" s="7">
        <f t="shared" si="132"/>
        <v>252.00000000000003</v>
      </c>
      <c r="P1661" s="7">
        <f t="shared" si="133"/>
        <v>1</v>
      </c>
      <c r="Q1661" s="7">
        <f t="shared" si="133"/>
        <v>5.5</v>
      </c>
      <c r="R1661" s="6">
        <f t="shared" si="134"/>
        <v>924.60199999999998</v>
      </c>
      <c r="S1661" s="6">
        <f t="shared" si="135"/>
        <v>2.2712470703999999E-2</v>
      </c>
      <c r="T1661" t="str">
        <f t="shared" si="131"/>
        <v>Ipe S4S E4E - Grade B 5/4x6 Long</v>
      </c>
    </row>
    <row r="1662" spans="1:20" x14ac:dyDescent="0.25">
      <c r="A1662" t="s">
        <v>1351</v>
      </c>
      <c r="B1662" t="s">
        <v>2013</v>
      </c>
      <c r="C1662" t="s">
        <v>283</v>
      </c>
      <c r="D1662" t="s">
        <v>438</v>
      </c>
      <c r="E1662" t="s">
        <v>2050</v>
      </c>
      <c r="F1662" t="s">
        <v>2014</v>
      </c>
      <c r="G1662" t="s">
        <v>1351</v>
      </c>
      <c r="H1662" t="s">
        <v>2015</v>
      </c>
      <c r="I1662" t="s">
        <v>289</v>
      </c>
      <c r="J1662" t="s">
        <v>2016</v>
      </c>
      <c r="K1662">
        <v>21</v>
      </c>
      <c r="L1662" s="6">
        <v>6.4008000000000003</v>
      </c>
      <c r="M1662" s="7">
        <v>23</v>
      </c>
      <c r="N1662" s="7">
        <v>139.69999999999999</v>
      </c>
      <c r="O1662" s="7">
        <f t="shared" si="132"/>
        <v>252.00000000000003</v>
      </c>
      <c r="P1662" s="7">
        <f t="shared" si="133"/>
        <v>0.9055118110236221</v>
      </c>
      <c r="Q1662" s="7">
        <f t="shared" si="133"/>
        <v>5.5</v>
      </c>
      <c r="R1662" s="6">
        <f t="shared" si="134"/>
        <v>1021.082</v>
      </c>
      <c r="S1662" s="6">
        <f t="shared" si="135"/>
        <v>2.0566410479999998E-2</v>
      </c>
      <c r="T1662" t="str">
        <f t="shared" si="131"/>
        <v>Ipe S4S E4E - TK 23 7/8x6 Long</v>
      </c>
    </row>
    <row r="1663" spans="1:20" x14ac:dyDescent="0.25">
      <c r="A1663" t="s">
        <v>1351</v>
      </c>
      <c r="B1663" t="s">
        <v>1352</v>
      </c>
      <c r="C1663" t="s">
        <v>283</v>
      </c>
      <c r="D1663" t="s">
        <v>438</v>
      </c>
      <c r="E1663" t="s">
        <v>2051</v>
      </c>
      <c r="F1663" t="s">
        <v>2008</v>
      </c>
      <c r="G1663" t="s">
        <v>1351</v>
      </c>
      <c r="H1663" t="s">
        <v>373</v>
      </c>
      <c r="I1663" t="s">
        <v>289</v>
      </c>
      <c r="J1663" t="s">
        <v>301</v>
      </c>
      <c r="K1663">
        <v>22</v>
      </c>
      <c r="L1663" s="6">
        <v>6.7055999999999996</v>
      </c>
      <c r="M1663" s="7">
        <v>25.4</v>
      </c>
      <c r="N1663" s="7">
        <v>139.69999999999999</v>
      </c>
      <c r="O1663" s="7">
        <f t="shared" si="132"/>
        <v>264</v>
      </c>
      <c r="P1663" s="7">
        <f t="shared" si="133"/>
        <v>1</v>
      </c>
      <c r="Q1663" s="7">
        <f t="shared" si="133"/>
        <v>5.5</v>
      </c>
      <c r="R1663" s="6">
        <f t="shared" si="134"/>
        <v>924.60199999999998</v>
      </c>
      <c r="S1663" s="6">
        <f t="shared" si="135"/>
        <v>2.3794016927999991E-2</v>
      </c>
      <c r="T1663" t="str">
        <f t="shared" si="131"/>
        <v>Ipe S4S E4E 5/4x6 Long</v>
      </c>
    </row>
    <row r="1664" spans="1:20" x14ac:dyDescent="0.25">
      <c r="A1664" t="s">
        <v>1351</v>
      </c>
      <c r="B1664" t="s">
        <v>1352</v>
      </c>
      <c r="C1664" t="s">
        <v>283</v>
      </c>
      <c r="D1664" t="s">
        <v>438</v>
      </c>
      <c r="E1664" t="s">
        <v>240</v>
      </c>
      <c r="F1664" t="s">
        <v>2009</v>
      </c>
      <c r="G1664" t="s">
        <v>1351</v>
      </c>
      <c r="H1664" t="s">
        <v>324</v>
      </c>
      <c r="I1664" t="s">
        <v>289</v>
      </c>
      <c r="J1664" t="s">
        <v>301</v>
      </c>
      <c r="K1664">
        <v>22</v>
      </c>
      <c r="L1664" s="6">
        <v>6.7055999999999996</v>
      </c>
      <c r="M1664" s="7">
        <v>25.4</v>
      </c>
      <c r="N1664" s="7">
        <v>139.69999999999999</v>
      </c>
      <c r="O1664" s="7">
        <f t="shared" si="132"/>
        <v>264</v>
      </c>
      <c r="P1664" s="7">
        <f t="shared" si="133"/>
        <v>1</v>
      </c>
      <c r="Q1664" s="7">
        <f t="shared" si="133"/>
        <v>5.5</v>
      </c>
      <c r="R1664" s="6">
        <f t="shared" si="134"/>
        <v>924.60199999999998</v>
      </c>
      <c r="S1664" s="6">
        <f t="shared" si="135"/>
        <v>2.3794016927999991E-2</v>
      </c>
      <c r="T1664" t="str">
        <f t="shared" si="131"/>
        <v>Ipe Grooved 5/4x6 Long</v>
      </c>
    </row>
    <row r="1665" spans="1:20" x14ac:dyDescent="0.25">
      <c r="A1665" t="s">
        <v>1351</v>
      </c>
      <c r="B1665" t="s">
        <v>1352</v>
      </c>
      <c r="C1665" t="s">
        <v>283</v>
      </c>
      <c r="D1665" t="s">
        <v>438</v>
      </c>
      <c r="E1665" t="s">
        <v>2052</v>
      </c>
      <c r="F1665" t="s">
        <v>2011</v>
      </c>
      <c r="G1665" t="s">
        <v>1351</v>
      </c>
      <c r="H1665" t="s">
        <v>2012</v>
      </c>
      <c r="I1665" t="s">
        <v>289</v>
      </c>
      <c r="J1665" t="s">
        <v>301</v>
      </c>
      <c r="K1665">
        <v>22</v>
      </c>
      <c r="L1665" s="6">
        <v>6.7055999999999996</v>
      </c>
      <c r="M1665" s="7">
        <v>25.4</v>
      </c>
      <c r="N1665" s="7">
        <v>139.69999999999999</v>
      </c>
      <c r="O1665" s="7">
        <f t="shared" si="132"/>
        <v>264</v>
      </c>
      <c r="P1665" s="7">
        <f t="shared" si="133"/>
        <v>1</v>
      </c>
      <c r="Q1665" s="7">
        <f t="shared" si="133"/>
        <v>5.5</v>
      </c>
      <c r="R1665" s="6">
        <f t="shared" si="134"/>
        <v>924.60199999999998</v>
      </c>
      <c r="S1665" s="6">
        <f t="shared" si="135"/>
        <v>2.3794016927999991E-2</v>
      </c>
      <c r="T1665" t="str">
        <f t="shared" si="131"/>
        <v>Ipe S4S E4E - Grade B 5/4x6 Long</v>
      </c>
    </row>
    <row r="1666" spans="1:20" x14ac:dyDescent="0.25">
      <c r="A1666" t="s">
        <v>1351</v>
      </c>
      <c r="B1666" t="s">
        <v>2013</v>
      </c>
      <c r="C1666" t="s">
        <v>283</v>
      </c>
      <c r="D1666" t="s">
        <v>438</v>
      </c>
      <c r="E1666" t="s">
        <v>2053</v>
      </c>
      <c r="F1666" t="s">
        <v>2014</v>
      </c>
      <c r="G1666" t="s">
        <v>1351</v>
      </c>
      <c r="H1666" t="s">
        <v>2015</v>
      </c>
      <c r="I1666" t="s">
        <v>289</v>
      </c>
      <c r="J1666" t="s">
        <v>2016</v>
      </c>
      <c r="K1666">
        <v>22</v>
      </c>
      <c r="L1666" s="6">
        <v>6.7055999999999996</v>
      </c>
      <c r="M1666" s="7">
        <v>23</v>
      </c>
      <c r="N1666" s="7">
        <v>139.69999999999999</v>
      </c>
      <c r="O1666" s="7">
        <f t="shared" si="132"/>
        <v>264</v>
      </c>
      <c r="P1666" s="7">
        <f t="shared" si="133"/>
        <v>0.9055118110236221</v>
      </c>
      <c r="Q1666" s="7">
        <f t="shared" si="133"/>
        <v>5.5</v>
      </c>
      <c r="R1666" s="6">
        <f t="shared" si="134"/>
        <v>1021.082</v>
      </c>
      <c r="S1666" s="6">
        <f t="shared" si="135"/>
        <v>2.1545763359999994E-2</v>
      </c>
      <c r="T1666" t="str">
        <f t="shared" ref="T1666:T1729" si="136">F1666&amp;" "&amp;C1666</f>
        <v>Ipe S4S E4E - TK 23 7/8x6 Long</v>
      </c>
    </row>
    <row r="1667" spans="1:20" x14ac:dyDescent="0.25">
      <c r="A1667" t="s">
        <v>1351</v>
      </c>
      <c r="B1667" t="s">
        <v>1352</v>
      </c>
      <c r="C1667" t="s">
        <v>524</v>
      </c>
      <c r="D1667" t="s">
        <v>438</v>
      </c>
      <c r="E1667" t="s">
        <v>2054</v>
      </c>
      <c r="F1667" t="s">
        <v>2008</v>
      </c>
      <c r="G1667" t="s">
        <v>1351</v>
      </c>
      <c r="H1667" t="s">
        <v>373</v>
      </c>
      <c r="I1667" t="s">
        <v>289</v>
      </c>
      <c r="J1667" t="s">
        <v>301</v>
      </c>
      <c r="K1667">
        <v>3</v>
      </c>
      <c r="L1667" s="6">
        <v>0.91439999999999999</v>
      </c>
      <c r="M1667" s="7">
        <v>25.4</v>
      </c>
      <c r="N1667" s="7">
        <v>139.69999999999999</v>
      </c>
      <c r="O1667" s="7">
        <f t="shared" si="132"/>
        <v>36</v>
      </c>
      <c r="P1667" s="7">
        <f t="shared" si="133"/>
        <v>1</v>
      </c>
      <c r="Q1667" s="7">
        <f t="shared" si="133"/>
        <v>5.5</v>
      </c>
      <c r="R1667" s="6">
        <f t="shared" si="134"/>
        <v>924.60199999999998</v>
      </c>
      <c r="S1667" s="6">
        <f t="shared" si="135"/>
        <v>3.2446386719999993E-3</v>
      </c>
      <c r="T1667" t="str">
        <f t="shared" si="136"/>
        <v>Ipe S4S E4E 5/4x6 Short</v>
      </c>
    </row>
    <row r="1668" spans="1:20" x14ac:dyDescent="0.25">
      <c r="A1668" t="s">
        <v>1351</v>
      </c>
      <c r="B1668" t="s">
        <v>1352</v>
      </c>
      <c r="C1668" t="s">
        <v>524</v>
      </c>
      <c r="D1668" t="s">
        <v>438</v>
      </c>
      <c r="E1668" t="s">
        <v>2055</v>
      </c>
      <c r="F1668" t="s">
        <v>2009</v>
      </c>
      <c r="G1668" t="s">
        <v>1351</v>
      </c>
      <c r="H1668" t="s">
        <v>324</v>
      </c>
      <c r="I1668" t="s">
        <v>289</v>
      </c>
      <c r="J1668" t="s">
        <v>301</v>
      </c>
      <c r="K1668">
        <v>3</v>
      </c>
      <c r="L1668" s="6">
        <v>0.91439999999999999</v>
      </c>
      <c r="M1668" s="7">
        <v>25.4</v>
      </c>
      <c r="N1668" s="7">
        <v>139.69999999999999</v>
      </c>
      <c r="O1668" s="7">
        <f t="shared" si="132"/>
        <v>36</v>
      </c>
      <c r="P1668" s="7">
        <f t="shared" si="133"/>
        <v>1</v>
      </c>
      <c r="Q1668" s="7">
        <f t="shared" si="133"/>
        <v>5.5</v>
      </c>
      <c r="R1668" s="6">
        <f t="shared" si="134"/>
        <v>924.60199999999998</v>
      </c>
      <c r="S1668" s="6">
        <f t="shared" si="135"/>
        <v>3.2446386719999993E-3</v>
      </c>
      <c r="T1668" t="str">
        <f t="shared" si="136"/>
        <v>Ipe Grooved 5/4x6 Short</v>
      </c>
    </row>
    <row r="1669" spans="1:20" x14ac:dyDescent="0.25">
      <c r="A1669" t="s">
        <v>1351</v>
      </c>
      <c r="B1669" t="s">
        <v>1352</v>
      </c>
      <c r="C1669" t="s">
        <v>524</v>
      </c>
      <c r="D1669" t="s">
        <v>438</v>
      </c>
      <c r="E1669" t="s">
        <v>2056</v>
      </c>
      <c r="F1669" t="s">
        <v>2011</v>
      </c>
      <c r="G1669" t="s">
        <v>1351</v>
      </c>
      <c r="H1669" t="s">
        <v>2012</v>
      </c>
      <c r="I1669" t="s">
        <v>289</v>
      </c>
      <c r="J1669" t="s">
        <v>301</v>
      </c>
      <c r="K1669">
        <v>3</v>
      </c>
      <c r="L1669" s="6">
        <v>0.91439999999999999</v>
      </c>
      <c r="M1669" s="7">
        <v>25.4</v>
      </c>
      <c r="N1669" s="7">
        <v>139.69999999999999</v>
      </c>
      <c r="O1669" s="7">
        <f t="shared" si="132"/>
        <v>36</v>
      </c>
      <c r="P1669" s="7">
        <f t="shared" si="133"/>
        <v>1</v>
      </c>
      <c r="Q1669" s="7">
        <f t="shared" si="133"/>
        <v>5.5</v>
      </c>
      <c r="R1669" s="6">
        <f t="shared" si="134"/>
        <v>924.60199999999998</v>
      </c>
      <c r="S1669" s="6">
        <f t="shared" si="135"/>
        <v>3.2446386719999993E-3</v>
      </c>
      <c r="T1669" t="str">
        <f t="shared" si="136"/>
        <v>Ipe S4S E4E - Grade B 5/4x6 Short</v>
      </c>
    </row>
    <row r="1670" spans="1:20" x14ac:dyDescent="0.25">
      <c r="A1670" t="s">
        <v>1351</v>
      </c>
      <c r="B1670" t="s">
        <v>2013</v>
      </c>
      <c r="C1670" t="s">
        <v>524</v>
      </c>
      <c r="D1670" t="s">
        <v>438</v>
      </c>
      <c r="E1670" t="s">
        <v>2057</v>
      </c>
      <c r="F1670" t="s">
        <v>2014</v>
      </c>
      <c r="G1670" t="s">
        <v>1351</v>
      </c>
      <c r="H1670" t="s">
        <v>2015</v>
      </c>
      <c r="I1670" t="s">
        <v>289</v>
      </c>
      <c r="J1670" t="s">
        <v>2016</v>
      </c>
      <c r="K1670">
        <v>3</v>
      </c>
      <c r="L1670" s="6">
        <v>0.91439999999999999</v>
      </c>
      <c r="M1670" s="7">
        <v>23</v>
      </c>
      <c r="N1670" s="7">
        <v>139.69999999999999</v>
      </c>
      <c r="O1670" s="7">
        <f t="shared" si="132"/>
        <v>36</v>
      </c>
      <c r="P1670" s="7">
        <f t="shared" si="133"/>
        <v>0.9055118110236221</v>
      </c>
      <c r="Q1670" s="7">
        <f t="shared" si="133"/>
        <v>5.5</v>
      </c>
      <c r="R1670" s="6">
        <f t="shared" si="134"/>
        <v>1021.082</v>
      </c>
      <c r="S1670" s="6">
        <f t="shared" si="135"/>
        <v>2.9380586399999999E-3</v>
      </c>
      <c r="T1670" t="str">
        <f t="shared" si="136"/>
        <v>Ipe S4S E4E - TK 23 7/8x6 Short</v>
      </c>
    </row>
    <row r="1671" spans="1:20" x14ac:dyDescent="0.25">
      <c r="A1671" t="s">
        <v>1351</v>
      </c>
      <c r="B1671" t="s">
        <v>1352</v>
      </c>
      <c r="C1671" t="s">
        <v>524</v>
      </c>
      <c r="D1671" t="s">
        <v>438</v>
      </c>
      <c r="E1671" t="s">
        <v>2058</v>
      </c>
      <c r="F1671" t="s">
        <v>2008</v>
      </c>
      <c r="G1671" t="s">
        <v>1351</v>
      </c>
      <c r="H1671" t="s">
        <v>373</v>
      </c>
      <c r="I1671" t="s">
        <v>289</v>
      </c>
      <c r="J1671" t="s">
        <v>301</v>
      </c>
      <c r="K1671">
        <v>4</v>
      </c>
      <c r="L1671" s="6">
        <v>1.2192000000000001</v>
      </c>
      <c r="M1671" s="7">
        <v>25.4</v>
      </c>
      <c r="N1671" s="7">
        <v>139.69999999999999</v>
      </c>
      <c r="O1671" s="7">
        <f t="shared" si="132"/>
        <v>48.000000000000007</v>
      </c>
      <c r="P1671" s="7">
        <f t="shared" si="133"/>
        <v>1</v>
      </c>
      <c r="Q1671" s="7">
        <f t="shared" si="133"/>
        <v>5.5</v>
      </c>
      <c r="R1671" s="6">
        <f t="shared" si="134"/>
        <v>924.60199999999998</v>
      </c>
      <c r="S1671" s="6">
        <f t="shared" si="135"/>
        <v>4.3261848960000002E-3</v>
      </c>
      <c r="T1671" t="str">
        <f t="shared" si="136"/>
        <v>Ipe S4S E4E 5/4x6 Short</v>
      </c>
    </row>
    <row r="1672" spans="1:20" x14ac:dyDescent="0.25">
      <c r="A1672" t="s">
        <v>1351</v>
      </c>
      <c r="B1672" t="s">
        <v>1352</v>
      </c>
      <c r="C1672" t="s">
        <v>524</v>
      </c>
      <c r="D1672" t="s">
        <v>438</v>
      </c>
      <c r="E1672" t="s">
        <v>2059</v>
      </c>
      <c r="F1672" t="s">
        <v>2009</v>
      </c>
      <c r="G1672" t="s">
        <v>1351</v>
      </c>
      <c r="H1672" t="s">
        <v>324</v>
      </c>
      <c r="I1672" t="s">
        <v>289</v>
      </c>
      <c r="J1672" t="s">
        <v>301</v>
      </c>
      <c r="K1672">
        <v>4</v>
      </c>
      <c r="L1672" s="6">
        <v>1.2192000000000001</v>
      </c>
      <c r="M1672" s="7">
        <v>25.4</v>
      </c>
      <c r="N1672" s="7">
        <v>139.69999999999999</v>
      </c>
      <c r="O1672" s="7">
        <f t="shared" si="132"/>
        <v>48.000000000000007</v>
      </c>
      <c r="P1672" s="7">
        <f t="shared" si="133"/>
        <v>1</v>
      </c>
      <c r="Q1672" s="7">
        <f t="shared" si="133"/>
        <v>5.5</v>
      </c>
      <c r="R1672" s="6">
        <f t="shared" si="134"/>
        <v>924.60199999999998</v>
      </c>
      <c r="S1672" s="6">
        <f t="shared" si="135"/>
        <v>4.3261848960000002E-3</v>
      </c>
      <c r="T1672" t="str">
        <f t="shared" si="136"/>
        <v>Ipe Grooved 5/4x6 Short</v>
      </c>
    </row>
    <row r="1673" spans="1:20" x14ac:dyDescent="0.25">
      <c r="A1673" t="s">
        <v>1351</v>
      </c>
      <c r="B1673" t="s">
        <v>1352</v>
      </c>
      <c r="C1673" t="s">
        <v>524</v>
      </c>
      <c r="D1673" t="s">
        <v>438</v>
      </c>
      <c r="E1673" t="s">
        <v>2060</v>
      </c>
      <c r="F1673" t="s">
        <v>2011</v>
      </c>
      <c r="G1673" t="s">
        <v>1351</v>
      </c>
      <c r="H1673" t="s">
        <v>2012</v>
      </c>
      <c r="I1673" t="s">
        <v>289</v>
      </c>
      <c r="J1673" t="s">
        <v>301</v>
      </c>
      <c r="K1673">
        <v>4</v>
      </c>
      <c r="L1673" s="6">
        <v>1.2192000000000001</v>
      </c>
      <c r="M1673" s="7">
        <v>25.4</v>
      </c>
      <c r="N1673" s="7">
        <v>139.69999999999999</v>
      </c>
      <c r="O1673" s="7">
        <f t="shared" si="132"/>
        <v>48.000000000000007</v>
      </c>
      <c r="P1673" s="7">
        <f t="shared" si="133"/>
        <v>1</v>
      </c>
      <c r="Q1673" s="7">
        <f t="shared" si="133"/>
        <v>5.5</v>
      </c>
      <c r="R1673" s="6">
        <f t="shared" si="134"/>
        <v>924.60199999999998</v>
      </c>
      <c r="S1673" s="6">
        <f t="shared" si="135"/>
        <v>4.3261848960000002E-3</v>
      </c>
      <c r="T1673" t="str">
        <f t="shared" si="136"/>
        <v>Ipe S4S E4E - Grade B 5/4x6 Short</v>
      </c>
    </row>
    <row r="1674" spans="1:20" x14ac:dyDescent="0.25">
      <c r="A1674" t="s">
        <v>1351</v>
      </c>
      <c r="B1674" t="s">
        <v>2013</v>
      </c>
      <c r="C1674" t="s">
        <v>524</v>
      </c>
      <c r="D1674" t="s">
        <v>438</v>
      </c>
      <c r="E1674" t="s">
        <v>2061</v>
      </c>
      <c r="F1674" t="s">
        <v>2014</v>
      </c>
      <c r="G1674" t="s">
        <v>1351</v>
      </c>
      <c r="H1674" t="s">
        <v>2015</v>
      </c>
      <c r="I1674" t="s">
        <v>289</v>
      </c>
      <c r="J1674" t="s">
        <v>2016</v>
      </c>
      <c r="K1674">
        <v>4</v>
      </c>
      <c r="L1674" s="6">
        <v>1.2192000000000001</v>
      </c>
      <c r="M1674" s="7">
        <v>23</v>
      </c>
      <c r="N1674" s="7">
        <v>139.69999999999999</v>
      </c>
      <c r="O1674" s="7">
        <f t="shared" si="132"/>
        <v>48.000000000000007</v>
      </c>
      <c r="P1674" s="7">
        <f t="shared" si="133"/>
        <v>0.9055118110236221</v>
      </c>
      <c r="Q1674" s="7">
        <f t="shared" si="133"/>
        <v>5.5</v>
      </c>
      <c r="R1674" s="6">
        <f t="shared" si="134"/>
        <v>1021.082</v>
      </c>
      <c r="S1674" s="6">
        <f t="shared" si="135"/>
        <v>3.9174115199999996E-3</v>
      </c>
      <c r="T1674" t="str">
        <f t="shared" si="136"/>
        <v>Ipe S4S E4E - TK 23 7/8x6 Short</v>
      </c>
    </row>
    <row r="1675" spans="1:20" x14ac:dyDescent="0.25">
      <c r="A1675" t="s">
        <v>1351</v>
      </c>
      <c r="B1675" t="s">
        <v>1352</v>
      </c>
      <c r="C1675" t="s">
        <v>524</v>
      </c>
      <c r="D1675" t="s">
        <v>438</v>
      </c>
      <c r="E1675" t="s">
        <v>2062</v>
      </c>
      <c r="F1675" t="s">
        <v>2008</v>
      </c>
      <c r="G1675" t="s">
        <v>1351</v>
      </c>
      <c r="H1675" t="s">
        <v>373</v>
      </c>
      <c r="I1675" t="s">
        <v>289</v>
      </c>
      <c r="J1675" t="s">
        <v>301</v>
      </c>
      <c r="K1675">
        <v>5</v>
      </c>
      <c r="L1675" s="6">
        <v>1.524</v>
      </c>
      <c r="M1675" s="7">
        <v>25.4</v>
      </c>
      <c r="N1675" s="7">
        <v>139.69999999999999</v>
      </c>
      <c r="O1675" s="7">
        <f t="shared" si="132"/>
        <v>60</v>
      </c>
      <c r="P1675" s="7">
        <f t="shared" si="133"/>
        <v>1</v>
      </c>
      <c r="Q1675" s="7">
        <f t="shared" si="133"/>
        <v>5.5</v>
      </c>
      <c r="R1675" s="6">
        <f t="shared" si="134"/>
        <v>924.60199999999998</v>
      </c>
      <c r="S1675" s="6">
        <f t="shared" si="135"/>
        <v>5.4077311200000002E-3</v>
      </c>
      <c r="T1675" t="str">
        <f t="shared" si="136"/>
        <v>Ipe S4S E4E 5/4x6 Short</v>
      </c>
    </row>
    <row r="1676" spans="1:20" x14ac:dyDescent="0.25">
      <c r="A1676" t="s">
        <v>1351</v>
      </c>
      <c r="B1676" t="s">
        <v>1352</v>
      </c>
      <c r="C1676" t="s">
        <v>524</v>
      </c>
      <c r="D1676" t="s">
        <v>438</v>
      </c>
      <c r="E1676" t="s">
        <v>2063</v>
      </c>
      <c r="F1676" t="s">
        <v>2009</v>
      </c>
      <c r="G1676" t="s">
        <v>1351</v>
      </c>
      <c r="H1676" t="s">
        <v>324</v>
      </c>
      <c r="I1676" t="s">
        <v>289</v>
      </c>
      <c r="J1676" t="s">
        <v>301</v>
      </c>
      <c r="K1676">
        <v>5</v>
      </c>
      <c r="L1676" s="6">
        <v>1.524</v>
      </c>
      <c r="M1676" s="7">
        <v>25.4</v>
      </c>
      <c r="N1676" s="7">
        <v>139.69999999999999</v>
      </c>
      <c r="O1676" s="7">
        <f t="shared" si="132"/>
        <v>60</v>
      </c>
      <c r="P1676" s="7">
        <f t="shared" si="133"/>
        <v>1</v>
      </c>
      <c r="Q1676" s="7">
        <f t="shared" si="133"/>
        <v>5.5</v>
      </c>
      <c r="R1676" s="6">
        <f t="shared" si="134"/>
        <v>924.60199999999998</v>
      </c>
      <c r="S1676" s="6">
        <f t="shared" si="135"/>
        <v>5.4077311200000002E-3</v>
      </c>
      <c r="T1676" t="str">
        <f t="shared" si="136"/>
        <v>Ipe Grooved 5/4x6 Short</v>
      </c>
    </row>
    <row r="1677" spans="1:20" x14ac:dyDescent="0.25">
      <c r="A1677" t="s">
        <v>1351</v>
      </c>
      <c r="B1677" t="s">
        <v>1352</v>
      </c>
      <c r="C1677" t="s">
        <v>524</v>
      </c>
      <c r="D1677" t="s">
        <v>438</v>
      </c>
      <c r="E1677" t="s">
        <v>2064</v>
      </c>
      <c r="F1677" t="s">
        <v>2011</v>
      </c>
      <c r="G1677" t="s">
        <v>1351</v>
      </c>
      <c r="H1677" t="s">
        <v>2012</v>
      </c>
      <c r="I1677" t="s">
        <v>289</v>
      </c>
      <c r="J1677" t="s">
        <v>301</v>
      </c>
      <c r="K1677">
        <v>5</v>
      </c>
      <c r="L1677" s="6">
        <v>1.524</v>
      </c>
      <c r="M1677" s="7">
        <v>25.4</v>
      </c>
      <c r="N1677" s="7">
        <v>139.69999999999999</v>
      </c>
      <c r="O1677" s="7">
        <f t="shared" si="132"/>
        <v>60</v>
      </c>
      <c r="P1677" s="7">
        <f t="shared" si="133"/>
        <v>1</v>
      </c>
      <c r="Q1677" s="7">
        <f t="shared" si="133"/>
        <v>5.5</v>
      </c>
      <c r="R1677" s="6">
        <f t="shared" si="134"/>
        <v>924.60199999999998</v>
      </c>
      <c r="S1677" s="6">
        <f t="shared" si="135"/>
        <v>5.4077311200000002E-3</v>
      </c>
      <c r="T1677" t="str">
        <f t="shared" si="136"/>
        <v>Ipe S4S E4E - Grade B 5/4x6 Short</v>
      </c>
    </row>
    <row r="1678" spans="1:20" x14ac:dyDescent="0.25">
      <c r="A1678" t="s">
        <v>1351</v>
      </c>
      <c r="B1678" t="s">
        <v>2013</v>
      </c>
      <c r="C1678" t="s">
        <v>524</v>
      </c>
      <c r="D1678" t="s">
        <v>438</v>
      </c>
      <c r="E1678" t="s">
        <v>2065</v>
      </c>
      <c r="F1678" t="s">
        <v>2014</v>
      </c>
      <c r="G1678" t="s">
        <v>1351</v>
      </c>
      <c r="H1678" t="s">
        <v>2015</v>
      </c>
      <c r="I1678" t="s">
        <v>289</v>
      </c>
      <c r="J1678" t="s">
        <v>2016</v>
      </c>
      <c r="K1678">
        <v>5</v>
      </c>
      <c r="L1678" s="6">
        <v>1.524</v>
      </c>
      <c r="M1678" s="7">
        <v>23</v>
      </c>
      <c r="N1678" s="7">
        <v>139.69999999999999</v>
      </c>
      <c r="O1678" s="7">
        <f t="shared" si="132"/>
        <v>60</v>
      </c>
      <c r="P1678" s="7">
        <f t="shared" si="133"/>
        <v>0.9055118110236221</v>
      </c>
      <c r="Q1678" s="7">
        <f t="shared" si="133"/>
        <v>5.5</v>
      </c>
      <c r="R1678" s="6">
        <f t="shared" si="134"/>
        <v>1021.082</v>
      </c>
      <c r="S1678" s="6">
        <f t="shared" si="135"/>
        <v>4.8967643999999998E-3</v>
      </c>
      <c r="T1678" t="str">
        <f t="shared" si="136"/>
        <v>Ipe S4S E4E - TK 23 7/8x6 Short</v>
      </c>
    </row>
    <row r="1679" spans="1:20" x14ac:dyDescent="0.25">
      <c r="A1679" t="s">
        <v>1351</v>
      </c>
      <c r="B1679" t="s">
        <v>1352</v>
      </c>
      <c r="C1679" t="s">
        <v>524</v>
      </c>
      <c r="D1679" t="s">
        <v>438</v>
      </c>
      <c r="E1679" t="s">
        <v>2066</v>
      </c>
      <c r="F1679" t="s">
        <v>2008</v>
      </c>
      <c r="G1679" t="s">
        <v>1351</v>
      </c>
      <c r="H1679" t="s">
        <v>373</v>
      </c>
      <c r="I1679" t="s">
        <v>289</v>
      </c>
      <c r="J1679" t="s">
        <v>301</v>
      </c>
      <c r="K1679">
        <v>6</v>
      </c>
      <c r="L1679" s="6">
        <v>1.8288</v>
      </c>
      <c r="M1679" s="7">
        <v>25.4</v>
      </c>
      <c r="N1679" s="7">
        <v>139.69999999999999</v>
      </c>
      <c r="O1679" s="7">
        <f t="shared" si="132"/>
        <v>72</v>
      </c>
      <c r="P1679" s="7">
        <f t="shared" si="133"/>
        <v>1</v>
      </c>
      <c r="Q1679" s="7">
        <f t="shared" si="133"/>
        <v>5.5</v>
      </c>
      <c r="R1679" s="6">
        <f t="shared" si="134"/>
        <v>924.60199999999998</v>
      </c>
      <c r="S1679" s="6">
        <f t="shared" si="135"/>
        <v>6.4892773439999985E-3</v>
      </c>
      <c r="T1679" t="str">
        <f t="shared" si="136"/>
        <v>Ipe S4S E4E 5/4x6 Short</v>
      </c>
    </row>
    <row r="1680" spans="1:20" x14ac:dyDescent="0.25">
      <c r="A1680" t="s">
        <v>1351</v>
      </c>
      <c r="B1680" t="s">
        <v>1352</v>
      </c>
      <c r="C1680" t="s">
        <v>524</v>
      </c>
      <c r="D1680" t="s">
        <v>438</v>
      </c>
      <c r="E1680" t="s">
        <v>133</v>
      </c>
      <c r="F1680" t="s">
        <v>2009</v>
      </c>
      <c r="G1680" t="s">
        <v>1351</v>
      </c>
      <c r="H1680" t="s">
        <v>324</v>
      </c>
      <c r="I1680" t="s">
        <v>289</v>
      </c>
      <c r="J1680" t="s">
        <v>301</v>
      </c>
      <c r="K1680">
        <v>6</v>
      </c>
      <c r="L1680" s="6">
        <v>1.8288</v>
      </c>
      <c r="M1680" s="7">
        <v>25.4</v>
      </c>
      <c r="N1680" s="7">
        <v>139.69999999999999</v>
      </c>
      <c r="O1680" s="7">
        <f t="shared" si="132"/>
        <v>72</v>
      </c>
      <c r="P1680" s="7">
        <f t="shared" si="133"/>
        <v>1</v>
      </c>
      <c r="Q1680" s="7">
        <f t="shared" si="133"/>
        <v>5.5</v>
      </c>
      <c r="R1680" s="6">
        <f t="shared" si="134"/>
        <v>924.60199999999998</v>
      </c>
      <c r="S1680" s="6">
        <f t="shared" si="135"/>
        <v>6.4892773439999985E-3</v>
      </c>
      <c r="T1680" t="str">
        <f t="shared" si="136"/>
        <v>Ipe Grooved 5/4x6 Short</v>
      </c>
    </row>
    <row r="1681" spans="1:20" x14ac:dyDescent="0.25">
      <c r="A1681" t="s">
        <v>1351</v>
      </c>
      <c r="B1681" t="s">
        <v>1352</v>
      </c>
      <c r="C1681" t="s">
        <v>524</v>
      </c>
      <c r="D1681" t="s">
        <v>438</v>
      </c>
      <c r="E1681" t="s">
        <v>2067</v>
      </c>
      <c r="F1681" t="s">
        <v>2011</v>
      </c>
      <c r="G1681" t="s">
        <v>1351</v>
      </c>
      <c r="H1681" t="s">
        <v>2012</v>
      </c>
      <c r="I1681" t="s">
        <v>289</v>
      </c>
      <c r="J1681" t="s">
        <v>301</v>
      </c>
      <c r="K1681">
        <v>6</v>
      </c>
      <c r="L1681" s="6">
        <v>1.8288</v>
      </c>
      <c r="M1681" s="7">
        <v>25.4</v>
      </c>
      <c r="N1681" s="7">
        <v>139.69999999999999</v>
      </c>
      <c r="O1681" s="7">
        <f t="shared" si="132"/>
        <v>72</v>
      </c>
      <c r="P1681" s="7">
        <f t="shared" si="133"/>
        <v>1</v>
      </c>
      <c r="Q1681" s="7">
        <f t="shared" si="133"/>
        <v>5.5</v>
      </c>
      <c r="R1681" s="6">
        <f t="shared" si="134"/>
        <v>924.60199999999998</v>
      </c>
      <c r="S1681" s="6">
        <f t="shared" si="135"/>
        <v>6.4892773439999985E-3</v>
      </c>
      <c r="T1681" t="str">
        <f t="shared" si="136"/>
        <v>Ipe S4S E4E - Grade B 5/4x6 Short</v>
      </c>
    </row>
    <row r="1682" spans="1:20" x14ac:dyDescent="0.25">
      <c r="A1682" t="s">
        <v>1351</v>
      </c>
      <c r="B1682" t="s">
        <v>2013</v>
      </c>
      <c r="C1682" t="s">
        <v>524</v>
      </c>
      <c r="D1682" t="s">
        <v>438</v>
      </c>
      <c r="E1682" t="s">
        <v>2068</v>
      </c>
      <c r="F1682" t="s">
        <v>2014</v>
      </c>
      <c r="G1682" t="s">
        <v>1351</v>
      </c>
      <c r="H1682" t="s">
        <v>2015</v>
      </c>
      <c r="I1682" t="s">
        <v>289</v>
      </c>
      <c r="J1682" t="s">
        <v>2016</v>
      </c>
      <c r="K1682">
        <v>6</v>
      </c>
      <c r="L1682" s="6">
        <v>1.8288</v>
      </c>
      <c r="M1682" s="7">
        <v>23</v>
      </c>
      <c r="N1682" s="7">
        <v>139.69999999999999</v>
      </c>
      <c r="O1682" s="7">
        <f t="shared" si="132"/>
        <v>72</v>
      </c>
      <c r="P1682" s="7">
        <f t="shared" si="133"/>
        <v>0.9055118110236221</v>
      </c>
      <c r="Q1682" s="7">
        <f t="shared" si="133"/>
        <v>5.5</v>
      </c>
      <c r="R1682" s="6">
        <f t="shared" si="134"/>
        <v>1021.082</v>
      </c>
      <c r="S1682" s="6">
        <f t="shared" si="135"/>
        <v>5.8761172799999999E-3</v>
      </c>
      <c r="T1682" t="str">
        <f t="shared" si="136"/>
        <v>Ipe S4S E4E - TK 23 7/8x6 Short</v>
      </c>
    </row>
    <row r="1683" spans="1:20" x14ac:dyDescent="0.25">
      <c r="A1683" t="s">
        <v>1351</v>
      </c>
      <c r="B1683" t="s">
        <v>1352</v>
      </c>
      <c r="C1683" t="s">
        <v>524</v>
      </c>
      <c r="D1683" t="s">
        <v>438</v>
      </c>
      <c r="E1683" t="s">
        <v>2069</v>
      </c>
      <c r="F1683" t="s">
        <v>2008</v>
      </c>
      <c r="G1683" t="s">
        <v>1351</v>
      </c>
      <c r="H1683" t="s">
        <v>373</v>
      </c>
      <c r="I1683" t="s">
        <v>289</v>
      </c>
      <c r="J1683" t="s">
        <v>301</v>
      </c>
      <c r="K1683">
        <v>7</v>
      </c>
      <c r="L1683" s="6">
        <v>2.1335999999999999</v>
      </c>
      <c r="M1683" s="7">
        <v>25.4</v>
      </c>
      <c r="N1683" s="7">
        <v>139.69999999999999</v>
      </c>
      <c r="O1683" s="7">
        <f t="shared" si="132"/>
        <v>84</v>
      </c>
      <c r="P1683" s="7">
        <f t="shared" si="133"/>
        <v>1</v>
      </c>
      <c r="Q1683" s="7">
        <f t="shared" si="133"/>
        <v>5.5</v>
      </c>
      <c r="R1683" s="6">
        <f t="shared" si="134"/>
        <v>924.60199999999998</v>
      </c>
      <c r="S1683" s="6">
        <f t="shared" si="135"/>
        <v>7.5708235679999986E-3</v>
      </c>
      <c r="T1683" t="str">
        <f t="shared" si="136"/>
        <v>Ipe S4S E4E 5/4x6 Short</v>
      </c>
    </row>
    <row r="1684" spans="1:20" x14ac:dyDescent="0.25">
      <c r="A1684" t="s">
        <v>1351</v>
      </c>
      <c r="B1684" t="s">
        <v>1352</v>
      </c>
      <c r="C1684" t="s">
        <v>524</v>
      </c>
      <c r="D1684" t="s">
        <v>438</v>
      </c>
      <c r="E1684" t="s">
        <v>2070</v>
      </c>
      <c r="F1684" t="s">
        <v>2009</v>
      </c>
      <c r="G1684" t="s">
        <v>1351</v>
      </c>
      <c r="H1684" t="s">
        <v>324</v>
      </c>
      <c r="I1684" t="s">
        <v>289</v>
      </c>
      <c r="J1684" t="s">
        <v>301</v>
      </c>
      <c r="K1684">
        <v>7</v>
      </c>
      <c r="L1684" s="6">
        <v>2.1335999999999999</v>
      </c>
      <c r="M1684" s="7">
        <v>25.4</v>
      </c>
      <c r="N1684" s="7">
        <v>139.69999999999999</v>
      </c>
      <c r="O1684" s="7">
        <f t="shared" si="132"/>
        <v>84</v>
      </c>
      <c r="P1684" s="7">
        <f t="shared" si="133"/>
        <v>1</v>
      </c>
      <c r="Q1684" s="7">
        <f t="shared" si="133"/>
        <v>5.5</v>
      </c>
      <c r="R1684" s="6">
        <f t="shared" si="134"/>
        <v>924.60199999999998</v>
      </c>
      <c r="S1684" s="6">
        <f t="shared" si="135"/>
        <v>7.5708235679999986E-3</v>
      </c>
      <c r="T1684" t="str">
        <f t="shared" si="136"/>
        <v>Ipe Grooved 5/4x6 Short</v>
      </c>
    </row>
    <row r="1685" spans="1:20" x14ac:dyDescent="0.25">
      <c r="A1685" t="s">
        <v>1351</v>
      </c>
      <c r="B1685" t="s">
        <v>1352</v>
      </c>
      <c r="C1685" t="s">
        <v>524</v>
      </c>
      <c r="D1685" t="s">
        <v>438</v>
      </c>
      <c r="E1685" t="s">
        <v>2071</v>
      </c>
      <c r="F1685" t="s">
        <v>2011</v>
      </c>
      <c r="G1685" t="s">
        <v>1351</v>
      </c>
      <c r="H1685" t="s">
        <v>2012</v>
      </c>
      <c r="I1685" t="s">
        <v>289</v>
      </c>
      <c r="J1685" t="s">
        <v>301</v>
      </c>
      <c r="K1685">
        <v>7</v>
      </c>
      <c r="L1685" s="6">
        <v>2.1335999999999999</v>
      </c>
      <c r="M1685" s="7">
        <v>25.4</v>
      </c>
      <c r="N1685" s="7">
        <v>139.69999999999999</v>
      </c>
      <c r="O1685" s="7">
        <f t="shared" si="132"/>
        <v>84</v>
      </c>
      <c r="P1685" s="7">
        <f t="shared" si="133"/>
        <v>1</v>
      </c>
      <c r="Q1685" s="7">
        <f t="shared" si="133"/>
        <v>5.5</v>
      </c>
      <c r="R1685" s="6">
        <f t="shared" si="134"/>
        <v>924.60199999999998</v>
      </c>
      <c r="S1685" s="6">
        <f t="shared" si="135"/>
        <v>7.5708235679999986E-3</v>
      </c>
      <c r="T1685" t="str">
        <f t="shared" si="136"/>
        <v>Ipe S4S E4E - Grade B 5/4x6 Short</v>
      </c>
    </row>
    <row r="1686" spans="1:20" x14ac:dyDescent="0.25">
      <c r="A1686" t="s">
        <v>1351</v>
      </c>
      <c r="B1686" t="s">
        <v>2013</v>
      </c>
      <c r="C1686" t="s">
        <v>524</v>
      </c>
      <c r="D1686" t="s">
        <v>438</v>
      </c>
      <c r="E1686" t="s">
        <v>2072</v>
      </c>
      <c r="F1686" t="s">
        <v>2014</v>
      </c>
      <c r="G1686" t="s">
        <v>1351</v>
      </c>
      <c r="H1686" t="s">
        <v>2015</v>
      </c>
      <c r="I1686" t="s">
        <v>289</v>
      </c>
      <c r="J1686" t="s">
        <v>2016</v>
      </c>
      <c r="K1686">
        <v>7</v>
      </c>
      <c r="L1686" s="6">
        <v>2.1335999999999999</v>
      </c>
      <c r="M1686" s="7">
        <v>23</v>
      </c>
      <c r="N1686" s="7">
        <v>139.69999999999999</v>
      </c>
      <c r="O1686" s="7">
        <f t="shared" si="132"/>
        <v>84</v>
      </c>
      <c r="P1686" s="7">
        <f t="shared" si="133"/>
        <v>0.9055118110236221</v>
      </c>
      <c r="Q1686" s="7">
        <f t="shared" si="133"/>
        <v>5.5</v>
      </c>
      <c r="R1686" s="6">
        <f t="shared" si="134"/>
        <v>1021.082</v>
      </c>
      <c r="S1686" s="6">
        <f t="shared" si="135"/>
        <v>6.8554701599999992E-3</v>
      </c>
      <c r="T1686" t="str">
        <f t="shared" si="136"/>
        <v>Ipe S4S E4E - TK 23 7/8x6 Short</v>
      </c>
    </row>
    <row r="1687" spans="1:20" x14ac:dyDescent="0.25">
      <c r="A1687" t="s">
        <v>1351</v>
      </c>
      <c r="B1687" t="s">
        <v>1352</v>
      </c>
      <c r="C1687" t="s">
        <v>283</v>
      </c>
      <c r="D1687" t="s">
        <v>438</v>
      </c>
      <c r="E1687" t="s">
        <v>235</v>
      </c>
      <c r="F1687" t="s">
        <v>2008</v>
      </c>
      <c r="G1687" t="s">
        <v>1351</v>
      </c>
      <c r="H1687" t="s">
        <v>373</v>
      </c>
      <c r="I1687" t="s">
        <v>289</v>
      </c>
      <c r="J1687" t="s">
        <v>301</v>
      </c>
      <c r="K1687">
        <v>8</v>
      </c>
      <c r="L1687" s="6">
        <v>2.4384000000000001</v>
      </c>
      <c r="M1687" s="7">
        <v>25.4</v>
      </c>
      <c r="N1687" s="7">
        <v>139.69999999999999</v>
      </c>
      <c r="O1687" s="7">
        <f t="shared" si="132"/>
        <v>96.000000000000014</v>
      </c>
      <c r="P1687" s="7">
        <f t="shared" si="133"/>
        <v>1</v>
      </c>
      <c r="Q1687" s="7">
        <f t="shared" si="133"/>
        <v>5.5</v>
      </c>
      <c r="R1687" s="6">
        <f t="shared" si="134"/>
        <v>924.60199999999998</v>
      </c>
      <c r="S1687" s="6">
        <f t="shared" si="135"/>
        <v>8.6523697920000003E-3</v>
      </c>
      <c r="T1687" t="str">
        <f t="shared" si="136"/>
        <v>Ipe S4S E4E 5/4x6 Long</v>
      </c>
    </row>
    <row r="1688" spans="1:20" x14ac:dyDescent="0.25">
      <c r="A1688" t="s">
        <v>1351</v>
      </c>
      <c r="B1688" t="s">
        <v>1352</v>
      </c>
      <c r="C1688" t="s">
        <v>283</v>
      </c>
      <c r="D1688" t="s">
        <v>438</v>
      </c>
      <c r="E1688" t="s">
        <v>236</v>
      </c>
      <c r="F1688" t="s">
        <v>2009</v>
      </c>
      <c r="G1688" t="s">
        <v>1351</v>
      </c>
      <c r="H1688" t="s">
        <v>324</v>
      </c>
      <c r="I1688" t="s">
        <v>289</v>
      </c>
      <c r="J1688" t="s">
        <v>301</v>
      </c>
      <c r="K1688">
        <v>8</v>
      </c>
      <c r="L1688" s="6">
        <v>2.4384000000000001</v>
      </c>
      <c r="M1688" s="7">
        <v>25.4</v>
      </c>
      <c r="N1688" s="7">
        <v>139.69999999999999</v>
      </c>
      <c r="O1688" s="7">
        <f t="shared" si="132"/>
        <v>96.000000000000014</v>
      </c>
      <c r="P1688" s="7">
        <f t="shared" si="133"/>
        <v>1</v>
      </c>
      <c r="Q1688" s="7">
        <f t="shared" si="133"/>
        <v>5.5</v>
      </c>
      <c r="R1688" s="6">
        <f t="shared" si="134"/>
        <v>924.60199999999998</v>
      </c>
      <c r="S1688" s="6">
        <f t="shared" si="135"/>
        <v>8.6523697920000003E-3</v>
      </c>
      <c r="T1688" t="str">
        <f t="shared" si="136"/>
        <v>Ipe Grooved 5/4x6 Long</v>
      </c>
    </row>
    <row r="1689" spans="1:20" x14ac:dyDescent="0.25">
      <c r="A1689" t="s">
        <v>1351</v>
      </c>
      <c r="B1689" t="s">
        <v>1352</v>
      </c>
      <c r="C1689" t="s">
        <v>283</v>
      </c>
      <c r="D1689" t="s">
        <v>438</v>
      </c>
      <c r="E1689" t="s">
        <v>2073</v>
      </c>
      <c r="F1689" t="s">
        <v>2011</v>
      </c>
      <c r="G1689" t="s">
        <v>1351</v>
      </c>
      <c r="H1689" t="s">
        <v>2012</v>
      </c>
      <c r="I1689" t="s">
        <v>289</v>
      </c>
      <c r="J1689" t="s">
        <v>301</v>
      </c>
      <c r="K1689">
        <v>8</v>
      </c>
      <c r="L1689" s="6">
        <v>2.4384000000000001</v>
      </c>
      <c r="M1689" s="7">
        <v>25.4</v>
      </c>
      <c r="N1689" s="7">
        <v>139.69999999999999</v>
      </c>
      <c r="O1689" s="7">
        <f t="shared" si="132"/>
        <v>96.000000000000014</v>
      </c>
      <c r="P1689" s="7">
        <f t="shared" si="133"/>
        <v>1</v>
      </c>
      <c r="Q1689" s="7">
        <f t="shared" si="133"/>
        <v>5.5</v>
      </c>
      <c r="R1689" s="6">
        <f t="shared" si="134"/>
        <v>924.60199999999998</v>
      </c>
      <c r="S1689" s="6">
        <f t="shared" si="135"/>
        <v>8.6523697920000003E-3</v>
      </c>
      <c r="T1689" t="str">
        <f t="shared" si="136"/>
        <v>Ipe S4S E4E - Grade B 5/4x6 Long</v>
      </c>
    </row>
    <row r="1690" spans="1:20" x14ac:dyDescent="0.25">
      <c r="A1690" t="s">
        <v>1351</v>
      </c>
      <c r="B1690" t="s">
        <v>2013</v>
      </c>
      <c r="C1690" t="s">
        <v>283</v>
      </c>
      <c r="D1690" t="s">
        <v>438</v>
      </c>
      <c r="E1690" t="s">
        <v>201</v>
      </c>
      <c r="F1690" t="s">
        <v>2014</v>
      </c>
      <c r="G1690" t="s">
        <v>1351</v>
      </c>
      <c r="H1690" t="s">
        <v>2015</v>
      </c>
      <c r="I1690" t="s">
        <v>289</v>
      </c>
      <c r="J1690" t="s">
        <v>2016</v>
      </c>
      <c r="K1690">
        <v>8</v>
      </c>
      <c r="L1690" s="6">
        <v>2.4384000000000001</v>
      </c>
      <c r="M1690" s="7">
        <v>23</v>
      </c>
      <c r="N1690" s="7">
        <v>139.69999999999999</v>
      </c>
      <c r="O1690" s="7">
        <f t="shared" si="132"/>
        <v>96.000000000000014</v>
      </c>
      <c r="P1690" s="7">
        <f t="shared" si="133"/>
        <v>0.9055118110236221</v>
      </c>
      <c r="Q1690" s="7">
        <f t="shared" si="133"/>
        <v>5.5</v>
      </c>
      <c r="R1690" s="6">
        <f t="shared" si="134"/>
        <v>1021.082</v>
      </c>
      <c r="S1690" s="6">
        <f t="shared" si="135"/>
        <v>7.8348230399999993E-3</v>
      </c>
      <c r="T1690" t="str">
        <f t="shared" si="136"/>
        <v>Ipe S4S E4E - TK 23 7/8x6 Long</v>
      </c>
    </row>
    <row r="1691" spans="1:20" x14ac:dyDescent="0.25">
      <c r="A1691" t="s">
        <v>1351</v>
      </c>
      <c r="B1691" t="s">
        <v>1352</v>
      </c>
      <c r="C1691" t="s">
        <v>283</v>
      </c>
      <c r="D1691" t="s">
        <v>438</v>
      </c>
      <c r="E1691" t="s">
        <v>2074</v>
      </c>
      <c r="F1691" t="s">
        <v>2008</v>
      </c>
      <c r="G1691" t="s">
        <v>1351</v>
      </c>
      <c r="H1691" t="s">
        <v>373</v>
      </c>
      <c r="I1691" t="s">
        <v>289</v>
      </c>
      <c r="J1691" t="s">
        <v>301</v>
      </c>
      <c r="K1691">
        <v>9</v>
      </c>
      <c r="L1691" s="6">
        <v>2.7431999999999999</v>
      </c>
      <c r="M1691" s="7">
        <v>25.4</v>
      </c>
      <c r="N1691" s="7">
        <v>139.69999999999999</v>
      </c>
      <c r="O1691" s="7">
        <f t="shared" si="132"/>
        <v>108</v>
      </c>
      <c r="P1691" s="7">
        <f t="shared" si="133"/>
        <v>1</v>
      </c>
      <c r="Q1691" s="7">
        <f t="shared" si="133"/>
        <v>5.5</v>
      </c>
      <c r="R1691" s="6">
        <f t="shared" si="134"/>
        <v>924.60199999999998</v>
      </c>
      <c r="S1691" s="6">
        <f t="shared" si="135"/>
        <v>9.7339160159999986E-3</v>
      </c>
      <c r="T1691" t="str">
        <f t="shared" si="136"/>
        <v>Ipe S4S E4E 5/4x6 Long</v>
      </c>
    </row>
    <row r="1692" spans="1:20" x14ac:dyDescent="0.25">
      <c r="A1692" t="s">
        <v>1351</v>
      </c>
      <c r="B1692" t="s">
        <v>1352</v>
      </c>
      <c r="C1692" t="s">
        <v>283</v>
      </c>
      <c r="D1692" t="s">
        <v>438</v>
      </c>
      <c r="E1692" t="s">
        <v>2075</v>
      </c>
      <c r="F1692" t="s">
        <v>2009</v>
      </c>
      <c r="G1692" t="s">
        <v>1351</v>
      </c>
      <c r="H1692" t="s">
        <v>324</v>
      </c>
      <c r="I1692" t="s">
        <v>289</v>
      </c>
      <c r="J1692" t="s">
        <v>301</v>
      </c>
      <c r="K1692">
        <v>9</v>
      </c>
      <c r="L1692" s="6">
        <v>2.7431999999999999</v>
      </c>
      <c r="M1692" s="7">
        <v>25.4</v>
      </c>
      <c r="N1692" s="7">
        <v>139.69999999999999</v>
      </c>
      <c r="O1692" s="7">
        <f t="shared" si="132"/>
        <v>108</v>
      </c>
      <c r="P1692" s="7">
        <f t="shared" si="133"/>
        <v>1</v>
      </c>
      <c r="Q1692" s="7">
        <f t="shared" si="133"/>
        <v>5.5</v>
      </c>
      <c r="R1692" s="6">
        <f t="shared" si="134"/>
        <v>924.60199999999998</v>
      </c>
      <c r="S1692" s="6">
        <f t="shared" si="135"/>
        <v>9.7339160159999986E-3</v>
      </c>
      <c r="T1692" t="str">
        <f t="shared" si="136"/>
        <v>Ipe Grooved 5/4x6 Long</v>
      </c>
    </row>
    <row r="1693" spans="1:20" x14ac:dyDescent="0.25">
      <c r="A1693" t="s">
        <v>1351</v>
      </c>
      <c r="B1693" t="s">
        <v>1352</v>
      </c>
      <c r="C1693" t="s">
        <v>283</v>
      </c>
      <c r="D1693" t="s">
        <v>438</v>
      </c>
      <c r="E1693" t="s">
        <v>2076</v>
      </c>
      <c r="F1693" t="s">
        <v>2011</v>
      </c>
      <c r="G1693" t="s">
        <v>1351</v>
      </c>
      <c r="H1693" t="s">
        <v>2012</v>
      </c>
      <c r="I1693" t="s">
        <v>289</v>
      </c>
      <c r="J1693" t="s">
        <v>301</v>
      </c>
      <c r="K1693">
        <v>9</v>
      </c>
      <c r="L1693" s="6">
        <v>2.7431999999999999</v>
      </c>
      <c r="M1693" s="7">
        <v>25.4</v>
      </c>
      <c r="N1693" s="7">
        <v>139.69999999999999</v>
      </c>
      <c r="O1693" s="7">
        <f t="shared" si="132"/>
        <v>108</v>
      </c>
      <c r="P1693" s="7">
        <f t="shared" si="133"/>
        <v>1</v>
      </c>
      <c r="Q1693" s="7">
        <f t="shared" si="133"/>
        <v>5.5</v>
      </c>
      <c r="R1693" s="6">
        <f t="shared" si="134"/>
        <v>924.60199999999998</v>
      </c>
      <c r="S1693" s="6">
        <f t="shared" si="135"/>
        <v>9.7339160159999986E-3</v>
      </c>
      <c r="T1693" t="str">
        <f t="shared" si="136"/>
        <v>Ipe S4S E4E - Grade B 5/4x6 Long</v>
      </c>
    </row>
    <row r="1694" spans="1:20" x14ac:dyDescent="0.25">
      <c r="A1694" t="s">
        <v>1351</v>
      </c>
      <c r="B1694" t="s">
        <v>2013</v>
      </c>
      <c r="C1694" t="s">
        <v>283</v>
      </c>
      <c r="D1694" t="s">
        <v>438</v>
      </c>
      <c r="E1694" t="s">
        <v>2077</v>
      </c>
      <c r="F1694" t="s">
        <v>2014</v>
      </c>
      <c r="G1694" t="s">
        <v>1351</v>
      </c>
      <c r="H1694" t="s">
        <v>2015</v>
      </c>
      <c r="I1694" t="s">
        <v>289</v>
      </c>
      <c r="J1694" t="s">
        <v>2016</v>
      </c>
      <c r="K1694">
        <v>9</v>
      </c>
      <c r="L1694" s="6">
        <v>2.7431999999999999</v>
      </c>
      <c r="M1694" s="7">
        <v>23</v>
      </c>
      <c r="N1694" s="7">
        <v>139.69999999999999</v>
      </c>
      <c r="O1694" s="7">
        <f t="shared" ref="O1694:O1757" si="137">L1694/0.0254</f>
        <v>108</v>
      </c>
      <c r="P1694" s="7">
        <f t="shared" ref="P1694:Q1757" si="138">M1694/25.4</f>
        <v>0.9055118110236221</v>
      </c>
      <c r="Q1694" s="7">
        <f t="shared" si="138"/>
        <v>5.5</v>
      </c>
      <c r="R1694" s="6">
        <f t="shared" ref="R1694:R1757" si="139">ROUND(IFERROR(1/((M1694*N1694*0.3048)/1000000),0),3)</f>
        <v>1021.082</v>
      </c>
      <c r="S1694" s="6">
        <f t="shared" ref="S1694:S1757" si="140">L1694*M1694/1000*N1694/1000</f>
        <v>8.8141759199999985E-3</v>
      </c>
      <c r="T1694" t="str">
        <f t="shared" si="136"/>
        <v>Ipe S4S E4E - TK 23 7/8x6 Long</v>
      </c>
    </row>
    <row r="1695" spans="1:20" x14ac:dyDescent="0.25">
      <c r="A1695" t="s">
        <v>1351</v>
      </c>
      <c r="B1695" t="s">
        <v>2078</v>
      </c>
      <c r="C1695" t="s">
        <v>283</v>
      </c>
      <c r="D1695" t="s">
        <v>438</v>
      </c>
      <c r="E1695" t="s">
        <v>2079</v>
      </c>
      <c r="F1695" t="s">
        <v>2080</v>
      </c>
      <c r="G1695" t="s">
        <v>1351</v>
      </c>
      <c r="H1695" t="s">
        <v>373</v>
      </c>
      <c r="I1695" t="s">
        <v>289</v>
      </c>
      <c r="J1695" t="s">
        <v>1126</v>
      </c>
      <c r="K1695">
        <v>10</v>
      </c>
      <c r="L1695" s="6">
        <v>3.048</v>
      </c>
      <c r="M1695" s="7">
        <v>25.4</v>
      </c>
      <c r="N1695" s="7">
        <v>184.15</v>
      </c>
      <c r="O1695" s="7">
        <f t="shared" si="137"/>
        <v>120</v>
      </c>
      <c r="P1695" s="7">
        <f t="shared" si="138"/>
        <v>1</v>
      </c>
      <c r="Q1695" s="7">
        <f t="shared" si="138"/>
        <v>7.2500000000000009</v>
      </c>
      <c r="R1695" s="6">
        <f t="shared" si="139"/>
        <v>701.42200000000003</v>
      </c>
      <c r="S1695" s="6">
        <f t="shared" si="140"/>
        <v>1.4256745680000002E-2</v>
      </c>
      <c r="T1695" t="str">
        <f t="shared" si="136"/>
        <v>Ipe S4S E4E 5/4x8 Long</v>
      </c>
    </row>
    <row r="1696" spans="1:20" x14ac:dyDescent="0.25">
      <c r="A1696" t="s">
        <v>1351</v>
      </c>
      <c r="B1696" t="s">
        <v>2078</v>
      </c>
      <c r="C1696" t="s">
        <v>283</v>
      </c>
      <c r="D1696" t="s">
        <v>438</v>
      </c>
      <c r="E1696" t="s">
        <v>2081</v>
      </c>
      <c r="F1696" t="s">
        <v>2080</v>
      </c>
      <c r="G1696" t="s">
        <v>1351</v>
      </c>
      <c r="H1696" t="s">
        <v>373</v>
      </c>
      <c r="I1696" t="s">
        <v>289</v>
      </c>
      <c r="J1696" t="s">
        <v>1126</v>
      </c>
      <c r="K1696">
        <v>11</v>
      </c>
      <c r="L1696" s="6">
        <v>3.3527999999999998</v>
      </c>
      <c r="M1696" s="7">
        <v>25.4</v>
      </c>
      <c r="N1696" s="7">
        <v>184.15</v>
      </c>
      <c r="O1696" s="7">
        <f t="shared" si="137"/>
        <v>132</v>
      </c>
      <c r="P1696" s="7">
        <f t="shared" si="138"/>
        <v>1</v>
      </c>
      <c r="Q1696" s="7">
        <f t="shared" si="138"/>
        <v>7.2500000000000009</v>
      </c>
      <c r="R1696" s="6">
        <f t="shared" si="139"/>
        <v>701.42200000000003</v>
      </c>
      <c r="S1696" s="6">
        <f t="shared" si="140"/>
        <v>1.5682420247999995E-2</v>
      </c>
      <c r="T1696" t="str">
        <f t="shared" si="136"/>
        <v>Ipe S4S E4E 5/4x8 Long</v>
      </c>
    </row>
    <row r="1697" spans="1:20" x14ac:dyDescent="0.25">
      <c r="A1697" t="s">
        <v>1351</v>
      </c>
      <c r="B1697" t="s">
        <v>2078</v>
      </c>
      <c r="C1697" t="s">
        <v>283</v>
      </c>
      <c r="D1697" t="s">
        <v>438</v>
      </c>
      <c r="E1697" t="s">
        <v>2082</v>
      </c>
      <c r="F1697" t="s">
        <v>2080</v>
      </c>
      <c r="G1697" t="s">
        <v>1351</v>
      </c>
      <c r="H1697" t="s">
        <v>373</v>
      </c>
      <c r="I1697" t="s">
        <v>289</v>
      </c>
      <c r="J1697" t="s">
        <v>1126</v>
      </c>
      <c r="K1697">
        <v>12</v>
      </c>
      <c r="L1697" s="6">
        <v>3.6576</v>
      </c>
      <c r="M1697" s="7">
        <v>25.4</v>
      </c>
      <c r="N1697" s="7">
        <v>184.15</v>
      </c>
      <c r="O1697" s="7">
        <f t="shared" si="137"/>
        <v>144</v>
      </c>
      <c r="P1697" s="7">
        <f t="shared" si="138"/>
        <v>1</v>
      </c>
      <c r="Q1697" s="7">
        <f t="shared" si="138"/>
        <v>7.2500000000000009</v>
      </c>
      <c r="R1697" s="6">
        <f t="shared" si="139"/>
        <v>701.42200000000003</v>
      </c>
      <c r="S1697" s="6">
        <f t="shared" si="140"/>
        <v>1.7108094815999998E-2</v>
      </c>
      <c r="T1697" t="str">
        <f t="shared" si="136"/>
        <v>Ipe S4S E4E 5/4x8 Long</v>
      </c>
    </row>
    <row r="1698" spans="1:20" x14ac:dyDescent="0.25">
      <c r="A1698" t="s">
        <v>1351</v>
      </c>
      <c r="B1698" t="s">
        <v>2078</v>
      </c>
      <c r="C1698" t="s">
        <v>283</v>
      </c>
      <c r="D1698" t="s">
        <v>438</v>
      </c>
      <c r="E1698" t="s">
        <v>2083</v>
      </c>
      <c r="F1698" t="s">
        <v>2080</v>
      </c>
      <c r="G1698" t="s">
        <v>1351</v>
      </c>
      <c r="H1698" t="s">
        <v>373</v>
      </c>
      <c r="I1698" t="s">
        <v>289</v>
      </c>
      <c r="J1698" t="s">
        <v>1126</v>
      </c>
      <c r="K1698">
        <v>13</v>
      </c>
      <c r="L1698" s="6">
        <v>3.9624000000000001</v>
      </c>
      <c r="M1698" s="7">
        <v>25.4</v>
      </c>
      <c r="N1698" s="7">
        <v>184.15</v>
      </c>
      <c r="O1698" s="7">
        <f t="shared" si="137"/>
        <v>156</v>
      </c>
      <c r="P1698" s="7">
        <f t="shared" si="138"/>
        <v>1</v>
      </c>
      <c r="Q1698" s="7">
        <f t="shared" si="138"/>
        <v>7.2500000000000009</v>
      </c>
      <c r="R1698" s="6">
        <f t="shared" si="139"/>
        <v>701.42200000000003</v>
      </c>
      <c r="S1698" s="6">
        <f t="shared" si="140"/>
        <v>1.8533769384E-2</v>
      </c>
      <c r="T1698" t="str">
        <f t="shared" si="136"/>
        <v>Ipe S4S E4E 5/4x8 Long</v>
      </c>
    </row>
    <row r="1699" spans="1:20" x14ac:dyDescent="0.25">
      <c r="A1699" t="s">
        <v>1351</v>
      </c>
      <c r="B1699" t="s">
        <v>2078</v>
      </c>
      <c r="C1699" t="s">
        <v>283</v>
      </c>
      <c r="D1699" t="s">
        <v>438</v>
      </c>
      <c r="E1699" t="s">
        <v>2084</v>
      </c>
      <c r="F1699" t="s">
        <v>2080</v>
      </c>
      <c r="G1699" t="s">
        <v>1351</v>
      </c>
      <c r="H1699" t="s">
        <v>373</v>
      </c>
      <c r="I1699" t="s">
        <v>289</v>
      </c>
      <c r="J1699" t="s">
        <v>1126</v>
      </c>
      <c r="K1699">
        <v>14</v>
      </c>
      <c r="L1699" s="6">
        <v>4.2671999999999999</v>
      </c>
      <c r="M1699" s="7">
        <v>25.4</v>
      </c>
      <c r="N1699" s="7">
        <v>184.15</v>
      </c>
      <c r="O1699" s="7">
        <f t="shared" si="137"/>
        <v>168</v>
      </c>
      <c r="P1699" s="7">
        <f t="shared" si="138"/>
        <v>1</v>
      </c>
      <c r="Q1699" s="7">
        <f t="shared" si="138"/>
        <v>7.2500000000000009</v>
      </c>
      <c r="R1699" s="6">
        <f t="shared" si="139"/>
        <v>701.42200000000003</v>
      </c>
      <c r="S1699" s="6">
        <f t="shared" si="140"/>
        <v>1.9959443951999997E-2</v>
      </c>
      <c r="T1699" t="str">
        <f t="shared" si="136"/>
        <v>Ipe S4S E4E 5/4x8 Long</v>
      </c>
    </row>
    <row r="1700" spans="1:20" x14ac:dyDescent="0.25">
      <c r="A1700" t="s">
        <v>1351</v>
      </c>
      <c r="B1700" t="s">
        <v>2078</v>
      </c>
      <c r="C1700" t="s">
        <v>283</v>
      </c>
      <c r="D1700" t="s">
        <v>438</v>
      </c>
      <c r="E1700" t="s">
        <v>2085</v>
      </c>
      <c r="F1700" t="s">
        <v>2080</v>
      </c>
      <c r="G1700" t="s">
        <v>1351</v>
      </c>
      <c r="H1700" t="s">
        <v>373</v>
      </c>
      <c r="I1700" t="s">
        <v>289</v>
      </c>
      <c r="J1700" t="s">
        <v>1126</v>
      </c>
      <c r="K1700">
        <v>15</v>
      </c>
      <c r="L1700" s="6">
        <v>4.5720000000000001</v>
      </c>
      <c r="M1700" s="7">
        <v>25.4</v>
      </c>
      <c r="N1700" s="7">
        <v>184.15</v>
      </c>
      <c r="O1700" s="7">
        <f t="shared" si="137"/>
        <v>180</v>
      </c>
      <c r="P1700" s="7">
        <f t="shared" si="138"/>
        <v>1</v>
      </c>
      <c r="Q1700" s="7">
        <f t="shared" si="138"/>
        <v>7.2500000000000009</v>
      </c>
      <c r="R1700" s="6">
        <f t="shared" si="139"/>
        <v>701.42200000000003</v>
      </c>
      <c r="S1700" s="6">
        <f t="shared" si="140"/>
        <v>2.1385118520000003E-2</v>
      </c>
      <c r="T1700" t="str">
        <f t="shared" si="136"/>
        <v>Ipe S4S E4E 5/4x8 Long</v>
      </c>
    </row>
    <row r="1701" spans="1:20" x14ac:dyDescent="0.25">
      <c r="A1701" t="s">
        <v>1351</v>
      </c>
      <c r="B1701" t="s">
        <v>2078</v>
      </c>
      <c r="C1701" t="s">
        <v>283</v>
      </c>
      <c r="D1701" t="s">
        <v>438</v>
      </c>
      <c r="E1701" t="s">
        <v>2086</v>
      </c>
      <c r="F1701" t="s">
        <v>2080</v>
      </c>
      <c r="G1701" t="s">
        <v>1351</v>
      </c>
      <c r="H1701" t="s">
        <v>373</v>
      </c>
      <c r="I1701" t="s">
        <v>289</v>
      </c>
      <c r="J1701" t="s">
        <v>1126</v>
      </c>
      <c r="K1701">
        <v>16</v>
      </c>
      <c r="L1701" s="6">
        <v>4.8768000000000002</v>
      </c>
      <c r="M1701" s="7">
        <v>25.4</v>
      </c>
      <c r="N1701" s="7">
        <v>184.15</v>
      </c>
      <c r="O1701" s="7">
        <f t="shared" si="137"/>
        <v>192.00000000000003</v>
      </c>
      <c r="P1701" s="7">
        <f t="shared" si="138"/>
        <v>1</v>
      </c>
      <c r="Q1701" s="7">
        <f t="shared" si="138"/>
        <v>7.2500000000000009</v>
      </c>
      <c r="R1701" s="6">
        <f t="shared" si="139"/>
        <v>701.42200000000003</v>
      </c>
      <c r="S1701" s="6">
        <f t="shared" si="140"/>
        <v>2.2810793087999999E-2</v>
      </c>
      <c r="T1701" t="str">
        <f t="shared" si="136"/>
        <v>Ipe S4S E4E 5/4x8 Long</v>
      </c>
    </row>
    <row r="1702" spans="1:20" x14ac:dyDescent="0.25">
      <c r="A1702" t="s">
        <v>1351</v>
      </c>
      <c r="B1702" t="s">
        <v>2078</v>
      </c>
      <c r="C1702" t="s">
        <v>283</v>
      </c>
      <c r="D1702" t="s">
        <v>438</v>
      </c>
      <c r="E1702" t="s">
        <v>2087</v>
      </c>
      <c r="F1702" t="s">
        <v>2080</v>
      </c>
      <c r="G1702" t="s">
        <v>1351</v>
      </c>
      <c r="H1702" t="s">
        <v>373</v>
      </c>
      <c r="I1702" t="s">
        <v>289</v>
      </c>
      <c r="J1702" t="s">
        <v>1126</v>
      </c>
      <c r="K1702">
        <v>17</v>
      </c>
      <c r="L1702" s="6">
        <v>5.1816000000000004</v>
      </c>
      <c r="M1702" s="7">
        <v>25.4</v>
      </c>
      <c r="N1702" s="7">
        <v>184.15</v>
      </c>
      <c r="O1702" s="7">
        <f t="shared" si="137"/>
        <v>204.00000000000003</v>
      </c>
      <c r="P1702" s="7">
        <f t="shared" si="138"/>
        <v>1</v>
      </c>
      <c r="Q1702" s="7">
        <f t="shared" si="138"/>
        <v>7.2500000000000009</v>
      </c>
      <c r="R1702" s="6">
        <f t="shared" si="139"/>
        <v>701.42200000000003</v>
      </c>
      <c r="S1702" s="6">
        <f t="shared" si="140"/>
        <v>2.4236467656000002E-2</v>
      </c>
      <c r="T1702" t="str">
        <f t="shared" si="136"/>
        <v>Ipe S4S E4E 5/4x8 Long</v>
      </c>
    </row>
    <row r="1703" spans="1:20" x14ac:dyDescent="0.25">
      <c r="A1703" t="s">
        <v>1351</v>
      </c>
      <c r="B1703" t="s">
        <v>2078</v>
      </c>
      <c r="C1703" t="s">
        <v>283</v>
      </c>
      <c r="D1703" t="s">
        <v>438</v>
      </c>
      <c r="E1703" t="s">
        <v>2088</v>
      </c>
      <c r="F1703" t="s">
        <v>2080</v>
      </c>
      <c r="G1703" t="s">
        <v>1351</v>
      </c>
      <c r="H1703" t="s">
        <v>373</v>
      </c>
      <c r="I1703" t="s">
        <v>289</v>
      </c>
      <c r="J1703" t="s">
        <v>1126</v>
      </c>
      <c r="K1703">
        <v>18</v>
      </c>
      <c r="L1703" s="6">
        <v>5.4863999999999997</v>
      </c>
      <c r="M1703" s="7">
        <v>25.4</v>
      </c>
      <c r="N1703" s="7">
        <v>184.15</v>
      </c>
      <c r="O1703" s="7">
        <f t="shared" si="137"/>
        <v>216</v>
      </c>
      <c r="P1703" s="7">
        <f t="shared" si="138"/>
        <v>1</v>
      </c>
      <c r="Q1703" s="7">
        <f t="shared" si="138"/>
        <v>7.2500000000000009</v>
      </c>
      <c r="R1703" s="6">
        <f t="shared" si="139"/>
        <v>701.42200000000003</v>
      </c>
      <c r="S1703" s="6">
        <f t="shared" si="140"/>
        <v>2.5662142224000001E-2</v>
      </c>
      <c r="T1703" t="str">
        <f t="shared" si="136"/>
        <v>Ipe S4S E4E 5/4x8 Long</v>
      </c>
    </row>
    <row r="1704" spans="1:20" x14ac:dyDescent="0.25">
      <c r="A1704" t="s">
        <v>1351</v>
      </c>
      <c r="B1704" t="s">
        <v>2078</v>
      </c>
      <c r="C1704" t="s">
        <v>283</v>
      </c>
      <c r="D1704" t="s">
        <v>438</v>
      </c>
      <c r="E1704" t="s">
        <v>2089</v>
      </c>
      <c r="F1704" t="s">
        <v>2080</v>
      </c>
      <c r="G1704" t="s">
        <v>1351</v>
      </c>
      <c r="H1704" t="s">
        <v>373</v>
      </c>
      <c r="I1704" t="s">
        <v>289</v>
      </c>
      <c r="J1704" t="s">
        <v>1126</v>
      </c>
      <c r="K1704">
        <v>19</v>
      </c>
      <c r="L1704" s="6">
        <v>5.7911999999999999</v>
      </c>
      <c r="M1704" s="7">
        <v>25.4</v>
      </c>
      <c r="N1704" s="7">
        <v>184.15</v>
      </c>
      <c r="O1704" s="7">
        <f t="shared" si="137"/>
        <v>228</v>
      </c>
      <c r="P1704" s="7">
        <f t="shared" si="138"/>
        <v>1</v>
      </c>
      <c r="Q1704" s="7">
        <f t="shared" si="138"/>
        <v>7.2500000000000009</v>
      </c>
      <c r="R1704" s="6">
        <f t="shared" si="139"/>
        <v>701.42200000000003</v>
      </c>
      <c r="S1704" s="6">
        <f t="shared" si="140"/>
        <v>2.7087816791999994E-2</v>
      </c>
      <c r="T1704" t="str">
        <f t="shared" si="136"/>
        <v>Ipe S4S E4E 5/4x8 Long</v>
      </c>
    </row>
    <row r="1705" spans="1:20" x14ac:dyDescent="0.25">
      <c r="A1705" t="s">
        <v>1351</v>
      </c>
      <c r="B1705" t="s">
        <v>2078</v>
      </c>
      <c r="C1705" t="s">
        <v>283</v>
      </c>
      <c r="D1705" t="s">
        <v>438</v>
      </c>
      <c r="E1705" t="s">
        <v>2090</v>
      </c>
      <c r="F1705" t="s">
        <v>2080</v>
      </c>
      <c r="G1705" t="s">
        <v>1351</v>
      </c>
      <c r="H1705" t="s">
        <v>373</v>
      </c>
      <c r="I1705" t="s">
        <v>289</v>
      </c>
      <c r="J1705" t="s">
        <v>1126</v>
      </c>
      <c r="K1705">
        <v>20</v>
      </c>
      <c r="L1705" s="6">
        <v>6.0960000000000001</v>
      </c>
      <c r="M1705" s="7">
        <v>25.4</v>
      </c>
      <c r="N1705" s="7">
        <v>184.15</v>
      </c>
      <c r="O1705" s="7">
        <f t="shared" si="137"/>
        <v>240</v>
      </c>
      <c r="P1705" s="7">
        <f t="shared" si="138"/>
        <v>1</v>
      </c>
      <c r="Q1705" s="7">
        <f t="shared" si="138"/>
        <v>7.2500000000000009</v>
      </c>
      <c r="R1705" s="6">
        <f t="shared" si="139"/>
        <v>701.42200000000003</v>
      </c>
      <c r="S1705" s="6">
        <f t="shared" si="140"/>
        <v>2.8513491360000004E-2</v>
      </c>
      <c r="T1705" t="str">
        <f t="shared" si="136"/>
        <v>Ipe S4S E4E 5/4x8 Long</v>
      </c>
    </row>
    <row r="1706" spans="1:20" x14ac:dyDescent="0.25">
      <c r="A1706" t="s">
        <v>1351</v>
      </c>
      <c r="B1706" t="s">
        <v>2078</v>
      </c>
      <c r="C1706" t="s">
        <v>283</v>
      </c>
      <c r="D1706" t="s">
        <v>438</v>
      </c>
      <c r="E1706" t="s">
        <v>2091</v>
      </c>
      <c r="F1706" t="s">
        <v>2080</v>
      </c>
      <c r="G1706" t="s">
        <v>1351</v>
      </c>
      <c r="H1706" t="s">
        <v>373</v>
      </c>
      <c r="I1706" t="s">
        <v>289</v>
      </c>
      <c r="J1706" t="s">
        <v>1126</v>
      </c>
      <c r="K1706">
        <v>21</v>
      </c>
      <c r="L1706" s="6">
        <v>6.4008000000000003</v>
      </c>
      <c r="M1706" s="7">
        <v>25.4</v>
      </c>
      <c r="N1706" s="7">
        <v>184.15</v>
      </c>
      <c r="O1706" s="7">
        <f t="shared" si="137"/>
        <v>252.00000000000003</v>
      </c>
      <c r="P1706" s="7">
        <f t="shared" si="138"/>
        <v>1</v>
      </c>
      <c r="Q1706" s="7">
        <f t="shared" si="138"/>
        <v>7.2500000000000009</v>
      </c>
      <c r="R1706" s="6">
        <f t="shared" si="139"/>
        <v>701.42200000000003</v>
      </c>
      <c r="S1706" s="6">
        <f t="shared" si="140"/>
        <v>2.9939165928E-2</v>
      </c>
      <c r="T1706" t="str">
        <f t="shared" si="136"/>
        <v>Ipe S4S E4E 5/4x8 Long</v>
      </c>
    </row>
    <row r="1707" spans="1:20" x14ac:dyDescent="0.25">
      <c r="A1707" t="s">
        <v>1351</v>
      </c>
      <c r="B1707" t="s">
        <v>2078</v>
      </c>
      <c r="C1707" t="s">
        <v>283</v>
      </c>
      <c r="D1707" t="s">
        <v>438</v>
      </c>
      <c r="E1707" t="s">
        <v>2092</v>
      </c>
      <c r="F1707" t="s">
        <v>2080</v>
      </c>
      <c r="G1707" t="s">
        <v>1351</v>
      </c>
      <c r="H1707" t="s">
        <v>373</v>
      </c>
      <c r="I1707" t="s">
        <v>289</v>
      </c>
      <c r="J1707" t="s">
        <v>1126</v>
      </c>
      <c r="K1707">
        <v>22</v>
      </c>
      <c r="L1707" s="6">
        <v>6.7055999999999996</v>
      </c>
      <c r="M1707" s="7">
        <v>25.4</v>
      </c>
      <c r="N1707" s="7">
        <v>184.15</v>
      </c>
      <c r="O1707" s="7">
        <f t="shared" si="137"/>
        <v>264</v>
      </c>
      <c r="P1707" s="7">
        <f t="shared" si="138"/>
        <v>1</v>
      </c>
      <c r="Q1707" s="7">
        <f t="shared" si="138"/>
        <v>7.2500000000000009</v>
      </c>
      <c r="R1707" s="6">
        <f t="shared" si="139"/>
        <v>701.42200000000003</v>
      </c>
      <c r="S1707" s="6">
        <f t="shared" si="140"/>
        <v>3.1364840495999989E-2</v>
      </c>
      <c r="T1707" t="str">
        <f t="shared" si="136"/>
        <v>Ipe S4S E4E 5/4x8 Long</v>
      </c>
    </row>
    <row r="1708" spans="1:20" x14ac:dyDescent="0.25">
      <c r="A1708" t="s">
        <v>1351</v>
      </c>
      <c r="B1708" t="s">
        <v>2078</v>
      </c>
      <c r="C1708" t="s">
        <v>283</v>
      </c>
      <c r="D1708" t="s">
        <v>438</v>
      </c>
      <c r="E1708" t="s">
        <v>2093</v>
      </c>
      <c r="F1708" t="s">
        <v>2080</v>
      </c>
      <c r="G1708" t="s">
        <v>1351</v>
      </c>
      <c r="H1708" t="s">
        <v>373</v>
      </c>
      <c r="I1708" t="s">
        <v>289</v>
      </c>
      <c r="J1708" t="s">
        <v>1126</v>
      </c>
      <c r="K1708">
        <v>23</v>
      </c>
      <c r="L1708" s="6">
        <v>7.0103999999999997</v>
      </c>
      <c r="M1708" s="7">
        <v>25.4</v>
      </c>
      <c r="N1708" s="7">
        <v>184.15</v>
      </c>
      <c r="O1708" s="7">
        <f t="shared" si="137"/>
        <v>276</v>
      </c>
      <c r="P1708" s="7">
        <f t="shared" si="138"/>
        <v>1</v>
      </c>
      <c r="Q1708" s="7">
        <f t="shared" si="138"/>
        <v>7.2500000000000009</v>
      </c>
      <c r="R1708" s="6">
        <f t="shared" si="139"/>
        <v>701.42200000000003</v>
      </c>
      <c r="S1708" s="6">
        <f t="shared" si="140"/>
        <v>3.2790515063999999E-2</v>
      </c>
      <c r="T1708" t="str">
        <f t="shared" si="136"/>
        <v>Ipe S4S E4E 5/4x8 Long</v>
      </c>
    </row>
    <row r="1709" spans="1:20" x14ac:dyDescent="0.25">
      <c r="A1709" t="s">
        <v>1351</v>
      </c>
      <c r="B1709" t="s">
        <v>2078</v>
      </c>
      <c r="C1709" t="s">
        <v>283</v>
      </c>
      <c r="D1709" t="s">
        <v>438</v>
      </c>
      <c r="E1709" t="s">
        <v>2094</v>
      </c>
      <c r="F1709" t="s">
        <v>2080</v>
      </c>
      <c r="G1709" t="s">
        <v>1351</v>
      </c>
      <c r="H1709" t="s">
        <v>373</v>
      </c>
      <c r="I1709" t="s">
        <v>289</v>
      </c>
      <c r="J1709" t="s">
        <v>1126</v>
      </c>
      <c r="K1709">
        <v>24</v>
      </c>
      <c r="L1709" s="6">
        <v>7.3152000000000008</v>
      </c>
      <c r="M1709" s="7">
        <v>25.4</v>
      </c>
      <c r="N1709" s="7">
        <v>184.15</v>
      </c>
      <c r="O1709" s="7">
        <f t="shared" si="137"/>
        <v>288.00000000000006</v>
      </c>
      <c r="P1709" s="7">
        <f t="shared" si="138"/>
        <v>1</v>
      </c>
      <c r="Q1709" s="7">
        <f t="shared" si="138"/>
        <v>7.2500000000000009</v>
      </c>
      <c r="R1709" s="6">
        <f t="shared" si="139"/>
        <v>701.42200000000003</v>
      </c>
      <c r="S1709" s="6">
        <f t="shared" si="140"/>
        <v>3.4216189632000002E-2</v>
      </c>
      <c r="T1709" t="str">
        <f t="shared" si="136"/>
        <v>Ipe S4S E4E 5/4x8 Long</v>
      </c>
    </row>
    <row r="1710" spans="1:20" x14ac:dyDescent="0.25">
      <c r="A1710" t="s">
        <v>1351</v>
      </c>
      <c r="B1710" t="s">
        <v>2078</v>
      </c>
      <c r="C1710" t="s">
        <v>524</v>
      </c>
      <c r="D1710" t="s">
        <v>438</v>
      </c>
      <c r="E1710" t="s">
        <v>2095</v>
      </c>
      <c r="F1710" t="s">
        <v>2080</v>
      </c>
      <c r="G1710" t="s">
        <v>1351</v>
      </c>
      <c r="H1710" t="s">
        <v>373</v>
      </c>
      <c r="I1710" t="s">
        <v>289</v>
      </c>
      <c r="J1710" t="s">
        <v>1126</v>
      </c>
      <c r="K1710">
        <v>3</v>
      </c>
      <c r="L1710" s="6">
        <v>0.91439999999999999</v>
      </c>
      <c r="M1710" s="7">
        <v>25.4</v>
      </c>
      <c r="N1710" s="7">
        <v>184.15</v>
      </c>
      <c r="O1710" s="7">
        <f t="shared" si="137"/>
        <v>36</v>
      </c>
      <c r="P1710" s="7">
        <f t="shared" si="138"/>
        <v>1</v>
      </c>
      <c r="Q1710" s="7">
        <f t="shared" si="138"/>
        <v>7.2500000000000009</v>
      </c>
      <c r="R1710" s="6">
        <f t="shared" si="139"/>
        <v>701.42200000000003</v>
      </c>
      <c r="S1710" s="6">
        <f t="shared" si="140"/>
        <v>4.2770237039999994E-3</v>
      </c>
      <c r="T1710" t="str">
        <f t="shared" si="136"/>
        <v>Ipe S4S E4E 5/4x8 Short</v>
      </c>
    </row>
    <row r="1711" spans="1:20" x14ac:dyDescent="0.25">
      <c r="A1711" t="s">
        <v>1351</v>
      </c>
      <c r="B1711" t="s">
        <v>2078</v>
      </c>
      <c r="C1711" t="s">
        <v>524</v>
      </c>
      <c r="D1711" t="s">
        <v>438</v>
      </c>
      <c r="E1711" t="s">
        <v>2096</v>
      </c>
      <c r="F1711" t="s">
        <v>2080</v>
      </c>
      <c r="G1711" t="s">
        <v>1351</v>
      </c>
      <c r="H1711" t="s">
        <v>373</v>
      </c>
      <c r="I1711" t="s">
        <v>289</v>
      </c>
      <c r="J1711" t="s">
        <v>1126</v>
      </c>
      <c r="K1711">
        <v>4</v>
      </c>
      <c r="L1711" s="6">
        <v>1.2192000000000001</v>
      </c>
      <c r="M1711" s="7">
        <v>25.4</v>
      </c>
      <c r="N1711" s="7">
        <v>184.15</v>
      </c>
      <c r="O1711" s="7">
        <f t="shared" si="137"/>
        <v>48.000000000000007</v>
      </c>
      <c r="P1711" s="7">
        <f t="shared" si="138"/>
        <v>1</v>
      </c>
      <c r="Q1711" s="7">
        <f t="shared" si="138"/>
        <v>7.2500000000000009</v>
      </c>
      <c r="R1711" s="6">
        <f t="shared" si="139"/>
        <v>701.42200000000003</v>
      </c>
      <c r="S1711" s="6">
        <f t="shared" si="140"/>
        <v>5.7026982719999997E-3</v>
      </c>
      <c r="T1711" t="str">
        <f t="shared" si="136"/>
        <v>Ipe S4S E4E 5/4x8 Short</v>
      </c>
    </row>
    <row r="1712" spans="1:20" x14ac:dyDescent="0.25">
      <c r="A1712" t="s">
        <v>1351</v>
      </c>
      <c r="B1712" t="s">
        <v>2078</v>
      </c>
      <c r="C1712" t="s">
        <v>524</v>
      </c>
      <c r="D1712" t="s">
        <v>438</v>
      </c>
      <c r="E1712" t="s">
        <v>2097</v>
      </c>
      <c r="F1712" t="s">
        <v>2080</v>
      </c>
      <c r="G1712" t="s">
        <v>1351</v>
      </c>
      <c r="H1712" t="s">
        <v>373</v>
      </c>
      <c r="I1712" t="s">
        <v>289</v>
      </c>
      <c r="J1712" t="s">
        <v>1126</v>
      </c>
      <c r="K1712">
        <v>5</v>
      </c>
      <c r="L1712" s="6">
        <v>1.524</v>
      </c>
      <c r="M1712" s="7">
        <v>25.4</v>
      </c>
      <c r="N1712" s="7">
        <v>184.15</v>
      </c>
      <c r="O1712" s="7">
        <f t="shared" si="137"/>
        <v>60</v>
      </c>
      <c r="P1712" s="7">
        <f t="shared" si="138"/>
        <v>1</v>
      </c>
      <c r="Q1712" s="7">
        <f t="shared" si="138"/>
        <v>7.2500000000000009</v>
      </c>
      <c r="R1712" s="6">
        <f t="shared" si="139"/>
        <v>701.42200000000003</v>
      </c>
      <c r="S1712" s="6">
        <f t="shared" si="140"/>
        <v>7.128372840000001E-3</v>
      </c>
      <c r="T1712" t="str">
        <f t="shared" si="136"/>
        <v>Ipe S4S E4E 5/4x8 Short</v>
      </c>
    </row>
    <row r="1713" spans="1:20" x14ac:dyDescent="0.25">
      <c r="A1713" t="s">
        <v>1351</v>
      </c>
      <c r="B1713" t="s">
        <v>2078</v>
      </c>
      <c r="C1713" t="s">
        <v>524</v>
      </c>
      <c r="D1713" t="s">
        <v>438</v>
      </c>
      <c r="E1713" t="s">
        <v>2098</v>
      </c>
      <c r="F1713" t="s">
        <v>2080</v>
      </c>
      <c r="G1713" t="s">
        <v>1351</v>
      </c>
      <c r="H1713" t="s">
        <v>373</v>
      </c>
      <c r="I1713" t="s">
        <v>289</v>
      </c>
      <c r="J1713" t="s">
        <v>1126</v>
      </c>
      <c r="K1713">
        <v>6</v>
      </c>
      <c r="L1713" s="6">
        <v>1.8288</v>
      </c>
      <c r="M1713" s="7">
        <v>25.4</v>
      </c>
      <c r="N1713" s="7">
        <v>184.15</v>
      </c>
      <c r="O1713" s="7">
        <f t="shared" si="137"/>
        <v>72</v>
      </c>
      <c r="P1713" s="7">
        <f t="shared" si="138"/>
        <v>1</v>
      </c>
      <c r="Q1713" s="7">
        <f t="shared" si="138"/>
        <v>7.2500000000000009</v>
      </c>
      <c r="R1713" s="6">
        <f t="shared" si="139"/>
        <v>701.42200000000003</v>
      </c>
      <c r="S1713" s="6">
        <f t="shared" si="140"/>
        <v>8.5540474079999988E-3</v>
      </c>
      <c r="T1713" t="str">
        <f t="shared" si="136"/>
        <v>Ipe S4S E4E 5/4x8 Short</v>
      </c>
    </row>
    <row r="1714" spans="1:20" x14ac:dyDescent="0.25">
      <c r="A1714" t="s">
        <v>1351</v>
      </c>
      <c r="B1714" t="s">
        <v>2078</v>
      </c>
      <c r="C1714" t="s">
        <v>524</v>
      </c>
      <c r="D1714" t="s">
        <v>438</v>
      </c>
      <c r="E1714" t="s">
        <v>2099</v>
      </c>
      <c r="F1714" t="s">
        <v>2080</v>
      </c>
      <c r="G1714" t="s">
        <v>1351</v>
      </c>
      <c r="H1714" t="s">
        <v>373</v>
      </c>
      <c r="I1714" t="s">
        <v>289</v>
      </c>
      <c r="J1714" t="s">
        <v>1126</v>
      </c>
      <c r="K1714">
        <v>7</v>
      </c>
      <c r="L1714" s="6">
        <v>2.1335999999999999</v>
      </c>
      <c r="M1714" s="7">
        <v>25.4</v>
      </c>
      <c r="N1714" s="7">
        <v>184.15</v>
      </c>
      <c r="O1714" s="7">
        <f t="shared" si="137"/>
        <v>84</v>
      </c>
      <c r="P1714" s="7">
        <f t="shared" si="138"/>
        <v>1</v>
      </c>
      <c r="Q1714" s="7">
        <f t="shared" si="138"/>
        <v>7.2500000000000009</v>
      </c>
      <c r="R1714" s="6">
        <f t="shared" si="139"/>
        <v>701.42200000000003</v>
      </c>
      <c r="S1714" s="6">
        <f t="shared" si="140"/>
        <v>9.9797219759999983E-3</v>
      </c>
      <c r="T1714" t="str">
        <f t="shared" si="136"/>
        <v>Ipe S4S E4E 5/4x8 Short</v>
      </c>
    </row>
    <row r="1715" spans="1:20" x14ac:dyDescent="0.25">
      <c r="A1715" t="s">
        <v>1351</v>
      </c>
      <c r="B1715" t="s">
        <v>2078</v>
      </c>
      <c r="C1715" t="s">
        <v>283</v>
      </c>
      <c r="D1715" t="s">
        <v>438</v>
      </c>
      <c r="E1715" t="s">
        <v>2100</v>
      </c>
      <c r="F1715" t="s">
        <v>2080</v>
      </c>
      <c r="G1715" t="s">
        <v>1351</v>
      </c>
      <c r="H1715" t="s">
        <v>373</v>
      </c>
      <c r="I1715" t="s">
        <v>289</v>
      </c>
      <c r="J1715" t="s">
        <v>1126</v>
      </c>
      <c r="K1715">
        <v>8</v>
      </c>
      <c r="L1715" s="6">
        <v>2.4384000000000001</v>
      </c>
      <c r="M1715" s="7">
        <v>25.4</v>
      </c>
      <c r="N1715" s="7">
        <v>184.15</v>
      </c>
      <c r="O1715" s="7">
        <f t="shared" si="137"/>
        <v>96.000000000000014</v>
      </c>
      <c r="P1715" s="7">
        <f t="shared" si="138"/>
        <v>1</v>
      </c>
      <c r="Q1715" s="7">
        <f t="shared" si="138"/>
        <v>7.2500000000000009</v>
      </c>
      <c r="R1715" s="6">
        <f t="shared" si="139"/>
        <v>701.42200000000003</v>
      </c>
      <c r="S1715" s="6">
        <f t="shared" si="140"/>
        <v>1.1405396543999999E-2</v>
      </c>
      <c r="T1715" t="str">
        <f t="shared" si="136"/>
        <v>Ipe S4S E4E 5/4x8 Long</v>
      </c>
    </row>
    <row r="1716" spans="1:20" x14ac:dyDescent="0.25">
      <c r="A1716" t="s">
        <v>1351</v>
      </c>
      <c r="B1716" t="s">
        <v>2078</v>
      </c>
      <c r="C1716" t="s">
        <v>283</v>
      </c>
      <c r="D1716" t="s">
        <v>438</v>
      </c>
      <c r="E1716" t="s">
        <v>2101</v>
      </c>
      <c r="F1716" t="s">
        <v>2080</v>
      </c>
      <c r="G1716" t="s">
        <v>1351</v>
      </c>
      <c r="H1716" t="s">
        <v>373</v>
      </c>
      <c r="I1716" t="s">
        <v>289</v>
      </c>
      <c r="J1716" t="s">
        <v>1126</v>
      </c>
      <c r="K1716">
        <v>9</v>
      </c>
      <c r="L1716" s="6">
        <v>2.7431999999999999</v>
      </c>
      <c r="M1716" s="7">
        <v>25.4</v>
      </c>
      <c r="N1716" s="7">
        <v>184.15</v>
      </c>
      <c r="O1716" s="7">
        <f t="shared" si="137"/>
        <v>108</v>
      </c>
      <c r="P1716" s="7">
        <f t="shared" si="138"/>
        <v>1</v>
      </c>
      <c r="Q1716" s="7">
        <f t="shared" si="138"/>
        <v>7.2500000000000009</v>
      </c>
      <c r="R1716" s="6">
        <f t="shared" si="139"/>
        <v>701.42200000000003</v>
      </c>
      <c r="S1716" s="6">
        <f t="shared" si="140"/>
        <v>1.2831071112000001E-2</v>
      </c>
      <c r="T1716" t="str">
        <f t="shared" si="136"/>
        <v>Ipe S4S E4E 5/4x8 Long</v>
      </c>
    </row>
    <row r="1717" spans="1:20" x14ac:dyDescent="0.25">
      <c r="A1717" t="s">
        <v>1351</v>
      </c>
      <c r="B1717" t="s">
        <v>2102</v>
      </c>
      <c r="C1717" t="s">
        <v>283</v>
      </c>
      <c r="D1717" t="s">
        <v>438</v>
      </c>
      <c r="E1717" t="s">
        <v>2103</v>
      </c>
      <c r="F1717" t="s">
        <v>2104</v>
      </c>
      <c r="G1717" t="s">
        <v>1351</v>
      </c>
      <c r="H1717" t="s">
        <v>373</v>
      </c>
      <c r="I1717" t="s">
        <v>289</v>
      </c>
      <c r="J1717" t="s">
        <v>1155</v>
      </c>
      <c r="K1717">
        <v>10</v>
      </c>
      <c r="L1717" s="6">
        <v>3.048</v>
      </c>
      <c r="M1717" s="7">
        <v>139.69999999999999</v>
      </c>
      <c r="N1717" s="7">
        <v>285.75</v>
      </c>
      <c r="O1717" s="7">
        <f t="shared" si="137"/>
        <v>120</v>
      </c>
      <c r="P1717" s="7">
        <f t="shared" si="138"/>
        <v>5.5</v>
      </c>
      <c r="Q1717" s="7">
        <f t="shared" si="138"/>
        <v>11.25</v>
      </c>
      <c r="R1717" s="6">
        <f t="shared" si="139"/>
        <v>82.186999999999998</v>
      </c>
      <c r="S1717" s="6">
        <f t="shared" si="140"/>
        <v>0.12167395019999998</v>
      </c>
      <c r="T1717" t="str">
        <f t="shared" si="136"/>
        <v>Ipe S4S E4E 6x12 Long</v>
      </c>
    </row>
    <row r="1718" spans="1:20" x14ac:dyDescent="0.25">
      <c r="A1718" t="s">
        <v>1351</v>
      </c>
      <c r="B1718" t="s">
        <v>2102</v>
      </c>
      <c r="C1718" t="s">
        <v>283</v>
      </c>
      <c r="D1718" t="s">
        <v>438</v>
      </c>
      <c r="E1718" t="s">
        <v>2105</v>
      </c>
      <c r="F1718" t="s">
        <v>2104</v>
      </c>
      <c r="G1718" t="s">
        <v>1351</v>
      </c>
      <c r="H1718" t="s">
        <v>373</v>
      </c>
      <c r="I1718" t="s">
        <v>289</v>
      </c>
      <c r="J1718" t="s">
        <v>1155</v>
      </c>
      <c r="K1718">
        <v>11</v>
      </c>
      <c r="L1718" s="6">
        <v>3.3527999999999998</v>
      </c>
      <c r="M1718" s="7">
        <v>139.69999999999999</v>
      </c>
      <c r="N1718" s="7">
        <v>285.75</v>
      </c>
      <c r="O1718" s="7">
        <f t="shared" si="137"/>
        <v>132</v>
      </c>
      <c r="P1718" s="7">
        <f t="shared" si="138"/>
        <v>5.5</v>
      </c>
      <c r="Q1718" s="7">
        <f t="shared" si="138"/>
        <v>11.25</v>
      </c>
      <c r="R1718" s="6">
        <f t="shared" si="139"/>
        <v>82.186999999999998</v>
      </c>
      <c r="S1718" s="6">
        <f t="shared" si="140"/>
        <v>0.13384134521999996</v>
      </c>
      <c r="T1718" t="str">
        <f t="shared" si="136"/>
        <v>Ipe S4S E4E 6x12 Long</v>
      </c>
    </row>
    <row r="1719" spans="1:20" x14ac:dyDescent="0.25">
      <c r="A1719" t="s">
        <v>1351</v>
      </c>
      <c r="B1719" t="s">
        <v>2102</v>
      </c>
      <c r="C1719" t="s">
        <v>283</v>
      </c>
      <c r="D1719" t="s">
        <v>438</v>
      </c>
      <c r="E1719" t="s">
        <v>2106</v>
      </c>
      <c r="F1719" t="s">
        <v>2104</v>
      </c>
      <c r="G1719" t="s">
        <v>1351</v>
      </c>
      <c r="H1719" t="s">
        <v>373</v>
      </c>
      <c r="I1719" t="s">
        <v>289</v>
      </c>
      <c r="J1719" t="s">
        <v>1155</v>
      </c>
      <c r="K1719">
        <v>12</v>
      </c>
      <c r="L1719" s="6">
        <v>3.6576</v>
      </c>
      <c r="M1719" s="7">
        <v>139.69999999999999</v>
      </c>
      <c r="N1719" s="7">
        <v>285.75</v>
      </c>
      <c r="O1719" s="7">
        <f t="shared" si="137"/>
        <v>144</v>
      </c>
      <c r="P1719" s="7">
        <f t="shared" si="138"/>
        <v>5.5</v>
      </c>
      <c r="Q1719" s="7">
        <f t="shared" si="138"/>
        <v>11.25</v>
      </c>
      <c r="R1719" s="6">
        <f t="shared" si="139"/>
        <v>82.186999999999998</v>
      </c>
      <c r="S1719" s="6">
        <f t="shared" si="140"/>
        <v>0.14600874024000002</v>
      </c>
      <c r="T1719" t="str">
        <f t="shared" si="136"/>
        <v>Ipe S4S E4E 6x12 Long</v>
      </c>
    </row>
    <row r="1720" spans="1:20" x14ac:dyDescent="0.25">
      <c r="A1720" t="s">
        <v>1351</v>
      </c>
      <c r="B1720" t="s">
        <v>2102</v>
      </c>
      <c r="C1720" t="s">
        <v>283</v>
      </c>
      <c r="D1720" t="s">
        <v>438</v>
      </c>
      <c r="E1720" t="s">
        <v>2107</v>
      </c>
      <c r="F1720" t="s">
        <v>2104</v>
      </c>
      <c r="G1720" t="s">
        <v>1351</v>
      </c>
      <c r="H1720" t="s">
        <v>373</v>
      </c>
      <c r="I1720" t="s">
        <v>289</v>
      </c>
      <c r="J1720" t="s">
        <v>1155</v>
      </c>
      <c r="K1720">
        <v>13</v>
      </c>
      <c r="L1720" s="6">
        <v>3.9624000000000001</v>
      </c>
      <c r="M1720" s="7">
        <v>139.69999999999999</v>
      </c>
      <c r="N1720" s="7">
        <v>285.75</v>
      </c>
      <c r="O1720" s="7">
        <f t="shared" si="137"/>
        <v>156</v>
      </c>
      <c r="P1720" s="7">
        <f t="shared" si="138"/>
        <v>5.5</v>
      </c>
      <c r="Q1720" s="7">
        <f t="shared" si="138"/>
        <v>11.25</v>
      </c>
      <c r="R1720" s="6">
        <f t="shared" si="139"/>
        <v>82.186999999999998</v>
      </c>
      <c r="S1720" s="6">
        <f t="shared" si="140"/>
        <v>0.15817613525999999</v>
      </c>
      <c r="T1720" t="str">
        <f t="shared" si="136"/>
        <v>Ipe S4S E4E 6x12 Long</v>
      </c>
    </row>
    <row r="1721" spans="1:20" x14ac:dyDescent="0.25">
      <c r="A1721" t="s">
        <v>1351</v>
      </c>
      <c r="B1721" t="s">
        <v>2102</v>
      </c>
      <c r="C1721" t="s">
        <v>283</v>
      </c>
      <c r="D1721" t="s">
        <v>438</v>
      </c>
      <c r="E1721" t="s">
        <v>2108</v>
      </c>
      <c r="F1721" t="s">
        <v>2104</v>
      </c>
      <c r="G1721" t="s">
        <v>1351</v>
      </c>
      <c r="H1721" t="s">
        <v>373</v>
      </c>
      <c r="I1721" t="s">
        <v>289</v>
      </c>
      <c r="J1721" t="s">
        <v>1155</v>
      </c>
      <c r="K1721">
        <v>14</v>
      </c>
      <c r="L1721" s="6">
        <v>4.2671999999999999</v>
      </c>
      <c r="M1721" s="7">
        <v>139.69999999999999</v>
      </c>
      <c r="N1721" s="7">
        <v>285.75</v>
      </c>
      <c r="O1721" s="7">
        <f t="shared" si="137"/>
        <v>168</v>
      </c>
      <c r="P1721" s="7">
        <f t="shared" si="138"/>
        <v>5.5</v>
      </c>
      <c r="Q1721" s="7">
        <f t="shared" si="138"/>
        <v>11.25</v>
      </c>
      <c r="R1721" s="6">
        <f t="shared" si="139"/>
        <v>82.186999999999998</v>
      </c>
      <c r="S1721" s="6">
        <f t="shared" si="140"/>
        <v>0.17034353027999996</v>
      </c>
      <c r="T1721" t="str">
        <f t="shared" si="136"/>
        <v>Ipe S4S E4E 6x12 Long</v>
      </c>
    </row>
    <row r="1722" spans="1:20" x14ac:dyDescent="0.25">
      <c r="A1722" t="s">
        <v>1351</v>
      </c>
      <c r="B1722" t="s">
        <v>2102</v>
      </c>
      <c r="C1722" t="s">
        <v>283</v>
      </c>
      <c r="D1722" t="s">
        <v>438</v>
      </c>
      <c r="E1722" t="s">
        <v>2109</v>
      </c>
      <c r="F1722" t="s">
        <v>2104</v>
      </c>
      <c r="G1722" t="s">
        <v>1351</v>
      </c>
      <c r="H1722" t="s">
        <v>373</v>
      </c>
      <c r="I1722" t="s">
        <v>289</v>
      </c>
      <c r="J1722" t="s">
        <v>1155</v>
      </c>
      <c r="K1722">
        <v>15</v>
      </c>
      <c r="L1722" s="6">
        <v>4.5720000000000001</v>
      </c>
      <c r="M1722" s="7">
        <v>139.69999999999999</v>
      </c>
      <c r="N1722" s="7">
        <v>285.75</v>
      </c>
      <c r="O1722" s="7">
        <f t="shared" si="137"/>
        <v>180</v>
      </c>
      <c r="P1722" s="7">
        <f t="shared" si="138"/>
        <v>5.5</v>
      </c>
      <c r="Q1722" s="7">
        <f t="shared" si="138"/>
        <v>11.25</v>
      </c>
      <c r="R1722" s="6">
        <f t="shared" si="139"/>
        <v>82.186999999999998</v>
      </c>
      <c r="S1722" s="6">
        <f t="shared" si="140"/>
        <v>0.18251092529999999</v>
      </c>
      <c r="T1722" t="str">
        <f t="shared" si="136"/>
        <v>Ipe S4S E4E 6x12 Long</v>
      </c>
    </row>
    <row r="1723" spans="1:20" x14ac:dyDescent="0.25">
      <c r="A1723" t="s">
        <v>1351</v>
      </c>
      <c r="B1723" t="s">
        <v>2102</v>
      </c>
      <c r="C1723" t="s">
        <v>283</v>
      </c>
      <c r="D1723" t="s">
        <v>438</v>
      </c>
      <c r="E1723" t="s">
        <v>2110</v>
      </c>
      <c r="F1723" t="s">
        <v>2104</v>
      </c>
      <c r="G1723" t="s">
        <v>1351</v>
      </c>
      <c r="H1723" t="s">
        <v>373</v>
      </c>
      <c r="I1723" t="s">
        <v>289</v>
      </c>
      <c r="J1723" t="s">
        <v>1155</v>
      </c>
      <c r="K1723">
        <v>16</v>
      </c>
      <c r="L1723" s="6">
        <v>4.8768000000000002</v>
      </c>
      <c r="M1723" s="7">
        <v>139.69999999999999</v>
      </c>
      <c r="N1723" s="7">
        <v>285.75</v>
      </c>
      <c r="O1723" s="7">
        <f t="shared" si="137"/>
        <v>192.00000000000003</v>
      </c>
      <c r="P1723" s="7">
        <f t="shared" si="138"/>
        <v>5.5</v>
      </c>
      <c r="Q1723" s="7">
        <f t="shared" si="138"/>
        <v>11.25</v>
      </c>
      <c r="R1723" s="6">
        <f t="shared" si="139"/>
        <v>82.186999999999998</v>
      </c>
      <c r="S1723" s="6">
        <f t="shared" si="140"/>
        <v>0.19467832031999999</v>
      </c>
      <c r="T1723" t="str">
        <f t="shared" si="136"/>
        <v>Ipe S4S E4E 6x12 Long</v>
      </c>
    </row>
    <row r="1724" spans="1:20" x14ac:dyDescent="0.25">
      <c r="A1724" t="s">
        <v>1351</v>
      </c>
      <c r="B1724" t="s">
        <v>2102</v>
      </c>
      <c r="C1724" t="s">
        <v>283</v>
      </c>
      <c r="D1724" t="s">
        <v>438</v>
      </c>
      <c r="E1724" t="s">
        <v>2111</v>
      </c>
      <c r="F1724" t="s">
        <v>2104</v>
      </c>
      <c r="G1724" t="s">
        <v>1351</v>
      </c>
      <c r="H1724" t="s">
        <v>373</v>
      </c>
      <c r="I1724" t="s">
        <v>289</v>
      </c>
      <c r="J1724" t="s">
        <v>1155</v>
      </c>
      <c r="K1724">
        <v>17</v>
      </c>
      <c r="L1724" s="6">
        <v>5.1816000000000004</v>
      </c>
      <c r="M1724" s="7">
        <v>139.69999999999999</v>
      </c>
      <c r="N1724" s="7">
        <v>285.75</v>
      </c>
      <c r="O1724" s="7">
        <f t="shared" si="137"/>
        <v>204.00000000000003</v>
      </c>
      <c r="P1724" s="7">
        <f t="shared" si="138"/>
        <v>5.5</v>
      </c>
      <c r="Q1724" s="7">
        <f t="shared" si="138"/>
        <v>11.25</v>
      </c>
      <c r="R1724" s="6">
        <f t="shared" si="139"/>
        <v>82.186999999999998</v>
      </c>
      <c r="S1724" s="6">
        <f t="shared" si="140"/>
        <v>0.20684571533999996</v>
      </c>
      <c r="T1724" t="str">
        <f t="shared" si="136"/>
        <v>Ipe S4S E4E 6x12 Long</v>
      </c>
    </row>
    <row r="1725" spans="1:20" x14ac:dyDescent="0.25">
      <c r="A1725" t="s">
        <v>1351</v>
      </c>
      <c r="B1725" t="s">
        <v>2102</v>
      </c>
      <c r="C1725" t="s">
        <v>283</v>
      </c>
      <c r="D1725" t="s">
        <v>438</v>
      </c>
      <c r="E1725" t="s">
        <v>2112</v>
      </c>
      <c r="F1725" t="s">
        <v>2104</v>
      </c>
      <c r="G1725" t="s">
        <v>1351</v>
      </c>
      <c r="H1725" t="s">
        <v>373</v>
      </c>
      <c r="I1725" t="s">
        <v>289</v>
      </c>
      <c r="J1725" t="s">
        <v>1155</v>
      </c>
      <c r="K1725">
        <v>18</v>
      </c>
      <c r="L1725" s="6">
        <v>5.4863999999999997</v>
      </c>
      <c r="M1725" s="7">
        <v>139.69999999999999</v>
      </c>
      <c r="N1725" s="7">
        <v>285.75</v>
      </c>
      <c r="O1725" s="7">
        <f t="shared" si="137"/>
        <v>216</v>
      </c>
      <c r="P1725" s="7">
        <f t="shared" si="138"/>
        <v>5.5</v>
      </c>
      <c r="Q1725" s="7">
        <f t="shared" si="138"/>
        <v>11.25</v>
      </c>
      <c r="R1725" s="6">
        <f t="shared" si="139"/>
        <v>82.186999999999998</v>
      </c>
      <c r="S1725" s="6">
        <f t="shared" si="140"/>
        <v>0.21901311035999996</v>
      </c>
      <c r="T1725" t="str">
        <f t="shared" si="136"/>
        <v>Ipe S4S E4E 6x12 Long</v>
      </c>
    </row>
    <row r="1726" spans="1:20" x14ac:dyDescent="0.25">
      <c r="A1726" t="s">
        <v>1351</v>
      </c>
      <c r="B1726" t="s">
        <v>2102</v>
      </c>
      <c r="C1726" t="s">
        <v>283</v>
      </c>
      <c r="D1726" t="s">
        <v>438</v>
      </c>
      <c r="E1726" t="s">
        <v>2113</v>
      </c>
      <c r="F1726" t="s">
        <v>2104</v>
      </c>
      <c r="G1726" t="s">
        <v>1351</v>
      </c>
      <c r="H1726" t="s">
        <v>373</v>
      </c>
      <c r="I1726" t="s">
        <v>289</v>
      </c>
      <c r="J1726" t="s">
        <v>1155</v>
      </c>
      <c r="K1726">
        <v>19</v>
      </c>
      <c r="L1726" s="6">
        <v>5.7911999999999999</v>
      </c>
      <c r="M1726" s="7">
        <v>139.69999999999999</v>
      </c>
      <c r="N1726" s="7">
        <v>285.75</v>
      </c>
      <c r="O1726" s="7">
        <f t="shared" si="137"/>
        <v>228</v>
      </c>
      <c r="P1726" s="7">
        <f t="shared" si="138"/>
        <v>5.5</v>
      </c>
      <c r="Q1726" s="7">
        <f t="shared" si="138"/>
        <v>11.25</v>
      </c>
      <c r="R1726" s="6">
        <f t="shared" si="139"/>
        <v>82.186999999999998</v>
      </c>
      <c r="S1726" s="6">
        <f t="shared" si="140"/>
        <v>0.23118050537999998</v>
      </c>
      <c r="T1726" t="str">
        <f t="shared" si="136"/>
        <v>Ipe S4S E4E 6x12 Long</v>
      </c>
    </row>
    <row r="1727" spans="1:20" x14ac:dyDescent="0.25">
      <c r="A1727" t="s">
        <v>1351</v>
      </c>
      <c r="B1727" t="s">
        <v>2102</v>
      </c>
      <c r="C1727" t="s">
        <v>283</v>
      </c>
      <c r="D1727" t="s">
        <v>438</v>
      </c>
      <c r="E1727" t="s">
        <v>2114</v>
      </c>
      <c r="F1727" t="s">
        <v>2104</v>
      </c>
      <c r="G1727" t="s">
        <v>1351</v>
      </c>
      <c r="H1727" t="s">
        <v>373</v>
      </c>
      <c r="I1727" t="s">
        <v>289</v>
      </c>
      <c r="J1727" t="s">
        <v>1155</v>
      </c>
      <c r="K1727">
        <v>20</v>
      </c>
      <c r="L1727" s="6">
        <v>6.0960000000000001</v>
      </c>
      <c r="M1727" s="7">
        <v>139.69999999999999</v>
      </c>
      <c r="N1727" s="7">
        <v>285.75</v>
      </c>
      <c r="O1727" s="7">
        <f t="shared" si="137"/>
        <v>240</v>
      </c>
      <c r="P1727" s="7">
        <f t="shared" si="138"/>
        <v>5.5</v>
      </c>
      <c r="Q1727" s="7">
        <f t="shared" si="138"/>
        <v>11.25</v>
      </c>
      <c r="R1727" s="6">
        <f t="shared" si="139"/>
        <v>82.186999999999998</v>
      </c>
      <c r="S1727" s="6">
        <f t="shared" si="140"/>
        <v>0.24334790039999996</v>
      </c>
      <c r="T1727" t="str">
        <f t="shared" si="136"/>
        <v>Ipe S4S E4E 6x12 Long</v>
      </c>
    </row>
    <row r="1728" spans="1:20" x14ac:dyDescent="0.25">
      <c r="A1728" t="s">
        <v>1351</v>
      </c>
      <c r="B1728" t="s">
        <v>2102</v>
      </c>
      <c r="C1728" t="s">
        <v>283</v>
      </c>
      <c r="D1728" t="s">
        <v>438</v>
      </c>
      <c r="E1728" t="s">
        <v>2115</v>
      </c>
      <c r="F1728" t="s">
        <v>2104</v>
      </c>
      <c r="G1728" t="s">
        <v>1351</v>
      </c>
      <c r="H1728" t="s">
        <v>373</v>
      </c>
      <c r="I1728" t="s">
        <v>289</v>
      </c>
      <c r="J1728" t="s">
        <v>1155</v>
      </c>
      <c r="K1728">
        <v>21</v>
      </c>
      <c r="L1728" s="6">
        <v>6.4008000000000003</v>
      </c>
      <c r="M1728" s="7">
        <v>139.69999999999999</v>
      </c>
      <c r="N1728" s="7">
        <v>285.75</v>
      </c>
      <c r="O1728" s="7">
        <f t="shared" si="137"/>
        <v>252.00000000000003</v>
      </c>
      <c r="P1728" s="7">
        <f t="shared" si="138"/>
        <v>5.5</v>
      </c>
      <c r="Q1728" s="7">
        <f t="shared" si="138"/>
        <v>11.25</v>
      </c>
      <c r="R1728" s="6">
        <f t="shared" si="139"/>
        <v>82.186999999999998</v>
      </c>
      <c r="S1728" s="6">
        <f t="shared" si="140"/>
        <v>0.25551529541999995</v>
      </c>
      <c r="T1728" t="str">
        <f t="shared" si="136"/>
        <v>Ipe S4S E4E 6x12 Long</v>
      </c>
    </row>
    <row r="1729" spans="1:20" x14ac:dyDescent="0.25">
      <c r="A1729" t="s">
        <v>1351</v>
      </c>
      <c r="B1729" t="s">
        <v>2102</v>
      </c>
      <c r="C1729" t="s">
        <v>283</v>
      </c>
      <c r="D1729" t="s">
        <v>438</v>
      </c>
      <c r="E1729" t="s">
        <v>2116</v>
      </c>
      <c r="F1729" t="s">
        <v>2104</v>
      </c>
      <c r="G1729" t="s">
        <v>1351</v>
      </c>
      <c r="H1729" t="s">
        <v>373</v>
      </c>
      <c r="I1729" t="s">
        <v>289</v>
      </c>
      <c r="J1729" t="s">
        <v>1155</v>
      </c>
      <c r="K1729">
        <v>22</v>
      </c>
      <c r="L1729" s="6">
        <v>6.7055999999999996</v>
      </c>
      <c r="M1729" s="7">
        <v>139.69999999999999</v>
      </c>
      <c r="N1729" s="7">
        <v>285.75</v>
      </c>
      <c r="O1729" s="7">
        <f t="shared" si="137"/>
        <v>264</v>
      </c>
      <c r="P1729" s="7">
        <f t="shared" si="138"/>
        <v>5.5</v>
      </c>
      <c r="Q1729" s="7">
        <f t="shared" si="138"/>
        <v>11.25</v>
      </c>
      <c r="R1729" s="6">
        <f t="shared" si="139"/>
        <v>82.186999999999998</v>
      </c>
      <c r="S1729" s="6">
        <f t="shared" si="140"/>
        <v>0.26768269043999993</v>
      </c>
      <c r="T1729" t="str">
        <f t="shared" si="136"/>
        <v>Ipe S4S E4E 6x12 Long</v>
      </c>
    </row>
    <row r="1730" spans="1:20" x14ac:dyDescent="0.25">
      <c r="A1730" t="s">
        <v>1351</v>
      </c>
      <c r="B1730" t="s">
        <v>2102</v>
      </c>
      <c r="C1730" t="s">
        <v>524</v>
      </c>
      <c r="D1730" t="s">
        <v>438</v>
      </c>
      <c r="E1730" t="s">
        <v>2117</v>
      </c>
      <c r="F1730" t="s">
        <v>2104</v>
      </c>
      <c r="G1730" t="s">
        <v>1351</v>
      </c>
      <c r="H1730" t="s">
        <v>373</v>
      </c>
      <c r="I1730" t="s">
        <v>289</v>
      </c>
      <c r="J1730" t="s">
        <v>1155</v>
      </c>
      <c r="K1730">
        <v>3</v>
      </c>
      <c r="L1730" s="6">
        <v>0.91439999999999999</v>
      </c>
      <c r="M1730" s="7">
        <v>139.69999999999999</v>
      </c>
      <c r="N1730" s="7">
        <v>285.75</v>
      </c>
      <c r="O1730" s="7">
        <f t="shared" si="137"/>
        <v>36</v>
      </c>
      <c r="P1730" s="7">
        <f t="shared" si="138"/>
        <v>5.5</v>
      </c>
      <c r="Q1730" s="7">
        <f t="shared" si="138"/>
        <v>11.25</v>
      </c>
      <c r="R1730" s="6">
        <f t="shared" si="139"/>
        <v>82.186999999999998</v>
      </c>
      <c r="S1730" s="6">
        <f t="shared" si="140"/>
        <v>3.6502185060000004E-2</v>
      </c>
      <c r="T1730" t="str">
        <f t="shared" ref="T1730:T1793" si="141">F1730&amp;" "&amp;C1730</f>
        <v>Ipe S4S E4E 6x12 Short</v>
      </c>
    </row>
    <row r="1731" spans="1:20" x14ac:dyDescent="0.25">
      <c r="A1731" t="s">
        <v>1351</v>
      </c>
      <c r="B1731" t="s">
        <v>2102</v>
      </c>
      <c r="C1731" t="s">
        <v>524</v>
      </c>
      <c r="D1731" t="s">
        <v>438</v>
      </c>
      <c r="E1731" t="s">
        <v>2118</v>
      </c>
      <c r="F1731" t="s">
        <v>2104</v>
      </c>
      <c r="G1731" t="s">
        <v>1351</v>
      </c>
      <c r="H1731" t="s">
        <v>373</v>
      </c>
      <c r="I1731" t="s">
        <v>289</v>
      </c>
      <c r="J1731" t="s">
        <v>1155</v>
      </c>
      <c r="K1731">
        <v>4</v>
      </c>
      <c r="L1731" s="6">
        <v>1.2192000000000001</v>
      </c>
      <c r="M1731" s="7">
        <v>139.69999999999999</v>
      </c>
      <c r="N1731" s="7">
        <v>285.75</v>
      </c>
      <c r="O1731" s="7">
        <f t="shared" si="137"/>
        <v>48.000000000000007</v>
      </c>
      <c r="P1731" s="7">
        <f t="shared" si="138"/>
        <v>5.5</v>
      </c>
      <c r="Q1731" s="7">
        <f t="shared" si="138"/>
        <v>11.25</v>
      </c>
      <c r="R1731" s="6">
        <f t="shared" si="139"/>
        <v>82.186999999999998</v>
      </c>
      <c r="S1731" s="6">
        <f t="shared" si="140"/>
        <v>4.8669580079999997E-2</v>
      </c>
      <c r="T1731" t="str">
        <f t="shared" si="141"/>
        <v>Ipe S4S E4E 6x12 Short</v>
      </c>
    </row>
    <row r="1732" spans="1:20" x14ac:dyDescent="0.25">
      <c r="A1732" t="s">
        <v>1351</v>
      </c>
      <c r="B1732" t="s">
        <v>2102</v>
      </c>
      <c r="C1732" t="s">
        <v>524</v>
      </c>
      <c r="D1732" t="s">
        <v>438</v>
      </c>
      <c r="E1732" t="s">
        <v>2119</v>
      </c>
      <c r="F1732" t="s">
        <v>2104</v>
      </c>
      <c r="G1732" t="s">
        <v>1351</v>
      </c>
      <c r="H1732" t="s">
        <v>373</v>
      </c>
      <c r="I1732" t="s">
        <v>289</v>
      </c>
      <c r="J1732" t="s">
        <v>1155</v>
      </c>
      <c r="K1732">
        <v>5</v>
      </c>
      <c r="L1732" s="6">
        <v>1.524</v>
      </c>
      <c r="M1732" s="7">
        <v>139.69999999999999</v>
      </c>
      <c r="N1732" s="7">
        <v>285.75</v>
      </c>
      <c r="O1732" s="7">
        <f t="shared" si="137"/>
        <v>60</v>
      </c>
      <c r="P1732" s="7">
        <f t="shared" si="138"/>
        <v>5.5</v>
      </c>
      <c r="Q1732" s="7">
        <f t="shared" si="138"/>
        <v>11.25</v>
      </c>
      <c r="R1732" s="6">
        <f t="shared" si="139"/>
        <v>82.186999999999998</v>
      </c>
      <c r="S1732" s="6">
        <f t="shared" si="140"/>
        <v>6.0836975099999989E-2</v>
      </c>
      <c r="T1732" t="str">
        <f t="shared" si="141"/>
        <v>Ipe S4S E4E 6x12 Short</v>
      </c>
    </row>
    <row r="1733" spans="1:20" x14ac:dyDescent="0.25">
      <c r="A1733" t="s">
        <v>1351</v>
      </c>
      <c r="B1733" t="s">
        <v>2102</v>
      </c>
      <c r="C1733" t="s">
        <v>524</v>
      </c>
      <c r="D1733" t="s">
        <v>438</v>
      </c>
      <c r="E1733" t="s">
        <v>2120</v>
      </c>
      <c r="F1733" t="s">
        <v>2104</v>
      </c>
      <c r="G1733" t="s">
        <v>1351</v>
      </c>
      <c r="H1733" t="s">
        <v>373</v>
      </c>
      <c r="I1733" t="s">
        <v>289</v>
      </c>
      <c r="J1733" t="s">
        <v>1155</v>
      </c>
      <c r="K1733">
        <v>6</v>
      </c>
      <c r="L1733" s="6">
        <v>1.8288</v>
      </c>
      <c r="M1733" s="7">
        <v>139.69999999999999</v>
      </c>
      <c r="N1733" s="7">
        <v>285.75</v>
      </c>
      <c r="O1733" s="7">
        <f t="shared" si="137"/>
        <v>72</v>
      </c>
      <c r="P1733" s="7">
        <f t="shared" si="138"/>
        <v>5.5</v>
      </c>
      <c r="Q1733" s="7">
        <f t="shared" si="138"/>
        <v>11.25</v>
      </c>
      <c r="R1733" s="6">
        <f t="shared" si="139"/>
        <v>82.186999999999998</v>
      </c>
      <c r="S1733" s="6">
        <f t="shared" si="140"/>
        <v>7.3004370120000009E-2</v>
      </c>
      <c r="T1733" t="str">
        <f t="shared" si="141"/>
        <v>Ipe S4S E4E 6x12 Short</v>
      </c>
    </row>
    <row r="1734" spans="1:20" x14ac:dyDescent="0.25">
      <c r="A1734" t="s">
        <v>1351</v>
      </c>
      <c r="B1734" t="s">
        <v>2102</v>
      </c>
      <c r="C1734" t="s">
        <v>524</v>
      </c>
      <c r="D1734" t="s">
        <v>438</v>
      </c>
      <c r="E1734" t="s">
        <v>2121</v>
      </c>
      <c r="F1734" t="s">
        <v>2104</v>
      </c>
      <c r="G1734" t="s">
        <v>1351</v>
      </c>
      <c r="H1734" t="s">
        <v>373</v>
      </c>
      <c r="I1734" t="s">
        <v>289</v>
      </c>
      <c r="J1734" t="s">
        <v>1155</v>
      </c>
      <c r="K1734">
        <v>7</v>
      </c>
      <c r="L1734" s="6">
        <v>2.1335999999999999</v>
      </c>
      <c r="M1734" s="7">
        <v>139.69999999999999</v>
      </c>
      <c r="N1734" s="7">
        <v>285.75</v>
      </c>
      <c r="O1734" s="7">
        <f t="shared" si="137"/>
        <v>84</v>
      </c>
      <c r="P1734" s="7">
        <f t="shared" si="138"/>
        <v>5.5</v>
      </c>
      <c r="Q1734" s="7">
        <f t="shared" si="138"/>
        <v>11.25</v>
      </c>
      <c r="R1734" s="6">
        <f t="shared" si="139"/>
        <v>82.186999999999998</v>
      </c>
      <c r="S1734" s="6">
        <f t="shared" si="140"/>
        <v>8.517176513999998E-2</v>
      </c>
      <c r="T1734" t="str">
        <f t="shared" si="141"/>
        <v>Ipe S4S E4E 6x12 Short</v>
      </c>
    </row>
    <row r="1735" spans="1:20" x14ac:dyDescent="0.25">
      <c r="A1735" t="s">
        <v>1351</v>
      </c>
      <c r="B1735" t="s">
        <v>2102</v>
      </c>
      <c r="C1735" t="s">
        <v>283</v>
      </c>
      <c r="D1735" t="s">
        <v>438</v>
      </c>
      <c r="E1735" t="s">
        <v>2122</v>
      </c>
      <c r="F1735" t="s">
        <v>2104</v>
      </c>
      <c r="G1735" t="s">
        <v>1351</v>
      </c>
      <c r="H1735" t="s">
        <v>373</v>
      </c>
      <c r="I1735" t="s">
        <v>289</v>
      </c>
      <c r="J1735" t="s">
        <v>1155</v>
      </c>
      <c r="K1735">
        <v>8</v>
      </c>
      <c r="L1735" s="6">
        <v>2.4384000000000001</v>
      </c>
      <c r="M1735" s="7">
        <v>139.69999999999999</v>
      </c>
      <c r="N1735" s="7">
        <v>285.75</v>
      </c>
      <c r="O1735" s="7">
        <f t="shared" si="137"/>
        <v>96.000000000000014</v>
      </c>
      <c r="P1735" s="7">
        <f t="shared" si="138"/>
        <v>5.5</v>
      </c>
      <c r="Q1735" s="7">
        <f t="shared" si="138"/>
        <v>11.25</v>
      </c>
      <c r="R1735" s="6">
        <f t="shared" si="139"/>
        <v>82.186999999999998</v>
      </c>
      <c r="S1735" s="6">
        <f t="shared" si="140"/>
        <v>9.7339160159999993E-2</v>
      </c>
      <c r="T1735" t="str">
        <f t="shared" si="141"/>
        <v>Ipe S4S E4E 6x12 Long</v>
      </c>
    </row>
    <row r="1736" spans="1:20" x14ac:dyDescent="0.25">
      <c r="A1736" t="s">
        <v>1351</v>
      </c>
      <c r="B1736" t="s">
        <v>2102</v>
      </c>
      <c r="C1736" t="s">
        <v>283</v>
      </c>
      <c r="D1736" t="s">
        <v>438</v>
      </c>
      <c r="E1736" t="s">
        <v>2123</v>
      </c>
      <c r="F1736" t="s">
        <v>2104</v>
      </c>
      <c r="G1736" t="s">
        <v>1351</v>
      </c>
      <c r="H1736" t="s">
        <v>373</v>
      </c>
      <c r="I1736" t="s">
        <v>289</v>
      </c>
      <c r="J1736" t="s">
        <v>1155</v>
      </c>
      <c r="K1736">
        <v>9</v>
      </c>
      <c r="L1736" s="6">
        <v>2.7431999999999999</v>
      </c>
      <c r="M1736" s="7">
        <v>139.69999999999999</v>
      </c>
      <c r="N1736" s="7">
        <v>285.75</v>
      </c>
      <c r="O1736" s="7">
        <f t="shared" si="137"/>
        <v>108</v>
      </c>
      <c r="P1736" s="7">
        <f t="shared" si="138"/>
        <v>5.5</v>
      </c>
      <c r="Q1736" s="7">
        <f t="shared" si="138"/>
        <v>11.25</v>
      </c>
      <c r="R1736" s="6">
        <f t="shared" si="139"/>
        <v>82.186999999999998</v>
      </c>
      <c r="S1736" s="6">
        <f t="shared" si="140"/>
        <v>0.10950655517999998</v>
      </c>
      <c r="T1736" t="str">
        <f t="shared" si="141"/>
        <v>Ipe S4S E4E 6x12 Long</v>
      </c>
    </row>
    <row r="1737" spans="1:20" x14ac:dyDescent="0.25">
      <c r="A1737" t="s">
        <v>1351</v>
      </c>
      <c r="B1737" t="s">
        <v>2124</v>
      </c>
      <c r="C1737" t="s">
        <v>283</v>
      </c>
      <c r="D1737" t="s">
        <v>438</v>
      </c>
      <c r="E1737" t="s">
        <v>2125</v>
      </c>
      <c r="F1737" t="s">
        <v>2126</v>
      </c>
      <c r="G1737" t="s">
        <v>1351</v>
      </c>
      <c r="H1737" t="s">
        <v>373</v>
      </c>
      <c r="I1737" t="s">
        <v>289</v>
      </c>
      <c r="J1737" t="s">
        <v>1180</v>
      </c>
      <c r="K1737">
        <v>10</v>
      </c>
      <c r="L1737" s="6">
        <v>3.048</v>
      </c>
      <c r="M1737" s="7">
        <v>139.69999999999999</v>
      </c>
      <c r="N1737" s="7">
        <v>139.69999999999999</v>
      </c>
      <c r="O1737" s="7">
        <f t="shared" si="137"/>
        <v>120</v>
      </c>
      <c r="P1737" s="7">
        <f t="shared" si="138"/>
        <v>5.5</v>
      </c>
      <c r="Q1737" s="7">
        <f t="shared" si="138"/>
        <v>5.5</v>
      </c>
      <c r="R1737" s="6">
        <f t="shared" si="139"/>
        <v>168.10900000000001</v>
      </c>
      <c r="S1737" s="6">
        <f t="shared" si="140"/>
        <v>5.9485042319999994E-2</v>
      </c>
      <c r="T1737" t="str">
        <f t="shared" si="141"/>
        <v>Ipe S4S E4E 6x6 Long</v>
      </c>
    </row>
    <row r="1738" spans="1:20" x14ac:dyDescent="0.25">
      <c r="A1738" t="s">
        <v>1351</v>
      </c>
      <c r="B1738" t="s">
        <v>2124</v>
      </c>
      <c r="C1738" t="s">
        <v>283</v>
      </c>
      <c r="D1738" t="s">
        <v>438</v>
      </c>
      <c r="E1738" t="s">
        <v>2127</v>
      </c>
      <c r="F1738" t="s">
        <v>2126</v>
      </c>
      <c r="G1738" t="s">
        <v>1351</v>
      </c>
      <c r="H1738" t="s">
        <v>373</v>
      </c>
      <c r="I1738" t="s">
        <v>289</v>
      </c>
      <c r="J1738" t="s">
        <v>1180</v>
      </c>
      <c r="K1738">
        <v>11</v>
      </c>
      <c r="L1738" s="6">
        <v>3.3527999999999998</v>
      </c>
      <c r="M1738" s="7">
        <v>139.69999999999999</v>
      </c>
      <c r="N1738" s="7">
        <v>139.69999999999999</v>
      </c>
      <c r="O1738" s="7">
        <f t="shared" si="137"/>
        <v>132</v>
      </c>
      <c r="P1738" s="7">
        <f t="shared" si="138"/>
        <v>5.5</v>
      </c>
      <c r="Q1738" s="7">
        <f t="shared" si="138"/>
        <v>5.5</v>
      </c>
      <c r="R1738" s="6">
        <f t="shared" si="139"/>
        <v>168.10900000000001</v>
      </c>
      <c r="S1738" s="6">
        <f t="shared" si="140"/>
        <v>6.5433546551999983E-2</v>
      </c>
      <c r="T1738" t="str">
        <f t="shared" si="141"/>
        <v>Ipe S4S E4E 6x6 Long</v>
      </c>
    </row>
    <row r="1739" spans="1:20" x14ac:dyDescent="0.25">
      <c r="A1739" t="s">
        <v>1351</v>
      </c>
      <c r="B1739" t="s">
        <v>2124</v>
      </c>
      <c r="C1739" t="s">
        <v>283</v>
      </c>
      <c r="D1739" t="s">
        <v>438</v>
      </c>
      <c r="E1739" t="s">
        <v>53</v>
      </c>
      <c r="F1739" t="s">
        <v>2126</v>
      </c>
      <c r="G1739" t="s">
        <v>1351</v>
      </c>
      <c r="H1739" t="s">
        <v>373</v>
      </c>
      <c r="I1739" t="s">
        <v>289</v>
      </c>
      <c r="J1739" t="s">
        <v>1180</v>
      </c>
      <c r="K1739">
        <v>12</v>
      </c>
      <c r="L1739" s="6">
        <v>3.6576</v>
      </c>
      <c r="M1739" s="7">
        <v>139.69999999999999</v>
      </c>
      <c r="N1739" s="7">
        <v>139.69999999999999</v>
      </c>
      <c r="O1739" s="7">
        <f t="shared" si="137"/>
        <v>144</v>
      </c>
      <c r="P1739" s="7">
        <f t="shared" si="138"/>
        <v>5.5</v>
      </c>
      <c r="Q1739" s="7">
        <f t="shared" si="138"/>
        <v>5.5</v>
      </c>
      <c r="R1739" s="6">
        <f t="shared" si="139"/>
        <v>168.10900000000001</v>
      </c>
      <c r="S1739" s="6">
        <f t="shared" si="140"/>
        <v>7.1382050783999992E-2</v>
      </c>
      <c r="T1739" t="str">
        <f t="shared" si="141"/>
        <v>Ipe S4S E4E 6x6 Long</v>
      </c>
    </row>
    <row r="1740" spans="1:20" x14ac:dyDescent="0.25">
      <c r="A1740" t="s">
        <v>1351</v>
      </c>
      <c r="B1740" t="s">
        <v>2124</v>
      </c>
      <c r="C1740" t="s">
        <v>283</v>
      </c>
      <c r="D1740" t="s">
        <v>438</v>
      </c>
      <c r="E1740" t="s">
        <v>2128</v>
      </c>
      <c r="F1740" t="s">
        <v>2126</v>
      </c>
      <c r="G1740" t="s">
        <v>1351</v>
      </c>
      <c r="H1740" t="s">
        <v>373</v>
      </c>
      <c r="I1740" t="s">
        <v>289</v>
      </c>
      <c r="J1740" t="s">
        <v>1180</v>
      </c>
      <c r="K1740">
        <v>13</v>
      </c>
      <c r="L1740" s="6">
        <v>3.9624000000000001</v>
      </c>
      <c r="M1740" s="7">
        <v>139.69999999999999</v>
      </c>
      <c r="N1740" s="7">
        <v>139.69999999999999</v>
      </c>
      <c r="O1740" s="7">
        <f t="shared" si="137"/>
        <v>156</v>
      </c>
      <c r="P1740" s="7">
        <f t="shared" si="138"/>
        <v>5.5</v>
      </c>
      <c r="Q1740" s="7">
        <f t="shared" si="138"/>
        <v>5.5</v>
      </c>
      <c r="R1740" s="6">
        <f t="shared" si="139"/>
        <v>168.10900000000001</v>
      </c>
      <c r="S1740" s="6">
        <f t="shared" si="140"/>
        <v>7.7330555015999988E-2</v>
      </c>
      <c r="T1740" t="str">
        <f t="shared" si="141"/>
        <v>Ipe S4S E4E 6x6 Long</v>
      </c>
    </row>
    <row r="1741" spans="1:20" x14ac:dyDescent="0.25">
      <c r="A1741" t="s">
        <v>1351</v>
      </c>
      <c r="B1741" t="s">
        <v>2124</v>
      </c>
      <c r="C1741" t="s">
        <v>283</v>
      </c>
      <c r="D1741" t="s">
        <v>438</v>
      </c>
      <c r="E1741" t="s">
        <v>54</v>
      </c>
      <c r="F1741" t="s">
        <v>2126</v>
      </c>
      <c r="G1741" t="s">
        <v>1351</v>
      </c>
      <c r="H1741" t="s">
        <v>373</v>
      </c>
      <c r="I1741" t="s">
        <v>289</v>
      </c>
      <c r="J1741" t="s">
        <v>1180</v>
      </c>
      <c r="K1741">
        <v>14</v>
      </c>
      <c r="L1741" s="6">
        <v>4.2671999999999999</v>
      </c>
      <c r="M1741" s="7">
        <v>139.69999999999999</v>
      </c>
      <c r="N1741" s="7">
        <v>139.69999999999999</v>
      </c>
      <c r="O1741" s="7">
        <f t="shared" si="137"/>
        <v>168</v>
      </c>
      <c r="P1741" s="7">
        <f t="shared" si="138"/>
        <v>5.5</v>
      </c>
      <c r="Q1741" s="7">
        <f t="shared" si="138"/>
        <v>5.5</v>
      </c>
      <c r="R1741" s="6">
        <f t="shared" si="139"/>
        <v>168.10900000000001</v>
      </c>
      <c r="S1741" s="6">
        <f t="shared" si="140"/>
        <v>8.327905924799997E-2</v>
      </c>
      <c r="T1741" t="str">
        <f t="shared" si="141"/>
        <v>Ipe S4S E4E 6x6 Long</v>
      </c>
    </row>
    <row r="1742" spans="1:20" x14ac:dyDescent="0.25">
      <c r="A1742" t="s">
        <v>1351</v>
      </c>
      <c r="B1742" t="s">
        <v>2124</v>
      </c>
      <c r="C1742" t="s">
        <v>283</v>
      </c>
      <c r="D1742" t="s">
        <v>438</v>
      </c>
      <c r="E1742" t="s">
        <v>2129</v>
      </c>
      <c r="F1742" t="s">
        <v>2126</v>
      </c>
      <c r="G1742" t="s">
        <v>1351</v>
      </c>
      <c r="H1742" t="s">
        <v>373</v>
      </c>
      <c r="I1742" t="s">
        <v>289</v>
      </c>
      <c r="J1742" t="s">
        <v>1180</v>
      </c>
      <c r="K1742">
        <v>15</v>
      </c>
      <c r="L1742" s="6">
        <v>4.5720000000000001</v>
      </c>
      <c r="M1742" s="7">
        <v>139.69999999999999</v>
      </c>
      <c r="N1742" s="7">
        <v>139.69999999999999</v>
      </c>
      <c r="O1742" s="7">
        <f t="shared" si="137"/>
        <v>180</v>
      </c>
      <c r="P1742" s="7">
        <f t="shared" si="138"/>
        <v>5.5</v>
      </c>
      <c r="Q1742" s="7">
        <f t="shared" si="138"/>
        <v>5.5</v>
      </c>
      <c r="R1742" s="6">
        <f t="shared" si="139"/>
        <v>168.10900000000001</v>
      </c>
      <c r="S1742" s="6">
        <f t="shared" si="140"/>
        <v>8.922756347999998E-2</v>
      </c>
      <c r="T1742" t="str">
        <f t="shared" si="141"/>
        <v>Ipe S4S E4E 6x6 Long</v>
      </c>
    </row>
    <row r="1743" spans="1:20" x14ac:dyDescent="0.25">
      <c r="A1743" t="s">
        <v>1351</v>
      </c>
      <c r="B1743" t="s">
        <v>2124</v>
      </c>
      <c r="C1743" t="s">
        <v>283</v>
      </c>
      <c r="D1743" t="s">
        <v>438</v>
      </c>
      <c r="E1743" t="s">
        <v>2130</v>
      </c>
      <c r="F1743" t="s">
        <v>2126</v>
      </c>
      <c r="G1743" t="s">
        <v>1351</v>
      </c>
      <c r="H1743" t="s">
        <v>373</v>
      </c>
      <c r="I1743" t="s">
        <v>289</v>
      </c>
      <c r="J1743" t="s">
        <v>1180</v>
      </c>
      <c r="K1743">
        <v>16</v>
      </c>
      <c r="L1743" s="6">
        <v>4.8768000000000002</v>
      </c>
      <c r="M1743" s="7">
        <v>139.69999999999999</v>
      </c>
      <c r="N1743" s="7">
        <v>139.69999999999999</v>
      </c>
      <c r="O1743" s="7">
        <f t="shared" si="137"/>
        <v>192.00000000000003</v>
      </c>
      <c r="P1743" s="7">
        <f t="shared" si="138"/>
        <v>5.5</v>
      </c>
      <c r="Q1743" s="7">
        <f t="shared" si="138"/>
        <v>5.5</v>
      </c>
      <c r="R1743" s="6">
        <f t="shared" si="139"/>
        <v>168.10900000000001</v>
      </c>
      <c r="S1743" s="6">
        <f t="shared" si="140"/>
        <v>9.517606771199999E-2</v>
      </c>
      <c r="T1743" t="str">
        <f t="shared" si="141"/>
        <v>Ipe S4S E4E 6x6 Long</v>
      </c>
    </row>
    <row r="1744" spans="1:20" x14ac:dyDescent="0.25">
      <c r="A1744" t="s">
        <v>1351</v>
      </c>
      <c r="B1744" t="s">
        <v>2124</v>
      </c>
      <c r="C1744" t="s">
        <v>283</v>
      </c>
      <c r="D1744" t="s">
        <v>438</v>
      </c>
      <c r="E1744" t="s">
        <v>2131</v>
      </c>
      <c r="F1744" t="s">
        <v>2126</v>
      </c>
      <c r="G1744" t="s">
        <v>1351</v>
      </c>
      <c r="H1744" t="s">
        <v>373</v>
      </c>
      <c r="I1744" t="s">
        <v>289</v>
      </c>
      <c r="J1744" t="s">
        <v>1180</v>
      </c>
      <c r="K1744">
        <v>17</v>
      </c>
      <c r="L1744" s="6">
        <v>5.1816000000000004</v>
      </c>
      <c r="M1744" s="7">
        <v>139.69999999999999</v>
      </c>
      <c r="N1744" s="7">
        <v>139.69999999999999</v>
      </c>
      <c r="O1744" s="7">
        <f t="shared" si="137"/>
        <v>204.00000000000003</v>
      </c>
      <c r="P1744" s="7">
        <f t="shared" si="138"/>
        <v>5.5</v>
      </c>
      <c r="Q1744" s="7">
        <f t="shared" si="138"/>
        <v>5.5</v>
      </c>
      <c r="R1744" s="6">
        <f t="shared" si="139"/>
        <v>168.10900000000001</v>
      </c>
      <c r="S1744" s="6">
        <f t="shared" si="140"/>
        <v>0.10112457194399999</v>
      </c>
      <c r="T1744" t="str">
        <f t="shared" si="141"/>
        <v>Ipe S4S E4E 6x6 Long</v>
      </c>
    </row>
    <row r="1745" spans="1:20" x14ac:dyDescent="0.25">
      <c r="A1745" t="s">
        <v>1351</v>
      </c>
      <c r="B1745" t="s">
        <v>2124</v>
      </c>
      <c r="C1745" t="s">
        <v>283</v>
      </c>
      <c r="D1745" t="s">
        <v>438</v>
      </c>
      <c r="E1745" t="s">
        <v>2132</v>
      </c>
      <c r="F1745" t="s">
        <v>2126</v>
      </c>
      <c r="G1745" t="s">
        <v>1351</v>
      </c>
      <c r="H1745" t="s">
        <v>373</v>
      </c>
      <c r="I1745" t="s">
        <v>289</v>
      </c>
      <c r="J1745" t="s">
        <v>1180</v>
      </c>
      <c r="K1745">
        <v>18</v>
      </c>
      <c r="L1745" s="6">
        <v>5.4863999999999997</v>
      </c>
      <c r="M1745" s="7">
        <v>139.69999999999999</v>
      </c>
      <c r="N1745" s="7">
        <v>139.69999999999999</v>
      </c>
      <c r="O1745" s="7">
        <f t="shared" si="137"/>
        <v>216</v>
      </c>
      <c r="P1745" s="7">
        <f t="shared" si="138"/>
        <v>5.5</v>
      </c>
      <c r="Q1745" s="7">
        <f t="shared" si="138"/>
        <v>5.5</v>
      </c>
      <c r="R1745" s="6">
        <f t="shared" si="139"/>
        <v>168.10900000000001</v>
      </c>
      <c r="S1745" s="6">
        <f t="shared" si="140"/>
        <v>0.10707307617599995</v>
      </c>
      <c r="T1745" t="str">
        <f t="shared" si="141"/>
        <v>Ipe S4S E4E 6x6 Long</v>
      </c>
    </row>
    <row r="1746" spans="1:20" x14ac:dyDescent="0.25">
      <c r="A1746" t="s">
        <v>1351</v>
      </c>
      <c r="B1746" t="s">
        <v>2124</v>
      </c>
      <c r="C1746" t="s">
        <v>283</v>
      </c>
      <c r="D1746" t="s">
        <v>438</v>
      </c>
      <c r="E1746" t="s">
        <v>2133</v>
      </c>
      <c r="F1746" t="s">
        <v>2126</v>
      </c>
      <c r="G1746" t="s">
        <v>1351</v>
      </c>
      <c r="H1746" t="s">
        <v>373</v>
      </c>
      <c r="I1746" t="s">
        <v>289</v>
      </c>
      <c r="J1746" t="s">
        <v>1180</v>
      </c>
      <c r="K1746">
        <v>19</v>
      </c>
      <c r="L1746" s="6">
        <v>5.7911999999999999</v>
      </c>
      <c r="M1746" s="7">
        <v>139.69999999999999</v>
      </c>
      <c r="N1746" s="7">
        <v>139.69999999999999</v>
      </c>
      <c r="O1746" s="7">
        <f t="shared" si="137"/>
        <v>228</v>
      </c>
      <c r="P1746" s="7">
        <f t="shared" si="138"/>
        <v>5.5</v>
      </c>
      <c r="Q1746" s="7">
        <f t="shared" si="138"/>
        <v>5.5</v>
      </c>
      <c r="R1746" s="6">
        <f t="shared" si="139"/>
        <v>168.10900000000001</v>
      </c>
      <c r="S1746" s="6">
        <f t="shared" si="140"/>
        <v>0.11302158040799998</v>
      </c>
      <c r="T1746" t="str">
        <f t="shared" si="141"/>
        <v>Ipe S4S E4E 6x6 Long</v>
      </c>
    </row>
    <row r="1747" spans="1:20" x14ac:dyDescent="0.25">
      <c r="A1747" t="s">
        <v>1351</v>
      </c>
      <c r="B1747" t="s">
        <v>2124</v>
      </c>
      <c r="C1747" t="s">
        <v>283</v>
      </c>
      <c r="D1747" t="s">
        <v>438</v>
      </c>
      <c r="E1747" t="s">
        <v>2134</v>
      </c>
      <c r="F1747" t="s">
        <v>2126</v>
      </c>
      <c r="G1747" t="s">
        <v>1351</v>
      </c>
      <c r="H1747" t="s">
        <v>373</v>
      </c>
      <c r="I1747" t="s">
        <v>289</v>
      </c>
      <c r="J1747" t="s">
        <v>1180</v>
      </c>
      <c r="K1747">
        <v>20</v>
      </c>
      <c r="L1747" s="6">
        <v>6.0960000000000001</v>
      </c>
      <c r="M1747" s="7">
        <v>139.69999999999999</v>
      </c>
      <c r="N1747" s="7">
        <v>139.69999999999999</v>
      </c>
      <c r="O1747" s="7">
        <f t="shared" si="137"/>
        <v>240</v>
      </c>
      <c r="P1747" s="7">
        <f t="shared" si="138"/>
        <v>5.5</v>
      </c>
      <c r="Q1747" s="7">
        <f t="shared" si="138"/>
        <v>5.5</v>
      </c>
      <c r="R1747" s="6">
        <f t="shared" si="139"/>
        <v>168.10900000000001</v>
      </c>
      <c r="S1747" s="6">
        <f t="shared" si="140"/>
        <v>0.11897008463999999</v>
      </c>
      <c r="T1747" t="str">
        <f t="shared" si="141"/>
        <v>Ipe S4S E4E 6x6 Long</v>
      </c>
    </row>
    <row r="1748" spans="1:20" x14ac:dyDescent="0.25">
      <c r="A1748" t="s">
        <v>1351</v>
      </c>
      <c r="B1748" t="s">
        <v>2124</v>
      </c>
      <c r="C1748" t="s">
        <v>283</v>
      </c>
      <c r="D1748" t="s">
        <v>438</v>
      </c>
      <c r="E1748" t="s">
        <v>2135</v>
      </c>
      <c r="F1748" t="s">
        <v>2126</v>
      </c>
      <c r="G1748" t="s">
        <v>1351</v>
      </c>
      <c r="H1748" t="s">
        <v>373</v>
      </c>
      <c r="I1748" t="s">
        <v>289</v>
      </c>
      <c r="J1748" t="s">
        <v>1180</v>
      </c>
      <c r="K1748">
        <v>21</v>
      </c>
      <c r="L1748" s="6">
        <v>6.4008000000000003</v>
      </c>
      <c r="M1748" s="7">
        <v>139.69999999999999</v>
      </c>
      <c r="N1748" s="7">
        <v>139.69999999999999</v>
      </c>
      <c r="O1748" s="7">
        <f t="shared" si="137"/>
        <v>252.00000000000003</v>
      </c>
      <c r="P1748" s="7">
        <f t="shared" si="138"/>
        <v>5.5</v>
      </c>
      <c r="Q1748" s="7">
        <f t="shared" si="138"/>
        <v>5.5</v>
      </c>
      <c r="R1748" s="6">
        <f t="shared" si="139"/>
        <v>168.10900000000001</v>
      </c>
      <c r="S1748" s="6">
        <f t="shared" si="140"/>
        <v>0.12491858887199997</v>
      </c>
      <c r="T1748" t="str">
        <f t="shared" si="141"/>
        <v>Ipe S4S E4E 6x6 Long</v>
      </c>
    </row>
    <row r="1749" spans="1:20" x14ac:dyDescent="0.25">
      <c r="A1749" t="s">
        <v>1351</v>
      </c>
      <c r="B1749" t="s">
        <v>2124</v>
      </c>
      <c r="C1749" t="s">
        <v>283</v>
      </c>
      <c r="D1749" t="s">
        <v>438</v>
      </c>
      <c r="E1749" t="s">
        <v>2136</v>
      </c>
      <c r="F1749" t="s">
        <v>2126</v>
      </c>
      <c r="G1749" t="s">
        <v>1351</v>
      </c>
      <c r="H1749" t="s">
        <v>373</v>
      </c>
      <c r="I1749" t="s">
        <v>289</v>
      </c>
      <c r="J1749" t="s">
        <v>1180</v>
      </c>
      <c r="K1749">
        <v>22</v>
      </c>
      <c r="L1749" s="6">
        <v>6.7055999999999996</v>
      </c>
      <c r="M1749" s="7">
        <v>139.69999999999999</v>
      </c>
      <c r="N1749" s="7">
        <v>139.69999999999999</v>
      </c>
      <c r="O1749" s="7">
        <f t="shared" si="137"/>
        <v>264</v>
      </c>
      <c r="P1749" s="7">
        <f t="shared" si="138"/>
        <v>5.5</v>
      </c>
      <c r="Q1749" s="7">
        <f t="shared" si="138"/>
        <v>5.5</v>
      </c>
      <c r="R1749" s="6">
        <f t="shared" si="139"/>
        <v>168.10900000000001</v>
      </c>
      <c r="S1749" s="6">
        <f t="shared" si="140"/>
        <v>0.13086709310399997</v>
      </c>
      <c r="T1749" t="str">
        <f t="shared" si="141"/>
        <v>Ipe S4S E4E 6x6 Long</v>
      </c>
    </row>
    <row r="1750" spans="1:20" x14ac:dyDescent="0.25">
      <c r="A1750" t="s">
        <v>1351</v>
      </c>
      <c r="B1750" t="s">
        <v>2124</v>
      </c>
      <c r="C1750" t="s">
        <v>524</v>
      </c>
      <c r="D1750" t="s">
        <v>438</v>
      </c>
      <c r="E1750" t="s">
        <v>2137</v>
      </c>
      <c r="F1750" t="s">
        <v>2126</v>
      </c>
      <c r="G1750" t="s">
        <v>1351</v>
      </c>
      <c r="H1750" t="s">
        <v>373</v>
      </c>
      <c r="I1750" t="s">
        <v>289</v>
      </c>
      <c r="J1750" t="s">
        <v>1180</v>
      </c>
      <c r="K1750">
        <v>3</v>
      </c>
      <c r="L1750" s="6">
        <v>0.91439999999999999</v>
      </c>
      <c r="M1750" s="7">
        <v>139.69999999999999</v>
      </c>
      <c r="N1750" s="7">
        <v>139.69999999999999</v>
      </c>
      <c r="O1750" s="7">
        <f t="shared" si="137"/>
        <v>36</v>
      </c>
      <c r="P1750" s="7">
        <f t="shared" si="138"/>
        <v>5.5</v>
      </c>
      <c r="Q1750" s="7">
        <f t="shared" si="138"/>
        <v>5.5</v>
      </c>
      <c r="R1750" s="6">
        <f t="shared" si="139"/>
        <v>168.10900000000001</v>
      </c>
      <c r="S1750" s="6">
        <f t="shared" si="140"/>
        <v>1.7845512695999998E-2</v>
      </c>
      <c r="T1750" t="str">
        <f t="shared" si="141"/>
        <v>Ipe S4S E4E 6x6 Short</v>
      </c>
    </row>
    <row r="1751" spans="1:20" x14ac:dyDescent="0.25">
      <c r="A1751" t="s">
        <v>1351</v>
      </c>
      <c r="B1751" t="s">
        <v>2124</v>
      </c>
      <c r="C1751" t="s">
        <v>524</v>
      </c>
      <c r="D1751" t="s">
        <v>438</v>
      </c>
      <c r="E1751" t="s">
        <v>2138</v>
      </c>
      <c r="F1751" t="s">
        <v>2126</v>
      </c>
      <c r="G1751" t="s">
        <v>1351</v>
      </c>
      <c r="H1751" t="s">
        <v>373</v>
      </c>
      <c r="I1751" t="s">
        <v>289</v>
      </c>
      <c r="J1751" t="s">
        <v>1180</v>
      </c>
      <c r="K1751">
        <v>4</v>
      </c>
      <c r="L1751" s="6">
        <v>1.2192000000000001</v>
      </c>
      <c r="M1751" s="7">
        <v>139.69999999999999</v>
      </c>
      <c r="N1751" s="7">
        <v>139.69999999999999</v>
      </c>
      <c r="O1751" s="7">
        <f t="shared" si="137"/>
        <v>48.000000000000007</v>
      </c>
      <c r="P1751" s="7">
        <f t="shared" si="138"/>
        <v>5.5</v>
      </c>
      <c r="Q1751" s="7">
        <f t="shared" si="138"/>
        <v>5.5</v>
      </c>
      <c r="R1751" s="6">
        <f t="shared" si="139"/>
        <v>168.10900000000001</v>
      </c>
      <c r="S1751" s="6">
        <f t="shared" si="140"/>
        <v>2.3794016927999997E-2</v>
      </c>
      <c r="T1751" t="str">
        <f t="shared" si="141"/>
        <v>Ipe S4S E4E 6x6 Short</v>
      </c>
    </row>
    <row r="1752" spans="1:20" x14ac:dyDescent="0.25">
      <c r="A1752" t="s">
        <v>1351</v>
      </c>
      <c r="B1752" t="s">
        <v>2124</v>
      </c>
      <c r="C1752" t="s">
        <v>524</v>
      </c>
      <c r="D1752" t="s">
        <v>438</v>
      </c>
      <c r="E1752" t="s">
        <v>2139</v>
      </c>
      <c r="F1752" t="s">
        <v>2126</v>
      </c>
      <c r="G1752" t="s">
        <v>1351</v>
      </c>
      <c r="H1752" t="s">
        <v>373</v>
      </c>
      <c r="I1752" t="s">
        <v>289</v>
      </c>
      <c r="J1752" t="s">
        <v>1180</v>
      </c>
      <c r="K1752">
        <v>5</v>
      </c>
      <c r="L1752" s="6">
        <v>1.524</v>
      </c>
      <c r="M1752" s="7">
        <v>139.69999999999999</v>
      </c>
      <c r="N1752" s="7">
        <v>139.69999999999999</v>
      </c>
      <c r="O1752" s="7">
        <f t="shared" si="137"/>
        <v>60</v>
      </c>
      <c r="P1752" s="7">
        <f t="shared" si="138"/>
        <v>5.5</v>
      </c>
      <c r="Q1752" s="7">
        <f t="shared" si="138"/>
        <v>5.5</v>
      </c>
      <c r="R1752" s="6">
        <f t="shared" si="139"/>
        <v>168.10900000000001</v>
      </c>
      <c r="S1752" s="6">
        <f t="shared" si="140"/>
        <v>2.9742521159999997E-2</v>
      </c>
      <c r="T1752" t="str">
        <f t="shared" si="141"/>
        <v>Ipe S4S E4E 6x6 Short</v>
      </c>
    </row>
    <row r="1753" spans="1:20" x14ac:dyDescent="0.25">
      <c r="A1753" t="s">
        <v>1351</v>
      </c>
      <c r="B1753" t="s">
        <v>2124</v>
      </c>
      <c r="C1753" t="s">
        <v>524</v>
      </c>
      <c r="D1753" t="s">
        <v>438</v>
      </c>
      <c r="E1753" t="s">
        <v>2140</v>
      </c>
      <c r="F1753" t="s">
        <v>2126</v>
      </c>
      <c r="G1753" t="s">
        <v>1351</v>
      </c>
      <c r="H1753" t="s">
        <v>373</v>
      </c>
      <c r="I1753" t="s">
        <v>289</v>
      </c>
      <c r="J1753" t="s">
        <v>1180</v>
      </c>
      <c r="K1753">
        <v>6</v>
      </c>
      <c r="L1753" s="6">
        <v>1.8288</v>
      </c>
      <c r="M1753" s="7">
        <v>139.69999999999999</v>
      </c>
      <c r="N1753" s="7">
        <v>139.69999999999999</v>
      </c>
      <c r="O1753" s="7">
        <f t="shared" si="137"/>
        <v>72</v>
      </c>
      <c r="P1753" s="7">
        <f t="shared" si="138"/>
        <v>5.5</v>
      </c>
      <c r="Q1753" s="7">
        <f t="shared" si="138"/>
        <v>5.5</v>
      </c>
      <c r="R1753" s="6">
        <f t="shared" si="139"/>
        <v>168.10900000000001</v>
      </c>
      <c r="S1753" s="6">
        <f t="shared" si="140"/>
        <v>3.5691025391999996E-2</v>
      </c>
      <c r="T1753" t="str">
        <f t="shared" si="141"/>
        <v>Ipe S4S E4E 6x6 Short</v>
      </c>
    </row>
    <row r="1754" spans="1:20" x14ac:dyDescent="0.25">
      <c r="A1754" t="s">
        <v>1351</v>
      </c>
      <c r="B1754" t="s">
        <v>2124</v>
      </c>
      <c r="C1754" t="s">
        <v>524</v>
      </c>
      <c r="D1754" t="s">
        <v>438</v>
      </c>
      <c r="E1754" t="s">
        <v>2141</v>
      </c>
      <c r="F1754" t="s">
        <v>2126</v>
      </c>
      <c r="G1754" t="s">
        <v>1351</v>
      </c>
      <c r="H1754" t="s">
        <v>373</v>
      </c>
      <c r="I1754" t="s">
        <v>289</v>
      </c>
      <c r="J1754" t="s">
        <v>1180</v>
      </c>
      <c r="K1754">
        <v>7</v>
      </c>
      <c r="L1754" s="6">
        <v>2.1335999999999999</v>
      </c>
      <c r="M1754" s="7">
        <v>139.69999999999999</v>
      </c>
      <c r="N1754" s="7">
        <v>139.69999999999999</v>
      </c>
      <c r="O1754" s="7">
        <f t="shared" si="137"/>
        <v>84</v>
      </c>
      <c r="P1754" s="7">
        <f t="shared" si="138"/>
        <v>5.5</v>
      </c>
      <c r="Q1754" s="7">
        <f t="shared" si="138"/>
        <v>5.5</v>
      </c>
      <c r="R1754" s="6">
        <f t="shared" si="139"/>
        <v>168.10900000000001</v>
      </c>
      <c r="S1754" s="6">
        <f t="shared" si="140"/>
        <v>4.1639529623999985E-2</v>
      </c>
      <c r="T1754" t="str">
        <f t="shared" si="141"/>
        <v>Ipe S4S E4E 6x6 Short</v>
      </c>
    </row>
    <row r="1755" spans="1:20" x14ac:dyDescent="0.25">
      <c r="A1755" t="s">
        <v>1351</v>
      </c>
      <c r="B1755" t="s">
        <v>2124</v>
      </c>
      <c r="C1755" t="s">
        <v>283</v>
      </c>
      <c r="D1755" t="s">
        <v>438</v>
      </c>
      <c r="E1755" t="s">
        <v>2142</v>
      </c>
      <c r="F1755" t="s">
        <v>2126</v>
      </c>
      <c r="G1755" t="s">
        <v>1351</v>
      </c>
      <c r="H1755" t="s">
        <v>373</v>
      </c>
      <c r="I1755" t="s">
        <v>289</v>
      </c>
      <c r="J1755" t="s">
        <v>1180</v>
      </c>
      <c r="K1755">
        <v>8</v>
      </c>
      <c r="L1755" s="6">
        <v>2.4384000000000001</v>
      </c>
      <c r="M1755" s="7">
        <v>139.69999999999999</v>
      </c>
      <c r="N1755" s="7">
        <v>139.69999999999999</v>
      </c>
      <c r="O1755" s="7">
        <f t="shared" si="137"/>
        <v>96.000000000000014</v>
      </c>
      <c r="P1755" s="7">
        <f t="shared" si="138"/>
        <v>5.5</v>
      </c>
      <c r="Q1755" s="7">
        <f t="shared" si="138"/>
        <v>5.5</v>
      </c>
      <c r="R1755" s="6">
        <f t="shared" si="139"/>
        <v>168.10900000000001</v>
      </c>
      <c r="S1755" s="6">
        <f t="shared" si="140"/>
        <v>4.7588033855999995E-2</v>
      </c>
      <c r="T1755" t="str">
        <f t="shared" si="141"/>
        <v>Ipe S4S E4E 6x6 Long</v>
      </c>
    </row>
    <row r="1756" spans="1:20" x14ac:dyDescent="0.25">
      <c r="A1756" t="s">
        <v>1351</v>
      </c>
      <c r="B1756" t="s">
        <v>2124</v>
      </c>
      <c r="C1756" t="s">
        <v>283</v>
      </c>
      <c r="D1756" t="s">
        <v>438</v>
      </c>
      <c r="E1756" t="s">
        <v>2143</v>
      </c>
      <c r="F1756" t="s">
        <v>2126</v>
      </c>
      <c r="G1756" t="s">
        <v>1351</v>
      </c>
      <c r="H1756" t="s">
        <v>373</v>
      </c>
      <c r="I1756" t="s">
        <v>289</v>
      </c>
      <c r="J1756" t="s">
        <v>1180</v>
      </c>
      <c r="K1756">
        <v>9</v>
      </c>
      <c r="L1756" s="6">
        <v>2.7431999999999999</v>
      </c>
      <c r="M1756" s="7">
        <v>139.69999999999999</v>
      </c>
      <c r="N1756" s="7">
        <v>139.69999999999999</v>
      </c>
      <c r="O1756" s="7">
        <f t="shared" si="137"/>
        <v>108</v>
      </c>
      <c r="P1756" s="7">
        <f t="shared" si="138"/>
        <v>5.5</v>
      </c>
      <c r="Q1756" s="7">
        <f t="shared" si="138"/>
        <v>5.5</v>
      </c>
      <c r="R1756" s="6">
        <f t="shared" si="139"/>
        <v>168.10900000000001</v>
      </c>
      <c r="S1756" s="6">
        <f t="shared" si="140"/>
        <v>5.3536538087999977E-2</v>
      </c>
      <c r="T1756" t="str">
        <f t="shared" si="141"/>
        <v>Ipe S4S E4E 6x6 Long</v>
      </c>
    </row>
    <row r="1757" spans="1:20" x14ac:dyDescent="0.25">
      <c r="A1757" t="s">
        <v>1351</v>
      </c>
      <c r="B1757" t="s">
        <v>2144</v>
      </c>
      <c r="C1757" t="s">
        <v>283</v>
      </c>
      <c r="D1757" t="s">
        <v>438</v>
      </c>
      <c r="E1757" t="s">
        <v>2145</v>
      </c>
      <c r="F1757" t="s">
        <v>2146</v>
      </c>
      <c r="G1757" t="s">
        <v>1351</v>
      </c>
      <c r="H1757" t="s">
        <v>373</v>
      </c>
      <c r="I1757" t="s">
        <v>289</v>
      </c>
      <c r="J1757" t="s">
        <v>1203</v>
      </c>
      <c r="K1757">
        <v>10</v>
      </c>
      <c r="L1757" s="6">
        <v>3.048</v>
      </c>
      <c r="M1757" s="7">
        <v>139.69999999999999</v>
      </c>
      <c r="N1757" s="7">
        <v>184.15</v>
      </c>
      <c r="O1757" s="7">
        <f t="shared" si="137"/>
        <v>120</v>
      </c>
      <c r="P1757" s="7">
        <f t="shared" si="138"/>
        <v>5.5</v>
      </c>
      <c r="Q1757" s="7">
        <f t="shared" si="138"/>
        <v>7.2500000000000009</v>
      </c>
      <c r="R1757" s="6">
        <f t="shared" si="139"/>
        <v>127.53100000000001</v>
      </c>
      <c r="S1757" s="6">
        <f t="shared" si="140"/>
        <v>7.8412101240000004E-2</v>
      </c>
      <c r="T1757" t="str">
        <f t="shared" si="141"/>
        <v>Ipe S4S E4E 6x8 Long</v>
      </c>
    </row>
    <row r="1758" spans="1:20" x14ac:dyDescent="0.25">
      <c r="A1758" t="s">
        <v>1351</v>
      </c>
      <c r="B1758" t="s">
        <v>2144</v>
      </c>
      <c r="C1758" t="s">
        <v>283</v>
      </c>
      <c r="D1758" t="s">
        <v>438</v>
      </c>
      <c r="E1758" t="s">
        <v>2147</v>
      </c>
      <c r="F1758" t="s">
        <v>2146</v>
      </c>
      <c r="G1758" t="s">
        <v>1351</v>
      </c>
      <c r="H1758" t="s">
        <v>373</v>
      </c>
      <c r="I1758" t="s">
        <v>289</v>
      </c>
      <c r="J1758" t="s">
        <v>1203</v>
      </c>
      <c r="K1758">
        <v>11</v>
      </c>
      <c r="L1758" s="6">
        <v>3.3527999999999998</v>
      </c>
      <c r="M1758" s="7">
        <v>139.69999999999999</v>
      </c>
      <c r="N1758" s="7">
        <v>184.15</v>
      </c>
      <c r="O1758" s="7">
        <f t="shared" ref="O1758:O1796" si="142">L1758/0.0254</f>
        <v>132</v>
      </c>
      <c r="P1758" s="7">
        <f t="shared" ref="P1758:Q1796" si="143">M1758/25.4</f>
        <v>5.5</v>
      </c>
      <c r="Q1758" s="7">
        <f t="shared" si="143"/>
        <v>7.2500000000000009</v>
      </c>
      <c r="R1758" s="6">
        <f t="shared" ref="R1758:R1796" si="144">ROUND(IFERROR(1/((M1758*N1758*0.3048)/1000000),0),3)</f>
        <v>127.53100000000001</v>
      </c>
      <c r="S1758" s="6">
        <f t="shared" ref="S1758:S1796" si="145">L1758*M1758/1000*N1758/1000</f>
        <v>8.6253311363999982E-2</v>
      </c>
      <c r="T1758" t="str">
        <f t="shared" si="141"/>
        <v>Ipe S4S E4E 6x8 Long</v>
      </c>
    </row>
    <row r="1759" spans="1:20" x14ac:dyDescent="0.25">
      <c r="A1759" t="s">
        <v>1351</v>
      </c>
      <c r="B1759" t="s">
        <v>2144</v>
      </c>
      <c r="C1759" t="s">
        <v>283</v>
      </c>
      <c r="D1759" t="s">
        <v>438</v>
      </c>
      <c r="E1759" t="s">
        <v>2148</v>
      </c>
      <c r="F1759" t="s">
        <v>2146</v>
      </c>
      <c r="G1759" t="s">
        <v>1351</v>
      </c>
      <c r="H1759" t="s">
        <v>373</v>
      </c>
      <c r="I1759" t="s">
        <v>289</v>
      </c>
      <c r="J1759" t="s">
        <v>1203</v>
      </c>
      <c r="K1759">
        <v>12</v>
      </c>
      <c r="L1759" s="6">
        <v>3.6576</v>
      </c>
      <c r="M1759" s="7">
        <v>139.69999999999999</v>
      </c>
      <c r="N1759" s="7">
        <v>184.15</v>
      </c>
      <c r="O1759" s="7">
        <f t="shared" si="142"/>
        <v>144</v>
      </c>
      <c r="P1759" s="7">
        <f t="shared" si="143"/>
        <v>5.5</v>
      </c>
      <c r="Q1759" s="7">
        <f t="shared" si="143"/>
        <v>7.2500000000000009</v>
      </c>
      <c r="R1759" s="6">
        <f t="shared" si="144"/>
        <v>127.53100000000001</v>
      </c>
      <c r="S1759" s="6">
        <f t="shared" si="145"/>
        <v>9.4094521488000002E-2</v>
      </c>
      <c r="T1759" t="str">
        <f t="shared" si="141"/>
        <v>Ipe S4S E4E 6x8 Long</v>
      </c>
    </row>
    <row r="1760" spans="1:20" x14ac:dyDescent="0.25">
      <c r="A1760" t="s">
        <v>1351</v>
      </c>
      <c r="B1760" t="s">
        <v>2144</v>
      </c>
      <c r="C1760" t="s">
        <v>283</v>
      </c>
      <c r="D1760" t="s">
        <v>438</v>
      </c>
      <c r="E1760" t="s">
        <v>2149</v>
      </c>
      <c r="F1760" t="s">
        <v>2146</v>
      </c>
      <c r="G1760" t="s">
        <v>1351</v>
      </c>
      <c r="H1760" t="s">
        <v>373</v>
      </c>
      <c r="I1760" t="s">
        <v>289</v>
      </c>
      <c r="J1760" t="s">
        <v>1203</v>
      </c>
      <c r="K1760">
        <v>13</v>
      </c>
      <c r="L1760" s="6">
        <v>3.9624000000000001</v>
      </c>
      <c r="M1760" s="7">
        <v>139.69999999999999</v>
      </c>
      <c r="N1760" s="7">
        <v>184.15</v>
      </c>
      <c r="O1760" s="7">
        <f t="shared" si="142"/>
        <v>156</v>
      </c>
      <c r="P1760" s="7">
        <f t="shared" si="143"/>
        <v>5.5</v>
      </c>
      <c r="Q1760" s="7">
        <f t="shared" si="143"/>
        <v>7.2500000000000009</v>
      </c>
      <c r="R1760" s="6">
        <f t="shared" si="144"/>
        <v>127.53100000000001</v>
      </c>
      <c r="S1760" s="6">
        <f t="shared" si="145"/>
        <v>0.10193573161199999</v>
      </c>
      <c r="T1760" t="str">
        <f t="shared" si="141"/>
        <v>Ipe S4S E4E 6x8 Long</v>
      </c>
    </row>
    <row r="1761" spans="1:20" x14ac:dyDescent="0.25">
      <c r="A1761" t="s">
        <v>1351</v>
      </c>
      <c r="B1761" t="s">
        <v>2144</v>
      </c>
      <c r="C1761" t="s">
        <v>283</v>
      </c>
      <c r="D1761" t="s">
        <v>438</v>
      </c>
      <c r="E1761" t="s">
        <v>2150</v>
      </c>
      <c r="F1761" t="s">
        <v>2146</v>
      </c>
      <c r="G1761" t="s">
        <v>1351</v>
      </c>
      <c r="H1761" t="s">
        <v>373</v>
      </c>
      <c r="I1761" t="s">
        <v>289</v>
      </c>
      <c r="J1761" t="s">
        <v>1203</v>
      </c>
      <c r="K1761">
        <v>14</v>
      </c>
      <c r="L1761" s="6">
        <v>4.2671999999999999</v>
      </c>
      <c r="M1761" s="7">
        <v>139.69999999999999</v>
      </c>
      <c r="N1761" s="7">
        <v>184.15</v>
      </c>
      <c r="O1761" s="7">
        <f t="shared" si="142"/>
        <v>168</v>
      </c>
      <c r="P1761" s="7">
        <f t="shared" si="143"/>
        <v>5.5</v>
      </c>
      <c r="Q1761" s="7">
        <f t="shared" si="143"/>
        <v>7.2500000000000009</v>
      </c>
      <c r="R1761" s="6">
        <f t="shared" si="144"/>
        <v>127.53100000000001</v>
      </c>
      <c r="S1761" s="6">
        <f t="shared" si="145"/>
        <v>0.10977694173599997</v>
      </c>
      <c r="T1761" t="str">
        <f t="shared" si="141"/>
        <v>Ipe S4S E4E 6x8 Long</v>
      </c>
    </row>
    <row r="1762" spans="1:20" x14ac:dyDescent="0.25">
      <c r="A1762" t="s">
        <v>1351</v>
      </c>
      <c r="B1762" t="s">
        <v>2144</v>
      </c>
      <c r="C1762" t="s">
        <v>283</v>
      </c>
      <c r="D1762" t="s">
        <v>438</v>
      </c>
      <c r="E1762" t="s">
        <v>2151</v>
      </c>
      <c r="F1762" t="s">
        <v>2146</v>
      </c>
      <c r="G1762" t="s">
        <v>1351</v>
      </c>
      <c r="H1762" t="s">
        <v>373</v>
      </c>
      <c r="I1762" t="s">
        <v>289</v>
      </c>
      <c r="J1762" t="s">
        <v>1203</v>
      </c>
      <c r="K1762">
        <v>15</v>
      </c>
      <c r="L1762" s="6">
        <v>4.5720000000000001</v>
      </c>
      <c r="M1762" s="7">
        <v>139.69999999999999</v>
      </c>
      <c r="N1762" s="7">
        <v>184.15</v>
      </c>
      <c r="O1762" s="7">
        <f t="shared" si="142"/>
        <v>180</v>
      </c>
      <c r="P1762" s="7">
        <f t="shared" si="143"/>
        <v>5.5</v>
      </c>
      <c r="Q1762" s="7">
        <f t="shared" si="143"/>
        <v>7.2500000000000009</v>
      </c>
      <c r="R1762" s="6">
        <f t="shared" si="144"/>
        <v>127.53100000000001</v>
      </c>
      <c r="S1762" s="6">
        <f t="shared" si="145"/>
        <v>0.11761815185999999</v>
      </c>
      <c r="T1762" t="str">
        <f t="shared" si="141"/>
        <v>Ipe S4S E4E 6x8 Long</v>
      </c>
    </row>
    <row r="1763" spans="1:20" x14ac:dyDescent="0.25">
      <c r="A1763" t="s">
        <v>1351</v>
      </c>
      <c r="B1763" t="s">
        <v>2144</v>
      </c>
      <c r="C1763" t="s">
        <v>283</v>
      </c>
      <c r="D1763" t="s">
        <v>438</v>
      </c>
      <c r="E1763" t="s">
        <v>2152</v>
      </c>
      <c r="F1763" t="s">
        <v>2146</v>
      </c>
      <c r="G1763" t="s">
        <v>1351</v>
      </c>
      <c r="H1763" t="s">
        <v>373</v>
      </c>
      <c r="I1763" t="s">
        <v>289</v>
      </c>
      <c r="J1763" t="s">
        <v>1203</v>
      </c>
      <c r="K1763">
        <v>16</v>
      </c>
      <c r="L1763" s="6">
        <v>4.8768000000000002</v>
      </c>
      <c r="M1763" s="7">
        <v>139.69999999999999</v>
      </c>
      <c r="N1763" s="7">
        <v>184.15</v>
      </c>
      <c r="O1763" s="7">
        <f t="shared" si="142"/>
        <v>192.00000000000003</v>
      </c>
      <c r="P1763" s="7">
        <f t="shared" si="143"/>
        <v>5.5</v>
      </c>
      <c r="Q1763" s="7">
        <f t="shared" si="143"/>
        <v>7.2500000000000009</v>
      </c>
      <c r="R1763" s="6">
        <f t="shared" si="144"/>
        <v>127.53100000000001</v>
      </c>
      <c r="S1763" s="6">
        <f t="shared" si="145"/>
        <v>0.12545936198399998</v>
      </c>
      <c r="T1763" t="str">
        <f t="shared" si="141"/>
        <v>Ipe S4S E4E 6x8 Long</v>
      </c>
    </row>
    <row r="1764" spans="1:20" x14ac:dyDescent="0.25">
      <c r="A1764" t="s">
        <v>1351</v>
      </c>
      <c r="B1764" t="s">
        <v>2144</v>
      </c>
      <c r="C1764" t="s">
        <v>283</v>
      </c>
      <c r="D1764" t="s">
        <v>438</v>
      </c>
      <c r="E1764" t="s">
        <v>2153</v>
      </c>
      <c r="F1764" t="s">
        <v>2146</v>
      </c>
      <c r="G1764" t="s">
        <v>1351</v>
      </c>
      <c r="H1764" t="s">
        <v>373</v>
      </c>
      <c r="I1764" t="s">
        <v>289</v>
      </c>
      <c r="J1764" t="s">
        <v>1203</v>
      </c>
      <c r="K1764">
        <v>17</v>
      </c>
      <c r="L1764" s="6">
        <v>5.1816000000000004</v>
      </c>
      <c r="M1764" s="7">
        <v>139.69999999999999</v>
      </c>
      <c r="N1764" s="7">
        <v>184.15</v>
      </c>
      <c r="O1764" s="7">
        <f t="shared" si="142"/>
        <v>204.00000000000003</v>
      </c>
      <c r="P1764" s="7">
        <f t="shared" si="143"/>
        <v>5.5</v>
      </c>
      <c r="Q1764" s="7">
        <f t="shared" si="143"/>
        <v>7.2500000000000009</v>
      </c>
      <c r="R1764" s="6">
        <f t="shared" si="144"/>
        <v>127.53100000000001</v>
      </c>
      <c r="S1764" s="6">
        <f t="shared" si="145"/>
        <v>0.13330057210799998</v>
      </c>
      <c r="T1764" t="str">
        <f t="shared" si="141"/>
        <v>Ipe S4S E4E 6x8 Long</v>
      </c>
    </row>
    <row r="1765" spans="1:20" x14ac:dyDescent="0.25">
      <c r="A1765" t="s">
        <v>1351</v>
      </c>
      <c r="B1765" t="s">
        <v>2144</v>
      </c>
      <c r="C1765" t="s">
        <v>283</v>
      </c>
      <c r="D1765" t="s">
        <v>438</v>
      </c>
      <c r="E1765" t="s">
        <v>2154</v>
      </c>
      <c r="F1765" t="s">
        <v>2146</v>
      </c>
      <c r="G1765" t="s">
        <v>1351</v>
      </c>
      <c r="H1765" t="s">
        <v>373</v>
      </c>
      <c r="I1765" t="s">
        <v>289</v>
      </c>
      <c r="J1765" t="s">
        <v>1203</v>
      </c>
      <c r="K1765">
        <v>18</v>
      </c>
      <c r="L1765" s="6">
        <v>5.4863999999999997</v>
      </c>
      <c r="M1765" s="7">
        <v>139.69999999999999</v>
      </c>
      <c r="N1765" s="7">
        <v>184.15</v>
      </c>
      <c r="O1765" s="7">
        <f t="shared" si="142"/>
        <v>216</v>
      </c>
      <c r="P1765" s="7">
        <f t="shared" si="143"/>
        <v>5.5</v>
      </c>
      <c r="Q1765" s="7">
        <f t="shared" si="143"/>
        <v>7.2500000000000009</v>
      </c>
      <c r="R1765" s="6">
        <f t="shared" si="144"/>
        <v>127.53100000000001</v>
      </c>
      <c r="S1765" s="6">
        <f t="shared" si="145"/>
        <v>0.14114178223199997</v>
      </c>
      <c r="T1765" t="str">
        <f t="shared" si="141"/>
        <v>Ipe S4S E4E 6x8 Long</v>
      </c>
    </row>
    <row r="1766" spans="1:20" x14ac:dyDescent="0.25">
      <c r="A1766" t="s">
        <v>1351</v>
      </c>
      <c r="B1766" t="s">
        <v>2144</v>
      </c>
      <c r="C1766" t="s">
        <v>283</v>
      </c>
      <c r="D1766" t="s">
        <v>438</v>
      </c>
      <c r="E1766" t="s">
        <v>2155</v>
      </c>
      <c r="F1766" t="s">
        <v>2146</v>
      </c>
      <c r="G1766" t="s">
        <v>1351</v>
      </c>
      <c r="H1766" t="s">
        <v>373</v>
      </c>
      <c r="I1766" t="s">
        <v>289</v>
      </c>
      <c r="J1766" t="s">
        <v>1203</v>
      </c>
      <c r="K1766">
        <v>19</v>
      </c>
      <c r="L1766" s="6">
        <v>5.7911999999999999</v>
      </c>
      <c r="M1766" s="7">
        <v>139.69999999999999</v>
      </c>
      <c r="N1766" s="7">
        <v>184.15</v>
      </c>
      <c r="O1766" s="7">
        <f t="shared" si="142"/>
        <v>228</v>
      </c>
      <c r="P1766" s="7">
        <f t="shared" si="143"/>
        <v>5.5</v>
      </c>
      <c r="Q1766" s="7">
        <f t="shared" si="143"/>
        <v>7.2500000000000009</v>
      </c>
      <c r="R1766" s="6">
        <f t="shared" si="144"/>
        <v>127.53100000000001</v>
      </c>
      <c r="S1766" s="6">
        <f t="shared" si="145"/>
        <v>0.14898299235599999</v>
      </c>
      <c r="T1766" t="str">
        <f t="shared" si="141"/>
        <v>Ipe S4S E4E 6x8 Long</v>
      </c>
    </row>
    <row r="1767" spans="1:20" x14ac:dyDescent="0.25">
      <c r="A1767" t="s">
        <v>1351</v>
      </c>
      <c r="B1767" t="s">
        <v>2144</v>
      </c>
      <c r="C1767" t="s">
        <v>283</v>
      </c>
      <c r="D1767" t="s">
        <v>438</v>
      </c>
      <c r="E1767" t="s">
        <v>2156</v>
      </c>
      <c r="F1767" t="s">
        <v>2146</v>
      </c>
      <c r="G1767" t="s">
        <v>1351</v>
      </c>
      <c r="H1767" t="s">
        <v>373</v>
      </c>
      <c r="I1767" t="s">
        <v>289</v>
      </c>
      <c r="J1767" t="s">
        <v>1203</v>
      </c>
      <c r="K1767">
        <v>20</v>
      </c>
      <c r="L1767" s="6">
        <v>6.0960000000000001</v>
      </c>
      <c r="M1767" s="7">
        <v>139.69999999999999</v>
      </c>
      <c r="N1767" s="7">
        <v>184.15</v>
      </c>
      <c r="O1767" s="7">
        <f t="shared" si="142"/>
        <v>240</v>
      </c>
      <c r="P1767" s="7">
        <f t="shared" si="143"/>
        <v>5.5</v>
      </c>
      <c r="Q1767" s="7">
        <f t="shared" si="143"/>
        <v>7.2500000000000009</v>
      </c>
      <c r="R1767" s="6">
        <f t="shared" si="144"/>
        <v>127.53100000000001</v>
      </c>
      <c r="S1767" s="6">
        <f t="shared" si="145"/>
        <v>0.15682420248000001</v>
      </c>
      <c r="T1767" t="str">
        <f t="shared" si="141"/>
        <v>Ipe S4S E4E 6x8 Long</v>
      </c>
    </row>
    <row r="1768" spans="1:20" x14ac:dyDescent="0.25">
      <c r="A1768" t="s">
        <v>1351</v>
      </c>
      <c r="B1768" t="s">
        <v>2144</v>
      </c>
      <c r="C1768" t="s">
        <v>283</v>
      </c>
      <c r="D1768" t="s">
        <v>438</v>
      </c>
      <c r="E1768" t="s">
        <v>2157</v>
      </c>
      <c r="F1768" t="s">
        <v>2146</v>
      </c>
      <c r="G1768" t="s">
        <v>1351</v>
      </c>
      <c r="H1768" t="s">
        <v>373</v>
      </c>
      <c r="I1768" t="s">
        <v>289</v>
      </c>
      <c r="J1768" t="s">
        <v>1203</v>
      </c>
      <c r="K1768">
        <v>21</v>
      </c>
      <c r="L1768" s="6">
        <v>6.4008000000000003</v>
      </c>
      <c r="M1768" s="7">
        <v>139.69999999999999</v>
      </c>
      <c r="N1768" s="7">
        <v>184.15</v>
      </c>
      <c r="O1768" s="7">
        <f t="shared" si="142"/>
        <v>252.00000000000003</v>
      </c>
      <c r="P1768" s="7">
        <f t="shared" si="143"/>
        <v>5.5</v>
      </c>
      <c r="Q1768" s="7">
        <f t="shared" si="143"/>
        <v>7.2500000000000009</v>
      </c>
      <c r="R1768" s="6">
        <f t="shared" si="144"/>
        <v>127.53100000000001</v>
      </c>
      <c r="S1768" s="6">
        <f t="shared" si="145"/>
        <v>0.16466541260399997</v>
      </c>
      <c r="T1768" t="str">
        <f t="shared" si="141"/>
        <v>Ipe S4S E4E 6x8 Long</v>
      </c>
    </row>
    <row r="1769" spans="1:20" x14ac:dyDescent="0.25">
      <c r="A1769" t="s">
        <v>1351</v>
      </c>
      <c r="B1769" t="s">
        <v>2144</v>
      </c>
      <c r="C1769" t="s">
        <v>283</v>
      </c>
      <c r="D1769" t="s">
        <v>438</v>
      </c>
      <c r="E1769" t="s">
        <v>2158</v>
      </c>
      <c r="F1769" t="s">
        <v>2146</v>
      </c>
      <c r="G1769" t="s">
        <v>1351</v>
      </c>
      <c r="H1769" t="s">
        <v>373</v>
      </c>
      <c r="I1769" t="s">
        <v>289</v>
      </c>
      <c r="J1769" t="s">
        <v>1203</v>
      </c>
      <c r="K1769">
        <v>22</v>
      </c>
      <c r="L1769" s="6">
        <v>6.7055999999999996</v>
      </c>
      <c r="M1769" s="7">
        <v>139.69999999999999</v>
      </c>
      <c r="N1769" s="7">
        <v>184.15</v>
      </c>
      <c r="O1769" s="7">
        <f t="shared" si="142"/>
        <v>264</v>
      </c>
      <c r="P1769" s="7">
        <f t="shared" si="143"/>
        <v>5.5</v>
      </c>
      <c r="Q1769" s="7">
        <f t="shared" si="143"/>
        <v>7.2500000000000009</v>
      </c>
      <c r="R1769" s="6">
        <f t="shared" si="144"/>
        <v>127.53100000000001</v>
      </c>
      <c r="S1769" s="6">
        <f t="shared" si="145"/>
        <v>0.17250662272799996</v>
      </c>
      <c r="T1769" t="str">
        <f t="shared" si="141"/>
        <v>Ipe S4S E4E 6x8 Long</v>
      </c>
    </row>
    <row r="1770" spans="1:20" x14ac:dyDescent="0.25">
      <c r="A1770" t="s">
        <v>1351</v>
      </c>
      <c r="B1770" t="s">
        <v>2144</v>
      </c>
      <c r="C1770" t="s">
        <v>524</v>
      </c>
      <c r="D1770" t="s">
        <v>438</v>
      </c>
      <c r="E1770" t="s">
        <v>2159</v>
      </c>
      <c r="F1770" t="s">
        <v>2146</v>
      </c>
      <c r="G1770" t="s">
        <v>1351</v>
      </c>
      <c r="H1770" t="s">
        <v>373</v>
      </c>
      <c r="I1770" t="s">
        <v>289</v>
      </c>
      <c r="J1770" t="s">
        <v>1203</v>
      </c>
      <c r="K1770">
        <v>3</v>
      </c>
      <c r="L1770" s="6">
        <v>0.91439999999999999</v>
      </c>
      <c r="M1770" s="7">
        <v>139.69999999999999</v>
      </c>
      <c r="N1770" s="7">
        <v>184.15</v>
      </c>
      <c r="O1770" s="7">
        <f t="shared" si="142"/>
        <v>36</v>
      </c>
      <c r="P1770" s="7">
        <f t="shared" si="143"/>
        <v>5.5</v>
      </c>
      <c r="Q1770" s="7">
        <f t="shared" si="143"/>
        <v>7.2500000000000009</v>
      </c>
      <c r="R1770" s="6">
        <f t="shared" si="144"/>
        <v>127.53100000000001</v>
      </c>
      <c r="S1770" s="6">
        <f t="shared" si="145"/>
        <v>2.3523630372E-2</v>
      </c>
      <c r="T1770" t="str">
        <f t="shared" si="141"/>
        <v>Ipe S4S E4E 6x8 Short</v>
      </c>
    </row>
    <row r="1771" spans="1:20" x14ac:dyDescent="0.25">
      <c r="A1771" t="s">
        <v>1351</v>
      </c>
      <c r="B1771" t="s">
        <v>2144</v>
      </c>
      <c r="C1771" t="s">
        <v>524</v>
      </c>
      <c r="D1771" t="s">
        <v>438</v>
      </c>
      <c r="E1771" t="s">
        <v>2160</v>
      </c>
      <c r="F1771" t="s">
        <v>2146</v>
      </c>
      <c r="G1771" t="s">
        <v>1351</v>
      </c>
      <c r="H1771" t="s">
        <v>373</v>
      </c>
      <c r="I1771" t="s">
        <v>289</v>
      </c>
      <c r="J1771" t="s">
        <v>1203</v>
      </c>
      <c r="K1771">
        <v>4</v>
      </c>
      <c r="L1771" s="6">
        <v>1.2192000000000001</v>
      </c>
      <c r="M1771" s="7">
        <v>139.69999999999999</v>
      </c>
      <c r="N1771" s="7">
        <v>184.15</v>
      </c>
      <c r="O1771" s="7">
        <f t="shared" si="142"/>
        <v>48.000000000000007</v>
      </c>
      <c r="P1771" s="7">
        <f t="shared" si="143"/>
        <v>5.5</v>
      </c>
      <c r="Q1771" s="7">
        <f t="shared" si="143"/>
        <v>7.2500000000000009</v>
      </c>
      <c r="R1771" s="6">
        <f t="shared" si="144"/>
        <v>127.53100000000001</v>
      </c>
      <c r="S1771" s="6">
        <f t="shared" si="145"/>
        <v>3.1364840495999996E-2</v>
      </c>
      <c r="T1771" t="str">
        <f t="shared" si="141"/>
        <v>Ipe S4S E4E 6x8 Short</v>
      </c>
    </row>
    <row r="1772" spans="1:20" x14ac:dyDescent="0.25">
      <c r="A1772" t="s">
        <v>1351</v>
      </c>
      <c r="B1772" t="s">
        <v>2144</v>
      </c>
      <c r="C1772" t="s">
        <v>524</v>
      </c>
      <c r="D1772" t="s">
        <v>438</v>
      </c>
      <c r="E1772" t="s">
        <v>2161</v>
      </c>
      <c r="F1772" t="s">
        <v>2146</v>
      </c>
      <c r="G1772" t="s">
        <v>1351</v>
      </c>
      <c r="H1772" t="s">
        <v>373</v>
      </c>
      <c r="I1772" t="s">
        <v>289</v>
      </c>
      <c r="J1772" t="s">
        <v>1203</v>
      </c>
      <c r="K1772">
        <v>5</v>
      </c>
      <c r="L1772" s="6">
        <v>1.524</v>
      </c>
      <c r="M1772" s="7">
        <v>139.69999999999999</v>
      </c>
      <c r="N1772" s="7">
        <v>184.15</v>
      </c>
      <c r="O1772" s="7">
        <f t="shared" si="142"/>
        <v>60</v>
      </c>
      <c r="P1772" s="7">
        <f t="shared" si="143"/>
        <v>5.5</v>
      </c>
      <c r="Q1772" s="7">
        <f t="shared" si="143"/>
        <v>7.2500000000000009</v>
      </c>
      <c r="R1772" s="6">
        <f t="shared" si="144"/>
        <v>127.53100000000001</v>
      </c>
      <c r="S1772" s="6">
        <f t="shared" si="145"/>
        <v>3.9206050620000002E-2</v>
      </c>
      <c r="T1772" t="str">
        <f t="shared" si="141"/>
        <v>Ipe S4S E4E 6x8 Short</v>
      </c>
    </row>
    <row r="1773" spans="1:20" x14ac:dyDescent="0.25">
      <c r="A1773" t="s">
        <v>1351</v>
      </c>
      <c r="B1773" t="s">
        <v>2144</v>
      </c>
      <c r="C1773" t="s">
        <v>524</v>
      </c>
      <c r="D1773" t="s">
        <v>438</v>
      </c>
      <c r="E1773" t="s">
        <v>2162</v>
      </c>
      <c r="F1773" t="s">
        <v>2146</v>
      </c>
      <c r="G1773" t="s">
        <v>1351</v>
      </c>
      <c r="H1773" t="s">
        <v>373</v>
      </c>
      <c r="I1773" t="s">
        <v>289</v>
      </c>
      <c r="J1773" t="s">
        <v>1203</v>
      </c>
      <c r="K1773">
        <v>6</v>
      </c>
      <c r="L1773" s="6">
        <v>1.8288</v>
      </c>
      <c r="M1773" s="7">
        <v>139.69999999999999</v>
      </c>
      <c r="N1773" s="7">
        <v>184.15</v>
      </c>
      <c r="O1773" s="7">
        <f t="shared" si="142"/>
        <v>72</v>
      </c>
      <c r="P1773" s="7">
        <f t="shared" si="143"/>
        <v>5.5</v>
      </c>
      <c r="Q1773" s="7">
        <f t="shared" si="143"/>
        <v>7.2500000000000009</v>
      </c>
      <c r="R1773" s="6">
        <f t="shared" si="144"/>
        <v>127.53100000000001</v>
      </c>
      <c r="S1773" s="6">
        <f t="shared" si="145"/>
        <v>4.7047260744000001E-2</v>
      </c>
      <c r="T1773" t="str">
        <f t="shared" si="141"/>
        <v>Ipe S4S E4E 6x8 Short</v>
      </c>
    </row>
    <row r="1774" spans="1:20" x14ac:dyDescent="0.25">
      <c r="A1774" t="s">
        <v>1351</v>
      </c>
      <c r="B1774" t="s">
        <v>2144</v>
      </c>
      <c r="C1774" t="s">
        <v>524</v>
      </c>
      <c r="D1774" t="s">
        <v>438</v>
      </c>
      <c r="E1774" t="s">
        <v>2163</v>
      </c>
      <c r="F1774" t="s">
        <v>2146</v>
      </c>
      <c r="G1774" t="s">
        <v>1351</v>
      </c>
      <c r="H1774" t="s">
        <v>373</v>
      </c>
      <c r="I1774" t="s">
        <v>289</v>
      </c>
      <c r="J1774" t="s">
        <v>1203</v>
      </c>
      <c r="K1774">
        <v>7</v>
      </c>
      <c r="L1774" s="6">
        <v>2.1335999999999999</v>
      </c>
      <c r="M1774" s="7">
        <v>139.69999999999999</v>
      </c>
      <c r="N1774" s="7">
        <v>184.15</v>
      </c>
      <c r="O1774" s="7">
        <f t="shared" si="142"/>
        <v>84</v>
      </c>
      <c r="P1774" s="7">
        <f t="shared" si="143"/>
        <v>5.5</v>
      </c>
      <c r="Q1774" s="7">
        <f t="shared" si="143"/>
        <v>7.2500000000000009</v>
      </c>
      <c r="R1774" s="6">
        <f t="shared" si="144"/>
        <v>127.53100000000001</v>
      </c>
      <c r="S1774" s="6">
        <f t="shared" si="145"/>
        <v>5.4888470867999986E-2</v>
      </c>
      <c r="T1774" t="str">
        <f t="shared" si="141"/>
        <v>Ipe S4S E4E 6x8 Short</v>
      </c>
    </row>
    <row r="1775" spans="1:20" x14ac:dyDescent="0.25">
      <c r="A1775" t="s">
        <v>1351</v>
      </c>
      <c r="B1775" t="s">
        <v>2144</v>
      </c>
      <c r="C1775" t="s">
        <v>283</v>
      </c>
      <c r="D1775" t="s">
        <v>438</v>
      </c>
      <c r="E1775" t="s">
        <v>2164</v>
      </c>
      <c r="F1775" t="s">
        <v>2146</v>
      </c>
      <c r="G1775" t="s">
        <v>1351</v>
      </c>
      <c r="H1775" t="s">
        <v>373</v>
      </c>
      <c r="I1775" t="s">
        <v>289</v>
      </c>
      <c r="J1775" t="s">
        <v>1203</v>
      </c>
      <c r="K1775">
        <v>8</v>
      </c>
      <c r="L1775" s="6">
        <v>2.4384000000000001</v>
      </c>
      <c r="M1775" s="7">
        <v>139.69999999999999</v>
      </c>
      <c r="N1775" s="7">
        <v>184.15</v>
      </c>
      <c r="O1775" s="7">
        <f t="shared" si="142"/>
        <v>96.000000000000014</v>
      </c>
      <c r="P1775" s="7">
        <f t="shared" si="143"/>
        <v>5.5</v>
      </c>
      <c r="Q1775" s="7">
        <f t="shared" si="143"/>
        <v>7.2500000000000009</v>
      </c>
      <c r="R1775" s="6">
        <f t="shared" si="144"/>
        <v>127.53100000000001</v>
      </c>
      <c r="S1775" s="6">
        <f t="shared" si="145"/>
        <v>6.2729680991999992E-2</v>
      </c>
      <c r="T1775" t="str">
        <f t="shared" si="141"/>
        <v>Ipe S4S E4E 6x8 Long</v>
      </c>
    </row>
    <row r="1776" spans="1:20" x14ac:dyDescent="0.25">
      <c r="A1776" t="s">
        <v>1351</v>
      </c>
      <c r="B1776" t="s">
        <v>2144</v>
      </c>
      <c r="C1776" t="s">
        <v>283</v>
      </c>
      <c r="D1776" t="s">
        <v>438</v>
      </c>
      <c r="E1776" t="s">
        <v>2165</v>
      </c>
      <c r="F1776" t="s">
        <v>2146</v>
      </c>
      <c r="G1776" t="s">
        <v>1351</v>
      </c>
      <c r="H1776" t="s">
        <v>373</v>
      </c>
      <c r="I1776" t="s">
        <v>289</v>
      </c>
      <c r="J1776" t="s">
        <v>1203</v>
      </c>
      <c r="K1776">
        <v>9</v>
      </c>
      <c r="L1776" s="6">
        <v>2.7431999999999999</v>
      </c>
      <c r="M1776" s="7">
        <v>139.69999999999999</v>
      </c>
      <c r="N1776" s="7">
        <v>184.15</v>
      </c>
      <c r="O1776" s="7">
        <f t="shared" si="142"/>
        <v>108</v>
      </c>
      <c r="P1776" s="7">
        <f t="shared" si="143"/>
        <v>5.5</v>
      </c>
      <c r="Q1776" s="7">
        <f t="shared" si="143"/>
        <v>7.2500000000000009</v>
      </c>
      <c r="R1776" s="6">
        <f t="shared" si="144"/>
        <v>127.53100000000001</v>
      </c>
      <c r="S1776" s="6">
        <f t="shared" si="145"/>
        <v>7.0570891115999984E-2</v>
      </c>
      <c r="T1776" t="str">
        <f t="shared" si="141"/>
        <v>Ipe S4S E4E 6x8 Long</v>
      </c>
    </row>
    <row r="1777" spans="1:20" x14ac:dyDescent="0.25">
      <c r="A1777" t="s">
        <v>1351</v>
      </c>
      <c r="B1777" t="s">
        <v>2166</v>
      </c>
      <c r="C1777" t="s">
        <v>283</v>
      </c>
      <c r="D1777" t="s">
        <v>438</v>
      </c>
      <c r="E1777" t="s">
        <v>2167</v>
      </c>
      <c r="F1777" t="s">
        <v>2168</v>
      </c>
      <c r="G1777" t="s">
        <v>1351</v>
      </c>
      <c r="H1777" t="s">
        <v>373</v>
      </c>
      <c r="I1777" t="s">
        <v>289</v>
      </c>
      <c r="J1777" t="s">
        <v>1228</v>
      </c>
      <c r="K1777">
        <v>10</v>
      </c>
      <c r="L1777" s="6">
        <v>3.048</v>
      </c>
      <c r="M1777" s="7">
        <v>184.15</v>
      </c>
      <c r="N1777" s="7">
        <v>184.15</v>
      </c>
      <c r="O1777" s="7">
        <f t="shared" si="142"/>
        <v>120</v>
      </c>
      <c r="P1777" s="7">
        <f t="shared" si="143"/>
        <v>7.2500000000000009</v>
      </c>
      <c r="Q1777" s="7">
        <f t="shared" si="143"/>
        <v>7.2500000000000009</v>
      </c>
      <c r="R1777" s="6">
        <f t="shared" si="144"/>
        <v>96.748000000000005</v>
      </c>
      <c r="S1777" s="6">
        <f t="shared" si="145"/>
        <v>0.10336140618000002</v>
      </c>
      <c r="T1777" t="str">
        <f t="shared" si="141"/>
        <v>Ipe S4S E4E 8x8 Long</v>
      </c>
    </row>
    <row r="1778" spans="1:20" x14ac:dyDescent="0.25">
      <c r="A1778" t="s">
        <v>1351</v>
      </c>
      <c r="B1778" t="s">
        <v>2166</v>
      </c>
      <c r="C1778" t="s">
        <v>283</v>
      </c>
      <c r="D1778" t="s">
        <v>438</v>
      </c>
      <c r="E1778" t="s">
        <v>2169</v>
      </c>
      <c r="F1778" t="s">
        <v>2168</v>
      </c>
      <c r="G1778" t="s">
        <v>1351</v>
      </c>
      <c r="H1778" t="s">
        <v>373</v>
      </c>
      <c r="I1778" t="s">
        <v>289</v>
      </c>
      <c r="J1778" t="s">
        <v>1228</v>
      </c>
      <c r="K1778">
        <v>11</v>
      </c>
      <c r="L1778" s="6">
        <v>3.3527999999999998</v>
      </c>
      <c r="M1778" s="7">
        <v>184.15</v>
      </c>
      <c r="N1778" s="7">
        <v>184.15</v>
      </c>
      <c r="O1778" s="7">
        <f t="shared" si="142"/>
        <v>132</v>
      </c>
      <c r="P1778" s="7">
        <f t="shared" si="143"/>
        <v>7.2500000000000009</v>
      </c>
      <c r="Q1778" s="7">
        <f t="shared" si="143"/>
        <v>7.2500000000000009</v>
      </c>
      <c r="R1778" s="6">
        <f t="shared" si="144"/>
        <v>96.748000000000005</v>
      </c>
      <c r="S1778" s="6">
        <f t="shared" si="145"/>
        <v>0.113697546798</v>
      </c>
      <c r="T1778" t="str">
        <f t="shared" si="141"/>
        <v>Ipe S4S E4E 8x8 Long</v>
      </c>
    </row>
    <row r="1779" spans="1:20" x14ac:dyDescent="0.25">
      <c r="A1779" t="s">
        <v>1351</v>
      </c>
      <c r="B1779" t="s">
        <v>2166</v>
      </c>
      <c r="C1779" t="s">
        <v>283</v>
      </c>
      <c r="D1779" t="s">
        <v>438</v>
      </c>
      <c r="E1779" t="s">
        <v>2170</v>
      </c>
      <c r="F1779" t="s">
        <v>2168</v>
      </c>
      <c r="G1779" t="s">
        <v>1351</v>
      </c>
      <c r="H1779" t="s">
        <v>373</v>
      </c>
      <c r="I1779" t="s">
        <v>289</v>
      </c>
      <c r="J1779" t="s">
        <v>1228</v>
      </c>
      <c r="K1779">
        <v>12</v>
      </c>
      <c r="L1779" s="6">
        <v>3.6576</v>
      </c>
      <c r="M1779" s="7">
        <v>184.15</v>
      </c>
      <c r="N1779" s="7">
        <v>184.15</v>
      </c>
      <c r="O1779" s="7">
        <f t="shared" si="142"/>
        <v>144</v>
      </c>
      <c r="P1779" s="7">
        <f t="shared" si="143"/>
        <v>7.2500000000000009</v>
      </c>
      <c r="Q1779" s="7">
        <f t="shared" si="143"/>
        <v>7.2500000000000009</v>
      </c>
      <c r="R1779" s="6">
        <f t="shared" si="144"/>
        <v>96.748000000000005</v>
      </c>
      <c r="S1779" s="6">
        <f t="shared" si="145"/>
        <v>0.124033687416</v>
      </c>
      <c r="T1779" t="str">
        <f t="shared" si="141"/>
        <v>Ipe S4S E4E 8x8 Long</v>
      </c>
    </row>
    <row r="1780" spans="1:20" x14ac:dyDescent="0.25">
      <c r="A1780" t="s">
        <v>1351</v>
      </c>
      <c r="B1780" t="s">
        <v>2166</v>
      </c>
      <c r="C1780" t="s">
        <v>283</v>
      </c>
      <c r="D1780" t="s">
        <v>438</v>
      </c>
      <c r="E1780" t="s">
        <v>2171</v>
      </c>
      <c r="F1780" t="s">
        <v>2168</v>
      </c>
      <c r="G1780" t="s">
        <v>1351</v>
      </c>
      <c r="H1780" t="s">
        <v>373</v>
      </c>
      <c r="I1780" t="s">
        <v>289</v>
      </c>
      <c r="J1780" t="s">
        <v>1228</v>
      </c>
      <c r="K1780">
        <v>13</v>
      </c>
      <c r="L1780" s="6">
        <v>3.9624000000000001</v>
      </c>
      <c r="M1780" s="7">
        <v>184.15</v>
      </c>
      <c r="N1780" s="7">
        <v>184.15</v>
      </c>
      <c r="O1780" s="7">
        <f t="shared" si="142"/>
        <v>156</v>
      </c>
      <c r="P1780" s="7">
        <f t="shared" si="143"/>
        <v>7.2500000000000009</v>
      </c>
      <c r="Q1780" s="7">
        <f t="shared" si="143"/>
        <v>7.2500000000000009</v>
      </c>
      <c r="R1780" s="6">
        <f t="shared" si="144"/>
        <v>96.748000000000005</v>
      </c>
      <c r="S1780" s="6">
        <f t="shared" si="145"/>
        <v>0.13436982803399999</v>
      </c>
      <c r="T1780" t="str">
        <f t="shared" si="141"/>
        <v>Ipe S4S E4E 8x8 Long</v>
      </c>
    </row>
    <row r="1781" spans="1:20" x14ac:dyDescent="0.25">
      <c r="A1781" t="s">
        <v>1351</v>
      </c>
      <c r="B1781" t="s">
        <v>2166</v>
      </c>
      <c r="C1781" t="s">
        <v>283</v>
      </c>
      <c r="D1781" t="s">
        <v>438</v>
      </c>
      <c r="E1781" t="s">
        <v>2172</v>
      </c>
      <c r="F1781" t="s">
        <v>2168</v>
      </c>
      <c r="G1781" t="s">
        <v>1351</v>
      </c>
      <c r="H1781" t="s">
        <v>373</v>
      </c>
      <c r="I1781" t="s">
        <v>289</v>
      </c>
      <c r="J1781" t="s">
        <v>1228</v>
      </c>
      <c r="K1781">
        <v>14</v>
      </c>
      <c r="L1781" s="6">
        <v>4.2671999999999999</v>
      </c>
      <c r="M1781" s="7">
        <v>184.15</v>
      </c>
      <c r="N1781" s="7">
        <v>184.15</v>
      </c>
      <c r="O1781" s="7">
        <f t="shared" si="142"/>
        <v>168</v>
      </c>
      <c r="P1781" s="7">
        <f t="shared" si="143"/>
        <v>7.2500000000000009</v>
      </c>
      <c r="Q1781" s="7">
        <f t="shared" si="143"/>
        <v>7.2500000000000009</v>
      </c>
      <c r="R1781" s="6">
        <f t="shared" si="144"/>
        <v>96.748000000000005</v>
      </c>
      <c r="S1781" s="6">
        <f t="shared" si="145"/>
        <v>0.14470596865200003</v>
      </c>
      <c r="T1781" t="str">
        <f t="shared" si="141"/>
        <v>Ipe S4S E4E 8x8 Long</v>
      </c>
    </row>
    <row r="1782" spans="1:20" x14ac:dyDescent="0.25">
      <c r="A1782" t="s">
        <v>1351</v>
      </c>
      <c r="B1782" t="s">
        <v>2166</v>
      </c>
      <c r="C1782" t="s">
        <v>283</v>
      </c>
      <c r="D1782" t="s">
        <v>438</v>
      </c>
      <c r="E1782" t="s">
        <v>2173</v>
      </c>
      <c r="F1782" t="s">
        <v>2168</v>
      </c>
      <c r="G1782" t="s">
        <v>1351</v>
      </c>
      <c r="H1782" t="s">
        <v>373</v>
      </c>
      <c r="I1782" t="s">
        <v>289</v>
      </c>
      <c r="J1782" t="s">
        <v>1228</v>
      </c>
      <c r="K1782">
        <v>15</v>
      </c>
      <c r="L1782" s="6">
        <v>4.5720000000000001</v>
      </c>
      <c r="M1782" s="7">
        <v>184.15</v>
      </c>
      <c r="N1782" s="7">
        <v>184.15</v>
      </c>
      <c r="O1782" s="7">
        <f t="shared" si="142"/>
        <v>180</v>
      </c>
      <c r="P1782" s="7">
        <f t="shared" si="143"/>
        <v>7.2500000000000009</v>
      </c>
      <c r="Q1782" s="7">
        <f t="shared" si="143"/>
        <v>7.2500000000000009</v>
      </c>
      <c r="R1782" s="6">
        <f t="shared" si="144"/>
        <v>96.748000000000005</v>
      </c>
      <c r="S1782" s="6">
        <f t="shared" si="145"/>
        <v>0.15504210927000003</v>
      </c>
      <c r="T1782" t="str">
        <f t="shared" si="141"/>
        <v>Ipe S4S E4E 8x8 Long</v>
      </c>
    </row>
    <row r="1783" spans="1:20" x14ac:dyDescent="0.25">
      <c r="A1783" t="s">
        <v>1351</v>
      </c>
      <c r="B1783" t="s">
        <v>2166</v>
      </c>
      <c r="C1783" t="s">
        <v>283</v>
      </c>
      <c r="D1783" t="s">
        <v>438</v>
      </c>
      <c r="E1783" t="s">
        <v>2174</v>
      </c>
      <c r="F1783" t="s">
        <v>2168</v>
      </c>
      <c r="G1783" t="s">
        <v>1351</v>
      </c>
      <c r="H1783" t="s">
        <v>373</v>
      </c>
      <c r="I1783" t="s">
        <v>289</v>
      </c>
      <c r="J1783" t="s">
        <v>1228</v>
      </c>
      <c r="K1783">
        <v>16</v>
      </c>
      <c r="L1783" s="6">
        <v>4.8768000000000002</v>
      </c>
      <c r="M1783" s="7">
        <v>184.15</v>
      </c>
      <c r="N1783" s="7">
        <v>184.15</v>
      </c>
      <c r="O1783" s="7">
        <f t="shared" si="142"/>
        <v>192.00000000000003</v>
      </c>
      <c r="P1783" s="7">
        <f t="shared" si="143"/>
        <v>7.2500000000000009</v>
      </c>
      <c r="Q1783" s="7">
        <f t="shared" si="143"/>
        <v>7.2500000000000009</v>
      </c>
      <c r="R1783" s="6">
        <f t="shared" si="144"/>
        <v>96.748000000000005</v>
      </c>
      <c r="S1783" s="6">
        <f t="shared" si="145"/>
        <v>0.16537824988800004</v>
      </c>
      <c r="T1783" t="str">
        <f t="shared" si="141"/>
        <v>Ipe S4S E4E 8x8 Long</v>
      </c>
    </row>
    <row r="1784" spans="1:20" x14ac:dyDescent="0.25">
      <c r="A1784" t="s">
        <v>1351</v>
      </c>
      <c r="B1784" t="s">
        <v>2166</v>
      </c>
      <c r="C1784" t="s">
        <v>283</v>
      </c>
      <c r="D1784" t="s">
        <v>438</v>
      </c>
      <c r="E1784" t="s">
        <v>2175</v>
      </c>
      <c r="F1784" t="s">
        <v>2168</v>
      </c>
      <c r="G1784" t="s">
        <v>1351</v>
      </c>
      <c r="H1784" t="s">
        <v>373</v>
      </c>
      <c r="I1784" t="s">
        <v>289</v>
      </c>
      <c r="J1784" t="s">
        <v>1228</v>
      </c>
      <c r="K1784">
        <v>17</v>
      </c>
      <c r="L1784" s="6">
        <v>5.1816000000000004</v>
      </c>
      <c r="M1784" s="7">
        <v>184.15</v>
      </c>
      <c r="N1784" s="7">
        <v>184.15</v>
      </c>
      <c r="O1784" s="7">
        <f t="shared" si="142"/>
        <v>204.00000000000003</v>
      </c>
      <c r="P1784" s="7">
        <f t="shared" si="143"/>
        <v>7.2500000000000009</v>
      </c>
      <c r="Q1784" s="7">
        <f t="shared" si="143"/>
        <v>7.2500000000000009</v>
      </c>
      <c r="R1784" s="6">
        <f t="shared" si="144"/>
        <v>96.748000000000005</v>
      </c>
      <c r="S1784" s="6">
        <f t="shared" si="145"/>
        <v>0.17571439050600002</v>
      </c>
      <c r="T1784" t="str">
        <f t="shared" si="141"/>
        <v>Ipe S4S E4E 8x8 Long</v>
      </c>
    </row>
    <row r="1785" spans="1:20" x14ac:dyDescent="0.25">
      <c r="A1785" t="s">
        <v>1351</v>
      </c>
      <c r="B1785" t="s">
        <v>2166</v>
      </c>
      <c r="C1785" t="s">
        <v>283</v>
      </c>
      <c r="D1785" t="s">
        <v>438</v>
      </c>
      <c r="E1785" t="s">
        <v>2176</v>
      </c>
      <c r="F1785" t="s">
        <v>2168</v>
      </c>
      <c r="G1785" t="s">
        <v>1351</v>
      </c>
      <c r="H1785" t="s">
        <v>373</v>
      </c>
      <c r="I1785" t="s">
        <v>289</v>
      </c>
      <c r="J1785" t="s">
        <v>1228</v>
      </c>
      <c r="K1785">
        <v>18</v>
      </c>
      <c r="L1785" s="6">
        <v>5.4863999999999997</v>
      </c>
      <c r="M1785" s="7">
        <v>184.15</v>
      </c>
      <c r="N1785" s="7">
        <v>184.15</v>
      </c>
      <c r="O1785" s="7">
        <f t="shared" si="142"/>
        <v>216</v>
      </c>
      <c r="P1785" s="7">
        <f t="shared" si="143"/>
        <v>7.2500000000000009</v>
      </c>
      <c r="Q1785" s="7">
        <f t="shared" si="143"/>
        <v>7.2500000000000009</v>
      </c>
      <c r="R1785" s="6">
        <f t="shared" si="144"/>
        <v>96.748000000000005</v>
      </c>
      <c r="S1785" s="6">
        <f t="shared" si="145"/>
        <v>0.186050531124</v>
      </c>
      <c r="T1785" t="str">
        <f t="shared" si="141"/>
        <v>Ipe S4S E4E 8x8 Long</v>
      </c>
    </row>
    <row r="1786" spans="1:20" x14ac:dyDescent="0.25">
      <c r="A1786" t="s">
        <v>1351</v>
      </c>
      <c r="B1786" t="s">
        <v>2166</v>
      </c>
      <c r="C1786" t="s">
        <v>283</v>
      </c>
      <c r="D1786" t="s">
        <v>438</v>
      </c>
      <c r="E1786" t="s">
        <v>2177</v>
      </c>
      <c r="F1786" t="s">
        <v>2168</v>
      </c>
      <c r="G1786" t="s">
        <v>1351</v>
      </c>
      <c r="H1786" t="s">
        <v>373</v>
      </c>
      <c r="I1786" t="s">
        <v>289</v>
      </c>
      <c r="J1786" t="s">
        <v>1228</v>
      </c>
      <c r="K1786">
        <v>19</v>
      </c>
      <c r="L1786" s="6">
        <v>5.7911999999999999</v>
      </c>
      <c r="M1786" s="7">
        <v>184.15</v>
      </c>
      <c r="N1786" s="7">
        <v>184.15</v>
      </c>
      <c r="O1786" s="7">
        <f t="shared" si="142"/>
        <v>228</v>
      </c>
      <c r="P1786" s="7">
        <f t="shared" si="143"/>
        <v>7.2500000000000009</v>
      </c>
      <c r="Q1786" s="7">
        <f t="shared" si="143"/>
        <v>7.2500000000000009</v>
      </c>
      <c r="R1786" s="6">
        <f t="shared" si="144"/>
        <v>96.748000000000005</v>
      </c>
      <c r="S1786" s="6">
        <f t="shared" si="145"/>
        <v>0.196386671742</v>
      </c>
      <c r="T1786" t="str">
        <f t="shared" si="141"/>
        <v>Ipe S4S E4E 8x8 Long</v>
      </c>
    </row>
    <row r="1787" spans="1:20" x14ac:dyDescent="0.25">
      <c r="A1787" t="s">
        <v>1351</v>
      </c>
      <c r="B1787" t="s">
        <v>2166</v>
      </c>
      <c r="C1787" t="s">
        <v>283</v>
      </c>
      <c r="D1787" t="s">
        <v>438</v>
      </c>
      <c r="E1787" t="s">
        <v>2178</v>
      </c>
      <c r="F1787" t="s">
        <v>2168</v>
      </c>
      <c r="G1787" t="s">
        <v>1351</v>
      </c>
      <c r="H1787" t="s">
        <v>373</v>
      </c>
      <c r="I1787" t="s">
        <v>289</v>
      </c>
      <c r="J1787" t="s">
        <v>1228</v>
      </c>
      <c r="K1787">
        <v>20</v>
      </c>
      <c r="L1787" s="6">
        <v>6.0960000000000001</v>
      </c>
      <c r="M1787" s="7">
        <v>184.15</v>
      </c>
      <c r="N1787" s="7">
        <v>184.15</v>
      </c>
      <c r="O1787" s="7">
        <f t="shared" si="142"/>
        <v>240</v>
      </c>
      <c r="P1787" s="7">
        <f t="shared" si="143"/>
        <v>7.2500000000000009</v>
      </c>
      <c r="Q1787" s="7">
        <f t="shared" si="143"/>
        <v>7.2500000000000009</v>
      </c>
      <c r="R1787" s="6">
        <f t="shared" si="144"/>
        <v>96.748000000000005</v>
      </c>
      <c r="S1787" s="6">
        <f t="shared" si="145"/>
        <v>0.20672281236000004</v>
      </c>
      <c r="T1787" t="str">
        <f t="shared" si="141"/>
        <v>Ipe S4S E4E 8x8 Long</v>
      </c>
    </row>
    <row r="1788" spans="1:20" x14ac:dyDescent="0.25">
      <c r="A1788" t="s">
        <v>1351</v>
      </c>
      <c r="B1788" t="s">
        <v>2166</v>
      </c>
      <c r="C1788" t="s">
        <v>283</v>
      </c>
      <c r="D1788" t="s">
        <v>438</v>
      </c>
      <c r="E1788" t="s">
        <v>2179</v>
      </c>
      <c r="F1788" t="s">
        <v>2168</v>
      </c>
      <c r="G1788" t="s">
        <v>1351</v>
      </c>
      <c r="H1788" t="s">
        <v>373</v>
      </c>
      <c r="I1788" t="s">
        <v>289</v>
      </c>
      <c r="J1788" t="s">
        <v>1228</v>
      </c>
      <c r="K1788">
        <v>21</v>
      </c>
      <c r="L1788" s="6">
        <v>6.4008000000000003</v>
      </c>
      <c r="M1788" s="7">
        <v>184.15</v>
      </c>
      <c r="N1788" s="7">
        <v>184.15</v>
      </c>
      <c r="O1788" s="7">
        <f t="shared" si="142"/>
        <v>252.00000000000003</v>
      </c>
      <c r="P1788" s="7">
        <f t="shared" si="143"/>
        <v>7.2500000000000009</v>
      </c>
      <c r="Q1788" s="7">
        <f t="shared" si="143"/>
        <v>7.2500000000000009</v>
      </c>
      <c r="R1788" s="6">
        <f t="shared" si="144"/>
        <v>96.748000000000005</v>
      </c>
      <c r="S1788" s="6">
        <f t="shared" si="145"/>
        <v>0.21705895297800001</v>
      </c>
      <c r="T1788" t="str">
        <f t="shared" si="141"/>
        <v>Ipe S4S E4E 8x8 Long</v>
      </c>
    </row>
    <row r="1789" spans="1:20" x14ac:dyDescent="0.25">
      <c r="A1789" t="s">
        <v>1351</v>
      </c>
      <c r="B1789" t="s">
        <v>2166</v>
      </c>
      <c r="C1789" t="s">
        <v>283</v>
      </c>
      <c r="D1789" t="s">
        <v>438</v>
      </c>
      <c r="E1789" t="s">
        <v>2180</v>
      </c>
      <c r="F1789" t="s">
        <v>2168</v>
      </c>
      <c r="G1789" t="s">
        <v>1351</v>
      </c>
      <c r="H1789" t="s">
        <v>373</v>
      </c>
      <c r="I1789" t="s">
        <v>289</v>
      </c>
      <c r="J1789" t="s">
        <v>1228</v>
      </c>
      <c r="K1789">
        <v>22</v>
      </c>
      <c r="L1789" s="6">
        <v>6.7055999999999996</v>
      </c>
      <c r="M1789" s="7">
        <v>184.15</v>
      </c>
      <c r="N1789" s="7">
        <v>184.15</v>
      </c>
      <c r="O1789" s="7">
        <f t="shared" si="142"/>
        <v>264</v>
      </c>
      <c r="P1789" s="7">
        <f t="shared" si="143"/>
        <v>7.2500000000000009</v>
      </c>
      <c r="Q1789" s="7">
        <f t="shared" si="143"/>
        <v>7.2500000000000009</v>
      </c>
      <c r="R1789" s="6">
        <f t="shared" si="144"/>
        <v>96.748000000000005</v>
      </c>
      <c r="S1789" s="6">
        <f t="shared" si="145"/>
        <v>0.22739509359599999</v>
      </c>
      <c r="T1789" t="str">
        <f t="shared" si="141"/>
        <v>Ipe S4S E4E 8x8 Long</v>
      </c>
    </row>
    <row r="1790" spans="1:20" x14ac:dyDescent="0.25">
      <c r="A1790" t="s">
        <v>1351</v>
      </c>
      <c r="B1790" t="s">
        <v>2166</v>
      </c>
      <c r="C1790" t="s">
        <v>524</v>
      </c>
      <c r="D1790" t="s">
        <v>438</v>
      </c>
      <c r="E1790" t="s">
        <v>2181</v>
      </c>
      <c r="F1790" t="s">
        <v>2168</v>
      </c>
      <c r="G1790" t="s">
        <v>1351</v>
      </c>
      <c r="H1790" t="s">
        <v>373</v>
      </c>
      <c r="I1790" t="s">
        <v>289</v>
      </c>
      <c r="J1790" t="s">
        <v>1228</v>
      </c>
      <c r="K1790">
        <v>3</v>
      </c>
      <c r="L1790" s="6">
        <v>0.91439999999999999</v>
      </c>
      <c r="M1790" s="7">
        <v>184.15</v>
      </c>
      <c r="N1790" s="7">
        <v>184.15</v>
      </c>
      <c r="O1790" s="7">
        <f t="shared" si="142"/>
        <v>36</v>
      </c>
      <c r="P1790" s="7">
        <f t="shared" si="143"/>
        <v>7.2500000000000009</v>
      </c>
      <c r="Q1790" s="7">
        <f t="shared" si="143"/>
        <v>7.2500000000000009</v>
      </c>
      <c r="R1790" s="6">
        <f t="shared" si="144"/>
        <v>96.748000000000005</v>
      </c>
      <c r="S1790" s="6">
        <f t="shared" si="145"/>
        <v>3.1008421854E-2</v>
      </c>
      <c r="T1790" t="str">
        <f t="shared" si="141"/>
        <v>Ipe S4S E4E 8x8 Short</v>
      </c>
    </row>
    <row r="1791" spans="1:20" x14ac:dyDescent="0.25">
      <c r="A1791" t="s">
        <v>1351</v>
      </c>
      <c r="B1791" t="s">
        <v>2166</v>
      </c>
      <c r="C1791" t="s">
        <v>524</v>
      </c>
      <c r="D1791" t="s">
        <v>438</v>
      </c>
      <c r="E1791" t="s">
        <v>2182</v>
      </c>
      <c r="F1791" t="s">
        <v>2168</v>
      </c>
      <c r="G1791" t="s">
        <v>1351</v>
      </c>
      <c r="H1791" t="s">
        <v>373</v>
      </c>
      <c r="I1791" t="s">
        <v>289</v>
      </c>
      <c r="J1791" t="s">
        <v>1228</v>
      </c>
      <c r="K1791">
        <v>4</v>
      </c>
      <c r="L1791" s="6">
        <v>1.2192000000000001</v>
      </c>
      <c r="M1791" s="7">
        <v>184.15</v>
      </c>
      <c r="N1791" s="7">
        <v>184.15</v>
      </c>
      <c r="O1791" s="7">
        <f t="shared" si="142"/>
        <v>48.000000000000007</v>
      </c>
      <c r="P1791" s="7">
        <f t="shared" si="143"/>
        <v>7.2500000000000009</v>
      </c>
      <c r="Q1791" s="7">
        <f t="shared" si="143"/>
        <v>7.2500000000000009</v>
      </c>
      <c r="R1791" s="6">
        <f t="shared" si="144"/>
        <v>96.748000000000005</v>
      </c>
      <c r="S1791" s="6">
        <f t="shared" si="145"/>
        <v>4.134456247200001E-2</v>
      </c>
      <c r="T1791" t="str">
        <f t="shared" si="141"/>
        <v>Ipe S4S E4E 8x8 Short</v>
      </c>
    </row>
    <row r="1792" spans="1:20" x14ac:dyDescent="0.25">
      <c r="A1792" t="s">
        <v>1351</v>
      </c>
      <c r="B1792" t="s">
        <v>2166</v>
      </c>
      <c r="C1792" t="s">
        <v>524</v>
      </c>
      <c r="D1792" t="s">
        <v>438</v>
      </c>
      <c r="E1792" t="s">
        <v>2183</v>
      </c>
      <c r="F1792" t="s">
        <v>2168</v>
      </c>
      <c r="G1792" t="s">
        <v>1351</v>
      </c>
      <c r="H1792" t="s">
        <v>373</v>
      </c>
      <c r="I1792" t="s">
        <v>289</v>
      </c>
      <c r="J1792" t="s">
        <v>1228</v>
      </c>
      <c r="K1792">
        <v>5</v>
      </c>
      <c r="L1792" s="6">
        <v>1.524</v>
      </c>
      <c r="M1792" s="7">
        <v>184.15</v>
      </c>
      <c r="N1792" s="7">
        <v>184.15</v>
      </c>
      <c r="O1792" s="7">
        <f t="shared" si="142"/>
        <v>60</v>
      </c>
      <c r="P1792" s="7">
        <f t="shared" si="143"/>
        <v>7.2500000000000009</v>
      </c>
      <c r="Q1792" s="7">
        <f t="shared" si="143"/>
        <v>7.2500000000000009</v>
      </c>
      <c r="R1792" s="6">
        <f t="shared" si="144"/>
        <v>96.748000000000005</v>
      </c>
      <c r="S1792" s="6">
        <f t="shared" si="145"/>
        <v>5.1680703090000009E-2</v>
      </c>
      <c r="T1792" t="str">
        <f t="shared" si="141"/>
        <v>Ipe S4S E4E 8x8 Short</v>
      </c>
    </row>
    <row r="1793" spans="1:20" x14ac:dyDescent="0.25">
      <c r="A1793" t="s">
        <v>1351</v>
      </c>
      <c r="B1793" t="s">
        <v>2166</v>
      </c>
      <c r="C1793" t="s">
        <v>524</v>
      </c>
      <c r="D1793" t="s">
        <v>438</v>
      </c>
      <c r="E1793" t="s">
        <v>2184</v>
      </c>
      <c r="F1793" t="s">
        <v>2168</v>
      </c>
      <c r="G1793" t="s">
        <v>1351</v>
      </c>
      <c r="H1793" t="s">
        <v>373</v>
      </c>
      <c r="I1793" t="s">
        <v>289</v>
      </c>
      <c r="J1793" t="s">
        <v>1228</v>
      </c>
      <c r="K1793">
        <v>6</v>
      </c>
      <c r="L1793" s="6">
        <v>1.8288</v>
      </c>
      <c r="M1793" s="7">
        <v>184.15</v>
      </c>
      <c r="N1793" s="7">
        <v>184.15</v>
      </c>
      <c r="O1793" s="7">
        <f t="shared" si="142"/>
        <v>72</v>
      </c>
      <c r="P1793" s="7">
        <f t="shared" si="143"/>
        <v>7.2500000000000009</v>
      </c>
      <c r="Q1793" s="7">
        <f t="shared" si="143"/>
        <v>7.2500000000000009</v>
      </c>
      <c r="R1793" s="6">
        <f t="shared" si="144"/>
        <v>96.748000000000005</v>
      </c>
      <c r="S1793" s="6">
        <f t="shared" si="145"/>
        <v>6.2016843708000001E-2</v>
      </c>
      <c r="T1793" t="str">
        <f t="shared" si="141"/>
        <v>Ipe S4S E4E 8x8 Short</v>
      </c>
    </row>
    <row r="1794" spans="1:20" x14ac:dyDescent="0.25">
      <c r="A1794" t="s">
        <v>1351</v>
      </c>
      <c r="B1794" t="s">
        <v>2166</v>
      </c>
      <c r="C1794" t="s">
        <v>524</v>
      </c>
      <c r="D1794" t="s">
        <v>438</v>
      </c>
      <c r="E1794" t="s">
        <v>2185</v>
      </c>
      <c r="F1794" t="s">
        <v>2168</v>
      </c>
      <c r="G1794" t="s">
        <v>1351</v>
      </c>
      <c r="H1794" t="s">
        <v>373</v>
      </c>
      <c r="I1794" t="s">
        <v>289</v>
      </c>
      <c r="J1794" t="s">
        <v>1228</v>
      </c>
      <c r="K1794">
        <v>7</v>
      </c>
      <c r="L1794" s="6">
        <v>2.1335999999999999</v>
      </c>
      <c r="M1794" s="7">
        <v>184.15</v>
      </c>
      <c r="N1794" s="7">
        <v>184.15</v>
      </c>
      <c r="O1794" s="7">
        <f t="shared" si="142"/>
        <v>84</v>
      </c>
      <c r="P1794" s="7">
        <f t="shared" si="143"/>
        <v>7.2500000000000009</v>
      </c>
      <c r="Q1794" s="7">
        <f t="shared" si="143"/>
        <v>7.2500000000000009</v>
      </c>
      <c r="R1794" s="6">
        <f t="shared" si="144"/>
        <v>96.748000000000005</v>
      </c>
      <c r="S1794" s="6">
        <f t="shared" si="145"/>
        <v>7.2352984326000014E-2</v>
      </c>
      <c r="T1794" t="str">
        <f t="shared" ref="T1794:T1857" si="146">F1794&amp;" "&amp;C1794</f>
        <v>Ipe S4S E4E 8x8 Short</v>
      </c>
    </row>
    <row r="1795" spans="1:20" x14ac:dyDescent="0.25">
      <c r="A1795" t="s">
        <v>1351</v>
      </c>
      <c r="B1795" t="s">
        <v>2166</v>
      </c>
      <c r="C1795" t="s">
        <v>283</v>
      </c>
      <c r="D1795" t="s">
        <v>438</v>
      </c>
      <c r="E1795" t="s">
        <v>2186</v>
      </c>
      <c r="F1795" t="s">
        <v>2168</v>
      </c>
      <c r="G1795" t="s">
        <v>1351</v>
      </c>
      <c r="H1795" t="s">
        <v>373</v>
      </c>
      <c r="I1795" t="s">
        <v>289</v>
      </c>
      <c r="J1795" t="s">
        <v>1228</v>
      </c>
      <c r="K1795">
        <v>8</v>
      </c>
      <c r="L1795" s="6">
        <v>2.4384000000000001</v>
      </c>
      <c r="M1795" s="7">
        <v>184.15</v>
      </c>
      <c r="N1795" s="7">
        <v>184.15</v>
      </c>
      <c r="O1795" s="7">
        <f t="shared" si="142"/>
        <v>96.000000000000014</v>
      </c>
      <c r="P1795" s="7">
        <f t="shared" si="143"/>
        <v>7.2500000000000009</v>
      </c>
      <c r="Q1795" s="7">
        <f t="shared" si="143"/>
        <v>7.2500000000000009</v>
      </c>
      <c r="R1795" s="6">
        <f t="shared" si="144"/>
        <v>96.748000000000005</v>
      </c>
      <c r="S1795" s="6">
        <f t="shared" si="145"/>
        <v>8.268912494400002E-2</v>
      </c>
      <c r="T1795" t="str">
        <f t="shared" si="146"/>
        <v>Ipe S4S E4E 8x8 Long</v>
      </c>
    </row>
    <row r="1796" spans="1:20" x14ac:dyDescent="0.25">
      <c r="A1796" t="s">
        <v>1351</v>
      </c>
      <c r="B1796" t="s">
        <v>2166</v>
      </c>
      <c r="C1796" t="s">
        <v>283</v>
      </c>
      <c r="D1796" t="s">
        <v>438</v>
      </c>
      <c r="E1796" t="s">
        <v>2187</v>
      </c>
      <c r="F1796" t="s">
        <v>2168</v>
      </c>
      <c r="G1796" t="s">
        <v>1351</v>
      </c>
      <c r="H1796" t="s">
        <v>373</v>
      </c>
      <c r="I1796" t="s">
        <v>289</v>
      </c>
      <c r="J1796" t="s">
        <v>1228</v>
      </c>
      <c r="K1796">
        <v>9</v>
      </c>
      <c r="L1796" s="6">
        <v>2.7431999999999999</v>
      </c>
      <c r="M1796" s="7">
        <v>184.15</v>
      </c>
      <c r="N1796" s="7">
        <v>184.15</v>
      </c>
      <c r="O1796" s="7">
        <f t="shared" si="142"/>
        <v>108</v>
      </c>
      <c r="P1796" s="7">
        <f t="shared" si="143"/>
        <v>7.2500000000000009</v>
      </c>
      <c r="Q1796" s="7">
        <f t="shared" si="143"/>
        <v>7.2500000000000009</v>
      </c>
      <c r="R1796" s="6">
        <f t="shared" si="144"/>
        <v>96.748000000000005</v>
      </c>
      <c r="S1796" s="6">
        <f t="shared" si="145"/>
        <v>9.3025265561999998E-2</v>
      </c>
      <c r="T1796" t="str">
        <f t="shared" si="146"/>
        <v>Ipe S4S E4E 8x8 Long</v>
      </c>
    </row>
    <row r="1797" spans="1:20" x14ac:dyDescent="0.25">
      <c r="A1797" t="s">
        <v>1351</v>
      </c>
      <c r="B1797" t="s">
        <v>1490</v>
      </c>
      <c r="C1797" t="s">
        <v>1353</v>
      </c>
      <c r="D1797" t="s">
        <v>438</v>
      </c>
      <c r="E1797" t="s">
        <v>2188</v>
      </c>
      <c r="F1797" t="s">
        <v>2189</v>
      </c>
      <c r="G1797" t="s">
        <v>1351</v>
      </c>
      <c r="H1797" t="s">
        <v>373</v>
      </c>
      <c r="I1797" t="s">
        <v>1353</v>
      </c>
      <c r="J1797" t="s">
        <v>344</v>
      </c>
      <c r="K1797">
        <v>0</v>
      </c>
      <c r="L1797" s="6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6">
        <v>0</v>
      </c>
      <c r="S1797" s="6">
        <v>0</v>
      </c>
      <c r="T1797" t="str">
        <f t="shared" si="146"/>
        <v>Ipe S4S E4E Random Lenght 1x6 Random Lenght</v>
      </c>
    </row>
    <row r="1798" spans="1:20" x14ac:dyDescent="0.25">
      <c r="A1798" t="s">
        <v>1351</v>
      </c>
      <c r="B1798" t="s">
        <v>1447</v>
      </c>
      <c r="C1798" t="s">
        <v>1353</v>
      </c>
      <c r="D1798" t="s">
        <v>438</v>
      </c>
      <c r="E1798" t="s">
        <v>2190</v>
      </c>
      <c r="F1798" t="s">
        <v>2191</v>
      </c>
      <c r="G1798" t="s">
        <v>1351</v>
      </c>
      <c r="H1798" t="s">
        <v>1250</v>
      </c>
      <c r="I1798" t="s">
        <v>1353</v>
      </c>
      <c r="J1798" t="s">
        <v>613</v>
      </c>
      <c r="K1798">
        <v>0</v>
      </c>
      <c r="L1798" s="6">
        <v>0</v>
      </c>
      <c r="M1798" s="7">
        <v>0</v>
      </c>
      <c r="N1798" s="7">
        <v>0</v>
      </c>
      <c r="O1798" s="7">
        <v>0</v>
      </c>
      <c r="P1798" s="7">
        <v>0</v>
      </c>
      <c r="Q1798" s="7">
        <v>0</v>
      </c>
      <c r="R1798" s="6">
        <v>0</v>
      </c>
      <c r="S1798" s="6">
        <v>0</v>
      </c>
      <c r="T1798" t="str">
        <f t="shared" si="146"/>
        <v>Ipe T&amp;G V-Joint 2 sides Random Lenght 1x4 Random Lenght</v>
      </c>
    </row>
    <row r="1799" spans="1:20" x14ac:dyDescent="0.25">
      <c r="A1799" t="s">
        <v>1351</v>
      </c>
      <c r="B1799" t="s">
        <v>2192</v>
      </c>
      <c r="C1799" t="s">
        <v>1256</v>
      </c>
      <c r="D1799" t="s">
        <v>438</v>
      </c>
      <c r="E1799" t="s">
        <v>2193</v>
      </c>
      <c r="F1799" t="s">
        <v>2194</v>
      </c>
      <c r="G1799" t="s">
        <v>1351</v>
      </c>
      <c r="H1799" t="s">
        <v>1256</v>
      </c>
      <c r="I1799" t="s">
        <v>289</v>
      </c>
      <c r="J1799" t="s">
        <v>2195</v>
      </c>
      <c r="K1799">
        <v>12</v>
      </c>
      <c r="L1799" s="6">
        <v>0.3</v>
      </c>
      <c r="M1799" s="7">
        <v>12</v>
      </c>
      <c r="N1799" s="7">
        <v>73</v>
      </c>
      <c r="O1799" s="7">
        <f t="shared" ref="O1799:O1835" si="147">L1799/0.0254</f>
        <v>11.811023622047244</v>
      </c>
      <c r="P1799" s="7">
        <f t="shared" ref="P1799:Q1835" si="148">M1799/25.4</f>
        <v>0.47244094488188981</v>
      </c>
      <c r="Q1799" s="7">
        <f t="shared" si="148"/>
        <v>2.8740157480314963</v>
      </c>
      <c r="R1799" s="6">
        <f t="shared" ref="R1799:R1835" si="149">ROUND(IFERROR(1/((M1799*N1799*0.3048)/1000000),0),3)</f>
        <v>3745.2510000000002</v>
      </c>
      <c r="S1799" s="6">
        <f t="shared" ref="S1799" si="150">ROUND(L1799*M1799/1000*N1799/1000,3)</f>
        <v>0</v>
      </c>
      <c r="T1799" t="str">
        <f t="shared" si="146"/>
        <v>Ipe Tiles 12x12 Tiles</v>
      </c>
    </row>
    <row r="1800" spans="1:20" x14ac:dyDescent="0.25">
      <c r="A1800" t="s">
        <v>1351</v>
      </c>
      <c r="B1800" t="s">
        <v>2196</v>
      </c>
      <c r="C1800" t="s">
        <v>1256</v>
      </c>
      <c r="D1800" t="s">
        <v>438</v>
      </c>
      <c r="E1800" t="s">
        <v>2197</v>
      </c>
      <c r="F1800" t="s">
        <v>2198</v>
      </c>
      <c r="G1800" t="s">
        <v>1351</v>
      </c>
      <c r="H1800" t="s">
        <v>1256</v>
      </c>
      <c r="I1800" t="s">
        <v>289</v>
      </c>
      <c r="J1800" t="s">
        <v>1258</v>
      </c>
      <c r="K1800">
        <v>24</v>
      </c>
      <c r="L1800" s="6">
        <v>0.60640000000000005</v>
      </c>
      <c r="M1800" s="7">
        <v>19</v>
      </c>
      <c r="N1800" s="7">
        <v>71</v>
      </c>
      <c r="O1800" s="7">
        <f t="shared" si="147"/>
        <v>23.8740157480315</v>
      </c>
      <c r="P1800" s="7">
        <f t="shared" si="148"/>
        <v>0.74803149606299213</v>
      </c>
      <c r="Q1800" s="7">
        <f t="shared" si="148"/>
        <v>2.7952755905511815</v>
      </c>
      <c r="R1800" s="6">
        <f t="shared" si="149"/>
        <v>2432.0529999999999</v>
      </c>
      <c r="S1800" s="6">
        <f t="shared" ref="S1800:S1835" si="151">L1800*M1800/1000*N1800/1000</f>
        <v>8.1803360000000012E-4</v>
      </c>
      <c r="T1800" t="str">
        <f t="shared" si="146"/>
        <v>Ipe Tiles 24x24 Tiles</v>
      </c>
    </row>
    <row r="1801" spans="1:20" x14ac:dyDescent="0.25">
      <c r="A1801" t="s">
        <v>1351</v>
      </c>
      <c r="B1801" t="s">
        <v>2199</v>
      </c>
      <c r="C1801" t="s">
        <v>1256</v>
      </c>
      <c r="D1801" t="s">
        <v>438</v>
      </c>
      <c r="E1801" t="s">
        <v>2200</v>
      </c>
      <c r="F1801" t="s">
        <v>2201</v>
      </c>
      <c r="G1801" t="s">
        <v>1351</v>
      </c>
      <c r="H1801" t="s">
        <v>1256</v>
      </c>
      <c r="I1801" t="s">
        <v>289</v>
      </c>
      <c r="J1801" t="s">
        <v>1262</v>
      </c>
      <c r="K1801">
        <v>48</v>
      </c>
      <c r="L1801" s="6">
        <v>1.2192000000000001</v>
      </c>
      <c r="M1801" s="7">
        <v>19</v>
      </c>
      <c r="N1801" s="7">
        <v>71</v>
      </c>
      <c r="O1801" s="7">
        <f t="shared" si="147"/>
        <v>48.000000000000007</v>
      </c>
      <c r="P1801" s="7">
        <f t="shared" si="148"/>
        <v>0.74803149606299213</v>
      </c>
      <c r="Q1801" s="7">
        <f t="shared" si="148"/>
        <v>2.7952755905511815</v>
      </c>
      <c r="R1801" s="6">
        <f t="shared" si="149"/>
        <v>2432.0529999999999</v>
      </c>
      <c r="S1801" s="6">
        <f t="shared" si="151"/>
        <v>1.6447007999999999E-3</v>
      </c>
      <c r="T1801" t="str">
        <f t="shared" si="146"/>
        <v>Ipe Tiles 24x48 Tiles</v>
      </c>
    </row>
    <row r="1802" spans="1:20" x14ac:dyDescent="0.25">
      <c r="A1802" t="s">
        <v>1351</v>
      </c>
      <c r="B1802" t="s">
        <v>2202</v>
      </c>
      <c r="C1802" t="s">
        <v>1256</v>
      </c>
      <c r="D1802" t="s">
        <v>438</v>
      </c>
      <c r="E1802" t="s">
        <v>2203</v>
      </c>
      <c r="F1802" t="s">
        <v>2204</v>
      </c>
      <c r="G1802" t="s">
        <v>1351</v>
      </c>
      <c r="H1802" t="s">
        <v>1256</v>
      </c>
      <c r="I1802" t="s">
        <v>289</v>
      </c>
      <c r="J1802" t="s">
        <v>2205</v>
      </c>
      <c r="K1802">
        <v>72</v>
      </c>
      <c r="L1802" s="6">
        <v>1.8288</v>
      </c>
      <c r="M1802" s="7">
        <v>19</v>
      </c>
      <c r="N1802" s="7">
        <v>71</v>
      </c>
      <c r="O1802" s="7">
        <f t="shared" si="147"/>
        <v>72</v>
      </c>
      <c r="P1802" s="7">
        <f t="shared" si="148"/>
        <v>0.74803149606299213</v>
      </c>
      <c r="Q1802" s="7">
        <f t="shared" si="148"/>
        <v>2.7952755905511815</v>
      </c>
      <c r="R1802" s="6">
        <f t="shared" si="149"/>
        <v>2432.0529999999999</v>
      </c>
      <c r="S1802" s="6">
        <f t="shared" si="151"/>
        <v>2.4670511999999997E-3</v>
      </c>
      <c r="T1802" t="str">
        <f t="shared" si="146"/>
        <v>Ipe Tiles 24x72 Tiles</v>
      </c>
    </row>
    <row r="1803" spans="1:20" x14ac:dyDescent="0.25">
      <c r="A1803" t="s">
        <v>1351</v>
      </c>
      <c r="B1803" t="s">
        <v>2206</v>
      </c>
      <c r="C1803" t="s">
        <v>1256</v>
      </c>
      <c r="D1803" t="s">
        <v>438</v>
      </c>
      <c r="E1803" t="s">
        <v>2207</v>
      </c>
      <c r="F1803" t="s">
        <v>2208</v>
      </c>
      <c r="G1803" t="s">
        <v>1351</v>
      </c>
      <c r="H1803" t="s">
        <v>1256</v>
      </c>
      <c r="I1803" t="s">
        <v>289</v>
      </c>
      <c r="J1803" t="s">
        <v>2209</v>
      </c>
      <c r="K1803">
        <v>96</v>
      </c>
      <c r="L1803" s="6">
        <v>2.4384000000000001</v>
      </c>
      <c r="M1803" s="7">
        <v>19</v>
      </c>
      <c r="N1803" s="7">
        <v>71</v>
      </c>
      <c r="O1803" s="7">
        <f t="shared" si="147"/>
        <v>96.000000000000014</v>
      </c>
      <c r="P1803" s="7">
        <f t="shared" si="148"/>
        <v>0.74803149606299213</v>
      </c>
      <c r="Q1803" s="7">
        <f t="shared" si="148"/>
        <v>2.7952755905511815</v>
      </c>
      <c r="R1803" s="6">
        <f t="shared" si="149"/>
        <v>2432.0529999999999</v>
      </c>
      <c r="S1803" s="6">
        <f t="shared" si="151"/>
        <v>3.2894015999999997E-3</v>
      </c>
      <c r="T1803" t="str">
        <f t="shared" si="146"/>
        <v>Ipe Tiles 24x96 Tiles</v>
      </c>
    </row>
    <row r="1804" spans="1:20" x14ac:dyDescent="0.25">
      <c r="A1804" t="s">
        <v>2210</v>
      </c>
      <c r="B1804" t="s">
        <v>2211</v>
      </c>
      <c r="C1804" t="s">
        <v>1256</v>
      </c>
      <c r="D1804" t="s">
        <v>438</v>
      </c>
      <c r="E1804" t="s">
        <v>121</v>
      </c>
      <c r="F1804" t="s">
        <v>2212</v>
      </c>
      <c r="G1804" t="s">
        <v>2210</v>
      </c>
      <c r="H1804" t="s">
        <v>1256</v>
      </c>
      <c r="I1804" t="s">
        <v>289</v>
      </c>
      <c r="J1804" t="s">
        <v>1258</v>
      </c>
      <c r="K1804">
        <v>24</v>
      </c>
      <c r="L1804" s="6">
        <v>0.60640000000000005</v>
      </c>
      <c r="M1804" s="7">
        <v>19</v>
      </c>
      <c r="N1804" s="7">
        <v>71</v>
      </c>
      <c r="O1804" s="7">
        <f t="shared" si="147"/>
        <v>23.8740157480315</v>
      </c>
      <c r="P1804" s="7">
        <f t="shared" si="148"/>
        <v>0.74803149606299213</v>
      </c>
      <c r="Q1804" s="7">
        <f t="shared" si="148"/>
        <v>2.7952755905511815</v>
      </c>
      <c r="R1804" s="6">
        <f t="shared" si="149"/>
        <v>2432.0529999999999</v>
      </c>
      <c r="S1804" s="6">
        <f t="shared" si="151"/>
        <v>8.1803360000000012E-4</v>
      </c>
      <c r="T1804" t="str">
        <f t="shared" si="146"/>
        <v>IpeB Tiles 24x24 Tiles</v>
      </c>
    </row>
    <row r="1805" spans="1:20" x14ac:dyDescent="0.25">
      <c r="A1805" t="s">
        <v>2213</v>
      </c>
      <c r="B1805" t="s">
        <v>2214</v>
      </c>
      <c r="C1805" t="s">
        <v>283</v>
      </c>
      <c r="D1805" t="s">
        <v>438</v>
      </c>
      <c r="E1805" t="s">
        <v>2215</v>
      </c>
      <c r="F1805" t="s">
        <v>2216</v>
      </c>
      <c r="G1805" t="s">
        <v>2213</v>
      </c>
      <c r="H1805" t="s">
        <v>373</v>
      </c>
      <c r="I1805" t="s">
        <v>289</v>
      </c>
      <c r="J1805" t="s">
        <v>344</v>
      </c>
      <c r="K1805">
        <v>10</v>
      </c>
      <c r="L1805" s="6">
        <v>3.048</v>
      </c>
      <c r="M1805" s="7">
        <v>19.05</v>
      </c>
      <c r="N1805" s="7">
        <v>139.69999999999999</v>
      </c>
      <c r="O1805" s="7">
        <f t="shared" si="147"/>
        <v>120</v>
      </c>
      <c r="P1805" s="7">
        <f t="shared" si="148"/>
        <v>0.75000000000000011</v>
      </c>
      <c r="Q1805" s="7">
        <f t="shared" si="148"/>
        <v>5.5</v>
      </c>
      <c r="R1805" s="6">
        <f t="shared" si="149"/>
        <v>1232.8030000000001</v>
      </c>
      <c r="S1805" s="6">
        <f t="shared" si="151"/>
        <v>8.1115966799999994E-3</v>
      </c>
      <c r="T1805" t="str">
        <f t="shared" si="146"/>
        <v>Itauba S4S E4E 1x6 Long</v>
      </c>
    </row>
    <row r="1806" spans="1:20" x14ac:dyDescent="0.25">
      <c r="A1806" t="s">
        <v>2213</v>
      </c>
      <c r="B1806" t="s">
        <v>2214</v>
      </c>
      <c r="C1806" t="s">
        <v>283</v>
      </c>
      <c r="D1806" t="s">
        <v>438</v>
      </c>
      <c r="E1806" t="s">
        <v>2217</v>
      </c>
      <c r="F1806" t="s">
        <v>2216</v>
      </c>
      <c r="G1806" t="s">
        <v>2213</v>
      </c>
      <c r="H1806" t="s">
        <v>373</v>
      </c>
      <c r="I1806" t="s">
        <v>289</v>
      </c>
      <c r="J1806" t="s">
        <v>344</v>
      </c>
      <c r="K1806">
        <v>12</v>
      </c>
      <c r="L1806" s="6">
        <v>3.6576000000000004</v>
      </c>
      <c r="M1806" s="7">
        <v>19.05</v>
      </c>
      <c r="N1806" s="7">
        <v>139.69999999999999</v>
      </c>
      <c r="O1806" s="7">
        <f t="shared" si="147"/>
        <v>144.00000000000003</v>
      </c>
      <c r="P1806" s="7">
        <f t="shared" si="148"/>
        <v>0.75000000000000011</v>
      </c>
      <c r="Q1806" s="7">
        <f t="shared" si="148"/>
        <v>5.5</v>
      </c>
      <c r="R1806" s="6">
        <f t="shared" si="149"/>
        <v>1232.8030000000001</v>
      </c>
      <c r="S1806" s="6">
        <f t="shared" si="151"/>
        <v>9.7339160160000004E-3</v>
      </c>
      <c r="T1806" t="str">
        <f t="shared" si="146"/>
        <v>Itauba S4S E4E 1x6 Long</v>
      </c>
    </row>
    <row r="1807" spans="1:20" x14ac:dyDescent="0.25">
      <c r="A1807" t="s">
        <v>2213</v>
      </c>
      <c r="B1807" t="s">
        <v>2214</v>
      </c>
      <c r="C1807" t="s">
        <v>283</v>
      </c>
      <c r="D1807" t="s">
        <v>438</v>
      </c>
      <c r="E1807" t="s">
        <v>2218</v>
      </c>
      <c r="F1807" t="s">
        <v>2216</v>
      </c>
      <c r="G1807" t="s">
        <v>2213</v>
      </c>
      <c r="H1807" t="s">
        <v>373</v>
      </c>
      <c r="I1807" t="s">
        <v>289</v>
      </c>
      <c r="J1807" t="s">
        <v>344</v>
      </c>
      <c r="K1807">
        <v>14</v>
      </c>
      <c r="L1807" s="6">
        <v>4.2671999999999999</v>
      </c>
      <c r="M1807" s="7">
        <v>19.05</v>
      </c>
      <c r="N1807" s="7">
        <v>139.69999999999999</v>
      </c>
      <c r="O1807" s="7">
        <f t="shared" si="147"/>
        <v>168</v>
      </c>
      <c r="P1807" s="7">
        <f t="shared" si="148"/>
        <v>0.75000000000000011</v>
      </c>
      <c r="Q1807" s="7">
        <f t="shared" si="148"/>
        <v>5.5</v>
      </c>
      <c r="R1807" s="6">
        <f t="shared" si="149"/>
        <v>1232.8030000000001</v>
      </c>
      <c r="S1807" s="6">
        <f t="shared" si="151"/>
        <v>1.1356235352E-2</v>
      </c>
      <c r="T1807" t="str">
        <f t="shared" si="146"/>
        <v>Itauba S4S E4E 1x6 Long</v>
      </c>
    </row>
    <row r="1808" spans="1:20" x14ac:dyDescent="0.25">
      <c r="A1808" t="s">
        <v>2213</v>
      </c>
      <c r="B1808" t="s">
        <v>2214</v>
      </c>
      <c r="C1808" t="s">
        <v>283</v>
      </c>
      <c r="D1808" t="s">
        <v>438</v>
      </c>
      <c r="E1808" t="s">
        <v>2219</v>
      </c>
      <c r="F1808" t="s">
        <v>2216</v>
      </c>
      <c r="G1808" t="s">
        <v>2213</v>
      </c>
      <c r="H1808" t="s">
        <v>373</v>
      </c>
      <c r="I1808" t="s">
        <v>289</v>
      </c>
      <c r="J1808" t="s">
        <v>344</v>
      </c>
      <c r="K1808">
        <v>16</v>
      </c>
      <c r="L1808" s="6">
        <v>4.8768000000000002</v>
      </c>
      <c r="M1808" s="7">
        <v>19.05</v>
      </c>
      <c r="N1808" s="7">
        <v>139.69999999999999</v>
      </c>
      <c r="O1808" s="7">
        <f t="shared" si="147"/>
        <v>192.00000000000003</v>
      </c>
      <c r="P1808" s="7">
        <f t="shared" si="148"/>
        <v>0.75000000000000011</v>
      </c>
      <c r="Q1808" s="7">
        <f t="shared" si="148"/>
        <v>5.5</v>
      </c>
      <c r="R1808" s="6">
        <f t="shared" si="149"/>
        <v>1232.8030000000001</v>
      </c>
      <c r="S1808" s="6">
        <f t="shared" si="151"/>
        <v>1.2978554687999999E-2</v>
      </c>
      <c r="T1808" t="str">
        <f t="shared" si="146"/>
        <v>Itauba S4S E4E 1x6 Long</v>
      </c>
    </row>
    <row r="1809" spans="1:20" x14ac:dyDescent="0.25">
      <c r="A1809" t="s">
        <v>2213</v>
      </c>
      <c r="B1809" t="s">
        <v>2214</v>
      </c>
      <c r="C1809" t="s">
        <v>283</v>
      </c>
      <c r="D1809" t="s">
        <v>438</v>
      </c>
      <c r="E1809" t="s">
        <v>2220</v>
      </c>
      <c r="F1809" t="s">
        <v>2216</v>
      </c>
      <c r="G1809" t="s">
        <v>2213</v>
      </c>
      <c r="H1809" t="s">
        <v>373</v>
      </c>
      <c r="I1809" t="s">
        <v>289</v>
      </c>
      <c r="J1809" t="s">
        <v>344</v>
      </c>
      <c r="K1809">
        <v>18</v>
      </c>
      <c r="L1809" s="6">
        <v>5.4864000000000006</v>
      </c>
      <c r="M1809" s="7">
        <v>19.05</v>
      </c>
      <c r="N1809" s="7">
        <v>139.69999999999999</v>
      </c>
      <c r="O1809" s="7">
        <f t="shared" si="147"/>
        <v>216.00000000000003</v>
      </c>
      <c r="P1809" s="7">
        <f t="shared" si="148"/>
        <v>0.75000000000000011</v>
      </c>
      <c r="Q1809" s="7">
        <f t="shared" si="148"/>
        <v>5.5</v>
      </c>
      <c r="R1809" s="6">
        <f t="shared" si="149"/>
        <v>1232.8030000000001</v>
      </c>
      <c r="S1809" s="6">
        <f t="shared" si="151"/>
        <v>1.4600874024000003E-2</v>
      </c>
      <c r="T1809" t="str">
        <f t="shared" si="146"/>
        <v>Itauba S4S E4E 1x6 Long</v>
      </c>
    </row>
    <row r="1810" spans="1:20" x14ac:dyDescent="0.25">
      <c r="A1810" t="s">
        <v>2213</v>
      </c>
      <c r="B1810" t="s">
        <v>2214</v>
      </c>
      <c r="C1810" t="s">
        <v>283</v>
      </c>
      <c r="D1810" t="s">
        <v>438</v>
      </c>
      <c r="E1810" t="s">
        <v>2221</v>
      </c>
      <c r="F1810" t="s">
        <v>2216</v>
      </c>
      <c r="G1810" t="s">
        <v>2213</v>
      </c>
      <c r="H1810" t="s">
        <v>373</v>
      </c>
      <c r="I1810" t="s">
        <v>289</v>
      </c>
      <c r="J1810" t="s">
        <v>344</v>
      </c>
      <c r="K1810">
        <v>20</v>
      </c>
      <c r="L1810" s="6">
        <v>6.0960000000000001</v>
      </c>
      <c r="M1810" s="7">
        <v>19.05</v>
      </c>
      <c r="N1810" s="7">
        <v>139.69999999999999</v>
      </c>
      <c r="O1810" s="7">
        <f t="shared" si="147"/>
        <v>240</v>
      </c>
      <c r="P1810" s="7">
        <f t="shared" si="148"/>
        <v>0.75000000000000011</v>
      </c>
      <c r="Q1810" s="7">
        <f t="shared" si="148"/>
        <v>5.5</v>
      </c>
      <c r="R1810" s="6">
        <f t="shared" si="149"/>
        <v>1232.8030000000001</v>
      </c>
      <c r="S1810" s="6">
        <f t="shared" si="151"/>
        <v>1.6223193359999999E-2</v>
      </c>
      <c r="T1810" t="str">
        <f t="shared" si="146"/>
        <v>Itauba S4S E4E 1x6 Long</v>
      </c>
    </row>
    <row r="1811" spans="1:20" x14ac:dyDescent="0.25">
      <c r="A1811" t="s">
        <v>2213</v>
      </c>
      <c r="B1811" t="s">
        <v>2214</v>
      </c>
      <c r="C1811" t="s">
        <v>283</v>
      </c>
      <c r="D1811" t="s">
        <v>438</v>
      </c>
      <c r="E1811" t="s">
        <v>2222</v>
      </c>
      <c r="F1811" t="s">
        <v>2216</v>
      </c>
      <c r="G1811" t="s">
        <v>2213</v>
      </c>
      <c r="H1811" t="s">
        <v>373</v>
      </c>
      <c r="I1811" t="s">
        <v>289</v>
      </c>
      <c r="J1811" t="s">
        <v>344</v>
      </c>
      <c r="K1811">
        <v>22</v>
      </c>
      <c r="L1811" s="6">
        <v>6.7056000000000004</v>
      </c>
      <c r="M1811" s="7">
        <v>19.05</v>
      </c>
      <c r="N1811" s="7">
        <v>139.69999999999999</v>
      </c>
      <c r="O1811" s="7">
        <f t="shared" si="147"/>
        <v>264</v>
      </c>
      <c r="P1811" s="7">
        <f t="shared" si="148"/>
        <v>0.75000000000000011</v>
      </c>
      <c r="Q1811" s="7">
        <f t="shared" si="148"/>
        <v>5.5</v>
      </c>
      <c r="R1811" s="6">
        <f t="shared" si="149"/>
        <v>1232.8030000000001</v>
      </c>
      <c r="S1811" s="6">
        <f t="shared" si="151"/>
        <v>1.7845512696000005E-2</v>
      </c>
      <c r="T1811" t="str">
        <f t="shared" si="146"/>
        <v>Itauba S4S E4E 1x6 Long</v>
      </c>
    </row>
    <row r="1812" spans="1:20" x14ac:dyDescent="0.25">
      <c r="A1812" t="s">
        <v>2213</v>
      </c>
      <c r="B1812" t="s">
        <v>2214</v>
      </c>
      <c r="C1812" t="s">
        <v>283</v>
      </c>
      <c r="D1812" t="s">
        <v>438</v>
      </c>
      <c r="E1812" t="s">
        <v>2223</v>
      </c>
      <c r="F1812" t="s">
        <v>2216</v>
      </c>
      <c r="G1812" t="s">
        <v>2213</v>
      </c>
      <c r="H1812" t="s">
        <v>373</v>
      </c>
      <c r="I1812" t="s">
        <v>289</v>
      </c>
      <c r="J1812" t="s">
        <v>344</v>
      </c>
      <c r="K1812">
        <v>8</v>
      </c>
      <c r="L1812" s="6">
        <v>2.4384000000000001</v>
      </c>
      <c r="M1812" s="7">
        <v>19.05</v>
      </c>
      <c r="N1812" s="7">
        <v>139.69999999999999</v>
      </c>
      <c r="O1812" s="7">
        <f t="shared" si="147"/>
        <v>96.000000000000014</v>
      </c>
      <c r="P1812" s="7">
        <f t="shared" si="148"/>
        <v>0.75000000000000011</v>
      </c>
      <c r="Q1812" s="7">
        <f t="shared" si="148"/>
        <v>5.5</v>
      </c>
      <c r="R1812" s="6">
        <f t="shared" si="149"/>
        <v>1232.8030000000001</v>
      </c>
      <c r="S1812" s="6">
        <f t="shared" si="151"/>
        <v>6.4892773439999994E-3</v>
      </c>
      <c r="T1812" t="str">
        <f t="shared" si="146"/>
        <v>Itauba S4S E4E 1x6 Long</v>
      </c>
    </row>
    <row r="1813" spans="1:20" x14ac:dyDescent="0.25">
      <c r="A1813" t="s">
        <v>2213</v>
      </c>
      <c r="B1813" t="s">
        <v>2224</v>
      </c>
      <c r="C1813" t="s">
        <v>283</v>
      </c>
      <c r="D1813" t="s">
        <v>438</v>
      </c>
      <c r="E1813" t="s">
        <v>2225</v>
      </c>
      <c r="F1813" t="s">
        <v>2226</v>
      </c>
      <c r="G1813" t="s">
        <v>2213</v>
      </c>
      <c r="H1813" t="s">
        <v>373</v>
      </c>
      <c r="I1813" t="s">
        <v>289</v>
      </c>
      <c r="J1813" t="s">
        <v>672</v>
      </c>
      <c r="K1813">
        <v>10</v>
      </c>
      <c r="L1813" s="6">
        <v>3.048</v>
      </c>
      <c r="M1813" s="7">
        <v>19.05</v>
      </c>
      <c r="N1813" s="7">
        <v>184.15</v>
      </c>
      <c r="O1813" s="7">
        <f t="shared" si="147"/>
        <v>120</v>
      </c>
      <c r="P1813" s="7">
        <f t="shared" si="148"/>
        <v>0.75000000000000011</v>
      </c>
      <c r="Q1813" s="7">
        <f t="shared" si="148"/>
        <v>7.2500000000000009</v>
      </c>
      <c r="R1813" s="6">
        <f t="shared" si="149"/>
        <v>935.23</v>
      </c>
      <c r="S1813" s="6">
        <f t="shared" si="151"/>
        <v>1.0692559260000001E-2</v>
      </c>
      <c r="T1813" t="str">
        <f t="shared" si="146"/>
        <v>Itauba S4S E4E 1x8 Long</v>
      </c>
    </row>
    <row r="1814" spans="1:20" x14ac:dyDescent="0.25">
      <c r="A1814" t="s">
        <v>2213</v>
      </c>
      <c r="B1814" t="s">
        <v>2224</v>
      </c>
      <c r="C1814" t="s">
        <v>283</v>
      </c>
      <c r="D1814" t="s">
        <v>438</v>
      </c>
      <c r="E1814" t="s">
        <v>2227</v>
      </c>
      <c r="F1814" t="s">
        <v>2226</v>
      </c>
      <c r="G1814" t="s">
        <v>2213</v>
      </c>
      <c r="H1814" t="s">
        <v>373</v>
      </c>
      <c r="I1814" t="s">
        <v>289</v>
      </c>
      <c r="J1814" t="s">
        <v>672</v>
      </c>
      <c r="K1814">
        <v>12</v>
      </c>
      <c r="L1814" s="6">
        <v>3.6576000000000004</v>
      </c>
      <c r="M1814" s="7">
        <v>19.05</v>
      </c>
      <c r="N1814" s="7">
        <v>184.15</v>
      </c>
      <c r="O1814" s="7">
        <f t="shared" si="147"/>
        <v>144.00000000000003</v>
      </c>
      <c r="P1814" s="7">
        <f t="shared" si="148"/>
        <v>0.75000000000000011</v>
      </c>
      <c r="Q1814" s="7">
        <f t="shared" si="148"/>
        <v>7.2500000000000009</v>
      </c>
      <c r="R1814" s="6">
        <f t="shared" si="149"/>
        <v>935.23</v>
      </c>
      <c r="S1814" s="6">
        <f t="shared" si="151"/>
        <v>1.2831071112000002E-2</v>
      </c>
      <c r="T1814" t="str">
        <f t="shared" si="146"/>
        <v>Itauba S4S E4E 1x8 Long</v>
      </c>
    </row>
    <row r="1815" spans="1:20" x14ac:dyDescent="0.25">
      <c r="A1815" t="s">
        <v>2213</v>
      </c>
      <c r="B1815" t="s">
        <v>2224</v>
      </c>
      <c r="C1815" t="s">
        <v>283</v>
      </c>
      <c r="D1815" t="s">
        <v>438</v>
      </c>
      <c r="E1815" t="s">
        <v>2228</v>
      </c>
      <c r="F1815" t="s">
        <v>2226</v>
      </c>
      <c r="G1815" t="s">
        <v>2213</v>
      </c>
      <c r="H1815" t="s">
        <v>373</v>
      </c>
      <c r="I1815" t="s">
        <v>289</v>
      </c>
      <c r="J1815" t="s">
        <v>672</v>
      </c>
      <c r="K1815">
        <v>14</v>
      </c>
      <c r="L1815" s="6">
        <v>4.2671999999999999</v>
      </c>
      <c r="M1815" s="7">
        <v>19.05</v>
      </c>
      <c r="N1815" s="7">
        <v>184.15</v>
      </c>
      <c r="O1815" s="7">
        <f t="shared" si="147"/>
        <v>168</v>
      </c>
      <c r="P1815" s="7">
        <f t="shared" si="148"/>
        <v>0.75000000000000011</v>
      </c>
      <c r="Q1815" s="7">
        <f t="shared" si="148"/>
        <v>7.2500000000000009</v>
      </c>
      <c r="R1815" s="6">
        <f t="shared" si="149"/>
        <v>935.23</v>
      </c>
      <c r="S1815" s="6">
        <f t="shared" si="151"/>
        <v>1.4969582964E-2</v>
      </c>
      <c r="T1815" t="str">
        <f t="shared" si="146"/>
        <v>Itauba S4S E4E 1x8 Long</v>
      </c>
    </row>
    <row r="1816" spans="1:20" x14ac:dyDescent="0.25">
      <c r="A1816" t="s">
        <v>2213</v>
      </c>
      <c r="B1816" t="s">
        <v>2224</v>
      </c>
      <c r="C1816" t="s">
        <v>283</v>
      </c>
      <c r="D1816" t="s">
        <v>438</v>
      </c>
      <c r="E1816" t="s">
        <v>2229</v>
      </c>
      <c r="F1816" t="s">
        <v>2226</v>
      </c>
      <c r="G1816" t="s">
        <v>2213</v>
      </c>
      <c r="H1816" t="s">
        <v>373</v>
      </c>
      <c r="I1816" t="s">
        <v>289</v>
      </c>
      <c r="J1816" t="s">
        <v>672</v>
      </c>
      <c r="K1816">
        <v>16</v>
      </c>
      <c r="L1816" s="6">
        <v>4.8768000000000002</v>
      </c>
      <c r="M1816" s="7">
        <v>19.05</v>
      </c>
      <c r="N1816" s="7">
        <v>184.15</v>
      </c>
      <c r="O1816" s="7">
        <f t="shared" si="147"/>
        <v>192.00000000000003</v>
      </c>
      <c r="P1816" s="7">
        <f t="shared" si="148"/>
        <v>0.75000000000000011</v>
      </c>
      <c r="Q1816" s="7">
        <f t="shared" si="148"/>
        <v>7.2500000000000009</v>
      </c>
      <c r="R1816" s="6">
        <f t="shared" si="149"/>
        <v>935.23</v>
      </c>
      <c r="S1816" s="6">
        <f t="shared" si="151"/>
        <v>1.7108094816000001E-2</v>
      </c>
      <c r="T1816" t="str">
        <f t="shared" si="146"/>
        <v>Itauba S4S E4E 1x8 Long</v>
      </c>
    </row>
    <row r="1817" spans="1:20" x14ac:dyDescent="0.25">
      <c r="A1817" t="s">
        <v>2213</v>
      </c>
      <c r="B1817" t="s">
        <v>2224</v>
      </c>
      <c r="C1817" t="s">
        <v>283</v>
      </c>
      <c r="D1817" t="s">
        <v>438</v>
      </c>
      <c r="E1817" t="s">
        <v>2230</v>
      </c>
      <c r="F1817" t="s">
        <v>2226</v>
      </c>
      <c r="G1817" t="s">
        <v>2213</v>
      </c>
      <c r="H1817" t="s">
        <v>373</v>
      </c>
      <c r="I1817" t="s">
        <v>289</v>
      </c>
      <c r="J1817" t="s">
        <v>672</v>
      </c>
      <c r="K1817">
        <v>18</v>
      </c>
      <c r="L1817" s="6">
        <v>5.4864000000000006</v>
      </c>
      <c r="M1817" s="7">
        <v>19.05</v>
      </c>
      <c r="N1817" s="7">
        <v>184.15</v>
      </c>
      <c r="O1817" s="7">
        <f t="shared" si="147"/>
        <v>216.00000000000003</v>
      </c>
      <c r="P1817" s="7">
        <f t="shared" si="148"/>
        <v>0.75000000000000011</v>
      </c>
      <c r="Q1817" s="7">
        <f t="shared" si="148"/>
        <v>7.2500000000000009</v>
      </c>
      <c r="R1817" s="6">
        <f t="shared" si="149"/>
        <v>935.23</v>
      </c>
      <c r="S1817" s="6">
        <f t="shared" si="151"/>
        <v>1.9246606668000005E-2</v>
      </c>
      <c r="T1817" t="str">
        <f t="shared" si="146"/>
        <v>Itauba S4S E4E 1x8 Long</v>
      </c>
    </row>
    <row r="1818" spans="1:20" x14ac:dyDescent="0.25">
      <c r="A1818" t="s">
        <v>2213</v>
      </c>
      <c r="B1818" t="s">
        <v>2224</v>
      </c>
      <c r="C1818" t="s">
        <v>283</v>
      </c>
      <c r="D1818" t="s">
        <v>438</v>
      </c>
      <c r="E1818" t="s">
        <v>2231</v>
      </c>
      <c r="F1818" t="s">
        <v>2226</v>
      </c>
      <c r="G1818" t="s">
        <v>2213</v>
      </c>
      <c r="H1818" t="s">
        <v>373</v>
      </c>
      <c r="I1818" t="s">
        <v>289</v>
      </c>
      <c r="J1818" t="s">
        <v>672</v>
      </c>
      <c r="K1818">
        <v>20</v>
      </c>
      <c r="L1818" s="6">
        <v>6.0960000000000001</v>
      </c>
      <c r="M1818" s="7">
        <v>19.05</v>
      </c>
      <c r="N1818" s="7">
        <v>184.15</v>
      </c>
      <c r="O1818" s="7">
        <f t="shared" si="147"/>
        <v>240</v>
      </c>
      <c r="P1818" s="7">
        <f t="shared" si="148"/>
        <v>0.75000000000000011</v>
      </c>
      <c r="Q1818" s="7">
        <f t="shared" si="148"/>
        <v>7.2500000000000009</v>
      </c>
      <c r="R1818" s="6">
        <f t="shared" si="149"/>
        <v>935.23</v>
      </c>
      <c r="S1818" s="6">
        <f t="shared" si="151"/>
        <v>2.1385118520000003E-2</v>
      </c>
      <c r="T1818" t="str">
        <f t="shared" si="146"/>
        <v>Itauba S4S E4E 1x8 Long</v>
      </c>
    </row>
    <row r="1819" spans="1:20" x14ac:dyDescent="0.25">
      <c r="A1819" t="s">
        <v>2213</v>
      </c>
      <c r="B1819" t="s">
        <v>2224</v>
      </c>
      <c r="C1819" t="s">
        <v>283</v>
      </c>
      <c r="D1819" t="s">
        <v>438</v>
      </c>
      <c r="E1819" t="s">
        <v>2232</v>
      </c>
      <c r="F1819" t="s">
        <v>2226</v>
      </c>
      <c r="G1819" t="s">
        <v>2213</v>
      </c>
      <c r="H1819" t="s">
        <v>373</v>
      </c>
      <c r="I1819" t="s">
        <v>289</v>
      </c>
      <c r="J1819" t="s">
        <v>672</v>
      </c>
      <c r="K1819">
        <v>22</v>
      </c>
      <c r="L1819" s="6">
        <v>6.7056000000000004</v>
      </c>
      <c r="M1819" s="7">
        <v>19.05</v>
      </c>
      <c r="N1819" s="7">
        <v>184.15</v>
      </c>
      <c r="O1819" s="7">
        <f t="shared" si="147"/>
        <v>264</v>
      </c>
      <c r="P1819" s="7">
        <f t="shared" si="148"/>
        <v>0.75000000000000011</v>
      </c>
      <c r="Q1819" s="7">
        <f t="shared" si="148"/>
        <v>7.2500000000000009</v>
      </c>
      <c r="R1819" s="6">
        <f t="shared" si="149"/>
        <v>935.23</v>
      </c>
      <c r="S1819" s="6">
        <f t="shared" si="151"/>
        <v>2.3523630372000007E-2</v>
      </c>
      <c r="T1819" t="str">
        <f t="shared" si="146"/>
        <v>Itauba S4S E4E 1x8 Long</v>
      </c>
    </row>
    <row r="1820" spans="1:20" x14ac:dyDescent="0.25">
      <c r="A1820" t="s">
        <v>2213</v>
      </c>
      <c r="B1820" t="s">
        <v>2224</v>
      </c>
      <c r="C1820" t="s">
        <v>283</v>
      </c>
      <c r="D1820" t="s">
        <v>438</v>
      </c>
      <c r="E1820" t="s">
        <v>2233</v>
      </c>
      <c r="F1820" t="s">
        <v>2226</v>
      </c>
      <c r="G1820" t="s">
        <v>2213</v>
      </c>
      <c r="H1820" t="s">
        <v>373</v>
      </c>
      <c r="I1820" t="s">
        <v>289</v>
      </c>
      <c r="J1820" t="s">
        <v>672</v>
      </c>
      <c r="K1820">
        <v>8</v>
      </c>
      <c r="L1820" s="6">
        <v>2.4384000000000001</v>
      </c>
      <c r="M1820" s="7">
        <v>19.05</v>
      </c>
      <c r="N1820" s="7">
        <v>184.15</v>
      </c>
      <c r="O1820" s="7">
        <f t="shared" si="147"/>
        <v>96.000000000000014</v>
      </c>
      <c r="P1820" s="7">
        <f t="shared" si="148"/>
        <v>0.75000000000000011</v>
      </c>
      <c r="Q1820" s="7">
        <f t="shared" si="148"/>
        <v>7.2500000000000009</v>
      </c>
      <c r="R1820" s="6">
        <f t="shared" si="149"/>
        <v>935.23</v>
      </c>
      <c r="S1820" s="6">
        <f t="shared" si="151"/>
        <v>8.5540474080000005E-3</v>
      </c>
      <c r="T1820" t="str">
        <f t="shared" si="146"/>
        <v>Itauba S4S E4E 1x8 Long</v>
      </c>
    </row>
    <row r="1821" spans="1:20" x14ac:dyDescent="0.25">
      <c r="A1821" t="s">
        <v>2213</v>
      </c>
      <c r="B1821" t="s">
        <v>2234</v>
      </c>
      <c r="C1821" t="s">
        <v>283</v>
      </c>
      <c r="D1821" t="s">
        <v>438</v>
      </c>
      <c r="E1821" t="s">
        <v>2235</v>
      </c>
      <c r="F1821" t="s">
        <v>2236</v>
      </c>
      <c r="G1821" t="s">
        <v>2213</v>
      </c>
      <c r="H1821" t="s">
        <v>373</v>
      </c>
      <c r="I1821" t="s">
        <v>289</v>
      </c>
      <c r="J1821" t="s">
        <v>697</v>
      </c>
      <c r="K1821">
        <v>10</v>
      </c>
      <c r="L1821" s="6">
        <v>3.048</v>
      </c>
      <c r="M1821" s="7">
        <v>21</v>
      </c>
      <c r="N1821" s="7">
        <v>145</v>
      </c>
      <c r="O1821" s="7">
        <f t="shared" si="147"/>
        <v>120</v>
      </c>
      <c r="P1821" s="7">
        <f t="shared" si="148"/>
        <v>0.82677165354330717</v>
      </c>
      <c r="Q1821" s="7">
        <f t="shared" si="148"/>
        <v>5.7086614173228352</v>
      </c>
      <c r="R1821" s="6">
        <f t="shared" si="149"/>
        <v>1077.452</v>
      </c>
      <c r="S1821" s="6">
        <f t="shared" si="151"/>
        <v>9.2811600000000001E-3</v>
      </c>
      <c r="T1821" t="str">
        <f t="shared" si="146"/>
        <v>Itauba S4S E4E 21x145 Long</v>
      </c>
    </row>
    <row r="1822" spans="1:20" x14ac:dyDescent="0.25">
      <c r="A1822" t="s">
        <v>2213</v>
      </c>
      <c r="B1822" t="s">
        <v>2234</v>
      </c>
      <c r="C1822" t="s">
        <v>283</v>
      </c>
      <c r="D1822" t="s">
        <v>438</v>
      </c>
      <c r="E1822" t="s">
        <v>2237</v>
      </c>
      <c r="F1822" t="s">
        <v>2236</v>
      </c>
      <c r="G1822" t="s">
        <v>2213</v>
      </c>
      <c r="H1822" t="s">
        <v>373</v>
      </c>
      <c r="I1822" t="s">
        <v>289</v>
      </c>
      <c r="J1822" t="s">
        <v>697</v>
      </c>
      <c r="K1822">
        <v>11</v>
      </c>
      <c r="L1822" s="6">
        <v>3.3528000000000002</v>
      </c>
      <c r="M1822" s="7">
        <v>21</v>
      </c>
      <c r="N1822" s="7">
        <v>145</v>
      </c>
      <c r="O1822" s="7">
        <f t="shared" si="147"/>
        <v>132</v>
      </c>
      <c r="P1822" s="7">
        <f t="shared" si="148"/>
        <v>0.82677165354330717</v>
      </c>
      <c r="Q1822" s="7">
        <f t="shared" si="148"/>
        <v>5.7086614173228352</v>
      </c>
      <c r="R1822" s="6">
        <f t="shared" si="149"/>
        <v>1077.452</v>
      </c>
      <c r="S1822" s="6">
        <f t="shared" si="151"/>
        <v>1.0209276E-2</v>
      </c>
      <c r="T1822" t="str">
        <f t="shared" si="146"/>
        <v>Itauba S4S E4E 21x145 Long</v>
      </c>
    </row>
    <row r="1823" spans="1:20" x14ac:dyDescent="0.25">
      <c r="A1823" t="s">
        <v>2213</v>
      </c>
      <c r="B1823" t="s">
        <v>2234</v>
      </c>
      <c r="C1823" t="s">
        <v>283</v>
      </c>
      <c r="D1823" t="s">
        <v>438</v>
      </c>
      <c r="E1823" t="s">
        <v>2238</v>
      </c>
      <c r="F1823" t="s">
        <v>2236</v>
      </c>
      <c r="G1823" t="s">
        <v>2213</v>
      </c>
      <c r="H1823" t="s">
        <v>373</v>
      </c>
      <c r="I1823" t="s">
        <v>289</v>
      </c>
      <c r="J1823" t="s">
        <v>697</v>
      </c>
      <c r="K1823">
        <v>12</v>
      </c>
      <c r="L1823" s="6">
        <v>3.6576000000000004</v>
      </c>
      <c r="M1823" s="7">
        <v>21</v>
      </c>
      <c r="N1823" s="7">
        <v>145</v>
      </c>
      <c r="O1823" s="7">
        <f t="shared" si="147"/>
        <v>144.00000000000003</v>
      </c>
      <c r="P1823" s="7">
        <f t="shared" si="148"/>
        <v>0.82677165354330717</v>
      </c>
      <c r="Q1823" s="7">
        <f t="shared" si="148"/>
        <v>5.7086614173228352</v>
      </c>
      <c r="R1823" s="6">
        <f t="shared" si="149"/>
        <v>1077.452</v>
      </c>
      <c r="S1823" s="6">
        <f t="shared" si="151"/>
        <v>1.1137391999999999E-2</v>
      </c>
      <c r="T1823" t="str">
        <f t="shared" si="146"/>
        <v>Itauba S4S E4E 21x145 Long</v>
      </c>
    </row>
    <row r="1824" spans="1:20" x14ac:dyDescent="0.25">
      <c r="A1824" t="s">
        <v>2213</v>
      </c>
      <c r="B1824" t="s">
        <v>2234</v>
      </c>
      <c r="C1824" t="s">
        <v>283</v>
      </c>
      <c r="D1824" t="s">
        <v>438</v>
      </c>
      <c r="E1824" t="s">
        <v>2239</v>
      </c>
      <c r="F1824" t="s">
        <v>2236</v>
      </c>
      <c r="G1824" t="s">
        <v>2213</v>
      </c>
      <c r="H1824" t="s">
        <v>373</v>
      </c>
      <c r="I1824" t="s">
        <v>289</v>
      </c>
      <c r="J1824" t="s">
        <v>697</v>
      </c>
      <c r="K1824">
        <v>13</v>
      </c>
      <c r="L1824" s="6">
        <v>3.9624000000000001</v>
      </c>
      <c r="M1824" s="7">
        <v>21</v>
      </c>
      <c r="N1824" s="7">
        <v>145</v>
      </c>
      <c r="O1824" s="7">
        <f t="shared" si="147"/>
        <v>156</v>
      </c>
      <c r="P1824" s="7">
        <f t="shared" si="148"/>
        <v>0.82677165354330717</v>
      </c>
      <c r="Q1824" s="7">
        <f t="shared" si="148"/>
        <v>5.7086614173228352</v>
      </c>
      <c r="R1824" s="6">
        <f t="shared" si="149"/>
        <v>1077.452</v>
      </c>
      <c r="S1824" s="6">
        <f t="shared" si="151"/>
        <v>1.2065508000000001E-2</v>
      </c>
      <c r="T1824" t="str">
        <f t="shared" si="146"/>
        <v>Itauba S4S E4E 21x145 Long</v>
      </c>
    </row>
    <row r="1825" spans="1:20" x14ac:dyDescent="0.25">
      <c r="A1825" t="s">
        <v>2213</v>
      </c>
      <c r="B1825" t="s">
        <v>2234</v>
      </c>
      <c r="C1825" t="s">
        <v>283</v>
      </c>
      <c r="D1825" t="s">
        <v>438</v>
      </c>
      <c r="E1825" t="s">
        <v>2240</v>
      </c>
      <c r="F1825" t="s">
        <v>2236</v>
      </c>
      <c r="G1825" t="s">
        <v>2213</v>
      </c>
      <c r="H1825" t="s">
        <v>373</v>
      </c>
      <c r="I1825" t="s">
        <v>289</v>
      </c>
      <c r="J1825" t="s">
        <v>697</v>
      </c>
      <c r="K1825">
        <v>14</v>
      </c>
      <c r="L1825" s="6">
        <v>4.2671999999999999</v>
      </c>
      <c r="M1825" s="7">
        <v>21</v>
      </c>
      <c r="N1825" s="7">
        <v>145</v>
      </c>
      <c r="O1825" s="7">
        <f t="shared" si="147"/>
        <v>168</v>
      </c>
      <c r="P1825" s="7">
        <f t="shared" si="148"/>
        <v>0.82677165354330717</v>
      </c>
      <c r="Q1825" s="7">
        <f t="shared" si="148"/>
        <v>5.7086614173228352</v>
      </c>
      <c r="R1825" s="6">
        <f t="shared" si="149"/>
        <v>1077.452</v>
      </c>
      <c r="S1825" s="6">
        <f t="shared" si="151"/>
        <v>1.2993624E-2</v>
      </c>
      <c r="T1825" t="str">
        <f t="shared" si="146"/>
        <v>Itauba S4S E4E 21x145 Long</v>
      </c>
    </row>
    <row r="1826" spans="1:20" x14ac:dyDescent="0.25">
      <c r="A1826" t="s">
        <v>2213</v>
      </c>
      <c r="B1826" t="s">
        <v>2234</v>
      </c>
      <c r="C1826" t="s">
        <v>283</v>
      </c>
      <c r="D1826" t="s">
        <v>438</v>
      </c>
      <c r="E1826" t="s">
        <v>2241</v>
      </c>
      <c r="F1826" t="s">
        <v>2236</v>
      </c>
      <c r="G1826" t="s">
        <v>2213</v>
      </c>
      <c r="H1826" t="s">
        <v>373</v>
      </c>
      <c r="I1826" t="s">
        <v>289</v>
      </c>
      <c r="J1826" t="s">
        <v>697</v>
      </c>
      <c r="K1826">
        <v>15</v>
      </c>
      <c r="L1826" s="6">
        <v>4.5720000000000001</v>
      </c>
      <c r="M1826" s="7">
        <v>21</v>
      </c>
      <c r="N1826" s="7">
        <v>145</v>
      </c>
      <c r="O1826" s="7">
        <f t="shared" si="147"/>
        <v>180</v>
      </c>
      <c r="P1826" s="7">
        <f t="shared" si="148"/>
        <v>0.82677165354330717</v>
      </c>
      <c r="Q1826" s="7">
        <f t="shared" si="148"/>
        <v>5.7086614173228352</v>
      </c>
      <c r="R1826" s="6">
        <f t="shared" si="149"/>
        <v>1077.452</v>
      </c>
      <c r="S1826" s="6">
        <f t="shared" si="151"/>
        <v>1.392174E-2</v>
      </c>
      <c r="T1826" t="str">
        <f t="shared" si="146"/>
        <v>Itauba S4S E4E 21x145 Long</v>
      </c>
    </row>
    <row r="1827" spans="1:20" x14ac:dyDescent="0.25">
      <c r="A1827" t="s">
        <v>2213</v>
      </c>
      <c r="B1827" t="s">
        <v>2234</v>
      </c>
      <c r="C1827" t="s">
        <v>283</v>
      </c>
      <c r="D1827" t="s">
        <v>438</v>
      </c>
      <c r="E1827" t="s">
        <v>2242</v>
      </c>
      <c r="F1827" t="s">
        <v>2236</v>
      </c>
      <c r="G1827" t="s">
        <v>2213</v>
      </c>
      <c r="H1827" t="s">
        <v>373</v>
      </c>
      <c r="I1827" t="s">
        <v>289</v>
      </c>
      <c r="J1827" t="s">
        <v>697</v>
      </c>
      <c r="K1827">
        <v>16</v>
      </c>
      <c r="L1827" s="6">
        <v>4.8768000000000002</v>
      </c>
      <c r="M1827" s="7">
        <v>21</v>
      </c>
      <c r="N1827" s="7">
        <v>145</v>
      </c>
      <c r="O1827" s="7">
        <f t="shared" si="147"/>
        <v>192.00000000000003</v>
      </c>
      <c r="P1827" s="7">
        <f t="shared" si="148"/>
        <v>0.82677165354330717</v>
      </c>
      <c r="Q1827" s="7">
        <f t="shared" si="148"/>
        <v>5.7086614173228352</v>
      </c>
      <c r="R1827" s="6">
        <f t="shared" si="149"/>
        <v>1077.452</v>
      </c>
      <c r="S1827" s="6">
        <f t="shared" si="151"/>
        <v>1.4849856E-2</v>
      </c>
      <c r="T1827" t="str">
        <f t="shared" si="146"/>
        <v>Itauba S4S E4E 21x145 Long</v>
      </c>
    </row>
    <row r="1828" spans="1:20" x14ac:dyDescent="0.25">
      <c r="A1828" t="s">
        <v>2213</v>
      </c>
      <c r="B1828" t="s">
        <v>2234</v>
      </c>
      <c r="C1828" t="s">
        <v>283</v>
      </c>
      <c r="D1828" t="s">
        <v>438</v>
      </c>
      <c r="E1828" t="s">
        <v>2243</v>
      </c>
      <c r="F1828" t="s">
        <v>2236</v>
      </c>
      <c r="G1828" t="s">
        <v>2213</v>
      </c>
      <c r="H1828" t="s">
        <v>373</v>
      </c>
      <c r="I1828" t="s">
        <v>289</v>
      </c>
      <c r="J1828" t="s">
        <v>697</v>
      </c>
      <c r="K1828">
        <v>17</v>
      </c>
      <c r="L1828" s="6">
        <v>5.1816000000000004</v>
      </c>
      <c r="M1828" s="7">
        <v>21</v>
      </c>
      <c r="N1828" s="7">
        <v>145</v>
      </c>
      <c r="O1828" s="7">
        <f t="shared" si="147"/>
        <v>204.00000000000003</v>
      </c>
      <c r="P1828" s="7">
        <f t="shared" si="148"/>
        <v>0.82677165354330717</v>
      </c>
      <c r="Q1828" s="7">
        <f t="shared" si="148"/>
        <v>5.7086614173228352</v>
      </c>
      <c r="R1828" s="6">
        <f t="shared" si="149"/>
        <v>1077.452</v>
      </c>
      <c r="S1828" s="6">
        <f t="shared" si="151"/>
        <v>1.5777972000000001E-2</v>
      </c>
      <c r="T1828" t="str">
        <f t="shared" si="146"/>
        <v>Itauba S4S E4E 21x145 Long</v>
      </c>
    </row>
    <row r="1829" spans="1:20" x14ac:dyDescent="0.25">
      <c r="A1829" t="s">
        <v>2213</v>
      </c>
      <c r="B1829" t="s">
        <v>2234</v>
      </c>
      <c r="C1829" t="s">
        <v>283</v>
      </c>
      <c r="D1829" t="s">
        <v>438</v>
      </c>
      <c r="E1829" t="s">
        <v>2244</v>
      </c>
      <c r="F1829" t="s">
        <v>2236</v>
      </c>
      <c r="G1829" t="s">
        <v>2213</v>
      </c>
      <c r="H1829" t="s">
        <v>373</v>
      </c>
      <c r="I1829" t="s">
        <v>289</v>
      </c>
      <c r="J1829" t="s">
        <v>697</v>
      </c>
      <c r="K1829">
        <v>18</v>
      </c>
      <c r="L1829" s="6">
        <v>5.4864000000000006</v>
      </c>
      <c r="M1829" s="7">
        <v>21</v>
      </c>
      <c r="N1829" s="7">
        <v>145</v>
      </c>
      <c r="O1829" s="7">
        <f t="shared" si="147"/>
        <v>216.00000000000003</v>
      </c>
      <c r="P1829" s="7">
        <f t="shared" si="148"/>
        <v>0.82677165354330717</v>
      </c>
      <c r="Q1829" s="7">
        <f t="shared" si="148"/>
        <v>5.7086614173228352</v>
      </c>
      <c r="R1829" s="6">
        <f t="shared" si="149"/>
        <v>1077.452</v>
      </c>
      <c r="S1829" s="6">
        <f t="shared" si="151"/>
        <v>1.6706088000000001E-2</v>
      </c>
      <c r="T1829" t="str">
        <f t="shared" si="146"/>
        <v>Itauba S4S E4E 21x145 Long</v>
      </c>
    </row>
    <row r="1830" spans="1:20" x14ac:dyDescent="0.25">
      <c r="A1830" t="s">
        <v>2213</v>
      </c>
      <c r="B1830" t="s">
        <v>2234</v>
      </c>
      <c r="C1830" t="s">
        <v>283</v>
      </c>
      <c r="D1830" t="s">
        <v>438</v>
      </c>
      <c r="E1830" t="s">
        <v>2245</v>
      </c>
      <c r="F1830" t="s">
        <v>2236</v>
      </c>
      <c r="G1830" t="s">
        <v>2213</v>
      </c>
      <c r="H1830" t="s">
        <v>373</v>
      </c>
      <c r="I1830" t="s">
        <v>289</v>
      </c>
      <c r="J1830" t="s">
        <v>697</v>
      </c>
      <c r="K1830">
        <v>19</v>
      </c>
      <c r="L1830" s="6">
        <v>5.7911999999999999</v>
      </c>
      <c r="M1830" s="7">
        <v>21</v>
      </c>
      <c r="N1830" s="7">
        <v>145</v>
      </c>
      <c r="O1830" s="7">
        <f t="shared" si="147"/>
        <v>228</v>
      </c>
      <c r="P1830" s="7">
        <f t="shared" si="148"/>
        <v>0.82677165354330717</v>
      </c>
      <c r="Q1830" s="7">
        <f t="shared" si="148"/>
        <v>5.7086614173228352</v>
      </c>
      <c r="R1830" s="6">
        <f t="shared" si="149"/>
        <v>1077.452</v>
      </c>
      <c r="S1830" s="6">
        <f t="shared" si="151"/>
        <v>1.7634204000000001E-2</v>
      </c>
      <c r="T1830" t="str">
        <f t="shared" si="146"/>
        <v>Itauba S4S E4E 21x145 Long</v>
      </c>
    </row>
    <row r="1831" spans="1:20" x14ac:dyDescent="0.25">
      <c r="A1831" t="s">
        <v>2213</v>
      </c>
      <c r="B1831" t="s">
        <v>2234</v>
      </c>
      <c r="C1831" t="s">
        <v>283</v>
      </c>
      <c r="D1831" t="s">
        <v>438</v>
      </c>
      <c r="E1831" t="s">
        <v>2246</v>
      </c>
      <c r="F1831" t="s">
        <v>2236</v>
      </c>
      <c r="G1831" t="s">
        <v>2213</v>
      </c>
      <c r="H1831" t="s">
        <v>373</v>
      </c>
      <c r="I1831" t="s">
        <v>289</v>
      </c>
      <c r="J1831" t="s">
        <v>697</v>
      </c>
      <c r="K1831">
        <v>20</v>
      </c>
      <c r="L1831" s="6">
        <v>6.0960000000000001</v>
      </c>
      <c r="M1831" s="7">
        <v>21</v>
      </c>
      <c r="N1831" s="7">
        <v>145</v>
      </c>
      <c r="O1831" s="7">
        <f t="shared" si="147"/>
        <v>240</v>
      </c>
      <c r="P1831" s="7">
        <f t="shared" si="148"/>
        <v>0.82677165354330717</v>
      </c>
      <c r="Q1831" s="7">
        <f t="shared" si="148"/>
        <v>5.7086614173228352</v>
      </c>
      <c r="R1831" s="6">
        <f t="shared" si="149"/>
        <v>1077.452</v>
      </c>
      <c r="S1831" s="6">
        <f t="shared" si="151"/>
        <v>1.856232E-2</v>
      </c>
      <c r="T1831" t="str">
        <f t="shared" si="146"/>
        <v>Itauba S4S E4E 21x145 Long</v>
      </c>
    </row>
    <row r="1832" spans="1:20" x14ac:dyDescent="0.25">
      <c r="A1832" t="s">
        <v>2213</v>
      </c>
      <c r="B1832" t="s">
        <v>2234</v>
      </c>
      <c r="C1832" t="s">
        <v>524</v>
      </c>
      <c r="D1832" t="s">
        <v>438</v>
      </c>
      <c r="E1832" t="s">
        <v>2247</v>
      </c>
      <c r="F1832" t="s">
        <v>2236</v>
      </c>
      <c r="G1832" t="s">
        <v>2213</v>
      </c>
      <c r="H1832" t="s">
        <v>373</v>
      </c>
      <c r="I1832" t="s">
        <v>289</v>
      </c>
      <c r="J1832" t="s">
        <v>697</v>
      </c>
      <c r="K1832">
        <v>6</v>
      </c>
      <c r="L1832" s="6">
        <v>1.8288000000000002</v>
      </c>
      <c r="M1832" s="7">
        <v>21</v>
      </c>
      <c r="N1832" s="7">
        <v>145</v>
      </c>
      <c r="O1832" s="7">
        <f t="shared" si="147"/>
        <v>72.000000000000014</v>
      </c>
      <c r="P1832" s="7">
        <f t="shared" si="148"/>
        <v>0.82677165354330717</v>
      </c>
      <c r="Q1832" s="7">
        <f t="shared" si="148"/>
        <v>5.7086614173228352</v>
      </c>
      <c r="R1832" s="6">
        <f t="shared" si="149"/>
        <v>1077.452</v>
      </c>
      <c r="S1832" s="6">
        <f t="shared" si="151"/>
        <v>5.5686959999999997E-3</v>
      </c>
      <c r="T1832" t="str">
        <f t="shared" si="146"/>
        <v>Itauba S4S E4E 21x145 Short</v>
      </c>
    </row>
    <row r="1833" spans="1:20" x14ac:dyDescent="0.25">
      <c r="A1833" t="s">
        <v>2213</v>
      </c>
      <c r="B1833" t="s">
        <v>2234</v>
      </c>
      <c r="C1833" t="s">
        <v>524</v>
      </c>
      <c r="D1833" t="s">
        <v>438</v>
      </c>
      <c r="E1833" t="s">
        <v>2248</v>
      </c>
      <c r="F1833" t="s">
        <v>2236</v>
      </c>
      <c r="G1833" t="s">
        <v>2213</v>
      </c>
      <c r="H1833" t="s">
        <v>373</v>
      </c>
      <c r="I1833" t="s">
        <v>289</v>
      </c>
      <c r="J1833" t="s">
        <v>697</v>
      </c>
      <c r="K1833">
        <v>7</v>
      </c>
      <c r="L1833" s="6">
        <v>2.1335999999999999</v>
      </c>
      <c r="M1833" s="7">
        <v>21</v>
      </c>
      <c r="N1833" s="7">
        <v>145</v>
      </c>
      <c r="O1833" s="7">
        <f t="shared" si="147"/>
        <v>84</v>
      </c>
      <c r="P1833" s="7">
        <f t="shared" si="148"/>
        <v>0.82677165354330717</v>
      </c>
      <c r="Q1833" s="7">
        <f t="shared" si="148"/>
        <v>5.7086614173228352</v>
      </c>
      <c r="R1833" s="6">
        <f t="shared" si="149"/>
        <v>1077.452</v>
      </c>
      <c r="S1833" s="6">
        <f t="shared" si="151"/>
        <v>6.4968120000000002E-3</v>
      </c>
      <c r="T1833" t="str">
        <f t="shared" si="146"/>
        <v>Itauba S4S E4E 21x145 Short</v>
      </c>
    </row>
    <row r="1834" spans="1:20" x14ac:dyDescent="0.25">
      <c r="A1834" t="s">
        <v>2213</v>
      </c>
      <c r="B1834" t="s">
        <v>2234</v>
      </c>
      <c r="C1834" t="s">
        <v>283</v>
      </c>
      <c r="D1834" t="s">
        <v>438</v>
      </c>
      <c r="E1834" t="s">
        <v>2249</v>
      </c>
      <c r="F1834" t="s">
        <v>2236</v>
      </c>
      <c r="G1834" t="s">
        <v>2213</v>
      </c>
      <c r="H1834" t="s">
        <v>373</v>
      </c>
      <c r="I1834" t="s">
        <v>289</v>
      </c>
      <c r="J1834" t="s">
        <v>697</v>
      </c>
      <c r="K1834">
        <v>8</v>
      </c>
      <c r="L1834" s="6">
        <v>2.4384000000000001</v>
      </c>
      <c r="M1834" s="7">
        <v>21</v>
      </c>
      <c r="N1834" s="7">
        <v>145</v>
      </c>
      <c r="O1834" s="7">
        <f t="shared" si="147"/>
        <v>96.000000000000014</v>
      </c>
      <c r="P1834" s="7">
        <f t="shared" si="148"/>
        <v>0.82677165354330717</v>
      </c>
      <c r="Q1834" s="7">
        <f t="shared" si="148"/>
        <v>5.7086614173228352</v>
      </c>
      <c r="R1834" s="6">
        <f t="shared" si="149"/>
        <v>1077.452</v>
      </c>
      <c r="S1834" s="6">
        <f t="shared" si="151"/>
        <v>7.4249279999999999E-3</v>
      </c>
      <c r="T1834" t="str">
        <f t="shared" si="146"/>
        <v>Itauba S4S E4E 21x145 Long</v>
      </c>
    </row>
    <row r="1835" spans="1:20" x14ac:dyDescent="0.25">
      <c r="A1835" t="s">
        <v>2213</v>
      </c>
      <c r="B1835" t="s">
        <v>2234</v>
      </c>
      <c r="C1835" t="s">
        <v>283</v>
      </c>
      <c r="D1835" t="s">
        <v>438</v>
      </c>
      <c r="E1835" t="s">
        <v>2250</v>
      </c>
      <c r="F1835" t="s">
        <v>2236</v>
      </c>
      <c r="G1835" t="s">
        <v>2213</v>
      </c>
      <c r="H1835" t="s">
        <v>373</v>
      </c>
      <c r="I1835" t="s">
        <v>289</v>
      </c>
      <c r="J1835" t="s">
        <v>697</v>
      </c>
      <c r="K1835">
        <v>9</v>
      </c>
      <c r="L1835" s="6">
        <v>2.7432000000000003</v>
      </c>
      <c r="M1835" s="7">
        <v>21</v>
      </c>
      <c r="N1835" s="7">
        <v>145</v>
      </c>
      <c r="O1835" s="7">
        <f t="shared" si="147"/>
        <v>108.00000000000001</v>
      </c>
      <c r="P1835" s="7">
        <f t="shared" si="148"/>
        <v>0.82677165354330717</v>
      </c>
      <c r="Q1835" s="7">
        <f t="shared" si="148"/>
        <v>5.7086614173228352</v>
      </c>
      <c r="R1835" s="6">
        <f t="shared" si="149"/>
        <v>1077.452</v>
      </c>
      <c r="S1835" s="6">
        <f t="shared" si="151"/>
        <v>8.3530440000000004E-3</v>
      </c>
      <c r="T1835" t="str">
        <f t="shared" si="146"/>
        <v>Itauba S4S E4E 21x145 Long</v>
      </c>
    </row>
    <row r="1836" spans="1:20" x14ac:dyDescent="0.25">
      <c r="A1836" t="s">
        <v>2213</v>
      </c>
      <c r="B1836" t="s">
        <v>2251</v>
      </c>
      <c r="C1836" t="s">
        <v>1353</v>
      </c>
      <c r="D1836" t="s">
        <v>438</v>
      </c>
      <c r="E1836" t="s">
        <v>2252</v>
      </c>
      <c r="F1836" t="s">
        <v>2253</v>
      </c>
      <c r="G1836" t="s">
        <v>2213</v>
      </c>
      <c r="H1836" t="s">
        <v>373</v>
      </c>
      <c r="I1836" t="s">
        <v>1353</v>
      </c>
      <c r="J1836" t="s">
        <v>2254</v>
      </c>
      <c r="K1836">
        <v>0</v>
      </c>
      <c r="L1836" s="6">
        <v>0</v>
      </c>
      <c r="M1836" s="7">
        <v>0</v>
      </c>
      <c r="N1836" s="7">
        <v>0</v>
      </c>
      <c r="O1836" s="7">
        <v>0</v>
      </c>
      <c r="P1836" s="7">
        <v>0</v>
      </c>
      <c r="Q1836" s="7">
        <v>0</v>
      </c>
      <c r="R1836" s="6">
        <v>0</v>
      </c>
      <c r="S1836" s="6">
        <v>0</v>
      </c>
      <c r="T1836" t="str">
        <f t="shared" si="146"/>
        <v>Itauba S4S E4E Random Lenght 12x105 Random Lenght</v>
      </c>
    </row>
    <row r="1837" spans="1:20" x14ac:dyDescent="0.25">
      <c r="A1837" t="s">
        <v>2213</v>
      </c>
      <c r="B1837" t="s">
        <v>2255</v>
      </c>
      <c r="C1837" t="s">
        <v>1353</v>
      </c>
      <c r="D1837" t="s">
        <v>438</v>
      </c>
      <c r="E1837" t="s">
        <v>2256</v>
      </c>
      <c r="F1837" t="s">
        <v>2257</v>
      </c>
      <c r="G1837" t="s">
        <v>2213</v>
      </c>
      <c r="H1837" t="s">
        <v>373</v>
      </c>
      <c r="I1837" t="s">
        <v>1353</v>
      </c>
      <c r="J1837" t="s">
        <v>2258</v>
      </c>
      <c r="K1837">
        <v>0</v>
      </c>
      <c r="L1837" s="6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6">
        <v>0</v>
      </c>
      <c r="S1837" s="6">
        <v>0</v>
      </c>
      <c r="T1837" t="str">
        <f t="shared" si="146"/>
        <v>Itauba S4S E4E Random Lenght 20x105 Random Lenght</v>
      </c>
    </row>
    <row r="1838" spans="1:20" x14ac:dyDescent="0.25">
      <c r="A1838" t="s">
        <v>2213</v>
      </c>
      <c r="B1838" t="s">
        <v>2259</v>
      </c>
      <c r="C1838" t="s">
        <v>1256</v>
      </c>
      <c r="D1838" t="s">
        <v>438</v>
      </c>
      <c r="E1838" t="s">
        <v>2260</v>
      </c>
      <c r="F1838" t="s">
        <v>2261</v>
      </c>
      <c r="G1838" t="s">
        <v>2213</v>
      </c>
      <c r="H1838" t="s">
        <v>1256</v>
      </c>
      <c r="I1838" t="s">
        <v>289</v>
      </c>
      <c r="J1838" t="s">
        <v>1258</v>
      </c>
      <c r="K1838">
        <v>24</v>
      </c>
      <c r="L1838" s="6">
        <v>0.60640000000000005</v>
      </c>
      <c r="M1838" s="7">
        <v>19</v>
      </c>
      <c r="N1838" s="7">
        <v>71</v>
      </c>
      <c r="O1838" s="7">
        <f t="shared" ref="O1838:O1901" si="152">L1838/0.0254</f>
        <v>23.8740157480315</v>
      </c>
      <c r="P1838" s="7">
        <f t="shared" ref="P1838:Q1869" si="153">M1838/25.4</f>
        <v>0.74803149606299213</v>
      </c>
      <c r="Q1838" s="7">
        <f t="shared" si="153"/>
        <v>2.7952755905511815</v>
      </c>
      <c r="R1838" s="6">
        <f t="shared" ref="R1838:R1901" si="154">ROUND(IFERROR(1/((M1838*N1838*0.3048)/1000000),0),3)</f>
        <v>2432.0529999999999</v>
      </c>
      <c r="S1838" s="6">
        <f t="shared" ref="S1838:S1901" si="155">L1838*M1838/1000*N1838/1000</f>
        <v>8.1803360000000012E-4</v>
      </c>
      <c r="T1838" t="str">
        <f t="shared" si="146"/>
        <v>Itauba Tiles 24x24 Tiles</v>
      </c>
    </row>
    <row r="1839" spans="1:20" x14ac:dyDescent="0.25">
      <c r="A1839" t="s">
        <v>2262</v>
      </c>
      <c r="B1839" t="s">
        <v>2263</v>
      </c>
      <c r="C1839" t="s">
        <v>283</v>
      </c>
      <c r="D1839" t="s">
        <v>438</v>
      </c>
      <c r="E1839" t="s">
        <v>2264</v>
      </c>
      <c r="F1839" t="s">
        <v>2265</v>
      </c>
      <c r="G1839" t="s">
        <v>2266</v>
      </c>
      <c r="H1839" t="s">
        <v>373</v>
      </c>
      <c r="I1839" t="s">
        <v>289</v>
      </c>
      <c r="J1839" t="s">
        <v>1359</v>
      </c>
      <c r="K1839">
        <v>10</v>
      </c>
      <c r="L1839" s="6">
        <v>3.048</v>
      </c>
      <c r="M1839" s="7">
        <v>19.05</v>
      </c>
      <c r="N1839" s="7">
        <v>234.95</v>
      </c>
      <c r="O1839" s="7">
        <f t="shared" si="152"/>
        <v>120</v>
      </c>
      <c r="P1839" s="7">
        <f t="shared" si="153"/>
        <v>0.75000000000000011</v>
      </c>
      <c r="Q1839" s="7">
        <f t="shared" si="153"/>
        <v>9.25</v>
      </c>
      <c r="R1839" s="6">
        <f t="shared" si="154"/>
        <v>733.01800000000003</v>
      </c>
      <c r="S1839" s="6">
        <f t="shared" si="155"/>
        <v>1.3642230780000002E-2</v>
      </c>
      <c r="T1839" t="str">
        <f t="shared" si="146"/>
        <v>Massaranduba Bullet Wood S4S E4E 1x10 Long</v>
      </c>
    </row>
    <row r="1840" spans="1:20" x14ac:dyDescent="0.25">
      <c r="A1840" t="s">
        <v>2262</v>
      </c>
      <c r="B1840" t="s">
        <v>2263</v>
      </c>
      <c r="C1840" t="s">
        <v>283</v>
      </c>
      <c r="D1840" t="s">
        <v>438</v>
      </c>
      <c r="E1840" t="s">
        <v>2267</v>
      </c>
      <c r="F1840" t="s">
        <v>2265</v>
      </c>
      <c r="G1840" t="s">
        <v>2266</v>
      </c>
      <c r="H1840" t="s">
        <v>373</v>
      </c>
      <c r="I1840" t="s">
        <v>289</v>
      </c>
      <c r="J1840" t="s">
        <v>1359</v>
      </c>
      <c r="K1840">
        <v>11</v>
      </c>
      <c r="L1840" s="6">
        <v>3.3527999999999998</v>
      </c>
      <c r="M1840" s="7">
        <v>19.05</v>
      </c>
      <c r="N1840" s="7">
        <v>234.95</v>
      </c>
      <c r="O1840" s="7">
        <f t="shared" si="152"/>
        <v>132</v>
      </c>
      <c r="P1840" s="7">
        <f t="shared" si="153"/>
        <v>0.75000000000000011</v>
      </c>
      <c r="Q1840" s="7">
        <f t="shared" si="153"/>
        <v>9.25</v>
      </c>
      <c r="R1840" s="6">
        <f t="shared" si="154"/>
        <v>733.01800000000003</v>
      </c>
      <c r="S1840" s="6">
        <f t="shared" si="155"/>
        <v>1.5006453857999999E-2</v>
      </c>
      <c r="T1840" t="str">
        <f t="shared" si="146"/>
        <v>Massaranduba Bullet Wood S4S E4E 1x10 Long</v>
      </c>
    </row>
    <row r="1841" spans="1:20" x14ac:dyDescent="0.25">
      <c r="A1841" t="s">
        <v>2262</v>
      </c>
      <c r="B1841" t="s">
        <v>2263</v>
      </c>
      <c r="C1841" t="s">
        <v>283</v>
      </c>
      <c r="D1841" t="s">
        <v>438</v>
      </c>
      <c r="E1841" t="s">
        <v>2268</v>
      </c>
      <c r="F1841" t="s">
        <v>2265</v>
      </c>
      <c r="G1841" t="s">
        <v>2266</v>
      </c>
      <c r="H1841" t="s">
        <v>373</v>
      </c>
      <c r="I1841" t="s">
        <v>289</v>
      </c>
      <c r="J1841" t="s">
        <v>1359</v>
      </c>
      <c r="K1841">
        <v>12</v>
      </c>
      <c r="L1841" s="6">
        <v>3.6576</v>
      </c>
      <c r="M1841" s="7">
        <v>19.05</v>
      </c>
      <c r="N1841" s="7">
        <v>234.95</v>
      </c>
      <c r="O1841" s="7">
        <f t="shared" si="152"/>
        <v>144</v>
      </c>
      <c r="P1841" s="7">
        <f t="shared" si="153"/>
        <v>0.75000000000000011</v>
      </c>
      <c r="Q1841" s="7">
        <f t="shared" si="153"/>
        <v>9.25</v>
      </c>
      <c r="R1841" s="6">
        <f t="shared" si="154"/>
        <v>733.01800000000003</v>
      </c>
      <c r="S1841" s="6">
        <f t="shared" si="155"/>
        <v>1.6370676936E-2</v>
      </c>
      <c r="T1841" t="str">
        <f t="shared" si="146"/>
        <v>Massaranduba Bullet Wood S4S E4E 1x10 Long</v>
      </c>
    </row>
    <row r="1842" spans="1:20" x14ac:dyDescent="0.25">
      <c r="A1842" t="s">
        <v>2262</v>
      </c>
      <c r="B1842" t="s">
        <v>2263</v>
      </c>
      <c r="C1842" t="s">
        <v>283</v>
      </c>
      <c r="D1842" t="s">
        <v>438</v>
      </c>
      <c r="E1842" t="s">
        <v>2269</v>
      </c>
      <c r="F1842" t="s">
        <v>2265</v>
      </c>
      <c r="G1842" t="s">
        <v>2266</v>
      </c>
      <c r="H1842" t="s">
        <v>373</v>
      </c>
      <c r="I1842" t="s">
        <v>289</v>
      </c>
      <c r="J1842" t="s">
        <v>1359</v>
      </c>
      <c r="K1842">
        <v>13</v>
      </c>
      <c r="L1842" s="6">
        <v>3.9624000000000001</v>
      </c>
      <c r="M1842" s="7">
        <v>19.05</v>
      </c>
      <c r="N1842" s="7">
        <v>234.95</v>
      </c>
      <c r="O1842" s="7">
        <f t="shared" si="152"/>
        <v>156</v>
      </c>
      <c r="P1842" s="7">
        <f t="shared" si="153"/>
        <v>0.75000000000000011</v>
      </c>
      <c r="Q1842" s="7">
        <f t="shared" si="153"/>
        <v>9.25</v>
      </c>
      <c r="R1842" s="6">
        <f t="shared" si="154"/>
        <v>733.01800000000003</v>
      </c>
      <c r="S1842" s="6">
        <f t="shared" si="155"/>
        <v>1.7734900014E-2</v>
      </c>
      <c r="T1842" t="str">
        <f t="shared" si="146"/>
        <v>Massaranduba Bullet Wood S4S E4E 1x10 Long</v>
      </c>
    </row>
    <row r="1843" spans="1:20" x14ac:dyDescent="0.25">
      <c r="A1843" t="s">
        <v>2262</v>
      </c>
      <c r="B1843" t="s">
        <v>2263</v>
      </c>
      <c r="C1843" t="s">
        <v>283</v>
      </c>
      <c r="D1843" t="s">
        <v>438</v>
      </c>
      <c r="E1843" t="s">
        <v>2270</v>
      </c>
      <c r="F1843" t="s">
        <v>2265</v>
      </c>
      <c r="G1843" t="s">
        <v>2266</v>
      </c>
      <c r="H1843" t="s">
        <v>373</v>
      </c>
      <c r="I1843" t="s">
        <v>289</v>
      </c>
      <c r="J1843" t="s">
        <v>1359</v>
      </c>
      <c r="K1843">
        <v>14</v>
      </c>
      <c r="L1843" s="6">
        <v>4.2671999999999999</v>
      </c>
      <c r="M1843" s="7">
        <v>19.05</v>
      </c>
      <c r="N1843" s="7">
        <v>234.95</v>
      </c>
      <c r="O1843" s="7">
        <f t="shared" si="152"/>
        <v>168</v>
      </c>
      <c r="P1843" s="7">
        <f t="shared" si="153"/>
        <v>0.75000000000000011</v>
      </c>
      <c r="Q1843" s="7">
        <f t="shared" si="153"/>
        <v>9.25</v>
      </c>
      <c r="R1843" s="6">
        <f t="shared" si="154"/>
        <v>733.01800000000003</v>
      </c>
      <c r="S1843" s="6">
        <f t="shared" si="155"/>
        <v>1.9099123092E-2</v>
      </c>
      <c r="T1843" t="str">
        <f t="shared" si="146"/>
        <v>Massaranduba Bullet Wood S4S E4E 1x10 Long</v>
      </c>
    </row>
    <row r="1844" spans="1:20" x14ac:dyDescent="0.25">
      <c r="A1844" t="s">
        <v>2262</v>
      </c>
      <c r="B1844" t="s">
        <v>2263</v>
      </c>
      <c r="C1844" t="s">
        <v>283</v>
      </c>
      <c r="D1844" t="s">
        <v>438</v>
      </c>
      <c r="E1844" t="s">
        <v>2271</v>
      </c>
      <c r="F1844" t="s">
        <v>2265</v>
      </c>
      <c r="G1844" t="s">
        <v>2266</v>
      </c>
      <c r="H1844" t="s">
        <v>373</v>
      </c>
      <c r="I1844" t="s">
        <v>289</v>
      </c>
      <c r="J1844" t="s">
        <v>1359</v>
      </c>
      <c r="K1844">
        <v>15</v>
      </c>
      <c r="L1844" s="6">
        <v>4.5720000000000001</v>
      </c>
      <c r="M1844" s="7">
        <v>19.05</v>
      </c>
      <c r="N1844" s="7">
        <v>234.95</v>
      </c>
      <c r="O1844" s="7">
        <f t="shared" si="152"/>
        <v>180</v>
      </c>
      <c r="P1844" s="7">
        <f t="shared" si="153"/>
        <v>0.75000000000000011</v>
      </c>
      <c r="Q1844" s="7">
        <f t="shared" si="153"/>
        <v>9.25</v>
      </c>
      <c r="R1844" s="6">
        <f t="shared" si="154"/>
        <v>733.01800000000003</v>
      </c>
      <c r="S1844" s="6">
        <f t="shared" si="155"/>
        <v>2.0463346170000001E-2</v>
      </c>
      <c r="T1844" t="str">
        <f t="shared" si="146"/>
        <v>Massaranduba Bullet Wood S4S E4E 1x10 Long</v>
      </c>
    </row>
    <row r="1845" spans="1:20" x14ac:dyDescent="0.25">
      <c r="A1845" t="s">
        <v>2262</v>
      </c>
      <c r="B1845" t="s">
        <v>2263</v>
      </c>
      <c r="C1845" t="s">
        <v>283</v>
      </c>
      <c r="D1845" t="s">
        <v>438</v>
      </c>
      <c r="E1845" t="s">
        <v>2272</v>
      </c>
      <c r="F1845" t="s">
        <v>2265</v>
      </c>
      <c r="G1845" t="s">
        <v>2266</v>
      </c>
      <c r="H1845" t="s">
        <v>373</v>
      </c>
      <c r="I1845" t="s">
        <v>289</v>
      </c>
      <c r="J1845" t="s">
        <v>1359</v>
      </c>
      <c r="K1845">
        <v>16</v>
      </c>
      <c r="L1845" s="6">
        <v>4.8768000000000002</v>
      </c>
      <c r="M1845" s="7">
        <v>19.05</v>
      </c>
      <c r="N1845" s="7">
        <v>234.95</v>
      </c>
      <c r="O1845" s="7">
        <f t="shared" si="152"/>
        <v>192.00000000000003</v>
      </c>
      <c r="P1845" s="7">
        <f t="shared" si="153"/>
        <v>0.75000000000000011</v>
      </c>
      <c r="Q1845" s="7">
        <f t="shared" si="153"/>
        <v>9.25</v>
      </c>
      <c r="R1845" s="6">
        <f t="shared" si="154"/>
        <v>733.01800000000003</v>
      </c>
      <c r="S1845" s="6">
        <f t="shared" si="155"/>
        <v>2.1827569248000001E-2</v>
      </c>
      <c r="T1845" t="str">
        <f t="shared" si="146"/>
        <v>Massaranduba Bullet Wood S4S E4E 1x10 Long</v>
      </c>
    </row>
    <row r="1846" spans="1:20" x14ac:dyDescent="0.25">
      <c r="A1846" t="s">
        <v>2262</v>
      </c>
      <c r="B1846" t="s">
        <v>2263</v>
      </c>
      <c r="C1846" t="s">
        <v>283</v>
      </c>
      <c r="D1846" t="s">
        <v>438</v>
      </c>
      <c r="E1846" t="s">
        <v>2273</v>
      </c>
      <c r="F1846" t="s">
        <v>2265</v>
      </c>
      <c r="G1846" t="s">
        <v>2266</v>
      </c>
      <c r="H1846" t="s">
        <v>373</v>
      </c>
      <c r="I1846" t="s">
        <v>289</v>
      </c>
      <c r="J1846" t="s">
        <v>1359</v>
      </c>
      <c r="K1846">
        <v>17</v>
      </c>
      <c r="L1846" s="6">
        <v>5.1816000000000004</v>
      </c>
      <c r="M1846" s="7">
        <v>19.05</v>
      </c>
      <c r="N1846" s="7">
        <v>234.95</v>
      </c>
      <c r="O1846" s="7">
        <f t="shared" si="152"/>
        <v>204.00000000000003</v>
      </c>
      <c r="P1846" s="7">
        <f t="shared" si="153"/>
        <v>0.75000000000000011</v>
      </c>
      <c r="Q1846" s="7">
        <f t="shared" si="153"/>
        <v>9.25</v>
      </c>
      <c r="R1846" s="6">
        <f t="shared" si="154"/>
        <v>733.01800000000003</v>
      </c>
      <c r="S1846" s="6">
        <f t="shared" si="155"/>
        <v>2.3191792326000001E-2</v>
      </c>
      <c r="T1846" t="str">
        <f t="shared" si="146"/>
        <v>Massaranduba Bullet Wood S4S E4E 1x10 Long</v>
      </c>
    </row>
    <row r="1847" spans="1:20" x14ac:dyDescent="0.25">
      <c r="A1847" t="s">
        <v>2262</v>
      </c>
      <c r="B1847" t="s">
        <v>2263</v>
      </c>
      <c r="C1847" t="s">
        <v>283</v>
      </c>
      <c r="D1847" t="s">
        <v>438</v>
      </c>
      <c r="E1847" t="s">
        <v>2274</v>
      </c>
      <c r="F1847" t="s">
        <v>2265</v>
      </c>
      <c r="G1847" t="s">
        <v>2266</v>
      </c>
      <c r="H1847" t="s">
        <v>373</v>
      </c>
      <c r="I1847" t="s">
        <v>289</v>
      </c>
      <c r="J1847" t="s">
        <v>1359</v>
      </c>
      <c r="K1847">
        <v>18</v>
      </c>
      <c r="L1847" s="6">
        <v>5.4863999999999997</v>
      </c>
      <c r="M1847" s="7">
        <v>19.05</v>
      </c>
      <c r="N1847" s="7">
        <v>234.95</v>
      </c>
      <c r="O1847" s="7">
        <f t="shared" si="152"/>
        <v>216</v>
      </c>
      <c r="P1847" s="7">
        <f t="shared" si="153"/>
        <v>0.75000000000000011</v>
      </c>
      <c r="Q1847" s="7">
        <f t="shared" si="153"/>
        <v>9.25</v>
      </c>
      <c r="R1847" s="6">
        <f t="shared" si="154"/>
        <v>733.01800000000003</v>
      </c>
      <c r="S1847" s="6">
        <f t="shared" si="155"/>
        <v>2.4556015404000001E-2</v>
      </c>
      <c r="T1847" t="str">
        <f t="shared" si="146"/>
        <v>Massaranduba Bullet Wood S4S E4E 1x10 Long</v>
      </c>
    </row>
    <row r="1848" spans="1:20" x14ac:dyDescent="0.25">
      <c r="A1848" t="s">
        <v>2262</v>
      </c>
      <c r="B1848" t="s">
        <v>2263</v>
      </c>
      <c r="C1848" t="s">
        <v>283</v>
      </c>
      <c r="D1848" t="s">
        <v>438</v>
      </c>
      <c r="E1848" t="s">
        <v>2275</v>
      </c>
      <c r="F1848" t="s">
        <v>2265</v>
      </c>
      <c r="G1848" t="s">
        <v>2266</v>
      </c>
      <c r="H1848" t="s">
        <v>373</v>
      </c>
      <c r="I1848" t="s">
        <v>289</v>
      </c>
      <c r="J1848" t="s">
        <v>1359</v>
      </c>
      <c r="K1848">
        <v>19</v>
      </c>
      <c r="L1848" s="6">
        <v>5.7911999999999999</v>
      </c>
      <c r="M1848" s="7">
        <v>19.05</v>
      </c>
      <c r="N1848" s="7">
        <v>234.95</v>
      </c>
      <c r="O1848" s="7">
        <f t="shared" si="152"/>
        <v>228</v>
      </c>
      <c r="P1848" s="7">
        <f t="shared" si="153"/>
        <v>0.75000000000000011</v>
      </c>
      <c r="Q1848" s="7">
        <f t="shared" si="153"/>
        <v>9.25</v>
      </c>
      <c r="R1848" s="6">
        <f t="shared" si="154"/>
        <v>733.01800000000003</v>
      </c>
      <c r="S1848" s="6">
        <f t="shared" si="155"/>
        <v>2.5920238482000001E-2</v>
      </c>
      <c r="T1848" t="str">
        <f t="shared" si="146"/>
        <v>Massaranduba Bullet Wood S4S E4E 1x10 Long</v>
      </c>
    </row>
    <row r="1849" spans="1:20" x14ac:dyDescent="0.25">
      <c r="A1849" t="s">
        <v>2262</v>
      </c>
      <c r="B1849" t="s">
        <v>2263</v>
      </c>
      <c r="C1849" t="s">
        <v>283</v>
      </c>
      <c r="D1849" t="s">
        <v>438</v>
      </c>
      <c r="E1849" t="s">
        <v>2276</v>
      </c>
      <c r="F1849" t="s">
        <v>2265</v>
      </c>
      <c r="G1849" t="s">
        <v>2266</v>
      </c>
      <c r="H1849" t="s">
        <v>373</v>
      </c>
      <c r="I1849" t="s">
        <v>289</v>
      </c>
      <c r="J1849" t="s">
        <v>1359</v>
      </c>
      <c r="K1849">
        <v>20</v>
      </c>
      <c r="L1849" s="6">
        <v>6.0960000000000001</v>
      </c>
      <c r="M1849" s="7">
        <v>19.05</v>
      </c>
      <c r="N1849" s="7">
        <v>234.95</v>
      </c>
      <c r="O1849" s="7">
        <f t="shared" si="152"/>
        <v>240</v>
      </c>
      <c r="P1849" s="7">
        <f t="shared" si="153"/>
        <v>0.75000000000000011</v>
      </c>
      <c r="Q1849" s="7">
        <f t="shared" si="153"/>
        <v>9.25</v>
      </c>
      <c r="R1849" s="6">
        <f t="shared" si="154"/>
        <v>733.01800000000003</v>
      </c>
      <c r="S1849" s="6">
        <f t="shared" si="155"/>
        <v>2.7284461560000004E-2</v>
      </c>
      <c r="T1849" t="str">
        <f t="shared" si="146"/>
        <v>Massaranduba Bullet Wood S4S E4E 1x10 Long</v>
      </c>
    </row>
    <row r="1850" spans="1:20" x14ac:dyDescent="0.25">
      <c r="A1850" t="s">
        <v>2262</v>
      </c>
      <c r="B1850" t="s">
        <v>2263</v>
      </c>
      <c r="C1850" t="s">
        <v>283</v>
      </c>
      <c r="D1850" t="s">
        <v>438</v>
      </c>
      <c r="E1850" t="s">
        <v>2277</v>
      </c>
      <c r="F1850" t="s">
        <v>2265</v>
      </c>
      <c r="G1850" t="s">
        <v>2266</v>
      </c>
      <c r="H1850" t="s">
        <v>373</v>
      </c>
      <c r="I1850" t="s">
        <v>289</v>
      </c>
      <c r="J1850" t="s">
        <v>1359</v>
      </c>
      <c r="K1850">
        <v>21</v>
      </c>
      <c r="L1850" s="6">
        <v>6.4008000000000003</v>
      </c>
      <c r="M1850" s="7">
        <v>19.05</v>
      </c>
      <c r="N1850" s="7">
        <v>234.95</v>
      </c>
      <c r="O1850" s="7">
        <f t="shared" si="152"/>
        <v>252.00000000000003</v>
      </c>
      <c r="P1850" s="7">
        <f t="shared" si="153"/>
        <v>0.75000000000000011</v>
      </c>
      <c r="Q1850" s="7">
        <f t="shared" si="153"/>
        <v>9.25</v>
      </c>
      <c r="R1850" s="6">
        <f t="shared" si="154"/>
        <v>733.01800000000003</v>
      </c>
      <c r="S1850" s="6">
        <f t="shared" si="155"/>
        <v>2.8648684638000001E-2</v>
      </c>
      <c r="T1850" t="str">
        <f t="shared" si="146"/>
        <v>Massaranduba Bullet Wood S4S E4E 1x10 Long</v>
      </c>
    </row>
    <row r="1851" spans="1:20" x14ac:dyDescent="0.25">
      <c r="A1851" t="s">
        <v>2262</v>
      </c>
      <c r="B1851" t="s">
        <v>2263</v>
      </c>
      <c r="C1851" t="s">
        <v>283</v>
      </c>
      <c r="D1851" t="s">
        <v>438</v>
      </c>
      <c r="E1851" t="s">
        <v>2278</v>
      </c>
      <c r="F1851" t="s">
        <v>2265</v>
      </c>
      <c r="G1851" t="s">
        <v>2266</v>
      </c>
      <c r="H1851" t="s">
        <v>373</v>
      </c>
      <c r="I1851" t="s">
        <v>289</v>
      </c>
      <c r="J1851" t="s">
        <v>1359</v>
      </c>
      <c r="K1851">
        <v>22</v>
      </c>
      <c r="L1851" s="6">
        <v>6.7055999999999996</v>
      </c>
      <c r="M1851" s="7">
        <v>19.05</v>
      </c>
      <c r="N1851" s="7">
        <v>234.95</v>
      </c>
      <c r="O1851" s="7">
        <f t="shared" si="152"/>
        <v>264</v>
      </c>
      <c r="P1851" s="7">
        <f t="shared" si="153"/>
        <v>0.75000000000000011</v>
      </c>
      <c r="Q1851" s="7">
        <f t="shared" si="153"/>
        <v>9.25</v>
      </c>
      <c r="R1851" s="6">
        <f t="shared" si="154"/>
        <v>733.01800000000003</v>
      </c>
      <c r="S1851" s="6">
        <f t="shared" si="155"/>
        <v>3.0012907715999997E-2</v>
      </c>
      <c r="T1851" t="str">
        <f t="shared" si="146"/>
        <v>Massaranduba Bullet Wood S4S E4E 1x10 Long</v>
      </c>
    </row>
    <row r="1852" spans="1:20" x14ac:dyDescent="0.25">
      <c r="A1852" t="s">
        <v>2262</v>
      </c>
      <c r="B1852" t="s">
        <v>2263</v>
      </c>
      <c r="C1852" t="s">
        <v>283</v>
      </c>
      <c r="D1852" t="s">
        <v>438</v>
      </c>
      <c r="E1852" t="s">
        <v>2279</v>
      </c>
      <c r="F1852" t="s">
        <v>2265</v>
      </c>
      <c r="G1852" t="s">
        <v>2266</v>
      </c>
      <c r="H1852" t="s">
        <v>373</v>
      </c>
      <c r="I1852" t="s">
        <v>289</v>
      </c>
      <c r="J1852" t="s">
        <v>1359</v>
      </c>
      <c r="K1852">
        <v>8</v>
      </c>
      <c r="L1852" s="6">
        <v>2.4384000000000001</v>
      </c>
      <c r="M1852" s="7">
        <v>19.05</v>
      </c>
      <c r="N1852" s="7">
        <v>234.95</v>
      </c>
      <c r="O1852" s="7">
        <f t="shared" si="152"/>
        <v>96.000000000000014</v>
      </c>
      <c r="P1852" s="7">
        <f t="shared" si="153"/>
        <v>0.75000000000000011</v>
      </c>
      <c r="Q1852" s="7">
        <f t="shared" si="153"/>
        <v>9.25</v>
      </c>
      <c r="R1852" s="6">
        <f t="shared" si="154"/>
        <v>733.01800000000003</v>
      </c>
      <c r="S1852" s="6">
        <f t="shared" si="155"/>
        <v>1.0913784624E-2</v>
      </c>
      <c r="T1852" t="str">
        <f t="shared" si="146"/>
        <v>Massaranduba Bullet Wood S4S E4E 1x10 Long</v>
      </c>
    </row>
    <row r="1853" spans="1:20" x14ac:dyDescent="0.25">
      <c r="A1853" t="s">
        <v>2262</v>
      </c>
      <c r="B1853" t="s">
        <v>2263</v>
      </c>
      <c r="C1853" t="s">
        <v>283</v>
      </c>
      <c r="D1853" t="s">
        <v>438</v>
      </c>
      <c r="E1853" t="s">
        <v>2280</v>
      </c>
      <c r="F1853" t="s">
        <v>2265</v>
      </c>
      <c r="G1853" t="s">
        <v>2266</v>
      </c>
      <c r="H1853" t="s">
        <v>373</v>
      </c>
      <c r="I1853" t="s">
        <v>289</v>
      </c>
      <c r="J1853" t="s">
        <v>1359</v>
      </c>
      <c r="K1853">
        <v>9</v>
      </c>
      <c r="L1853" s="6">
        <v>2.7431999999999999</v>
      </c>
      <c r="M1853" s="7">
        <v>19.05</v>
      </c>
      <c r="N1853" s="7">
        <v>234.95</v>
      </c>
      <c r="O1853" s="7">
        <f t="shared" si="152"/>
        <v>108</v>
      </c>
      <c r="P1853" s="7">
        <f t="shared" si="153"/>
        <v>0.75000000000000011</v>
      </c>
      <c r="Q1853" s="7">
        <f t="shared" si="153"/>
        <v>9.25</v>
      </c>
      <c r="R1853" s="6">
        <f t="shared" si="154"/>
        <v>733.01800000000003</v>
      </c>
      <c r="S1853" s="6">
        <f t="shared" si="155"/>
        <v>1.2278007702E-2</v>
      </c>
      <c r="T1853" t="str">
        <f t="shared" si="146"/>
        <v>Massaranduba Bullet Wood S4S E4E 1x10 Long</v>
      </c>
    </row>
    <row r="1854" spans="1:20" x14ac:dyDescent="0.25">
      <c r="A1854" t="s">
        <v>2262</v>
      </c>
      <c r="B1854" t="s">
        <v>2281</v>
      </c>
      <c r="C1854" t="s">
        <v>283</v>
      </c>
      <c r="D1854" t="s">
        <v>438</v>
      </c>
      <c r="E1854" t="s">
        <v>2282</v>
      </c>
      <c r="F1854" t="s">
        <v>2283</v>
      </c>
      <c r="G1854" t="s">
        <v>2266</v>
      </c>
      <c r="H1854" t="s">
        <v>373</v>
      </c>
      <c r="I1854" t="s">
        <v>289</v>
      </c>
      <c r="J1854" t="s">
        <v>1382</v>
      </c>
      <c r="K1854">
        <v>10</v>
      </c>
      <c r="L1854" s="6">
        <v>3.048</v>
      </c>
      <c r="M1854" s="7">
        <v>19.05</v>
      </c>
      <c r="N1854" s="7">
        <v>285.75</v>
      </c>
      <c r="O1854" s="7">
        <f t="shared" si="152"/>
        <v>120</v>
      </c>
      <c r="P1854" s="7">
        <f t="shared" si="153"/>
        <v>0.75000000000000011</v>
      </c>
      <c r="Q1854" s="7">
        <f t="shared" si="153"/>
        <v>11.25</v>
      </c>
      <c r="R1854" s="6">
        <f t="shared" si="154"/>
        <v>602.70399999999995</v>
      </c>
      <c r="S1854" s="6">
        <f t="shared" si="155"/>
        <v>1.6591902300000003E-2</v>
      </c>
      <c r="T1854" t="str">
        <f t="shared" si="146"/>
        <v>Massaranduba Bullet Wood S4S E4E 1x12 Long</v>
      </c>
    </row>
    <row r="1855" spans="1:20" x14ac:dyDescent="0.25">
      <c r="A1855" t="s">
        <v>2262</v>
      </c>
      <c r="B1855" t="s">
        <v>2281</v>
      </c>
      <c r="C1855" t="s">
        <v>283</v>
      </c>
      <c r="D1855" t="s">
        <v>438</v>
      </c>
      <c r="E1855" t="s">
        <v>2284</v>
      </c>
      <c r="F1855" t="s">
        <v>2283</v>
      </c>
      <c r="G1855" t="s">
        <v>2266</v>
      </c>
      <c r="H1855" t="s">
        <v>373</v>
      </c>
      <c r="I1855" t="s">
        <v>289</v>
      </c>
      <c r="J1855" t="s">
        <v>1382</v>
      </c>
      <c r="K1855">
        <v>11</v>
      </c>
      <c r="L1855" s="6">
        <v>3.3527999999999998</v>
      </c>
      <c r="M1855" s="7">
        <v>19.05</v>
      </c>
      <c r="N1855" s="7">
        <v>285.75</v>
      </c>
      <c r="O1855" s="7">
        <f t="shared" si="152"/>
        <v>132</v>
      </c>
      <c r="P1855" s="7">
        <f t="shared" si="153"/>
        <v>0.75000000000000011</v>
      </c>
      <c r="Q1855" s="7">
        <f t="shared" si="153"/>
        <v>11.25</v>
      </c>
      <c r="R1855" s="6">
        <f t="shared" si="154"/>
        <v>602.70399999999995</v>
      </c>
      <c r="S1855" s="6">
        <f t="shared" si="155"/>
        <v>1.8251092530000002E-2</v>
      </c>
      <c r="T1855" t="str">
        <f t="shared" si="146"/>
        <v>Massaranduba Bullet Wood S4S E4E 1x12 Long</v>
      </c>
    </row>
    <row r="1856" spans="1:20" x14ac:dyDescent="0.25">
      <c r="A1856" t="s">
        <v>2262</v>
      </c>
      <c r="B1856" t="s">
        <v>2281</v>
      </c>
      <c r="C1856" t="s">
        <v>283</v>
      </c>
      <c r="D1856" t="s">
        <v>438</v>
      </c>
      <c r="E1856" t="s">
        <v>2285</v>
      </c>
      <c r="F1856" t="s">
        <v>2283</v>
      </c>
      <c r="G1856" t="s">
        <v>2266</v>
      </c>
      <c r="H1856" t="s">
        <v>373</v>
      </c>
      <c r="I1856" t="s">
        <v>289</v>
      </c>
      <c r="J1856" t="s">
        <v>1382</v>
      </c>
      <c r="K1856">
        <v>12</v>
      </c>
      <c r="L1856" s="6">
        <v>3.6576</v>
      </c>
      <c r="M1856" s="7">
        <v>19.05</v>
      </c>
      <c r="N1856" s="7">
        <v>285.75</v>
      </c>
      <c r="O1856" s="7">
        <f t="shared" si="152"/>
        <v>144</v>
      </c>
      <c r="P1856" s="7">
        <f t="shared" si="153"/>
        <v>0.75000000000000011</v>
      </c>
      <c r="Q1856" s="7">
        <f t="shared" si="153"/>
        <v>11.25</v>
      </c>
      <c r="R1856" s="6">
        <f t="shared" si="154"/>
        <v>602.70399999999995</v>
      </c>
      <c r="S1856" s="6">
        <f t="shared" si="155"/>
        <v>1.9910282759999998E-2</v>
      </c>
      <c r="T1856" t="str">
        <f t="shared" si="146"/>
        <v>Massaranduba Bullet Wood S4S E4E 1x12 Long</v>
      </c>
    </row>
    <row r="1857" spans="1:20" x14ac:dyDescent="0.25">
      <c r="A1857" t="s">
        <v>2262</v>
      </c>
      <c r="B1857" t="s">
        <v>2281</v>
      </c>
      <c r="C1857" t="s">
        <v>283</v>
      </c>
      <c r="D1857" t="s">
        <v>438</v>
      </c>
      <c r="E1857" t="s">
        <v>2286</v>
      </c>
      <c r="F1857" t="s">
        <v>2283</v>
      </c>
      <c r="G1857" t="s">
        <v>2266</v>
      </c>
      <c r="H1857" t="s">
        <v>373</v>
      </c>
      <c r="I1857" t="s">
        <v>289</v>
      </c>
      <c r="J1857" t="s">
        <v>1382</v>
      </c>
      <c r="K1857">
        <v>13</v>
      </c>
      <c r="L1857" s="6">
        <v>3.9624000000000001</v>
      </c>
      <c r="M1857" s="7">
        <v>19.05</v>
      </c>
      <c r="N1857" s="7">
        <v>285.75</v>
      </c>
      <c r="O1857" s="7">
        <f t="shared" si="152"/>
        <v>156</v>
      </c>
      <c r="P1857" s="7">
        <f t="shared" si="153"/>
        <v>0.75000000000000011</v>
      </c>
      <c r="Q1857" s="7">
        <f t="shared" si="153"/>
        <v>11.25</v>
      </c>
      <c r="R1857" s="6">
        <f t="shared" si="154"/>
        <v>602.70399999999995</v>
      </c>
      <c r="S1857" s="6">
        <f t="shared" si="155"/>
        <v>2.1569472990000001E-2</v>
      </c>
      <c r="T1857" t="str">
        <f t="shared" si="146"/>
        <v>Massaranduba Bullet Wood S4S E4E 1x12 Long</v>
      </c>
    </row>
    <row r="1858" spans="1:20" x14ac:dyDescent="0.25">
      <c r="A1858" t="s">
        <v>2262</v>
      </c>
      <c r="B1858" t="s">
        <v>2281</v>
      </c>
      <c r="C1858" t="s">
        <v>283</v>
      </c>
      <c r="D1858" t="s">
        <v>438</v>
      </c>
      <c r="E1858" t="s">
        <v>2287</v>
      </c>
      <c r="F1858" t="s">
        <v>2283</v>
      </c>
      <c r="G1858" t="s">
        <v>2266</v>
      </c>
      <c r="H1858" t="s">
        <v>373</v>
      </c>
      <c r="I1858" t="s">
        <v>289</v>
      </c>
      <c r="J1858" t="s">
        <v>1382</v>
      </c>
      <c r="K1858">
        <v>14</v>
      </c>
      <c r="L1858" s="6">
        <v>4.2671999999999999</v>
      </c>
      <c r="M1858" s="7">
        <v>19.05</v>
      </c>
      <c r="N1858" s="7">
        <v>285.75</v>
      </c>
      <c r="O1858" s="7">
        <f t="shared" si="152"/>
        <v>168</v>
      </c>
      <c r="P1858" s="7">
        <f t="shared" si="153"/>
        <v>0.75000000000000011</v>
      </c>
      <c r="Q1858" s="7">
        <f t="shared" si="153"/>
        <v>11.25</v>
      </c>
      <c r="R1858" s="6">
        <f t="shared" si="154"/>
        <v>602.70399999999995</v>
      </c>
      <c r="S1858" s="6">
        <f t="shared" si="155"/>
        <v>2.3228663220000001E-2</v>
      </c>
      <c r="T1858" t="str">
        <f t="shared" ref="T1858:T1921" si="156">F1858&amp;" "&amp;C1858</f>
        <v>Massaranduba Bullet Wood S4S E4E 1x12 Long</v>
      </c>
    </row>
    <row r="1859" spans="1:20" x14ac:dyDescent="0.25">
      <c r="A1859" t="s">
        <v>2262</v>
      </c>
      <c r="B1859" t="s">
        <v>2281</v>
      </c>
      <c r="C1859" t="s">
        <v>283</v>
      </c>
      <c r="D1859" t="s">
        <v>438</v>
      </c>
      <c r="E1859" t="s">
        <v>2288</v>
      </c>
      <c r="F1859" t="s">
        <v>2283</v>
      </c>
      <c r="G1859" t="s">
        <v>2266</v>
      </c>
      <c r="H1859" t="s">
        <v>373</v>
      </c>
      <c r="I1859" t="s">
        <v>289</v>
      </c>
      <c r="J1859" t="s">
        <v>1382</v>
      </c>
      <c r="K1859">
        <v>15</v>
      </c>
      <c r="L1859" s="6">
        <v>4.5720000000000001</v>
      </c>
      <c r="M1859" s="7">
        <v>19.05</v>
      </c>
      <c r="N1859" s="7">
        <v>285.75</v>
      </c>
      <c r="O1859" s="7">
        <f t="shared" si="152"/>
        <v>180</v>
      </c>
      <c r="P1859" s="7">
        <f t="shared" si="153"/>
        <v>0.75000000000000011</v>
      </c>
      <c r="Q1859" s="7">
        <f t="shared" si="153"/>
        <v>11.25</v>
      </c>
      <c r="R1859" s="6">
        <f t="shared" si="154"/>
        <v>602.70399999999995</v>
      </c>
      <c r="S1859" s="6">
        <f t="shared" si="155"/>
        <v>2.4887853450000001E-2</v>
      </c>
      <c r="T1859" t="str">
        <f t="shared" si="156"/>
        <v>Massaranduba Bullet Wood S4S E4E 1x12 Long</v>
      </c>
    </row>
    <row r="1860" spans="1:20" x14ac:dyDescent="0.25">
      <c r="A1860" t="s">
        <v>2262</v>
      </c>
      <c r="B1860" t="s">
        <v>2281</v>
      </c>
      <c r="C1860" t="s">
        <v>283</v>
      </c>
      <c r="D1860" t="s">
        <v>438</v>
      </c>
      <c r="E1860" t="s">
        <v>2289</v>
      </c>
      <c r="F1860" t="s">
        <v>2283</v>
      </c>
      <c r="G1860" t="s">
        <v>2266</v>
      </c>
      <c r="H1860" t="s">
        <v>373</v>
      </c>
      <c r="I1860" t="s">
        <v>289</v>
      </c>
      <c r="J1860" t="s">
        <v>1382</v>
      </c>
      <c r="K1860">
        <v>16</v>
      </c>
      <c r="L1860" s="6">
        <v>4.8768000000000002</v>
      </c>
      <c r="M1860" s="7">
        <v>19.05</v>
      </c>
      <c r="N1860" s="7">
        <v>285.75</v>
      </c>
      <c r="O1860" s="7">
        <f t="shared" si="152"/>
        <v>192.00000000000003</v>
      </c>
      <c r="P1860" s="7">
        <f t="shared" si="153"/>
        <v>0.75000000000000011</v>
      </c>
      <c r="Q1860" s="7">
        <f t="shared" si="153"/>
        <v>11.25</v>
      </c>
      <c r="R1860" s="6">
        <f t="shared" si="154"/>
        <v>602.70399999999995</v>
      </c>
      <c r="S1860" s="6">
        <f t="shared" si="155"/>
        <v>2.654704368E-2</v>
      </c>
      <c r="T1860" t="str">
        <f t="shared" si="156"/>
        <v>Massaranduba Bullet Wood S4S E4E 1x12 Long</v>
      </c>
    </row>
    <row r="1861" spans="1:20" x14ac:dyDescent="0.25">
      <c r="A1861" t="s">
        <v>2262</v>
      </c>
      <c r="B1861" t="s">
        <v>2281</v>
      </c>
      <c r="C1861" t="s">
        <v>283</v>
      </c>
      <c r="D1861" t="s">
        <v>438</v>
      </c>
      <c r="E1861" t="s">
        <v>2290</v>
      </c>
      <c r="F1861" t="s">
        <v>2283</v>
      </c>
      <c r="G1861" t="s">
        <v>2266</v>
      </c>
      <c r="H1861" t="s">
        <v>373</v>
      </c>
      <c r="I1861" t="s">
        <v>289</v>
      </c>
      <c r="J1861" t="s">
        <v>1382</v>
      </c>
      <c r="K1861">
        <v>17</v>
      </c>
      <c r="L1861" s="6">
        <v>5.1816000000000004</v>
      </c>
      <c r="M1861" s="7">
        <v>19.05</v>
      </c>
      <c r="N1861" s="7">
        <v>285.75</v>
      </c>
      <c r="O1861" s="7">
        <f t="shared" si="152"/>
        <v>204.00000000000003</v>
      </c>
      <c r="P1861" s="7">
        <f t="shared" si="153"/>
        <v>0.75000000000000011</v>
      </c>
      <c r="Q1861" s="7">
        <f t="shared" si="153"/>
        <v>11.25</v>
      </c>
      <c r="R1861" s="6">
        <f t="shared" si="154"/>
        <v>602.70399999999995</v>
      </c>
      <c r="S1861" s="6">
        <f t="shared" si="155"/>
        <v>2.8206233910000007E-2</v>
      </c>
      <c r="T1861" t="str">
        <f t="shared" si="156"/>
        <v>Massaranduba Bullet Wood S4S E4E 1x12 Long</v>
      </c>
    </row>
    <row r="1862" spans="1:20" x14ac:dyDescent="0.25">
      <c r="A1862" t="s">
        <v>2262</v>
      </c>
      <c r="B1862" t="s">
        <v>2281</v>
      </c>
      <c r="C1862" t="s">
        <v>283</v>
      </c>
      <c r="D1862" t="s">
        <v>438</v>
      </c>
      <c r="E1862" t="s">
        <v>2291</v>
      </c>
      <c r="F1862" t="s">
        <v>2283</v>
      </c>
      <c r="G1862" t="s">
        <v>2266</v>
      </c>
      <c r="H1862" t="s">
        <v>373</v>
      </c>
      <c r="I1862" t="s">
        <v>289</v>
      </c>
      <c r="J1862" t="s">
        <v>1382</v>
      </c>
      <c r="K1862">
        <v>18</v>
      </c>
      <c r="L1862" s="6">
        <v>5.4863999999999997</v>
      </c>
      <c r="M1862" s="7">
        <v>19.05</v>
      </c>
      <c r="N1862" s="7">
        <v>285.75</v>
      </c>
      <c r="O1862" s="7">
        <f t="shared" si="152"/>
        <v>216</v>
      </c>
      <c r="P1862" s="7">
        <f t="shared" si="153"/>
        <v>0.75000000000000011</v>
      </c>
      <c r="Q1862" s="7">
        <f t="shared" si="153"/>
        <v>11.25</v>
      </c>
      <c r="R1862" s="6">
        <f t="shared" si="154"/>
        <v>602.70399999999995</v>
      </c>
      <c r="S1862" s="6">
        <f t="shared" si="155"/>
        <v>2.9865424139999999E-2</v>
      </c>
      <c r="T1862" t="str">
        <f t="shared" si="156"/>
        <v>Massaranduba Bullet Wood S4S E4E 1x12 Long</v>
      </c>
    </row>
    <row r="1863" spans="1:20" x14ac:dyDescent="0.25">
      <c r="A1863" t="s">
        <v>2262</v>
      </c>
      <c r="B1863" t="s">
        <v>2281</v>
      </c>
      <c r="C1863" t="s">
        <v>283</v>
      </c>
      <c r="D1863" t="s">
        <v>438</v>
      </c>
      <c r="E1863" t="s">
        <v>2292</v>
      </c>
      <c r="F1863" t="s">
        <v>2283</v>
      </c>
      <c r="G1863" t="s">
        <v>2266</v>
      </c>
      <c r="H1863" t="s">
        <v>373</v>
      </c>
      <c r="I1863" t="s">
        <v>289</v>
      </c>
      <c r="J1863" t="s">
        <v>1382</v>
      </c>
      <c r="K1863">
        <v>19</v>
      </c>
      <c r="L1863" s="6">
        <v>5.7911999999999999</v>
      </c>
      <c r="M1863" s="7">
        <v>19.05</v>
      </c>
      <c r="N1863" s="7">
        <v>285.75</v>
      </c>
      <c r="O1863" s="7">
        <f t="shared" si="152"/>
        <v>228</v>
      </c>
      <c r="P1863" s="7">
        <f t="shared" si="153"/>
        <v>0.75000000000000011</v>
      </c>
      <c r="Q1863" s="7">
        <f t="shared" si="153"/>
        <v>11.25</v>
      </c>
      <c r="R1863" s="6">
        <f t="shared" si="154"/>
        <v>602.70399999999995</v>
      </c>
      <c r="S1863" s="6">
        <f t="shared" si="155"/>
        <v>3.1524614370000002E-2</v>
      </c>
      <c r="T1863" t="str">
        <f t="shared" si="156"/>
        <v>Massaranduba Bullet Wood S4S E4E 1x12 Long</v>
      </c>
    </row>
    <row r="1864" spans="1:20" x14ac:dyDescent="0.25">
      <c r="A1864" t="s">
        <v>2262</v>
      </c>
      <c r="B1864" t="s">
        <v>2281</v>
      </c>
      <c r="C1864" t="s">
        <v>283</v>
      </c>
      <c r="D1864" t="s">
        <v>438</v>
      </c>
      <c r="E1864" t="s">
        <v>2293</v>
      </c>
      <c r="F1864" t="s">
        <v>2283</v>
      </c>
      <c r="G1864" t="s">
        <v>2266</v>
      </c>
      <c r="H1864" t="s">
        <v>373</v>
      </c>
      <c r="I1864" t="s">
        <v>289</v>
      </c>
      <c r="J1864" t="s">
        <v>1382</v>
      </c>
      <c r="K1864">
        <v>20</v>
      </c>
      <c r="L1864" s="6">
        <v>6.0960000000000001</v>
      </c>
      <c r="M1864" s="7">
        <v>19.05</v>
      </c>
      <c r="N1864" s="7">
        <v>285.75</v>
      </c>
      <c r="O1864" s="7">
        <f t="shared" si="152"/>
        <v>240</v>
      </c>
      <c r="P1864" s="7">
        <f t="shared" si="153"/>
        <v>0.75000000000000011</v>
      </c>
      <c r="Q1864" s="7">
        <f t="shared" si="153"/>
        <v>11.25</v>
      </c>
      <c r="R1864" s="6">
        <f t="shared" si="154"/>
        <v>602.70399999999995</v>
      </c>
      <c r="S1864" s="6">
        <f t="shared" si="155"/>
        <v>3.3183804600000005E-2</v>
      </c>
      <c r="T1864" t="str">
        <f t="shared" si="156"/>
        <v>Massaranduba Bullet Wood S4S E4E 1x12 Long</v>
      </c>
    </row>
    <row r="1865" spans="1:20" x14ac:dyDescent="0.25">
      <c r="A1865" t="s">
        <v>2262</v>
      </c>
      <c r="B1865" t="s">
        <v>2281</v>
      </c>
      <c r="C1865" t="s">
        <v>283</v>
      </c>
      <c r="D1865" t="s">
        <v>438</v>
      </c>
      <c r="E1865" t="s">
        <v>2294</v>
      </c>
      <c r="F1865" t="s">
        <v>2283</v>
      </c>
      <c r="G1865" t="s">
        <v>2266</v>
      </c>
      <c r="H1865" t="s">
        <v>373</v>
      </c>
      <c r="I1865" t="s">
        <v>289</v>
      </c>
      <c r="J1865" t="s">
        <v>1382</v>
      </c>
      <c r="K1865">
        <v>21</v>
      </c>
      <c r="L1865" s="6">
        <v>6.4008000000000003</v>
      </c>
      <c r="M1865" s="7">
        <v>19.05</v>
      </c>
      <c r="N1865" s="7">
        <v>285.75</v>
      </c>
      <c r="O1865" s="7">
        <f t="shared" si="152"/>
        <v>252.00000000000003</v>
      </c>
      <c r="P1865" s="7">
        <f t="shared" si="153"/>
        <v>0.75000000000000011</v>
      </c>
      <c r="Q1865" s="7">
        <f t="shared" si="153"/>
        <v>11.25</v>
      </c>
      <c r="R1865" s="6">
        <f t="shared" si="154"/>
        <v>602.70399999999995</v>
      </c>
      <c r="S1865" s="6">
        <f t="shared" si="155"/>
        <v>3.4842994830000001E-2</v>
      </c>
      <c r="T1865" t="str">
        <f t="shared" si="156"/>
        <v>Massaranduba Bullet Wood S4S E4E 1x12 Long</v>
      </c>
    </row>
    <row r="1866" spans="1:20" x14ac:dyDescent="0.25">
      <c r="A1866" t="s">
        <v>2262</v>
      </c>
      <c r="B1866" t="s">
        <v>2281</v>
      </c>
      <c r="C1866" t="s">
        <v>283</v>
      </c>
      <c r="D1866" t="s">
        <v>438</v>
      </c>
      <c r="E1866" t="s">
        <v>2295</v>
      </c>
      <c r="F1866" t="s">
        <v>2283</v>
      </c>
      <c r="G1866" t="s">
        <v>2266</v>
      </c>
      <c r="H1866" t="s">
        <v>373</v>
      </c>
      <c r="I1866" t="s">
        <v>289</v>
      </c>
      <c r="J1866" t="s">
        <v>1382</v>
      </c>
      <c r="K1866">
        <v>22</v>
      </c>
      <c r="L1866" s="6">
        <v>6.7055999999999996</v>
      </c>
      <c r="M1866" s="7">
        <v>19.05</v>
      </c>
      <c r="N1866" s="7">
        <v>285.75</v>
      </c>
      <c r="O1866" s="7">
        <f t="shared" si="152"/>
        <v>264</v>
      </c>
      <c r="P1866" s="7">
        <f t="shared" si="153"/>
        <v>0.75000000000000011</v>
      </c>
      <c r="Q1866" s="7">
        <f t="shared" si="153"/>
        <v>11.25</v>
      </c>
      <c r="R1866" s="6">
        <f t="shared" si="154"/>
        <v>602.70399999999995</v>
      </c>
      <c r="S1866" s="6">
        <f t="shared" si="155"/>
        <v>3.6502185060000004E-2</v>
      </c>
      <c r="T1866" t="str">
        <f t="shared" si="156"/>
        <v>Massaranduba Bullet Wood S4S E4E 1x12 Long</v>
      </c>
    </row>
    <row r="1867" spans="1:20" x14ac:dyDescent="0.25">
      <c r="A1867" t="s">
        <v>2262</v>
      </c>
      <c r="B1867" t="s">
        <v>2281</v>
      </c>
      <c r="C1867" t="s">
        <v>283</v>
      </c>
      <c r="D1867" t="s">
        <v>438</v>
      </c>
      <c r="E1867" t="s">
        <v>2296</v>
      </c>
      <c r="F1867" t="s">
        <v>2283</v>
      </c>
      <c r="G1867" t="s">
        <v>2266</v>
      </c>
      <c r="H1867" t="s">
        <v>373</v>
      </c>
      <c r="I1867" t="s">
        <v>289</v>
      </c>
      <c r="J1867" t="s">
        <v>1382</v>
      </c>
      <c r="K1867">
        <v>8</v>
      </c>
      <c r="L1867" s="6">
        <v>2.4384000000000001</v>
      </c>
      <c r="M1867" s="7">
        <v>19.05</v>
      </c>
      <c r="N1867" s="7">
        <v>285.75</v>
      </c>
      <c r="O1867" s="7">
        <f t="shared" si="152"/>
        <v>96.000000000000014</v>
      </c>
      <c r="P1867" s="7">
        <f t="shared" si="153"/>
        <v>0.75000000000000011</v>
      </c>
      <c r="Q1867" s="7">
        <f t="shared" si="153"/>
        <v>11.25</v>
      </c>
      <c r="R1867" s="6">
        <f t="shared" si="154"/>
        <v>602.70399999999995</v>
      </c>
      <c r="S1867" s="6">
        <f t="shared" si="155"/>
        <v>1.327352184E-2</v>
      </c>
      <c r="T1867" t="str">
        <f t="shared" si="156"/>
        <v>Massaranduba Bullet Wood S4S E4E 1x12 Long</v>
      </c>
    </row>
    <row r="1868" spans="1:20" x14ac:dyDescent="0.25">
      <c r="A1868" t="s">
        <v>2262</v>
      </c>
      <c r="B1868" t="s">
        <v>2281</v>
      </c>
      <c r="C1868" t="s">
        <v>283</v>
      </c>
      <c r="D1868" t="s">
        <v>438</v>
      </c>
      <c r="E1868" t="s">
        <v>2297</v>
      </c>
      <c r="F1868" t="s">
        <v>2283</v>
      </c>
      <c r="G1868" t="s">
        <v>2266</v>
      </c>
      <c r="H1868" t="s">
        <v>373</v>
      </c>
      <c r="I1868" t="s">
        <v>289</v>
      </c>
      <c r="J1868" t="s">
        <v>1382</v>
      </c>
      <c r="K1868">
        <v>9</v>
      </c>
      <c r="L1868" s="6">
        <v>2.7431999999999999</v>
      </c>
      <c r="M1868" s="7">
        <v>19.05</v>
      </c>
      <c r="N1868" s="7">
        <v>285.75</v>
      </c>
      <c r="O1868" s="7">
        <f t="shared" si="152"/>
        <v>108</v>
      </c>
      <c r="P1868" s="7">
        <f t="shared" si="153"/>
        <v>0.75000000000000011</v>
      </c>
      <c r="Q1868" s="7">
        <f t="shared" si="153"/>
        <v>11.25</v>
      </c>
      <c r="R1868" s="6">
        <f t="shared" si="154"/>
        <v>602.70399999999995</v>
      </c>
      <c r="S1868" s="6">
        <f t="shared" si="155"/>
        <v>1.493271207E-2</v>
      </c>
      <c r="T1868" t="str">
        <f t="shared" si="156"/>
        <v>Massaranduba Bullet Wood S4S E4E 1x12 Long</v>
      </c>
    </row>
    <row r="1869" spans="1:20" x14ac:dyDescent="0.25">
      <c r="A1869" t="s">
        <v>2262</v>
      </c>
      <c r="B1869" t="s">
        <v>2298</v>
      </c>
      <c r="C1869" t="s">
        <v>283</v>
      </c>
      <c r="D1869" t="s">
        <v>438</v>
      </c>
      <c r="E1869" t="s">
        <v>2299</v>
      </c>
      <c r="F1869" t="s">
        <v>2300</v>
      </c>
      <c r="G1869" t="s">
        <v>2266</v>
      </c>
      <c r="H1869" t="s">
        <v>373</v>
      </c>
      <c r="I1869" t="s">
        <v>289</v>
      </c>
      <c r="J1869" t="s">
        <v>613</v>
      </c>
      <c r="K1869">
        <v>10</v>
      </c>
      <c r="L1869" s="6">
        <v>3.048</v>
      </c>
      <c r="M1869" s="7">
        <v>19.05</v>
      </c>
      <c r="N1869" s="7">
        <v>88.9</v>
      </c>
      <c r="O1869" s="7">
        <f t="shared" si="152"/>
        <v>120</v>
      </c>
      <c r="P1869" s="7">
        <f t="shared" si="153"/>
        <v>0.75000000000000011</v>
      </c>
      <c r="Q1869" s="7">
        <f t="shared" si="153"/>
        <v>3.5000000000000004</v>
      </c>
      <c r="R1869" s="6">
        <f t="shared" si="154"/>
        <v>1937.2619999999999</v>
      </c>
      <c r="S1869" s="6">
        <f t="shared" si="155"/>
        <v>5.1619251600000006E-3</v>
      </c>
      <c r="T1869" t="str">
        <f t="shared" si="156"/>
        <v>Massaranduba Bullet Wood S4S E4E 1x4 Long</v>
      </c>
    </row>
    <row r="1870" spans="1:20" x14ac:dyDescent="0.25">
      <c r="A1870" t="s">
        <v>2262</v>
      </c>
      <c r="B1870" t="s">
        <v>2298</v>
      </c>
      <c r="C1870" t="s">
        <v>283</v>
      </c>
      <c r="D1870" t="s">
        <v>438</v>
      </c>
      <c r="E1870" t="s">
        <v>2301</v>
      </c>
      <c r="F1870" t="s">
        <v>2300</v>
      </c>
      <c r="G1870" t="s">
        <v>2266</v>
      </c>
      <c r="H1870" t="s">
        <v>373</v>
      </c>
      <c r="I1870" t="s">
        <v>289</v>
      </c>
      <c r="J1870" t="s">
        <v>613</v>
      </c>
      <c r="K1870">
        <v>11</v>
      </c>
      <c r="L1870" s="6">
        <v>3.3527999999999998</v>
      </c>
      <c r="M1870" s="7">
        <v>19.05</v>
      </c>
      <c r="N1870" s="7">
        <v>88.9</v>
      </c>
      <c r="O1870" s="7">
        <f t="shared" si="152"/>
        <v>132</v>
      </c>
      <c r="P1870" s="7">
        <f t="shared" ref="P1870:Q1901" si="157">M1870/25.4</f>
        <v>0.75000000000000011</v>
      </c>
      <c r="Q1870" s="7">
        <f t="shared" si="157"/>
        <v>3.5000000000000004</v>
      </c>
      <c r="R1870" s="6">
        <f t="shared" si="154"/>
        <v>1937.2619999999999</v>
      </c>
      <c r="S1870" s="6">
        <f t="shared" si="155"/>
        <v>5.6781176760000007E-3</v>
      </c>
      <c r="T1870" t="str">
        <f t="shared" si="156"/>
        <v>Massaranduba Bullet Wood S4S E4E 1x4 Long</v>
      </c>
    </row>
    <row r="1871" spans="1:20" x14ac:dyDescent="0.25">
      <c r="A1871" t="s">
        <v>2262</v>
      </c>
      <c r="B1871" t="s">
        <v>2298</v>
      </c>
      <c r="C1871" t="s">
        <v>283</v>
      </c>
      <c r="D1871" t="s">
        <v>438</v>
      </c>
      <c r="E1871" t="s">
        <v>2302</v>
      </c>
      <c r="F1871" t="s">
        <v>2300</v>
      </c>
      <c r="G1871" t="s">
        <v>2266</v>
      </c>
      <c r="H1871" t="s">
        <v>373</v>
      </c>
      <c r="I1871" t="s">
        <v>289</v>
      </c>
      <c r="J1871" t="s">
        <v>613</v>
      </c>
      <c r="K1871">
        <v>12</v>
      </c>
      <c r="L1871" s="6">
        <v>3.6576</v>
      </c>
      <c r="M1871" s="7">
        <v>19.05</v>
      </c>
      <c r="N1871" s="7">
        <v>88.9</v>
      </c>
      <c r="O1871" s="7">
        <f t="shared" si="152"/>
        <v>144</v>
      </c>
      <c r="P1871" s="7">
        <f t="shared" si="157"/>
        <v>0.75000000000000011</v>
      </c>
      <c r="Q1871" s="7">
        <f t="shared" si="157"/>
        <v>3.5000000000000004</v>
      </c>
      <c r="R1871" s="6">
        <f t="shared" si="154"/>
        <v>1937.2619999999999</v>
      </c>
      <c r="S1871" s="6">
        <f t="shared" si="155"/>
        <v>6.1943101919999998E-3</v>
      </c>
      <c r="T1871" t="str">
        <f t="shared" si="156"/>
        <v>Massaranduba Bullet Wood S4S E4E 1x4 Long</v>
      </c>
    </row>
    <row r="1872" spans="1:20" x14ac:dyDescent="0.25">
      <c r="A1872" t="s">
        <v>2262</v>
      </c>
      <c r="B1872" t="s">
        <v>2298</v>
      </c>
      <c r="C1872" t="s">
        <v>283</v>
      </c>
      <c r="D1872" t="s">
        <v>438</v>
      </c>
      <c r="E1872" t="s">
        <v>2303</v>
      </c>
      <c r="F1872" t="s">
        <v>2300</v>
      </c>
      <c r="G1872" t="s">
        <v>2266</v>
      </c>
      <c r="H1872" t="s">
        <v>373</v>
      </c>
      <c r="I1872" t="s">
        <v>289</v>
      </c>
      <c r="J1872" t="s">
        <v>613</v>
      </c>
      <c r="K1872">
        <v>13</v>
      </c>
      <c r="L1872" s="6">
        <v>3.9624000000000001</v>
      </c>
      <c r="M1872" s="7">
        <v>19.05</v>
      </c>
      <c r="N1872" s="7">
        <v>88.9</v>
      </c>
      <c r="O1872" s="7">
        <f t="shared" si="152"/>
        <v>156</v>
      </c>
      <c r="P1872" s="7">
        <f t="shared" si="157"/>
        <v>0.75000000000000011</v>
      </c>
      <c r="Q1872" s="7">
        <f t="shared" si="157"/>
        <v>3.5000000000000004</v>
      </c>
      <c r="R1872" s="6">
        <f t="shared" si="154"/>
        <v>1937.2619999999999</v>
      </c>
      <c r="S1872" s="6">
        <f t="shared" si="155"/>
        <v>6.7105027080000008E-3</v>
      </c>
      <c r="T1872" t="str">
        <f t="shared" si="156"/>
        <v>Massaranduba Bullet Wood S4S E4E 1x4 Long</v>
      </c>
    </row>
    <row r="1873" spans="1:20" x14ac:dyDescent="0.25">
      <c r="A1873" t="s">
        <v>2262</v>
      </c>
      <c r="B1873" t="s">
        <v>2298</v>
      </c>
      <c r="C1873" t="s">
        <v>283</v>
      </c>
      <c r="D1873" t="s">
        <v>438</v>
      </c>
      <c r="E1873" t="s">
        <v>2304</v>
      </c>
      <c r="F1873" t="s">
        <v>2300</v>
      </c>
      <c r="G1873" t="s">
        <v>2266</v>
      </c>
      <c r="H1873" t="s">
        <v>373</v>
      </c>
      <c r="I1873" t="s">
        <v>289</v>
      </c>
      <c r="J1873" t="s">
        <v>613</v>
      </c>
      <c r="K1873">
        <v>14</v>
      </c>
      <c r="L1873" s="6">
        <v>4.2671999999999999</v>
      </c>
      <c r="M1873" s="7">
        <v>19.05</v>
      </c>
      <c r="N1873" s="7">
        <v>88.9</v>
      </c>
      <c r="O1873" s="7">
        <f t="shared" si="152"/>
        <v>168</v>
      </c>
      <c r="P1873" s="7">
        <f t="shared" si="157"/>
        <v>0.75000000000000011</v>
      </c>
      <c r="Q1873" s="7">
        <f t="shared" si="157"/>
        <v>3.5000000000000004</v>
      </c>
      <c r="R1873" s="6">
        <f t="shared" si="154"/>
        <v>1937.2619999999999</v>
      </c>
      <c r="S1873" s="6">
        <f t="shared" si="155"/>
        <v>7.226695224E-3</v>
      </c>
      <c r="T1873" t="str">
        <f t="shared" si="156"/>
        <v>Massaranduba Bullet Wood S4S E4E 1x4 Long</v>
      </c>
    </row>
    <row r="1874" spans="1:20" x14ac:dyDescent="0.25">
      <c r="A1874" t="s">
        <v>2262</v>
      </c>
      <c r="B1874" t="s">
        <v>2298</v>
      </c>
      <c r="C1874" t="s">
        <v>283</v>
      </c>
      <c r="D1874" t="s">
        <v>438</v>
      </c>
      <c r="E1874" t="s">
        <v>2305</v>
      </c>
      <c r="F1874" t="s">
        <v>2300</v>
      </c>
      <c r="G1874" t="s">
        <v>2266</v>
      </c>
      <c r="H1874" t="s">
        <v>373</v>
      </c>
      <c r="I1874" t="s">
        <v>289</v>
      </c>
      <c r="J1874" t="s">
        <v>613</v>
      </c>
      <c r="K1874">
        <v>15</v>
      </c>
      <c r="L1874" s="6">
        <v>4.5720000000000001</v>
      </c>
      <c r="M1874" s="7">
        <v>19.05</v>
      </c>
      <c r="N1874" s="7">
        <v>88.9</v>
      </c>
      <c r="O1874" s="7">
        <f t="shared" si="152"/>
        <v>180</v>
      </c>
      <c r="P1874" s="7">
        <f t="shared" si="157"/>
        <v>0.75000000000000011</v>
      </c>
      <c r="Q1874" s="7">
        <f t="shared" si="157"/>
        <v>3.5000000000000004</v>
      </c>
      <c r="R1874" s="6">
        <f t="shared" si="154"/>
        <v>1937.2619999999999</v>
      </c>
      <c r="S1874" s="6">
        <f t="shared" si="155"/>
        <v>7.7428877400000018E-3</v>
      </c>
      <c r="T1874" t="str">
        <f t="shared" si="156"/>
        <v>Massaranduba Bullet Wood S4S E4E 1x4 Long</v>
      </c>
    </row>
    <row r="1875" spans="1:20" x14ac:dyDescent="0.25">
      <c r="A1875" t="s">
        <v>2262</v>
      </c>
      <c r="B1875" t="s">
        <v>2298</v>
      </c>
      <c r="C1875" t="s">
        <v>283</v>
      </c>
      <c r="D1875" t="s">
        <v>438</v>
      </c>
      <c r="E1875" t="s">
        <v>2306</v>
      </c>
      <c r="F1875" t="s">
        <v>2300</v>
      </c>
      <c r="G1875" t="s">
        <v>2266</v>
      </c>
      <c r="H1875" t="s">
        <v>373</v>
      </c>
      <c r="I1875" t="s">
        <v>289</v>
      </c>
      <c r="J1875" t="s">
        <v>613</v>
      </c>
      <c r="K1875">
        <v>16</v>
      </c>
      <c r="L1875" s="6">
        <v>4.8768000000000002</v>
      </c>
      <c r="M1875" s="7">
        <v>19.05</v>
      </c>
      <c r="N1875" s="7">
        <v>88.9</v>
      </c>
      <c r="O1875" s="7">
        <f t="shared" si="152"/>
        <v>192.00000000000003</v>
      </c>
      <c r="P1875" s="7">
        <f t="shared" si="157"/>
        <v>0.75000000000000011</v>
      </c>
      <c r="Q1875" s="7">
        <f t="shared" si="157"/>
        <v>3.5000000000000004</v>
      </c>
      <c r="R1875" s="6">
        <f t="shared" si="154"/>
        <v>1937.2619999999999</v>
      </c>
      <c r="S1875" s="6">
        <f t="shared" si="155"/>
        <v>8.259080256000001E-3</v>
      </c>
      <c r="T1875" t="str">
        <f t="shared" si="156"/>
        <v>Massaranduba Bullet Wood S4S E4E 1x4 Long</v>
      </c>
    </row>
    <row r="1876" spans="1:20" x14ac:dyDescent="0.25">
      <c r="A1876" t="s">
        <v>2262</v>
      </c>
      <c r="B1876" t="s">
        <v>2298</v>
      </c>
      <c r="C1876" t="s">
        <v>283</v>
      </c>
      <c r="D1876" t="s">
        <v>438</v>
      </c>
      <c r="E1876" t="s">
        <v>2307</v>
      </c>
      <c r="F1876" t="s">
        <v>2300</v>
      </c>
      <c r="G1876" t="s">
        <v>2266</v>
      </c>
      <c r="H1876" t="s">
        <v>373</v>
      </c>
      <c r="I1876" t="s">
        <v>289</v>
      </c>
      <c r="J1876" t="s">
        <v>613</v>
      </c>
      <c r="K1876">
        <v>17</v>
      </c>
      <c r="L1876" s="6">
        <v>5.1816000000000004</v>
      </c>
      <c r="M1876" s="7">
        <v>19.05</v>
      </c>
      <c r="N1876" s="7">
        <v>88.9</v>
      </c>
      <c r="O1876" s="7">
        <f t="shared" si="152"/>
        <v>204.00000000000003</v>
      </c>
      <c r="P1876" s="7">
        <f t="shared" si="157"/>
        <v>0.75000000000000011</v>
      </c>
      <c r="Q1876" s="7">
        <f t="shared" si="157"/>
        <v>3.5000000000000004</v>
      </c>
      <c r="R1876" s="6">
        <f t="shared" si="154"/>
        <v>1937.2619999999999</v>
      </c>
      <c r="S1876" s="6">
        <f t="shared" si="155"/>
        <v>8.7752727720000027E-3</v>
      </c>
      <c r="T1876" t="str">
        <f t="shared" si="156"/>
        <v>Massaranduba Bullet Wood S4S E4E 1x4 Long</v>
      </c>
    </row>
    <row r="1877" spans="1:20" x14ac:dyDescent="0.25">
      <c r="A1877" t="s">
        <v>2262</v>
      </c>
      <c r="B1877" t="s">
        <v>2298</v>
      </c>
      <c r="C1877" t="s">
        <v>283</v>
      </c>
      <c r="D1877" t="s">
        <v>438</v>
      </c>
      <c r="E1877" t="s">
        <v>2308</v>
      </c>
      <c r="F1877" t="s">
        <v>2300</v>
      </c>
      <c r="G1877" t="s">
        <v>2266</v>
      </c>
      <c r="H1877" t="s">
        <v>373</v>
      </c>
      <c r="I1877" t="s">
        <v>289</v>
      </c>
      <c r="J1877" t="s">
        <v>613</v>
      </c>
      <c r="K1877">
        <v>18</v>
      </c>
      <c r="L1877" s="6">
        <v>5.4863999999999997</v>
      </c>
      <c r="M1877" s="7">
        <v>19.05</v>
      </c>
      <c r="N1877" s="7">
        <v>88.9</v>
      </c>
      <c r="O1877" s="7">
        <f t="shared" si="152"/>
        <v>216</v>
      </c>
      <c r="P1877" s="7">
        <f t="shared" si="157"/>
        <v>0.75000000000000011</v>
      </c>
      <c r="Q1877" s="7">
        <f t="shared" si="157"/>
        <v>3.5000000000000004</v>
      </c>
      <c r="R1877" s="6">
        <f t="shared" si="154"/>
        <v>1937.2619999999999</v>
      </c>
      <c r="S1877" s="6">
        <f t="shared" si="155"/>
        <v>9.2914652880000011E-3</v>
      </c>
      <c r="T1877" t="str">
        <f t="shared" si="156"/>
        <v>Massaranduba Bullet Wood S4S E4E 1x4 Long</v>
      </c>
    </row>
    <row r="1878" spans="1:20" x14ac:dyDescent="0.25">
      <c r="A1878" t="s">
        <v>2262</v>
      </c>
      <c r="B1878" t="s">
        <v>2298</v>
      </c>
      <c r="C1878" t="s">
        <v>283</v>
      </c>
      <c r="D1878" t="s">
        <v>438</v>
      </c>
      <c r="E1878" t="s">
        <v>2309</v>
      </c>
      <c r="F1878" t="s">
        <v>2300</v>
      </c>
      <c r="G1878" t="s">
        <v>2266</v>
      </c>
      <c r="H1878" t="s">
        <v>373</v>
      </c>
      <c r="I1878" t="s">
        <v>289</v>
      </c>
      <c r="J1878" t="s">
        <v>613</v>
      </c>
      <c r="K1878">
        <v>19</v>
      </c>
      <c r="L1878" s="6">
        <v>5.7911999999999999</v>
      </c>
      <c r="M1878" s="7">
        <v>19.05</v>
      </c>
      <c r="N1878" s="7">
        <v>88.9</v>
      </c>
      <c r="O1878" s="7">
        <f t="shared" si="152"/>
        <v>228</v>
      </c>
      <c r="P1878" s="7">
        <f t="shared" si="157"/>
        <v>0.75000000000000011</v>
      </c>
      <c r="Q1878" s="7">
        <f t="shared" si="157"/>
        <v>3.5000000000000004</v>
      </c>
      <c r="R1878" s="6">
        <f t="shared" si="154"/>
        <v>1937.2619999999999</v>
      </c>
      <c r="S1878" s="6">
        <f t="shared" si="155"/>
        <v>9.8076578040000011E-3</v>
      </c>
      <c r="T1878" t="str">
        <f t="shared" si="156"/>
        <v>Massaranduba Bullet Wood S4S E4E 1x4 Long</v>
      </c>
    </row>
    <row r="1879" spans="1:20" x14ac:dyDescent="0.25">
      <c r="A1879" t="s">
        <v>2262</v>
      </c>
      <c r="B1879" t="s">
        <v>2298</v>
      </c>
      <c r="C1879" t="s">
        <v>283</v>
      </c>
      <c r="D1879" t="s">
        <v>438</v>
      </c>
      <c r="E1879" t="s">
        <v>2310</v>
      </c>
      <c r="F1879" t="s">
        <v>2300</v>
      </c>
      <c r="G1879" t="s">
        <v>2266</v>
      </c>
      <c r="H1879" t="s">
        <v>373</v>
      </c>
      <c r="I1879" t="s">
        <v>289</v>
      </c>
      <c r="J1879" t="s">
        <v>613</v>
      </c>
      <c r="K1879">
        <v>20</v>
      </c>
      <c r="L1879" s="6">
        <v>6.0960000000000001</v>
      </c>
      <c r="M1879" s="7">
        <v>19.05</v>
      </c>
      <c r="N1879" s="7">
        <v>88.9</v>
      </c>
      <c r="O1879" s="7">
        <f t="shared" si="152"/>
        <v>240</v>
      </c>
      <c r="P1879" s="7">
        <f t="shared" si="157"/>
        <v>0.75000000000000011</v>
      </c>
      <c r="Q1879" s="7">
        <f t="shared" si="157"/>
        <v>3.5000000000000004</v>
      </c>
      <c r="R1879" s="6">
        <f t="shared" si="154"/>
        <v>1937.2619999999999</v>
      </c>
      <c r="S1879" s="6">
        <f t="shared" si="155"/>
        <v>1.0323850320000001E-2</v>
      </c>
      <c r="T1879" t="str">
        <f t="shared" si="156"/>
        <v>Massaranduba Bullet Wood S4S E4E 1x4 Long</v>
      </c>
    </row>
    <row r="1880" spans="1:20" x14ac:dyDescent="0.25">
      <c r="A1880" t="s">
        <v>2262</v>
      </c>
      <c r="B1880" t="s">
        <v>2298</v>
      </c>
      <c r="C1880" t="s">
        <v>283</v>
      </c>
      <c r="D1880" t="s">
        <v>438</v>
      </c>
      <c r="E1880" t="s">
        <v>2311</v>
      </c>
      <c r="F1880" t="s">
        <v>2300</v>
      </c>
      <c r="G1880" t="s">
        <v>2266</v>
      </c>
      <c r="H1880" t="s">
        <v>373</v>
      </c>
      <c r="I1880" t="s">
        <v>289</v>
      </c>
      <c r="J1880" t="s">
        <v>613</v>
      </c>
      <c r="K1880">
        <v>22</v>
      </c>
      <c r="L1880" s="6">
        <v>6.7055999999999996</v>
      </c>
      <c r="M1880" s="7">
        <v>19.05</v>
      </c>
      <c r="N1880" s="7">
        <v>88.9</v>
      </c>
      <c r="O1880" s="7">
        <f t="shared" si="152"/>
        <v>264</v>
      </c>
      <c r="P1880" s="7">
        <f t="shared" si="157"/>
        <v>0.75000000000000011</v>
      </c>
      <c r="Q1880" s="7">
        <f t="shared" si="157"/>
        <v>3.5000000000000004</v>
      </c>
      <c r="R1880" s="6">
        <f t="shared" si="154"/>
        <v>1937.2619999999999</v>
      </c>
      <c r="S1880" s="6">
        <f t="shared" si="155"/>
        <v>1.1356235352000001E-2</v>
      </c>
      <c r="T1880" t="str">
        <f t="shared" si="156"/>
        <v>Massaranduba Bullet Wood S4S E4E 1x4 Long</v>
      </c>
    </row>
    <row r="1881" spans="1:20" x14ac:dyDescent="0.25">
      <c r="A1881" t="s">
        <v>2262</v>
      </c>
      <c r="B1881" t="s">
        <v>2298</v>
      </c>
      <c r="C1881" t="s">
        <v>283</v>
      </c>
      <c r="D1881" t="s">
        <v>438</v>
      </c>
      <c r="E1881" t="s">
        <v>2312</v>
      </c>
      <c r="F1881" t="s">
        <v>2300</v>
      </c>
      <c r="G1881" t="s">
        <v>2266</v>
      </c>
      <c r="H1881" t="s">
        <v>373</v>
      </c>
      <c r="I1881" t="s">
        <v>289</v>
      </c>
      <c r="J1881" t="s">
        <v>613</v>
      </c>
      <c r="K1881">
        <v>8</v>
      </c>
      <c r="L1881" s="6">
        <v>2.4384000000000001</v>
      </c>
      <c r="M1881" s="7">
        <v>19.05</v>
      </c>
      <c r="N1881" s="7">
        <v>88.9</v>
      </c>
      <c r="O1881" s="7">
        <f t="shared" si="152"/>
        <v>96.000000000000014</v>
      </c>
      <c r="P1881" s="7">
        <f t="shared" si="157"/>
        <v>0.75000000000000011</v>
      </c>
      <c r="Q1881" s="7">
        <f t="shared" si="157"/>
        <v>3.5000000000000004</v>
      </c>
      <c r="R1881" s="6">
        <f t="shared" si="154"/>
        <v>1937.2619999999999</v>
      </c>
      <c r="S1881" s="6">
        <f t="shared" si="155"/>
        <v>4.1295401280000005E-3</v>
      </c>
      <c r="T1881" t="str">
        <f t="shared" si="156"/>
        <v>Massaranduba Bullet Wood S4S E4E 1x4 Long</v>
      </c>
    </row>
    <row r="1882" spans="1:20" x14ac:dyDescent="0.25">
      <c r="A1882" t="s">
        <v>2262</v>
      </c>
      <c r="B1882" t="s">
        <v>2298</v>
      </c>
      <c r="C1882" t="s">
        <v>283</v>
      </c>
      <c r="D1882" t="s">
        <v>438</v>
      </c>
      <c r="E1882" t="s">
        <v>2313</v>
      </c>
      <c r="F1882" t="s">
        <v>2300</v>
      </c>
      <c r="G1882" t="s">
        <v>2266</v>
      </c>
      <c r="H1882" t="s">
        <v>373</v>
      </c>
      <c r="I1882" t="s">
        <v>289</v>
      </c>
      <c r="J1882" t="s">
        <v>613</v>
      </c>
      <c r="K1882">
        <v>9</v>
      </c>
      <c r="L1882" s="6">
        <v>2.7431999999999999</v>
      </c>
      <c r="M1882" s="7">
        <v>19.05</v>
      </c>
      <c r="N1882" s="7">
        <v>88.9</v>
      </c>
      <c r="O1882" s="7">
        <f t="shared" si="152"/>
        <v>108</v>
      </c>
      <c r="P1882" s="7">
        <f t="shared" si="157"/>
        <v>0.75000000000000011</v>
      </c>
      <c r="Q1882" s="7">
        <f t="shared" si="157"/>
        <v>3.5000000000000004</v>
      </c>
      <c r="R1882" s="6">
        <f t="shared" si="154"/>
        <v>1937.2619999999999</v>
      </c>
      <c r="S1882" s="6">
        <f t="shared" si="155"/>
        <v>4.6457326440000005E-3</v>
      </c>
      <c r="T1882" t="str">
        <f t="shared" si="156"/>
        <v>Massaranduba Bullet Wood S4S E4E 1x4 Long</v>
      </c>
    </row>
    <row r="1883" spans="1:20" x14ac:dyDescent="0.25">
      <c r="A1883" t="s">
        <v>2262</v>
      </c>
      <c r="B1883" t="s">
        <v>2314</v>
      </c>
      <c r="C1883" t="s">
        <v>283</v>
      </c>
      <c r="D1883" t="s">
        <v>438</v>
      </c>
      <c r="E1883" t="str">
        <f t="shared" ref="E1883:E1902" si="158">"BWKD16"&amp;K1883&amp;"S"</f>
        <v>BWKD1610S</v>
      </c>
      <c r="F1883" t="s">
        <v>2315</v>
      </c>
      <c r="G1883" t="s">
        <v>2266</v>
      </c>
      <c r="H1883" t="s">
        <v>373</v>
      </c>
      <c r="I1883" t="s">
        <v>289</v>
      </c>
      <c r="J1883" t="s">
        <v>344</v>
      </c>
      <c r="K1883">
        <v>10</v>
      </c>
      <c r="L1883" s="6">
        <v>3.048</v>
      </c>
      <c r="M1883" s="7">
        <v>19.05</v>
      </c>
      <c r="N1883" s="7">
        <v>139.69999999999999</v>
      </c>
      <c r="O1883" s="7">
        <f t="shared" si="152"/>
        <v>120</v>
      </c>
      <c r="P1883" s="7">
        <f t="shared" si="157"/>
        <v>0.75000000000000011</v>
      </c>
      <c r="Q1883" s="7">
        <f t="shared" si="157"/>
        <v>5.5</v>
      </c>
      <c r="R1883" s="6">
        <f t="shared" si="154"/>
        <v>1232.8030000000001</v>
      </c>
      <c r="S1883" s="6">
        <f t="shared" si="155"/>
        <v>8.1115966799999994E-3</v>
      </c>
      <c r="T1883" t="str">
        <f t="shared" si="156"/>
        <v>Massaranduba Bullet Wood S4S E4E 1x6 Long</v>
      </c>
    </row>
    <row r="1884" spans="1:20" x14ac:dyDescent="0.25">
      <c r="A1884" t="s">
        <v>2262</v>
      </c>
      <c r="B1884" t="s">
        <v>2314</v>
      </c>
      <c r="C1884" t="s">
        <v>283</v>
      </c>
      <c r="D1884" t="s">
        <v>438</v>
      </c>
      <c r="E1884" t="str">
        <f t="shared" si="158"/>
        <v>BWKD1611S</v>
      </c>
      <c r="F1884" t="s">
        <v>2315</v>
      </c>
      <c r="G1884" t="s">
        <v>2266</v>
      </c>
      <c r="H1884" t="s">
        <v>373</v>
      </c>
      <c r="I1884" t="s">
        <v>289</v>
      </c>
      <c r="J1884" t="s">
        <v>344</v>
      </c>
      <c r="K1884">
        <v>11</v>
      </c>
      <c r="L1884" s="6">
        <v>3.3528000000000002</v>
      </c>
      <c r="M1884" s="7">
        <v>19.05</v>
      </c>
      <c r="N1884" s="7">
        <v>139.69999999999999</v>
      </c>
      <c r="O1884" s="7">
        <f t="shared" si="152"/>
        <v>132</v>
      </c>
      <c r="P1884" s="7">
        <f t="shared" si="157"/>
        <v>0.75000000000000011</v>
      </c>
      <c r="Q1884" s="7">
        <f t="shared" si="157"/>
        <v>5.5</v>
      </c>
      <c r="R1884" s="6">
        <f t="shared" si="154"/>
        <v>1232.8030000000001</v>
      </c>
      <c r="S1884" s="6">
        <f t="shared" si="155"/>
        <v>8.9227563480000025E-3</v>
      </c>
      <c r="T1884" t="str">
        <f t="shared" si="156"/>
        <v>Massaranduba Bullet Wood S4S E4E 1x6 Long</v>
      </c>
    </row>
    <row r="1885" spans="1:20" x14ac:dyDescent="0.25">
      <c r="A1885" t="s">
        <v>2262</v>
      </c>
      <c r="B1885" t="s">
        <v>2314</v>
      </c>
      <c r="C1885" t="s">
        <v>283</v>
      </c>
      <c r="D1885" t="s">
        <v>438</v>
      </c>
      <c r="E1885" t="str">
        <f t="shared" si="158"/>
        <v>BWKD1612S</v>
      </c>
      <c r="F1885" t="s">
        <v>2315</v>
      </c>
      <c r="G1885" t="s">
        <v>2266</v>
      </c>
      <c r="H1885" t="s">
        <v>373</v>
      </c>
      <c r="I1885" t="s">
        <v>289</v>
      </c>
      <c r="J1885" t="s">
        <v>344</v>
      </c>
      <c r="K1885">
        <v>12</v>
      </c>
      <c r="L1885" s="6">
        <v>3.6576000000000004</v>
      </c>
      <c r="M1885" s="7">
        <v>19.05</v>
      </c>
      <c r="N1885" s="7">
        <v>139.69999999999999</v>
      </c>
      <c r="O1885" s="7">
        <f t="shared" si="152"/>
        <v>144.00000000000003</v>
      </c>
      <c r="P1885" s="7">
        <f t="shared" si="157"/>
        <v>0.75000000000000011</v>
      </c>
      <c r="Q1885" s="7">
        <f t="shared" si="157"/>
        <v>5.5</v>
      </c>
      <c r="R1885" s="6">
        <f t="shared" si="154"/>
        <v>1232.8030000000001</v>
      </c>
      <c r="S1885" s="6">
        <f t="shared" si="155"/>
        <v>9.7339160160000004E-3</v>
      </c>
      <c r="T1885" t="str">
        <f t="shared" si="156"/>
        <v>Massaranduba Bullet Wood S4S E4E 1x6 Long</v>
      </c>
    </row>
    <row r="1886" spans="1:20" x14ac:dyDescent="0.25">
      <c r="A1886" t="s">
        <v>2262</v>
      </c>
      <c r="B1886" t="s">
        <v>2314</v>
      </c>
      <c r="C1886" t="s">
        <v>283</v>
      </c>
      <c r="D1886" t="s">
        <v>438</v>
      </c>
      <c r="E1886" t="str">
        <f t="shared" si="158"/>
        <v>BWKD1613S</v>
      </c>
      <c r="F1886" t="s">
        <v>2315</v>
      </c>
      <c r="G1886" t="s">
        <v>2266</v>
      </c>
      <c r="H1886" t="s">
        <v>373</v>
      </c>
      <c r="I1886" t="s">
        <v>289</v>
      </c>
      <c r="J1886" t="s">
        <v>344</v>
      </c>
      <c r="K1886">
        <v>13</v>
      </c>
      <c r="L1886" s="6">
        <v>3.9624000000000001</v>
      </c>
      <c r="M1886" s="7">
        <v>19.05</v>
      </c>
      <c r="N1886" s="7">
        <v>139.69999999999999</v>
      </c>
      <c r="O1886" s="7">
        <f t="shared" si="152"/>
        <v>156</v>
      </c>
      <c r="P1886" s="7">
        <f t="shared" si="157"/>
        <v>0.75000000000000011</v>
      </c>
      <c r="Q1886" s="7">
        <f t="shared" si="157"/>
        <v>5.5</v>
      </c>
      <c r="R1886" s="6">
        <f t="shared" si="154"/>
        <v>1232.8030000000001</v>
      </c>
      <c r="S1886" s="6">
        <f t="shared" si="155"/>
        <v>1.0545075684E-2</v>
      </c>
      <c r="T1886" t="str">
        <f t="shared" si="156"/>
        <v>Massaranduba Bullet Wood S4S E4E 1x6 Long</v>
      </c>
    </row>
    <row r="1887" spans="1:20" x14ac:dyDescent="0.25">
      <c r="A1887" t="s">
        <v>2262</v>
      </c>
      <c r="B1887" t="s">
        <v>2314</v>
      </c>
      <c r="C1887" t="s">
        <v>283</v>
      </c>
      <c r="D1887" t="s">
        <v>438</v>
      </c>
      <c r="E1887" t="str">
        <f t="shared" si="158"/>
        <v>BWKD1614S</v>
      </c>
      <c r="F1887" t="s">
        <v>2315</v>
      </c>
      <c r="G1887" t="s">
        <v>2266</v>
      </c>
      <c r="H1887" t="s">
        <v>373</v>
      </c>
      <c r="I1887" t="s">
        <v>289</v>
      </c>
      <c r="J1887" t="s">
        <v>344</v>
      </c>
      <c r="K1887">
        <v>14</v>
      </c>
      <c r="L1887" s="6">
        <v>4.2671999999999999</v>
      </c>
      <c r="M1887" s="7">
        <v>19.05</v>
      </c>
      <c r="N1887" s="7">
        <v>139.69999999999999</v>
      </c>
      <c r="O1887" s="7">
        <f t="shared" si="152"/>
        <v>168</v>
      </c>
      <c r="P1887" s="7">
        <f t="shared" si="157"/>
        <v>0.75000000000000011</v>
      </c>
      <c r="Q1887" s="7">
        <f t="shared" si="157"/>
        <v>5.5</v>
      </c>
      <c r="R1887" s="6">
        <f t="shared" si="154"/>
        <v>1232.8030000000001</v>
      </c>
      <c r="S1887" s="6">
        <f t="shared" si="155"/>
        <v>1.1356235352E-2</v>
      </c>
      <c r="T1887" t="str">
        <f t="shared" si="156"/>
        <v>Massaranduba Bullet Wood S4S E4E 1x6 Long</v>
      </c>
    </row>
    <row r="1888" spans="1:20" x14ac:dyDescent="0.25">
      <c r="A1888" t="s">
        <v>2262</v>
      </c>
      <c r="B1888" t="s">
        <v>2314</v>
      </c>
      <c r="C1888" t="s">
        <v>283</v>
      </c>
      <c r="D1888" t="s">
        <v>438</v>
      </c>
      <c r="E1888" t="str">
        <f t="shared" si="158"/>
        <v>BWKD1615S</v>
      </c>
      <c r="F1888" t="s">
        <v>2315</v>
      </c>
      <c r="G1888" t="s">
        <v>2266</v>
      </c>
      <c r="H1888" t="s">
        <v>373</v>
      </c>
      <c r="I1888" t="s">
        <v>289</v>
      </c>
      <c r="J1888" t="s">
        <v>344</v>
      </c>
      <c r="K1888">
        <v>15</v>
      </c>
      <c r="L1888" s="6">
        <v>4.5720000000000001</v>
      </c>
      <c r="M1888" s="7">
        <v>19.05</v>
      </c>
      <c r="N1888" s="7">
        <v>139.69999999999999</v>
      </c>
      <c r="O1888" s="7">
        <f t="shared" si="152"/>
        <v>180</v>
      </c>
      <c r="P1888" s="7">
        <f t="shared" si="157"/>
        <v>0.75000000000000011</v>
      </c>
      <c r="Q1888" s="7">
        <f t="shared" si="157"/>
        <v>5.5</v>
      </c>
      <c r="R1888" s="6">
        <f t="shared" si="154"/>
        <v>1232.8030000000001</v>
      </c>
      <c r="S1888" s="6">
        <f t="shared" si="155"/>
        <v>1.2167395020000001E-2</v>
      </c>
      <c r="T1888" t="str">
        <f t="shared" si="156"/>
        <v>Massaranduba Bullet Wood S4S E4E 1x6 Long</v>
      </c>
    </row>
    <row r="1889" spans="1:20" x14ac:dyDescent="0.25">
      <c r="A1889" t="s">
        <v>2262</v>
      </c>
      <c r="B1889" t="s">
        <v>2314</v>
      </c>
      <c r="C1889" t="s">
        <v>283</v>
      </c>
      <c r="D1889" t="s">
        <v>438</v>
      </c>
      <c r="E1889" t="str">
        <f t="shared" si="158"/>
        <v>BWKD1616S</v>
      </c>
      <c r="F1889" t="s">
        <v>2315</v>
      </c>
      <c r="G1889" t="s">
        <v>2266</v>
      </c>
      <c r="H1889" t="s">
        <v>373</v>
      </c>
      <c r="I1889" t="s">
        <v>289</v>
      </c>
      <c r="J1889" t="s">
        <v>344</v>
      </c>
      <c r="K1889">
        <v>16</v>
      </c>
      <c r="L1889" s="6">
        <v>4.8768000000000002</v>
      </c>
      <c r="M1889" s="7">
        <v>19.05</v>
      </c>
      <c r="N1889" s="7">
        <v>139.69999999999999</v>
      </c>
      <c r="O1889" s="7">
        <f t="shared" si="152"/>
        <v>192.00000000000003</v>
      </c>
      <c r="P1889" s="7">
        <f t="shared" si="157"/>
        <v>0.75000000000000011</v>
      </c>
      <c r="Q1889" s="7">
        <f t="shared" si="157"/>
        <v>5.5</v>
      </c>
      <c r="R1889" s="6">
        <f t="shared" si="154"/>
        <v>1232.8030000000001</v>
      </c>
      <c r="S1889" s="6">
        <f t="shared" si="155"/>
        <v>1.2978554687999999E-2</v>
      </c>
      <c r="T1889" t="str">
        <f t="shared" si="156"/>
        <v>Massaranduba Bullet Wood S4S E4E 1x6 Long</v>
      </c>
    </row>
    <row r="1890" spans="1:20" x14ac:dyDescent="0.25">
      <c r="A1890" t="s">
        <v>2262</v>
      </c>
      <c r="B1890" t="s">
        <v>2314</v>
      </c>
      <c r="C1890" t="s">
        <v>283</v>
      </c>
      <c r="D1890" t="s">
        <v>438</v>
      </c>
      <c r="E1890" t="str">
        <f t="shared" si="158"/>
        <v>BWKD1617S</v>
      </c>
      <c r="F1890" t="s">
        <v>2315</v>
      </c>
      <c r="G1890" t="s">
        <v>2266</v>
      </c>
      <c r="H1890" t="s">
        <v>373</v>
      </c>
      <c r="I1890" t="s">
        <v>289</v>
      </c>
      <c r="J1890" t="s">
        <v>344</v>
      </c>
      <c r="K1890">
        <v>17</v>
      </c>
      <c r="L1890" s="6">
        <v>5.1816000000000004</v>
      </c>
      <c r="M1890" s="7">
        <v>19.05</v>
      </c>
      <c r="N1890" s="7">
        <v>139.69999999999999</v>
      </c>
      <c r="O1890" s="7">
        <f t="shared" si="152"/>
        <v>204.00000000000003</v>
      </c>
      <c r="P1890" s="7">
        <f t="shared" si="157"/>
        <v>0.75000000000000011</v>
      </c>
      <c r="Q1890" s="7">
        <f t="shared" si="157"/>
        <v>5.5</v>
      </c>
      <c r="R1890" s="6">
        <f t="shared" si="154"/>
        <v>1232.8030000000001</v>
      </c>
      <c r="S1890" s="6">
        <f t="shared" si="155"/>
        <v>1.3789714356000002E-2</v>
      </c>
      <c r="T1890" t="str">
        <f t="shared" si="156"/>
        <v>Massaranduba Bullet Wood S4S E4E 1x6 Long</v>
      </c>
    </row>
    <row r="1891" spans="1:20" x14ac:dyDescent="0.25">
      <c r="A1891" t="s">
        <v>2262</v>
      </c>
      <c r="B1891" t="s">
        <v>2314</v>
      </c>
      <c r="C1891" t="s">
        <v>283</v>
      </c>
      <c r="D1891" t="s">
        <v>438</v>
      </c>
      <c r="E1891" t="str">
        <f t="shared" si="158"/>
        <v>BWKD1618S</v>
      </c>
      <c r="F1891" t="s">
        <v>2315</v>
      </c>
      <c r="G1891" t="s">
        <v>2266</v>
      </c>
      <c r="H1891" t="s">
        <v>373</v>
      </c>
      <c r="I1891" t="s">
        <v>289</v>
      </c>
      <c r="J1891" t="s">
        <v>344</v>
      </c>
      <c r="K1891">
        <v>18</v>
      </c>
      <c r="L1891" s="6">
        <v>5.4863999999999997</v>
      </c>
      <c r="M1891" s="7">
        <v>19.05</v>
      </c>
      <c r="N1891" s="7">
        <v>139.69999999999999</v>
      </c>
      <c r="O1891" s="7">
        <f t="shared" si="152"/>
        <v>216</v>
      </c>
      <c r="P1891" s="7">
        <f t="shared" si="157"/>
        <v>0.75000000000000011</v>
      </c>
      <c r="Q1891" s="7">
        <f t="shared" si="157"/>
        <v>5.5</v>
      </c>
      <c r="R1891" s="6">
        <f t="shared" si="154"/>
        <v>1232.8030000000001</v>
      </c>
      <c r="S1891" s="6">
        <f t="shared" si="155"/>
        <v>1.4600874024E-2</v>
      </c>
      <c r="T1891" t="str">
        <f t="shared" si="156"/>
        <v>Massaranduba Bullet Wood S4S E4E 1x6 Long</v>
      </c>
    </row>
    <row r="1892" spans="1:20" x14ac:dyDescent="0.25">
      <c r="A1892" t="s">
        <v>2262</v>
      </c>
      <c r="B1892" t="s">
        <v>2314</v>
      </c>
      <c r="C1892" t="s">
        <v>283</v>
      </c>
      <c r="D1892" t="s">
        <v>438</v>
      </c>
      <c r="E1892" t="str">
        <f t="shared" si="158"/>
        <v>BWKD1619S</v>
      </c>
      <c r="F1892" t="s">
        <v>2315</v>
      </c>
      <c r="G1892" t="s">
        <v>2266</v>
      </c>
      <c r="H1892" t="s">
        <v>373</v>
      </c>
      <c r="I1892" t="s">
        <v>289</v>
      </c>
      <c r="J1892" t="s">
        <v>344</v>
      </c>
      <c r="K1892">
        <v>19</v>
      </c>
      <c r="L1892" s="6">
        <v>5.7911999999999999</v>
      </c>
      <c r="M1892" s="7">
        <v>19.05</v>
      </c>
      <c r="N1892" s="7">
        <v>139.69999999999999</v>
      </c>
      <c r="O1892" s="7">
        <f t="shared" si="152"/>
        <v>228</v>
      </c>
      <c r="P1892" s="7">
        <f t="shared" si="157"/>
        <v>0.75000000000000011</v>
      </c>
      <c r="Q1892" s="7">
        <f t="shared" si="157"/>
        <v>5.5</v>
      </c>
      <c r="R1892" s="6">
        <f t="shared" si="154"/>
        <v>1232.8030000000001</v>
      </c>
      <c r="S1892" s="6">
        <f t="shared" si="155"/>
        <v>1.5412033691999999E-2</v>
      </c>
      <c r="T1892" t="str">
        <f t="shared" si="156"/>
        <v>Massaranduba Bullet Wood S4S E4E 1x6 Long</v>
      </c>
    </row>
    <row r="1893" spans="1:20" x14ac:dyDescent="0.25">
      <c r="A1893" t="s">
        <v>2262</v>
      </c>
      <c r="B1893" t="s">
        <v>2314</v>
      </c>
      <c r="C1893" t="s">
        <v>283</v>
      </c>
      <c r="D1893" t="s">
        <v>438</v>
      </c>
      <c r="E1893" t="str">
        <f t="shared" si="158"/>
        <v>BWKD1620S</v>
      </c>
      <c r="F1893" t="s">
        <v>2315</v>
      </c>
      <c r="G1893" t="s">
        <v>2266</v>
      </c>
      <c r="H1893" t="s">
        <v>373</v>
      </c>
      <c r="I1893" t="s">
        <v>289</v>
      </c>
      <c r="J1893" t="s">
        <v>344</v>
      </c>
      <c r="K1893">
        <v>20</v>
      </c>
      <c r="L1893" s="6">
        <v>6.0960000000000001</v>
      </c>
      <c r="M1893" s="7">
        <v>19.05</v>
      </c>
      <c r="N1893" s="7">
        <v>139.69999999999999</v>
      </c>
      <c r="O1893" s="7">
        <f t="shared" si="152"/>
        <v>240</v>
      </c>
      <c r="P1893" s="7">
        <f t="shared" si="157"/>
        <v>0.75000000000000011</v>
      </c>
      <c r="Q1893" s="7">
        <f t="shared" si="157"/>
        <v>5.5</v>
      </c>
      <c r="R1893" s="6">
        <f t="shared" si="154"/>
        <v>1232.8030000000001</v>
      </c>
      <c r="S1893" s="6">
        <f t="shared" si="155"/>
        <v>1.6223193359999999E-2</v>
      </c>
      <c r="T1893" t="str">
        <f t="shared" si="156"/>
        <v>Massaranduba Bullet Wood S4S E4E 1x6 Long</v>
      </c>
    </row>
    <row r="1894" spans="1:20" x14ac:dyDescent="0.25">
      <c r="A1894" t="s">
        <v>2262</v>
      </c>
      <c r="B1894" t="s">
        <v>2314</v>
      </c>
      <c r="C1894" t="s">
        <v>283</v>
      </c>
      <c r="D1894" t="s">
        <v>438</v>
      </c>
      <c r="E1894" t="str">
        <f t="shared" si="158"/>
        <v>BWKD1621S</v>
      </c>
      <c r="F1894" t="s">
        <v>2315</v>
      </c>
      <c r="G1894" t="s">
        <v>2266</v>
      </c>
      <c r="H1894" t="s">
        <v>373</v>
      </c>
      <c r="I1894" t="s">
        <v>289</v>
      </c>
      <c r="J1894" t="s">
        <v>344</v>
      </c>
      <c r="K1894">
        <v>21</v>
      </c>
      <c r="L1894" s="6">
        <v>6.4008000000000003</v>
      </c>
      <c r="M1894" s="7">
        <v>19.05</v>
      </c>
      <c r="N1894" s="7">
        <v>139.69999999999999</v>
      </c>
      <c r="O1894" s="7">
        <f t="shared" si="152"/>
        <v>252.00000000000003</v>
      </c>
      <c r="P1894" s="7">
        <f t="shared" si="157"/>
        <v>0.75000000000000011</v>
      </c>
      <c r="Q1894" s="7">
        <f t="shared" si="157"/>
        <v>5.5</v>
      </c>
      <c r="R1894" s="6">
        <f t="shared" si="154"/>
        <v>1232.8030000000001</v>
      </c>
      <c r="S1894" s="6">
        <f t="shared" si="155"/>
        <v>1.7034353028E-2</v>
      </c>
      <c r="T1894" t="str">
        <f t="shared" si="156"/>
        <v>Massaranduba Bullet Wood S4S E4E 1x6 Long</v>
      </c>
    </row>
    <row r="1895" spans="1:20" x14ac:dyDescent="0.25">
      <c r="A1895" t="s">
        <v>2262</v>
      </c>
      <c r="B1895" t="s">
        <v>2314</v>
      </c>
      <c r="C1895" t="s">
        <v>283</v>
      </c>
      <c r="D1895" t="s">
        <v>438</v>
      </c>
      <c r="E1895" t="str">
        <f t="shared" si="158"/>
        <v>BWKD1622S</v>
      </c>
      <c r="F1895" t="s">
        <v>2315</v>
      </c>
      <c r="G1895" t="s">
        <v>2266</v>
      </c>
      <c r="H1895" t="s">
        <v>373</v>
      </c>
      <c r="I1895" t="s">
        <v>289</v>
      </c>
      <c r="J1895" t="s">
        <v>344</v>
      </c>
      <c r="K1895">
        <v>22</v>
      </c>
      <c r="L1895" s="6">
        <v>6.7055999999999996</v>
      </c>
      <c r="M1895" s="7">
        <v>19.05</v>
      </c>
      <c r="N1895" s="7">
        <v>139.69999999999999</v>
      </c>
      <c r="O1895" s="7">
        <f t="shared" si="152"/>
        <v>264</v>
      </c>
      <c r="P1895" s="7">
        <f t="shared" si="157"/>
        <v>0.75000000000000011</v>
      </c>
      <c r="Q1895" s="7">
        <f t="shared" si="157"/>
        <v>5.5</v>
      </c>
      <c r="R1895" s="6">
        <f t="shared" si="154"/>
        <v>1232.8030000000001</v>
      </c>
      <c r="S1895" s="6">
        <f t="shared" si="155"/>
        <v>1.7845512695999998E-2</v>
      </c>
      <c r="T1895" t="str">
        <f t="shared" si="156"/>
        <v>Massaranduba Bullet Wood S4S E4E 1x6 Long</v>
      </c>
    </row>
    <row r="1896" spans="1:20" x14ac:dyDescent="0.25">
      <c r="A1896" t="s">
        <v>2262</v>
      </c>
      <c r="B1896" t="s">
        <v>2314</v>
      </c>
      <c r="C1896" t="s">
        <v>524</v>
      </c>
      <c r="D1896" t="s">
        <v>438</v>
      </c>
      <c r="E1896" t="str">
        <f t="shared" si="158"/>
        <v>BWKD163S</v>
      </c>
      <c r="F1896" t="s">
        <v>2315</v>
      </c>
      <c r="G1896" t="s">
        <v>2266</v>
      </c>
      <c r="H1896" t="s">
        <v>373</v>
      </c>
      <c r="I1896" t="s">
        <v>289</v>
      </c>
      <c r="J1896" t="s">
        <v>344</v>
      </c>
      <c r="K1896">
        <v>3</v>
      </c>
      <c r="L1896" s="6">
        <v>0.9144000000000001</v>
      </c>
      <c r="M1896" s="7">
        <v>19.05</v>
      </c>
      <c r="N1896" s="7">
        <v>139.69999999999999</v>
      </c>
      <c r="O1896" s="7">
        <f t="shared" si="152"/>
        <v>36.000000000000007</v>
      </c>
      <c r="P1896" s="7">
        <f t="shared" si="157"/>
        <v>0.75000000000000011</v>
      </c>
      <c r="Q1896" s="7">
        <f t="shared" si="157"/>
        <v>5.5</v>
      </c>
      <c r="R1896" s="6">
        <f t="shared" si="154"/>
        <v>1232.8030000000001</v>
      </c>
      <c r="S1896" s="6">
        <f t="shared" si="155"/>
        <v>2.4334790040000001E-3</v>
      </c>
      <c r="T1896" t="str">
        <f t="shared" si="156"/>
        <v>Massaranduba Bullet Wood S4S E4E 1x6 Short</v>
      </c>
    </row>
    <row r="1897" spans="1:20" x14ac:dyDescent="0.25">
      <c r="A1897" t="s">
        <v>2262</v>
      </c>
      <c r="B1897" t="s">
        <v>2314</v>
      </c>
      <c r="C1897" t="s">
        <v>524</v>
      </c>
      <c r="D1897" t="s">
        <v>438</v>
      </c>
      <c r="E1897" t="str">
        <f t="shared" si="158"/>
        <v>BWKD164S</v>
      </c>
      <c r="F1897" t="s">
        <v>2315</v>
      </c>
      <c r="G1897" t="s">
        <v>2266</v>
      </c>
      <c r="H1897" t="s">
        <v>373</v>
      </c>
      <c r="I1897" t="s">
        <v>289</v>
      </c>
      <c r="J1897" t="s">
        <v>344</v>
      </c>
      <c r="K1897">
        <v>4</v>
      </c>
      <c r="L1897" s="6">
        <v>1.2192000000000001</v>
      </c>
      <c r="M1897" s="7">
        <v>19.05</v>
      </c>
      <c r="N1897" s="7">
        <v>139.69999999999999</v>
      </c>
      <c r="O1897" s="7">
        <f t="shared" si="152"/>
        <v>48.000000000000007</v>
      </c>
      <c r="P1897" s="7">
        <f t="shared" si="157"/>
        <v>0.75000000000000011</v>
      </c>
      <c r="Q1897" s="7">
        <f t="shared" si="157"/>
        <v>5.5</v>
      </c>
      <c r="R1897" s="6">
        <f t="shared" si="154"/>
        <v>1232.8030000000001</v>
      </c>
      <c r="S1897" s="6">
        <f t="shared" si="155"/>
        <v>3.2446386719999997E-3</v>
      </c>
      <c r="T1897" t="str">
        <f t="shared" si="156"/>
        <v>Massaranduba Bullet Wood S4S E4E 1x6 Short</v>
      </c>
    </row>
    <row r="1898" spans="1:20" x14ac:dyDescent="0.25">
      <c r="A1898" t="s">
        <v>2262</v>
      </c>
      <c r="B1898" t="s">
        <v>2314</v>
      </c>
      <c r="C1898" t="s">
        <v>524</v>
      </c>
      <c r="D1898" t="s">
        <v>438</v>
      </c>
      <c r="E1898" t="str">
        <f t="shared" si="158"/>
        <v>BWKD165S</v>
      </c>
      <c r="F1898" t="s">
        <v>2315</v>
      </c>
      <c r="G1898" t="s">
        <v>2266</v>
      </c>
      <c r="H1898" t="s">
        <v>373</v>
      </c>
      <c r="I1898" t="s">
        <v>289</v>
      </c>
      <c r="J1898" t="s">
        <v>344</v>
      </c>
      <c r="K1898">
        <v>5</v>
      </c>
      <c r="L1898" s="6">
        <v>1.524</v>
      </c>
      <c r="M1898" s="7">
        <v>19.05</v>
      </c>
      <c r="N1898" s="7">
        <v>139.69999999999999</v>
      </c>
      <c r="O1898" s="7">
        <f t="shared" si="152"/>
        <v>60</v>
      </c>
      <c r="P1898" s="7">
        <f t="shared" si="157"/>
        <v>0.75000000000000011</v>
      </c>
      <c r="Q1898" s="7">
        <f t="shared" si="157"/>
        <v>5.5</v>
      </c>
      <c r="R1898" s="6">
        <f t="shared" si="154"/>
        <v>1232.8030000000001</v>
      </c>
      <c r="S1898" s="6">
        <f t="shared" si="155"/>
        <v>4.0557983399999997E-3</v>
      </c>
      <c r="T1898" t="str">
        <f t="shared" si="156"/>
        <v>Massaranduba Bullet Wood S4S E4E 1x6 Short</v>
      </c>
    </row>
    <row r="1899" spans="1:20" x14ac:dyDescent="0.25">
      <c r="A1899" t="s">
        <v>2262</v>
      </c>
      <c r="B1899" t="s">
        <v>2314</v>
      </c>
      <c r="C1899" t="s">
        <v>524</v>
      </c>
      <c r="D1899" t="s">
        <v>438</v>
      </c>
      <c r="E1899" t="str">
        <f t="shared" si="158"/>
        <v>BWKD166S</v>
      </c>
      <c r="F1899" t="s">
        <v>2315</v>
      </c>
      <c r="G1899" t="s">
        <v>2266</v>
      </c>
      <c r="H1899" t="s">
        <v>373</v>
      </c>
      <c r="I1899" t="s">
        <v>289</v>
      </c>
      <c r="J1899" t="s">
        <v>344</v>
      </c>
      <c r="K1899">
        <v>6</v>
      </c>
      <c r="L1899" s="6">
        <v>1.8288000000000002</v>
      </c>
      <c r="M1899" s="7">
        <v>19.05</v>
      </c>
      <c r="N1899" s="7">
        <v>139.69999999999999</v>
      </c>
      <c r="O1899" s="7">
        <f t="shared" si="152"/>
        <v>72.000000000000014</v>
      </c>
      <c r="P1899" s="7">
        <f t="shared" si="157"/>
        <v>0.75000000000000011</v>
      </c>
      <c r="Q1899" s="7">
        <f t="shared" si="157"/>
        <v>5.5</v>
      </c>
      <c r="R1899" s="6">
        <f t="shared" si="154"/>
        <v>1232.8030000000001</v>
      </c>
      <c r="S1899" s="6">
        <f t="shared" si="155"/>
        <v>4.8669580080000002E-3</v>
      </c>
      <c r="T1899" t="str">
        <f t="shared" si="156"/>
        <v>Massaranduba Bullet Wood S4S E4E 1x6 Short</v>
      </c>
    </row>
    <row r="1900" spans="1:20" x14ac:dyDescent="0.25">
      <c r="A1900" t="s">
        <v>2262</v>
      </c>
      <c r="B1900" t="s">
        <v>2314</v>
      </c>
      <c r="C1900" t="s">
        <v>524</v>
      </c>
      <c r="D1900" t="s">
        <v>438</v>
      </c>
      <c r="E1900" t="str">
        <f t="shared" si="158"/>
        <v>BWKD167S</v>
      </c>
      <c r="F1900" t="s">
        <v>2315</v>
      </c>
      <c r="G1900" t="s">
        <v>2266</v>
      </c>
      <c r="H1900" t="s">
        <v>373</v>
      </c>
      <c r="I1900" t="s">
        <v>289</v>
      </c>
      <c r="J1900" t="s">
        <v>344</v>
      </c>
      <c r="K1900">
        <v>7</v>
      </c>
      <c r="L1900" s="6">
        <v>2.1335999999999999</v>
      </c>
      <c r="M1900" s="7">
        <v>19.05</v>
      </c>
      <c r="N1900" s="7">
        <v>139.69999999999999</v>
      </c>
      <c r="O1900" s="7">
        <f t="shared" si="152"/>
        <v>84</v>
      </c>
      <c r="P1900" s="7">
        <f t="shared" si="157"/>
        <v>0.75000000000000011</v>
      </c>
      <c r="Q1900" s="7">
        <f t="shared" si="157"/>
        <v>5.5</v>
      </c>
      <c r="R1900" s="6">
        <f t="shared" si="154"/>
        <v>1232.8030000000001</v>
      </c>
      <c r="S1900" s="6">
        <f t="shared" si="155"/>
        <v>5.6781176759999998E-3</v>
      </c>
      <c r="T1900" t="str">
        <f t="shared" si="156"/>
        <v>Massaranduba Bullet Wood S4S E4E 1x6 Short</v>
      </c>
    </row>
    <row r="1901" spans="1:20" x14ac:dyDescent="0.25">
      <c r="A1901" t="s">
        <v>2262</v>
      </c>
      <c r="B1901" t="s">
        <v>2314</v>
      </c>
      <c r="C1901" t="s">
        <v>283</v>
      </c>
      <c r="D1901" t="s">
        <v>438</v>
      </c>
      <c r="E1901" t="str">
        <f t="shared" si="158"/>
        <v>BWKD168S</v>
      </c>
      <c r="F1901" t="s">
        <v>2315</v>
      </c>
      <c r="G1901" t="s">
        <v>2266</v>
      </c>
      <c r="H1901" t="s">
        <v>373</v>
      </c>
      <c r="I1901" t="s">
        <v>289</v>
      </c>
      <c r="J1901" t="s">
        <v>344</v>
      </c>
      <c r="K1901">
        <v>8</v>
      </c>
      <c r="L1901" s="6">
        <v>2.4384000000000001</v>
      </c>
      <c r="M1901" s="7">
        <v>19.05</v>
      </c>
      <c r="N1901" s="7">
        <v>139.69999999999999</v>
      </c>
      <c r="O1901" s="7">
        <f t="shared" si="152"/>
        <v>96.000000000000014</v>
      </c>
      <c r="P1901" s="7">
        <f t="shared" si="157"/>
        <v>0.75000000000000011</v>
      </c>
      <c r="Q1901" s="7">
        <f t="shared" si="157"/>
        <v>5.5</v>
      </c>
      <c r="R1901" s="6">
        <f t="shared" si="154"/>
        <v>1232.8030000000001</v>
      </c>
      <c r="S1901" s="6">
        <f t="shared" si="155"/>
        <v>6.4892773439999994E-3</v>
      </c>
      <c r="T1901" t="str">
        <f t="shared" si="156"/>
        <v>Massaranduba Bullet Wood S4S E4E 1x6 Long</v>
      </c>
    </row>
    <row r="1902" spans="1:20" x14ac:dyDescent="0.25">
      <c r="A1902" t="s">
        <v>2262</v>
      </c>
      <c r="B1902" t="s">
        <v>2314</v>
      </c>
      <c r="C1902" t="s">
        <v>283</v>
      </c>
      <c r="D1902" t="s">
        <v>438</v>
      </c>
      <c r="E1902" t="str">
        <f t="shared" si="158"/>
        <v>BWKD169S</v>
      </c>
      <c r="F1902" t="s">
        <v>2315</v>
      </c>
      <c r="G1902" t="s">
        <v>2266</v>
      </c>
      <c r="H1902" t="s">
        <v>373</v>
      </c>
      <c r="I1902" t="s">
        <v>289</v>
      </c>
      <c r="J1902" t="s">
        <v>344</v>
      </c>
      <c r="K1902">
        <v>9</v>
      </c>
      <c r="L1902" s="6">
        <v>2.7432000000000003</v>
      </c>
      <c r="M1902" s="7">
        <v>19.05</v>
      </c>
      <c r="N1902" s="7">
        <v>139.69999999999999</v>
      </c>
      <c r="O1902" s="7">
        <f t="shared" ref="O1902:O1965" si="159">L1902/0.0254</f>
        <v>108.00000000000001</v>
      </c>
      <c r="P1902" s="7">
        <f t="shared" ref="P1902:Q1933" si="160">M1902/25.4</f>
        <v>0.75000000000000011</v>
      </c>
      <c r="Q1902" s="7">
        <f t="shared" si="160"/>
        <v>5.5</v>
      </c>
      <c r="R1902" s="6">
        <f t="shared" ref="R1902:R1965" si="161">ROUND(IFERROR(1/((M1902*N1902*0.3048)/1000000),0),3)</f>
        <v>1232.8030000000001</v>
      </c>
      <c r="S1902" s="6">
        <f t="shared" ref="S1902:S1965" si="162">L1902*M1902/1000*N1902/1000</f>
        <v>7.3004370120000016E-3</v>
      </c>
      <c r="T1902" t="str">
        <f t="shared" si="156"/>
        <v>Massaranduba Bullet Wood S4S E4E 1x6 Long</v>
      </c>
    </row>
    <row r="1903" spans="1:20" x14ac:dyDescent="0.25">
      <c r="A1903" t="s">
        <v>2262</v>
      </c>
      <c r="B1903" t="s">
        <v>2316</v>
      </c>
      <c r="C1903" t="s">
        <v>283</v>
      </c>
      <c r="D1903" t="s">
        <v>438</v>
      </c>
      <c r="E1903" t="s">
        <v>2317</v>
      </c>
      <c r="F1903" t="s">
        <v>2318</v>
      </c>
      <c r="G1903" t="s">
        <v>2266</v>
      </c>
      <c r="H1903" t="s">
        <v>373</v>
      </c>
      <c r="I1903" t="s">
        <v>289</v>
      </c>
      <c r="J1903" t="s">
        <v>672</v>
      </c>
      <c r="K1903">
        <v>10</v>
      </c>
      <c r="L1903" s="6">
        <v>3.048</v>
      </c>
      <c r="M1903" s="7">
        <v>19.05</v>
      </c>
      <c r="N1903" s="7">
        <v>184.15</v>
      </c>
      <c r="O1903" s="7">
        <f t="shared" si="159"/>
        <v>120</v>
      </c>
      <c r="P1903" s="7">
        <f t="shared" si="160"/>
        <v>0.75000000000000011</v>
      </c>
      <c r="Q1903" s="7">
        <f t="shared" si="160"/>
        <v>7.2500000000000009</v>
      </c>
      <c r="R1903" s="6">
        <f t="shared" si="161"/>
        <v>935.23</v>
      </c>
      <c r="S1903" s="6">
        <f t="shared" si="162"/>
        <v>1.0692559260000001E-2</v>
      </c>
      <c r="T1903" t="str">
        <f t="shared" si="156"/>
        <v>Massaranduba Bullet Wood S4S E4E 1x8 Long</v>
      </c>
    </row>
    <row r="1904" spans="1:20" x14ac:dyDescent="0.25">
      <c r="A1904" t="s">
        <v>2262</v>
      </c>
      <c r="B1904" t="s">
        <v>2316</v>
      </c>
      <c r="C1904" t="s">
        <v>283</v>
      </c>
      <c r="D1904" t="s">
        <v>438</v>
      </c>
      <c r="E1904" t="s">
        <v>2319</v>
      </c>
      <c r="F1904" t="s">
        <v>2318</v>
      </c>
      <c r="G1904" t="s">
        <v>2266</v>
      </c>
      <c r="H1904" t="s">
        <v>373</v>
      </c>
      <c r="I1904" t="s">
        <v>289</v>
      </c>
      <c r="J1904" t="s">
        <v>672</v>
      </c>
      <c r="K1904">
        <v>11</v>
      </c>
      <c r="L1904" s="6">
        <v>3.3528000000000002</v>
      </c>
      <c r="M1904" s="7">
        <v>19.05</v>
      </c>
      <c r="N1904" s="7">
        <v>184.15</v>
      </c>
      <c r="O1904" s="7">
        <f t="shared" si="159"/>
        <v>132</v>
      </c>
      <c r="P1904" s="7">
        <f t="shared" si="160"/>
        <v>0.75000000000000011</v>
      </c>
      <c r="Q1904" s="7">
        <f t="shared" si="160"/>
        <v>7.2500000000000009</v>
      </c>
      <c r="R1904" s="6">
        <f t="shared" si="161"/>
        <v>935.23</v>
      </c>
      <c r="S1904" s="6">
        <f t="shared" si="162"/>
        <v>1.1761815186000004E-2</v>
      </c>
      <c r="T1904" t="str">
        <f t="shared" si="156"/>
        <v>Massaranduba Bullet Wood S4S E4E 1x8 Long</v>
      </c>
    </row>
    <row r="1905" spans="1:20" x14ac:dyDescent="0.25">
      <c r="A1905" t="s">
        <v>2262</v>
      </c>
      <c r="B1905" t="s">
        <v>2316</v>
      </c>
      <c r="C1905" t="s">
        <v>283</v>
      </c>
      <c r="D1905" t="s">
        <v>438</v>
      </c>
      <c r="E1905" t="s">
        <v>2320</v>
      </c>
      <c r="F1905" t="s">
        <v>2318</v>
      </c>
      <c r="G1905" t="s">
        <v>2266</v>
      </c>
      <c r="H1905" t="s">
        <v>373</v>
      </c>
      <c r="I1905" t="s">
        <v>289</v>
      </c>
      <c r="J1905" t="s">
        <v>672</v>
      </c>
      <c r="K1905">
        <v>12</v>
      </c>
      <c r="L1905" s="6">
        <v>3.6576</v>
      </c>
      <c r="M1905" s="7">
        <v>19.05</v>
      </c>
      <c r="N1905" s="7">
        <v>184.15</v>
      </c>
      <c r="O1905" s="7">
        <f t="shared" si="159"/>
        <v>144</v>
      </c>
      <c r="P1905" s="7">
        <f t="shared" si="160"/>
        <v>0.75000000000000011</v>
      </c>
      <c r="Q1905" s="7">
        <f t="shared" si="160"/>
        <v>7.2500000000000009</v>
      </c>
      <c r="R1905" s="6">
        <f t="shared" si="161"/>
        <v>935.23</v>
      </c>
      <c r="S1905" s="6">
        <f t="shared" si="162"/>
        <v>1.2831071112000001E-2</v>
      </c>
      <c r="T1905" t="str">
        <f t="shared" si="156"/>
        <v>Massaranduba Bullet Wood S4S E4E 1x8 Long</v>
      </c>
    </row>
    <row r="1906" spans="1:20" x14ac:dyDescent="0.25">
      <c r="A1906" t="s">
        <v>2262</v>
      </c>
      <c r="B1906" t="s">
        <v>2316</v>
      </c>
      <c r="C1906" t="s">
        <v>283</v>
      </c>
      <c r="D1906" t="s">
        <v>438</v>
      </c>
      <c r="E1906" t="s">
        <v>2321</v>
      </c>
      <c r="F1906" t="s">
        <v>2318</v>
      </c>
      <c r="G1906" t="s">
        <v>2266</v>
      </c>
      <c r="H1906" t="s">
        <v>373</v>
      </c>
      <c r="I1906" t="s">
        <v>289</v>
      </c>
      <c r="J1906" t="s">
        <v>672</v>
      </c>
      <c r="K1906">
        <v>13</v>
      </c>
      <c r="L1906" s="6">
        <v>3.9624000000000001</v>
      </c>
      <c r="M1906" s="7">
        <v>19.05</v>
      </c>
      <c r="N1906" s="7">
        <v>184.15</v>
      </c>
      <c r="O1906" s="7">
        <f t="shared" si="159"/>
        <v>156</v>
      </c>
      <c r="P1906" s="7">
        <f t="shared" si="160"/>
        <v>0.75000000000000011</v>
      </c>
      <c r="Q1906" s="7">
        <f t="shared" si="160"/>
        <v>7.2500000000000009</v>
      </c>
      <c r="R1906" s="6">
        <f t="shared" si="161"/>
        <v>935.23</v>
      </c>
      <c r="S1906" s="6">
        <f t="shared" si="162"/>
        <v>1.3900327037999999E-2</v>
      </c>
      <c r="T1906" t="str">
        <f t="shared" si="156"/>
        <v>Massaranduba Bullet Wood S4S E4E 1x8 Long</v>
      </c>
    </row>
    <row r="1907" spans="1:20" x14ac:dyDescent="0.25">
      <c r="A1907" t="s">
        <v>2262</v>
      </c>
      <c r="B1907" t="s">
        <v>2316</v>
      </c>
      <c r="C1907" t="s">
        <v>283</v>
      </c>
      <c r="D1907" t="s">
        <v>438</v>
      </c>
      <c r="E1907" t="s">
        <v>2322</v>
      </c>
      <c r="F1907" t="s">
        <v>2318</v>
      </c>
      <c r="G1907" t="s">
        <v>2266</v>
      </c>
      <c r="H1907" t="s">
        <v>373</v>
      </c>
      <c r="I1907" t="s">
        <v>289</v>
      </c>
      <c r="J1907" t="s">
        <v>672</v>
      </c>
      <c r="K1907">
        <v>14</v>
      </c>
      <c r="L1907" s="6">
        <v>4.2671999999999999</v>
      </c>
      <c r="M1907" s="7">
        <v>19.05</v>
      </c>
      <c r="N1907" s="7">
        <v>184.15</v>
      </c>
      <c r="O1907" s="7">
        <f t="shared" si="159"/>
        <v>168</v>
      </c>
      <c r="P1907" s="7">
        <f t="shared" si="160"/>
        <v>0.75000000000000011</v>
      </c>
      <c r="Q1907" s="7">
        <f t="shared" si="160"/>
        <v>7.2500000000000009</v>
      </c>
      <c r="R1907" s="6">
        <f t="shared" si="161"/>
        <v>935.23</v>
      </c>
      <c r="S1907" s="6">
        <f t="shared" si="162"/>
        <v>1.4969582964E-2</v>
      </c>
      <c r="T1907" t="str">
        <f t="shared" si="156"/>
        <v>Massaranduba Bullet Wood S4S E4E 1x8 Long</v>
      </c>
    </row>
    <row r="1908" spans="1:20" x14ac:dyDescent="0.25">
      <c r="A1908" t="s">
        <v>2262</v>
      </c>
      <c r="B1908" t="s">
        <v>2316</v>
      </c>
      <c r="C1908" t="s">
        <v>283</v>
      </c>
      <c r="D1908" t="s">
        <v>438</v>
      </c>
      <c r="E1908" t="s">
        <v>2323</v>
      </c>
      <c r="F1908" t="s">
        <v>2318</v>
      </c>
      <c r="G1908" t="s">
        <v>2266</v>
      </c>
      <c r="H1908" t="s">
        <v>373</v>
      </c>
      <c r="I1908" t="s">
        <v>289</v>
      </c>
      <c r="J1908" t="s">
        <v>672</v>
      </c>
      <c r="K1908">
        <v>15</v>
      </c>
      <c r="L1908" s="6">
        <v>4.5720000000000001</v>
      </c>
      <c r="M1908" s="7">
        <v>19.05</v>
      </c>
      <c r="N1908" s="7">
        <v>184.15</v>
      </c>
      <c r="O1908" s="7">
        <f t="shared" si="159"/>
        <v>180</v>
      </c>
      <c r="P1908" s="7">
        <f t="shared" si="160"/>
        <v>0.75000000000000011</v>
      </c>
      <c r="Q1908" s="7">
        <f t="shared" si="160"/>
        <v>7.2500000000000009</v>
      </c>
      <c r="R1908" s="6">
        <f t="shared" si="161"/>
        <v>935.23</v>
      </c>
      <c r="S1908" s="6">
        <f t="shared" si="162"/>
        <v>1.603883889E-2</v>
      </c>
      <c r="T1908" t="str">
        <f t="shared" si="156"/>
        <v>Massaranduba Bullet Wood S4S E4E 1x8 Long</v>
      </c>
    </row>
    <row r="1909" spans="1:20" x14ac:dyDescent="0.25">
      <c r="A1909" t="s">
        <v>2262</v>
      </c>
      <c r="B1909" t="s">
        <v>2316</v>
      </c>
      <c r="C1909" t="s">
        <v>283</v>
      </c>
      <c r="D1909" t="s">
        <v>438</v>
      </c>
      <c r="E1909" t="s">
        <v>2324</v>
      </c>
      <c r="F1909" t="s">
        <v>2318</v>
      </c>
      <c r="G1909" t="s">
        <v>2266</v>
      </c>
      <c r="H1909" t="s">
        <v>373</v>
      </c>
      <c r="I1909" t="s">
        <v>289</v>
      </c>
      <c r="J1909" t="s">
        <v>672</v>
      </c>
      <c r="K1909">
        <v>16</v>
      </c>
      <c r="L1909" s="6">
        <v>4.8768000000000002</v>
      </c>
      <c r="M1909" s="7">
        <v>19.05</v>
      </c>
      <c r="N1909" s="7">
        <v>184.15</v>
      </c>
      <c r="O1909" s="7">
        <f t="shared" si="159"/>
        <v>192.00000000000003</v>
      </c>
      <c r="P1909" s="7">
        <f t="shared" si="160"/>
        <v>0.75000000000000011</v>
      </c>
      <c r="Q1909" s="7">
        <f t="shared" si="160"/>
        <v>7.2500000000000009</v>
      </c>
      <c r="R1909" s="6">
        <f t="shared" si="161"/>
        <v>935.23</v>
      </c>
      <c r="S1909" s="6">
        <f t="shared" si="162"/>
        <v>1.7108094816000001E-2</v>
      </c>
      <c r="T1909" t="str">
        <f t="shared" si="156"/>
        <v>Massaranduba Bullet Wood S4S E4E 1x8 Long</v>
      </c>
    </row>
    <row r="1910" spans="1:20" x14ac:dyDescent="0.25">
      <c r="A1910" t="s">
        <v>2262</v>
      </c>
      <c r="B1910" t="s">
        <v>2316</v>
      </c>
      <c r="C1910" t="s">
        <v>283</v>
      </c>
      <c r="D1910" t="s">
        <v>438</v>
      </c>
      <c r="E1910" t="s">
        <v>2325</v>
      </c>
      <c r="F1910" t="s">
        <v>2318</v>
      </c>
      <c r="G1910" t="s">
        <v>2266</v>
      </c>
      <c r="H1910" t="s">
        <v>373</v>
      </c>
      <c r="I1910" t="s">
        <v>289</v>
      </c>
      <c r="J1910" t="s">
        <v>672</v>
      </c>
      <c r="K1910">
        <v>17</v>
      </c>
      <c r="L1910" s="6">
        <v>5.1816000000000004</v>
      </c>
      <c r="M1910" s="7">
        <v>19.05</v>
      </c>
      <c r="N1910" s="7">
        <v>184.15</v>
      </c>
      <c r="O1910" s="7">
        <f t="shared" si="159"/>
        <v>204.00000000000003</v>
      </c>
      <c r="P1910" s="7">
        <f t="shared" si="160"/>
        <v>0.75000000000000011</v>
      </c>
      <c r="Q1910" s="7">
        <f t="shared" si="160"/>
        <v>7.2500000000000009</v>
      </c>
      <c r="R1910" s="6">
        <f t="shared" si="161"/>
        <v>935.23</v>
      </c>
      <c r="S1910" s="6">
        <f t="shared" si="162"/>
        <v>1.8177350742000005E-2</v>
      </c>
      <c r="T1910" t="str">
        <f t="shared" si="156"/>
        <v>Massaranduba Bullet Wood S4S E4E 1x8 Long</v>
      </c>
    </row>
    <row r="1911" spans="1:20" x14ac:dyDescent="0.25">
      <c r="A1911" t="s">
        <v>2262</v>
      </c>
      <c r="B1911" t="s">
        <v>2316</v>
      </c>
      <c r="C1911" t="s">
        <v>283</v>
      </c>
      <c r="D1911" t="s">
        <v>438</v>
      </c>
      <c r="E1911" t="s">
        <v>2326</v>
      </c>
      <c r="F1911" t="s">
        <v>2318</v>
      </c>
      <c r="G1911" t="s">
        <v>2266</v>
      </c>
      <c r="H1911" t="s">
        <v>373</v>
      </c>
      <c r="I1911" t="s">
        <v>289</v>
      </c>
      <c r="J1911" t="s">
        <v>672</v>
      </c>
      <c r="K1911">
        <v>18</v>
      </c>
      <c r="L1911" s="6">
        <v>5.4863999999999997</v>
      </c>
      <c r="M1911" s="7">
        <v>19.05</v>
      </c>
      <c r="N1911" s="7">
        <v>184.15</v>
      </c>
      <c r="O1911" s="7">
        <f t="shared" si="159"/>
        <v>216</v>
      </c>
      <c r="P1911" s="7">
        <f t="shared" si="160"/>
        <v>0.75000000000000011</v>
      </c>
      <c r="Q1911" s="7">
        <f t="shared" si="160"/>
        <v>7.2500000000000009</v>
      </c>
      <c r="R1911" s="6">
        <f t="shared" si="161"/>
        <v>935.23</v>
      </c>
      <c r="S1911" s="6">
        <f t="shared" si="162"/>
        <v>1.9246606668000002E-2</v>
      </c>
      <c r="T1911" t="str">
        <f t="shared" si="156"/>
        <v>Massaranduba Bullet Wood S4S E4E 1x8 Long</v>
      </c>
    </row>
    <row r="1912" spans="1:20" x14ac:dyDescent="0.25">
      <c r="A1912" t="s">
        <v>2262</v>
      </c>
      <c r="B1912" t="s">
        <v>2316</v>
      </c>
      <c r="C1912" t="s">
        <v>283</v>
      </c>
      <c r="D1912" t="s">
        <v>438</v>
      </c>
      <c r="E1912" t="s">
        <v>2327</v>
      </c>
      <c r="F1912" t="s">
        <v>2318</v>
      </c>
      <c r="G1912" t="s">
        <v>2266</v>
      </c>
      <c r="H1912" t="s">
        <v>373</v>
      </c>
      <c r="I1912" t="s">
        <v>289</v>
      </c>
      <c r="J1912" t="s">
        <v>672</v>
      </c>
      <c r="K1912">
        <v>19</v>
      </c>
      <c r="L1912" s="6">
        <v>5.7911999999999999</v>
      </c>
      <c r="M1912" s="7">
        <v>19.05</v>
      </c>
      <c r="N1912" s="7">
        <v>184.15</v>
      </c>
      <c r="O1912" s="7">
        <f t="shared" si="159"/>
        <v>228</v>
      </c>
      <c r="P1912" s="7">
        <f t="shared" si="160"/>
        <v>0.75000000000000011</v>
      </c>
      <c r="Q1912" s="7">
        <f t="shared" si="160"/>
        <v>7.2500000000000009</v>
      </c>
      <c r="R1912" s="6">
        <f t="shared" si="161"/>
        <v>935.23</v>
      </c>
      <c r="S1912" s="6">
        <f t="shared" si="162"/>
        <v>2.0315862594000002E-2</v>
      </c>
      <c r="T1912" t="str">
        <f t="shared" si="156"/>
        <v>Massaranduba Bullet Wood S4S E4E 1x8 Long</v>
      </c>
    </row>
    <row r="1913" spans="1:20" x14ac:dyDescent="0.25">
      <c r="A1913" t="s">
        <v>2262</v>
      </c>
      <c r="B1913" t="s">
        <v>2316</v>
      </c>
      <c r="C1913" t="s">
        <v>283</v>
      </c>
      <c r="D1913" t="s">
        <v>438</v>
      </c>
      <c r="E1913" t="s">
        <v>2328</v>
      </c>
      <c r="F1913" t="s">
        <v>2318</v>
      </c>
      <c r="G1913" t="s">
        <v>2266</v>
      </c>
      <c r="H1913" t="s">
        <v>373</v>
      </c>
      <c r="I1913" t="s">
        <v>289</v>
      </c>
      <c r="J1913" t="s">
        <v>672</v>
      </c>
      <c r="K1913">
        <v>20</v>
      </c>
      <c r="L1913" s="6">
        <v>6.0960000000000001</v>
      </c>
      <c r="M1913" s="7">
        <v>19.05</v>
      </c>
      <c r="N1913" s="7">
        <v>184.15</v>
      </c>
      <c r="O1913" s="7">
        <f t="shared" si="159"/>
        <v>240</v>
      </c>
      <c r="P1913" s="7">
        <f t="shared" si="160"/>
        <v>0.75000000000000011</v>
      </c>
      <c r="Q1913" s="7">
        <f t="shared" si="160"/>
        <v>7.2500000000000009</v>
      </c>
      <c r="R1913" s="6">
        <f t="shared" si="161"/>
        <v>935.23</v>
      </c>
      <c r="S1913" s="6">
        <f t="shared" si="162"/>
        <v>2.1385118520000003E-2</v>
      </c>
      <c r="T1913" t="str">
        <f t="shared" si="156"/>
        <v>Massaranduba Bullet Wood S4S E4E 1x8 Long</v>
      </c>
    </row>
    <row r="1914" spans="1:20" x14ac:dyDescent="0.25">
      <c r="A1914" t="s">
        <v>2262</v>
      </c>
      <c r="B1914" t="s">
        <v>2316</v>
      </c>
      <c r="C1914" t="s">
        <v>283</v>
      </c>
      <c r="D1914" t="s">
        <v>438</v>
      </c>
      <c r="E1914" t="s">
        <v>2329</v>
      </c>
      <c r="F1914" t="s">
        <v>2318</v>
      </c>
      <c r="G1914" t="s">
        <v>2266</v>
      </c>
      <c r="H1914" t="s">
        <v>373</v>
      </c>
      <c r="I1914" t="s">
        <v>289</v>
      </c>
      <c r="J1914" t="s">
        <v>672</v>
      </c>
      <c r="K1914">
        <v>21</v>
      </c>
      <c r="L1914" s="6">
        <v>6.4008000000000003</v>
      </c>
      <c r="M1914" s="7">
        <v>19.05</v>
      </c>
      <c r="N1914" s="7">
        <v>184.15</v>
      </c>
      <c r="O1914" s="7">
        <f t="shared" si="159"/>
        <v>252.00000000000003</v>
      </c>
      <c r="P1914" s="7">
        <f t="shared" si="160"/>
        <v>0.75000000000000011</v>
      </c>
      <c r="Q1914" s="7">
        <f t="shared" si="160"/>
        <v>7.2500000000000009</v>
      </c>
      <c r="R1914" s="6">
        <f t="shared" si="161"/>
        <v>935.23</v>
      </c>
      <c r="S1914" s="6">
        <f t="shared" si="162"/>
        <v>2.2454374446000003E-2</v>
      </c>
      <c r="T1914" t="str">
        <f t="shared" si="156"/>
        <v>Massaranduba Bullet Wood S4S E4E 1x8 Long</v>
      </c>
    </row>
    <row r="1915" spans="1:20" x14ac:dyDescent="0.25">
      <c r="A1915" t="s">
        <v>2262</v>
      </c>
      <c r="B1915" t="s">
        <v>2316</v>
      </c>
      <c r="C1915" t="s">
        <v>283</v>
      </c>
      <c r="D1915" t="s">
        <v>438</v>
      </c>
      <c r="E1915" t="s">
        <v>2330</v>
      </c>
      <c r="F1915" t="s">
        <v>2318</v>
      </c>
      <c r="G1915" t="s">
        <v>2266</v>
      </c>
      <c r="H1915" t="s">
        <v>373</v>
      </c>
      <c r="I1915" t="s">
        <v>289</v>
      </c>
      <c r="J1915" t="s">
        <v>672</v>
      </c>
      <c r="K1915">
        <v>22</v>
      </c>
      <c r="L1915" s="6">
        <v>6.7055999999999996</v>
      </c>
      <c r="M1915" s="7">
        <v>19.05</v>
      </c>
      <c r="N1915" s="7">
        <v>184.15</v>
      </c>
      <c r="O1915" s="7">
        <f t="shared" si="159"/>
        <v>264</v>
      </c>
      <c r="P1915" s="7">
        <f t="shared" si="160"/>
        <v>0.75000000000000011</v>
      </c>
      <c r="Q1915" s="7">
        <f t="shared" si="160"/>
        <v>7.2500000000000009</v>
      </c>
      <c r="R1915" s="6">
        <f t="shared" si="161"/>
        <v>935.23</v>
      </c>
      <c r="S1915" s="6">
        <f t="shared" si="162"/>
        <v>2.3523630372E-2</v>
      </c>
      <c r="T1915" t="str">
        <f t="shared" si="156"/>
        <v>Massaranduba Bullet Wood S4S E4E 1x8 Long</v>
      </c>
    </row>
    <row r="1916" spans="1:20" x14ac:dyDescent="0.25">
      <c r="A1916" t="s">
        <v>2262</v>
      </c>
      <c r="B1916" t="s">
        <v>2316</v>
      </c>
      <c r="C1916" t="s">
        <v>283</v>
      </c>
      <c r="D1916" t="s">
        <v>438</v>
      </c>
      <c r="E1916" t="s">
        <v>2331</v>
      </c>
      <c r="F1916" t="s">
        <v>2318</v>
      </c>
      <c r="G1916" t="s">
        <v>2266</v>
      </c>
      <c r="H1916" t="s">
        <v>373</v>
      </c>
      <c r="I1916" t="s">
        <v>289</v>
      </c>
      <c r="J1916" t="s">
        <v>672</v>
      </c>
      <c r="K1916">
        <v>8</v>
      </c>
      <c r="L1916" s="6">
        <v>2.4384000000000001</v>
      </c>
      <c r="M1916" s="7">
        <v>19.05</v>
      </c>
      <c r="N1916" s="7">
        <v>184.15</v>
      </c>
      <c r="O1916" s="7">
        <f t="shared" si="159"/>
        <v>96.000000000000014</v>
      </c>
      <c r="P1916" s="7">
        <f t="shared" si="160"/>
        <v>0.75000000000000011</v>
      </c>
      <c r="Q1916" s="7">
        <f t="shared" si="160"/>
        <v>7.2500000000000009</v>
      </c>
      <c r="R1916" s="6">
        <f t="shared" si="161"/>
        <v>935.23</v>
      </c>
      <c r="S1916" s="6">
        <f t="shared" si="162"/>
        <v>8.5540474080000005E-3</v>
      </c>
      <c r="T1916" t="str">
        <f t="shared" si="156"/>
        <v>Massaranduba Bullet Wood S4S E4E 1x8 Long</v>
      </c>
    </row>
    <row r="1917" spans="1:20" x14ac:dyDescent="0.25">
      <c r="A1917" t="s">
        <v>2262</v>
      </c>
      <c r="B1917" t="s">
        <v>2316</v>
      </c>
      <c r="C1917" t="s">
        <v>283</v>
      </c>
      <c r="D1917" t="s">
        <v>438</v>
      </c>
      <c r="E1917" t="s">
        <v>2332</v>
      </c>
      <c r="F1917" t="s">
        <v>2318</v>
      </c>
      <c r="G1917" t="s">
        <v>2266</v>
      </c>
      <c r="H1917" t="s">
        <v>373</v>
      </c>
      <c r="I1917" t="s">
        <v>289</v>
      </c>
      <c r="J1917" t="s">
        <v>672</v>
      </c>
      <c r="K1917">
        <v>9</v>
      </c>
      <c r="L1917" s="6">
        <v>2.7431999999999999</v>
      </c>
      <c r="M1917" s="7">
        <v>19.05</v>
      </c>
      <c r="N1917" s="7">
        <v>184.15</v>
      </c>
      <c r="O1917" s="7">
        <f t="shared" si="159"/>
        <v>108</v>
      </c>
      <c r="P1917" s="7">
        <f t="shared" si="160"/>
        <v>0.75000000000000011</v>
      </c>
      <c r="Q1917" s="7">
        <f t="shared" si="160"/>
        <v>7.2500000000000009</v>
      </c>
      <c r="R1917" s="6">
        <f t="shared" si="161"/>
        <v>935.23</v>
      </c>
      <c r="S1917" s="6">
        <f t="shared" si="162"/>
        <v>9.623303334000001E-3</v>
      </c>
      <c r="T1917" t="str">
        <f t="shared" si="156"/>
        <v>Massaranduba Bullet Wood S4S E4E 1x8 Long</v>
      </c>
    </row>
    <row r="1918" spans="1:20" x14ac:dyDescent="0.25">
      <c r="A1918" t="s">
        <v>2262</v>
      </c>
      <c r="B1918" t="s">
        <v>2333</v>
      </c>
      <c r="C1918" t="s">
        <v>283</v>
      </c>
      <c r="D1918" t="s">
        <v>438</v>
      </c>
      <c r="E1918" t="s">
        <v>2334</v>
      </c>
      <c r="F1918" t="s">
        <v>2335</v>
      </c>
      <c r="G1918" t="s">
        <v>2266</v>
      </c>
      <c r="H1918" t="s">
        <v>373</v>
      </c>
      <c r="I1918" t="s">
        <v>289</v>
      </c>
      <c r="J1918" t="s">
        <v>764</v>
      </c>
      <c r="K1918">
        <v>10</v>
      </c>
      <c r="L1918" s="6">
        <v>3.048</v>
      </c>
      <c r="M1918" s="7">
        <v>38.1</v>
      </c>
      <c r="N1918" s="7">
        <v>38.1</v>
      </c>
      <c r="O1918" s="7">
        <f t="shared" si="159"/>
        <v>120</v>
      </c>
      <c r="P1918" s="7">
        <f t="shared" si="160"/>
        <v>1.5000000000000002</v>
      </c>
      <c r="Q1918" s="7">
        <f t="shared" si="160"/>
        <v>1.5000000000000002</v>
      </c>
      <c r="R1918" s="6">
        <f t="shared" si="161"/>
        <v>2260.1390000000001</v>
      </c>
      <c r="S1918" s="6">
        <f t="shared" si="162"/>
        <v>4.4245072800000009E-3</v>
      </c>
      <c r="T1918" t="str">
        <f t="shared" si="156"/>
        <v>Massaranduba Bullet Wood S4S E4E 2x2 Long</v>
      </c>
    </row>
    <row r="1919" spans="1:20" x14ac:dyDescent="0.25">
      <c r="A1919" t="s">
        <v>2262</v>
      </c>
      <c r="B1919" t="s">
        <v>2333</v>
      </c>
      <c r="C1919" t="s">
        <v>283</v>
      </c>
      <c r="D1919" t="s">
        <v>438</v>
      </c>
      <c r="E1919" t="s">
        <v>2336</v>
      </c>
      <c r="F1919" t="s">
        <v>2335</v>
      </c>
      <c r="G1919" t="s">
        <v>2266</v>
      </c>
      <c r="H1919" t="s">
        <v>373</v>
      </c>
      <c r="I1919" t="s">
        <v>289</v>
      </c>
      <c r="J1919" t="s">
        <v>764</v>
      </c>
      <c r="K1919">
        <v>11</v>
      </c>
      <c r="L1919" s="6">
        <v>3.3527999999999998</v>
      </c>
      <c r="M1919" s="7">
        <v>38.1</v>
      </c>
      <c r="N1919" s="7">
        <v>38.1</v>
      </c>
      <c r="O1919" s="7">
        <f t="shared" si="159"/>
        <v>132</v>
      </c>
      <c r="P1919" s="7">
        <f t="shared" si="160"/>
        <v>1.5000000000000002</v>
      </c>
      <c r="Q1919" s="7">
        <f t="shared" si="160"/>
        <v>1.5000000000000002</v>
      </c>
      <c r="R1919" s="6">
        <f t="shared" si="161"/>
        <v>2260.1390000000001</v>
      </c>
      <c r="S1919" s="6">
        <f t="shared" si="162"/>
        <v>4.8669580080000002E-3</v>
      </c>
      <c r="T1919" t="str">
        <f t="shared" si="156"/>
        <v>Massaranduba Bullet Wood S4S E4E 2x2 Long</v>
      </c>
    </row>
    <row r="1920" spans="1:20" x14ac:dyDescent="0.25">
      <c r="A1920" t="s">
        <v>2262</v>
      </c>
      <c r="B1920" t="s">
        <v>2333</v>
      </c>
      <c r="C1920" t="s">
        <v>283</v>
      </c>
      <c r="D1920" t="s">
        <v>438</v>
      </c>
      <c r="E1920" t="s">
        <v>2337</v>
      </c>
      <c r="F1920" t="s">
        <v>2335</v>
      </c>
      <c r="G1920" t="s">
        <v>2266</v>
      </c>
      <c r="H1920" t="s">
        <v>373</v>
      </c>
      <c r="I1920" t="s">
        <v>289</v>
      </c>
      <c r="J1920" t="s">
        <v>764</v>
      </c>
      <c r="K1920">
        <v>12</v>
      </c>
      <c r="L1920" s="6">
        <v>3.6576</v>
      </c>
      <c r="M1920" s="7">
        <v>38.1</v>
      </c>
      <c r="N1920" s="7">
        <v>38.1</v>
      </c>
      <c r="O1920" s="7">
        <f t="shared" si="159"/>
        <v>144</v>
      </c>
      <c r="P1920" s="7">
        <f t="shared" si="160"/>
        <v>1.5000000000000002</v>
      </c>
      <c r="Q1920" s="7">
        <f t="shared" si="160"/>
        <v>1.5000000000000002</v>
      </c>
      <c r="R1920" s="6">
        <f t="shared" si="161"/>
        <v>2260.1390000000001</v>
      </c>
      <c r="S1920" s="6">
        <f t="shared" si="162"/>
        <v>5.3094087360000004E-3</v>
      </c>
      <c r="T1920" t="str">
        <f t="shared" si="156"/>
        <v>Massaranduba Bullet Wood S4S E4E 2x2 Long</v>
      </c>
    </row>
    <row r="1921" spans="1:20" x14ac:dyDescent="0.25">
      <c r="A1921" t="s">
        <v>2262</v>
      </c>
      <c r="B1921" t="s">
        <v>2333</v>
      </c>
      <c r="C1921" t="s">
        <v>283</v>
      </c>
      <c r="D1921" t="s">
        <v>438</v>
      </c>
      <c r="E1921" t="s">
        <v>2338</v>
      </c>
      <c r="F1921" t="s">
        <v>2335</v>
      </c>
      <c r="G1921" t="s">
        <v>2266</v>
      </c>
      <c r="H1921" t="s">
        <v>373</v>
      </c>
      <c r="I1921" t="s">
        <v>289</v>
      </c>
      <c r="J1921" t="s">
        <v>764</v>
      </c>
      <c r="K1921">
        <v>13</v>
      </c>
      <c r="L1921" s="6">
        <v>3.9624000000000001</v>
      </c>
      <c r="M1921" s="7">
        <v>38.1</v>
      </c>
      <c r="N1921" s="7">
        <v>38.1</v>
      </c>
      <c r="O1921" s="7">
        <f t="shared" si="159"/>
        <v>156</v>
      </c>
      <c r="P1921" s="7">
        <f t="shared" si="160"/>
        <v>1.5000000000000002</v>
      </c>
      <c r="Q1921" s="7">
        <f t="shared" si="160"/>
        <v>1.5000000000000002</v>
      </c>
      <c r="R1921" s="6">
        <f t="shared" si="161"/>
        <v>2260.1390000000001</v>
      </c>
      <c r="S1921" s="6">
        <f t="shared" si="162"/>
        <v>5.7518594640000005E-3</v>
      </c>
      <c r="T1921" t="str">
        <f t="shared" si="156"/>
        <v>Massaranduba Bullet Wood S4S E4E 2x2 Long</v>
      </c>
    </row>
    <row r="1922" spans="1:20" x14ac:dyDescent="0.25">
      <c r="A1922" t="s">
        <v>2262</v>
      </c>
      <c r="B1922" t="s">
        <v>2333</v>
      </c>
      <c r="C1922" t="s">
        <v>283</v>
      </c>
      <c r="D1922" t="s">
        <v>438</v>
      </c>
      <c r="E1922" t="s">
        <v>2339</v>
      </c>
      <c r="F1922" t="s">
        <v>2335</v>
      </c>
      <c r="G1922" t="s">
        <v>2266</v>
      </c>
      <c r="H1922" t="s">
        <v>373</v>
      </c>
      <c r="I1922" t="s">
        <v>289</v>
      </c>
      <c r="J1922" t="s">
        <v>764</v>
      </c>
      <c r="K1922">
        <v>14</v>
      </c>
      <c r="L1922" s="6">
        <v>4.2671999999999999</v>
      </c>
      <c r="M1922" s="7">
        <v>38.1</v>
      </c>
      <c r="N1922" s="7">
        <v>38.1</v>
      </c>
      <c r="O1922" s="7">
        <f t="shared" si="159"/>
        <v>168</v>
      </c>
      <c r="P1922" s="7">
        <f t="shared" si="160"/>
        <v>1.5000000000000002</v>
      </c>
      <c r="Q1922" s="7">
        <f t="shared" si="160"/>
        <v>1.5000000000000002</v>
      </c>
      <c r="R1922" s="6">
        <f t="shared" si="161"/>
        <v>2260.1390000000001</v>
      </c>
      <c r="S1922" s="6">
        <f t="shared" si="162"/>
        <v>6.1943101920000007E-3</v>
      </c>
      <c r="T1922" t="str">
        <f t="shared" ref="T1922:T1985" si="163">F1922&amp;" "&amp;C1922</f>
        <v>Massaranduba Bullet Wood S4S E4E 2x2 Long</v>
      </c>
    </row>
    <row r="1923" spans="1:20" x14ac:dyDescent="0.25">
      <c r="A1923" t="s">
        <v>2262</v>
      </c>
      <c r="B1923" t="s">
        <v>2333</v>
      </c>
      <c r="C1923" t="s">
        <v>283</v>
      </c>
      <c r="D1923" t="s">
        <v>438</v>
      </c>
      <c r="E1923" t="s">
        <v>2340</v>
      </c>
      <c r="F1923" t="s">
        <v>2335</v>
      </c>
      <c r="G1923" t="s">
        <v>2266</v>
      </c>
      <c r="H1923" t="s">
        <v>373</v>
      </c>
      <c r="I1923" t="s">
        <v>289</v>
      </c>
      <c r="J1923" t="s">
        <v>764</v>
      </c>
      <c r="K1923">
        <v>15</v>
      </c>
      <c r="L1923" s="6">
        <v>4.5720000000000001</v>
      </c>
      <c r="M1923" s="7">
        <v>38.1</v>
      </c>
      <c r="N1923" s="7">
        <v>38.1</v>
      </c>
      <c r="O1923" s="7">
        <f t="shared" si="159"/>
        <v>180</v>
      </c>
      <c r="P1923" s="7">
        <f t="shared" si="160"/>
        <v>1.5000000000000002</v>
      </c>
      <c r="Q1923" s="7">
        <f t="shared" si="160"/>
        <v>1.5000000000000002</v>
      </c>
      <c r="R1923" s="6">
        <f t="shared" si="161"/>
        <v>2260.1390000000001</v>
      </c>
      <c r="S1923" s="6">
        <f t="shared" si="162"/>
        <v>6.6367609200000009E-3</v>
      </c>
      <c r="T1923" t="str">
        <f t="shared" si="163"/>
        <v>Massaranduba Bullet Wood S4S E4E 2x2 Long</v>
      </c>
    </row>
    <row r="1924" spans="1:20" x14ac:dyDescent="0.25">
      <c r="A1924" t="s">
        <v>2262</v>
      </c>
      <c r="B1924" t="s">
        <v>2333</v>
      </c>
      <c r="C1924" t="s">
        <v>283</v>
      </c>
      <c r="D1924" t="s">
        <v>438</v>
      </c>
      <c r="E1924" t="s">
        <v>2341</v>
      </c>
      <c r="F1924" t="s">
        <v>2335</v>
      </c>
      <c r="G1924" t="s">
        <v>2266</v>
      </c>
      <c r="H1924" t="s">
        <v>373</v>
      </c>
      <c r="I1924" t="s">
        <v>289</v>
      </c>
      <c r="J1924" t="s">
        <v>764</v>
      </c>
      <c r="K1924">
        <v>16</v>
      </c>
      <c r="L1924" s="6">
        <v>4.8768000000000002</v>
      </c>
      <c r="M1924" s="7">
        <v>38.1</v>
      </c>
      <c r="N1924" s="7">
        <v>38.1</v>
      </c>
      <c r="O1924" s="7">
        <f t="shared" si="159"/>
        <v>192.00000000000003</v>
      </c>
      <c r="P1924" s="7">
        <f t="shared" si="160"/>
        <v>1.5000000000000002</v>
      </c>
      <c r="Q1924" s="7">
        <f t="shared" si="160"/>
        <v>1.5000000000000002</v>
      </c>
      <c r="R1924" s="6">
        <f t="shared" si="161"/>
        <v>2260.1390000000001</v>
      </c>
      <c r="S1924" s="6">
        <f t="shared" si="162"/>
        <v>7.0792116480000011E-3</v>
      </c>
      <c r="T1924" t="str">
        <f t="shared" si="163"/>
        <v>Massaranduba Bullet Wood S4S E4E 2x2 Long</v>
      </c>
    </row>
    <row r="1925" spans="1:20" x14ac:dyDescent="0.25">
      <c r="A1925" t="s">
        <v>2262</v>
      </c>
      <c r="B1925" t="s">
        <v>2333</v>
      </c>
      <c r="C1925" t="s">
        <v>283</v>
      </c>
      <c r="D1925" t="s">
        <v>438</v>
      </c>
      <c r="E1925" t="s">
        <v>2342</v>
      </c>
      <c r="F1925" t="s">
        <v>2335</v>
      </c>
      <c r="G1925" t="s">
        <v>2266</v>
      </c>
      <c r="H1925" t="s">
        <v>373</v>
      </c>
      <c r="I1925" t="s">
        <v>289</v>
      </c>
      <c r="J1925" t="s">
        <v>764</v>
      </c>
      <c r="K1925">
        <v>17</v>
      </c>
      <c r="L1925" s="6">
        <v>5.1816000000000004</v>
      </c>
      <c r="M1925" s="7">
        <v>38.1</v>
      </c>
      <c r="N1925" s="7">
        <v>38.1</v>
      </c>
      <c r="O1925" s="7">
        <f t="shared" si="159"/>
        <v>204.00000000000003</v>
      </c>
      <c r="P1925" s="7">
        <f t="shared" si="160"/>
        <v>1.5000000000000002</v>
      </c>
      <c r="Q1925" s="7">
        <f t="shared" si="160"/>
        <v>1.5000000000000002</v>
      </c>
      <c r="R1925" s="6">
        <f t="shared" si="161"/>
        <v>2260.1390000000001</v>
      </c>
      <c r="S1925" s="6">
        <f t="shared" si="162"/>
        <v>7.5216623760000021E-3</v>
      </c>
      <c r="T1925" t="str">
        <f t="shared" si="163"/>
        <v>Massaranduba Bullet Wood S4S E4E 2x2 Long</v>
      </c>
    </row>
    <row r="1926" spans="1:20" x14ac:dyDescent="0.25">
      <c r="A1926" t="s">
        <v>2262</v>
      </c>
      <c r="B1926" t="s">
        <v>2333</v>
      </c>
      <c r="C1926" t="s">
        <v>283</v>
      </c>
      <c r="D1926" t="s">
        <v>438</v>
      </c>
      <c r="E1926" t="s">
        <v>2343</v>
      </c>
      <c r="F1926" t="s">
        <v>2335</v>
      </c>
      <c r="G1926" t="s">
        <v>2266</v>
      </c>
      <c r="H1926" t="s">
        <v>373</v>
      </c>
      <c r="I1926" t="s">
        <v>289</v>
      </c>
      <c r="J1926" t="s">
        <v>764</v>
      </c>
      <c r="K1926">
        <v>18</v>
      </c>
      <c r="L1926" s="6">
        <v>5.4863999999999997</v>
      </c>
      <c r="M1926" s="7">
        <v>38.1</v>
      </c>
      <c r="N1926" s="7">
        <v>38.1</v>
      </c>
      <c r="O1926" s="7">
        <f t="shared" si="159"/>
        <v>216</v>
      </c>
      <c r="P1926" s="7">
        <f t="shared" si="160"/>
        <v>1.5000000000000002</v>
      </c>
      <c r="Q1926" s="7">
        <f t="shared" si="160"/>
        <v>1.5000000000000002</v>
      </c>
      <c r="R1926" s="6">
        <f t="shared" si="161"/>
        <v>2260.1390000000001</v>
      </c>
      <c r="S1926" s="6">
        <f t="shared" si="162"/>
        <v>7.9641131039999997E-3</v>
      </c>
      <c r="T1926" t="str">
        <f t="shared" si="163"/>
        <v>Massaranduba Bullet Wood S4S E4E 2x2 Long</v>
      </c>
    </row>
    <row r="1927" spans="1:20" x14ac:dyDescent="0.25">
      <c r="A1927" t="s">
        <v>2262</v>
      </c>
      <c r="B1927" t="s">
        <v>2333</v>
      </c>
      <c r="C1927" t="s">
        <v>283</v>
      </c>
      <c r="D1927" t="s">
        <v>438</v>
      </c>
      <c r="E1927" t="s">
        <v>2344</v>
      </c>
      <c r="F1927" t="s">
        <v>2335</v>
      </c>
      <c r="G1927" t="s">
        <v>2266</v>
      </c>
      <c r="H1927" t="s">
        <v>373</v>
      </c>
      <c r="I1927" t="s">
        <v>289</v>
      </c>
      <c r="J1927" t="s">
        <v>764</v>
      </c>
      <c r="K1927">
        <v>19</v>
      </c>
      <c r="L1927" s="6">
        <v>5.7911999999999999</v>
      </c>
      <c r="M1927" s="7">
        <v>38.1</v>
      </c>
      <c r="N1927" s="7">
        <v>38.1</v>
      </c>
      <c r="O1927" s="7">
        <f t="shared" si="159"/>
        <v>228</v>
      </c>
      <c r="P1927" s="7">
        <f t="shared" si="160"/>
        <v>1.5000000000000002</v>
      </c>
      <c r="Q1927" s="7">
        <f t="shared" si="160"/>
        <v>1.5000000000000002</v>
      </c>
      <c r="R1927" s="6">
        <f t="shared" si="161"/>
        <v>2260.1390000000001</v>
      </c>
      <c r="S1927" s="6">
        <f t="shared" si="162"/>
        <v>8.4065638320000007E-3</v>
      </c>
      <c r="T1927" t="str">
        <f t="shared" si="163"/>
        <v>Massaranduba Bullet Wood S4S E4E 2x2 Long</v>
      </c>
    </row>
    <row r="1928" spans="1:20" x14ac:dyDescent="0.25">
      <c r="A1928" t="s">
        <v>2262</v>
      </c>
      <c r="B1928" t="s">
        <v>2333</v>
      </c>
      <c r="C1928" t="s">
        <v>283</v>
      </c>
      <c r="D1928" t="s">
        <v>438</v>
      </c>
      <c r="E1928" t="s">
        <v>2345</v>
      </c>
      <c r="F1928" t="s">
        <v>2335</v>
      </c>
      <c r="G1928" t="s">
        <v>2266</v>
      </c>
      <c r="H1928" t="s">
        <v>373</v>
      </c>
      <c r="I1928" t="s">
        <v>289</v>
      </c>
      <c r="J1928" t="s">
        <v>764</v>
      </c>
      <c r="K1928">
        <v>20</v>
      </c>
      <c r="L1928" s="6">
        <v>6.0960000000000001</v>
      </c>
      <c r="M1928" s="7">
        <v>38.1</v>
      </c>
      <c r="N1928" s="7">
        <v>38.1</v>
      </c>
      <c r="O1928" s="7">
        <f t="shared" si="159"/>
        <v>240</v>
      </c>
      <c r="P1928" s="7">
        <f t="shared" si="160"/>
        <v>1.5000000000000002</v>
      </c>
      <c r="Q1928" s="7">
        <f t="shared" si="160"/>
        <v>1.5000000000000002</v>
      </c>
      <c r="R1928" s="6">
        <f t="shared" si="161"/>
        <v>2260.1390000000001</v>
      </c>
      <c r="S1928" s="6">
        <f t="shared" si="162"/>
        <v>8.8490145600000018E-3</v>
      </c>
      <c r="T1928" t="str">
        <f t="shared" si="163"/>
        <v>Massaranduba Bullet Wood S4S E4E 2x2 Long</v>
      </c>
    </row>
    <row r="1929" spans="1:20" x14ac:dyDescent="0.25">
      <c r="A1929" t="s">
        <v>2262</v>
      </c>
      <c r="B1929" t="s">
        <v>2333</v>
      </c>
      <c r="C1929" t="s">
        <v>283</v>
      </c>
      <c r="D1929" t="s">
        <v>438</v>
      </c>
      <c r="E1929" t="s">
        <v>2346</v>
      </c>
      <c r="F1929" t="s">
        <v>2335</v>
      </c>
      <c r="G1929" t="s">
        <v>2266</v>
      </c>
      <c r="H1929" t="s">
        <v>373</v>
      </c>
      <c r="I1929" t="s">
        <v>289</v>
      </c>
      <c r="J1929" t="s">
        <v>764</v>
      </c>
      <c r="K1929">
        <v>21</v>
      </c>
      <c r="L1929" s="6">
        <v>6.4008000000000003</v>
      </c>
      <c r="M1929" s="7">
        <v>38.1</v>
      </c>
      <c r="N1929" s="7">
        <v>38.1</v>
      </c>
      <c r="O1929" s="7">
        <f t="shared" si="159"/>
        <v>252.00000000000003</v>
      </c>
      <c r="P1929" s="7">
        <f t="shared" si="160"/>
        <v>1.5000000000000002</v>
      </c>
      <c r="Q1929" s="7">
        <f t="shared" si="160"/>
        <v>1.5000000000000002</v>
      </c>
      <c r="R1929" s="6">
        <f t="shared" si="161"/>
        <v>2260.1390000000001</v>
      </c>
      <c r="S1929" s="6">
        <f t="shared" si="162"/>
        <v>9.2914652880000011E-3</v>
      </c>
      <c r="T1929" t="str">
        <f t="shared" si="163"/>
        <v>Massaranduba Bullet Wood S4S E4E 2x2 Long</v>
      </c>
    </row>
    <row r="1930" spans="1:20" x14ac:dyDescent="0.25">
      <c r="A1930" t="s">
        <v>2262</v>
      </c>
      <c r="B1930" t="s">
        <v>2333</v>
      </c>
      <c r="C1930" t="s">
        <v>283</v>
      </c>
      <c r="D1930" t="s">
        <v>438</v>
      </c>
      <c r="E1930" t="s">
        <v>2347</v>
      </c>
      <c r="F1930" t="s">
        <v>2335</v>
      </c>
      <c r="G1930" t="s">
        <v>2266</v>
      </c>
      <c r="H1930" t="s">
        <v>373</v>
      </c>
      <c r="I1930" t="s">
        <v>289</v>
      </c>
      <c r="J1930" t="s">
        <v>764</v>
      </c>
      <c r="K1930">
        <v>22</v>
      </c>
      <c r="L1930" s="6">
        <v>6.7055999999999996</v>
      </c>
      <c r="M1930" s="7">
        <v>38.1</v>
      </c>
      <c r="N1930" s="7">
        <v>38.1</v>
      </c>
      <c r="O1930" s="7">
        <f t="shared" si="159"/>
        <v>264</v>
      </c>
      <c r="P1930" s="7">
        <f t="shared" si="160"/>
        <v>1.5000000000000002</v>
      </c>
      <c r="Q1930" s="7">
        <f t="shared" si="160"/>
        <v>1.5000000000000002</v>
      </c>
      <c r="R1930" s="6">
        <f t="shared" si="161"/>
        <v>2260.1390000000001</v>
      </c>
      <c r="S1930" s="6">
        <f t="shared" si="162"/>
        <v>9.7339160160000004E-3</v>
      </c>
      <c r="T1930" t="str">
        <f t="shared" si="163"/>
        <v>Massaranduba Bullet Wood S4S E4E 2x2 Long</v>
      </c>
    </row>
    <row r="1931" spans="1:20" x14ac:dyDescent="0.25">
      <c r="A1931" t="s">
        <v>2262</v>
      </c>
      <c r="B1931" t="s">
        <v>2333</v>
      </c>
      <c r="C1931" t="s">
        <v>524</v>
      </c>
      <c r="D1931" t="s">
        <v>438</v>
      </c>
      <c r="E1931" t="s">
        <v>2348</v>
      </c>
      <c r="F1931" t="s">
        <v>2335</v>
      </c>
      <c r="G1931" t="s">
        <v>2266</v>
      </c>
      <c r="H1931" t="s">
        <v>373</v>
      </c>
      <c r="I1931" t="s">
        <v>289</v>
      </c>
      <c r="J1931" t="s">
        <v>764</v>
      </c>
      <c r="K1931">
        <v>3</v>
      </c>
      <c r="L1931" s="6">
        <v>0.91439999999999999</v>
      </c>
      <c r="M1931" s="7">
        <v>38.1</v>
      </c>
      <c r="N1931" s="7">
        <v>38.1</v>
      </c>
      <c r="O1931" s="7">
        <f t="shared" si="159"/>
        <v>36</v>
      </c>
      <c r="P1931" s="7">
        <f t="shared" si="160"/>
        <v>1.5000000000000002</v>
      </c>
      <c r="Q1931" s="7">
        <f t="shared" si="160"/>
        <v>1.5000000000000002</v>
      </c>
      <c r="R1931" s="6">
        <f t="shared" si="161"/>
        <v>2260.1390000000001</v>
      </c>
      <c r="S1931" s="6">
        <f t="shared" si="162"/>
        <v>1.3273521840000001E-3</v>
      </c>
      <c r="T1931" t="str">
        <f t="shared" si="163"/>
        <v>Massaranduba Bullet Wood S4S E4E 2x2 Short</v>
      </c>
    </row>
    <row r="1932" spans="1:20" x14ac:dyDescent="0.25">
      <c r="A1932" t="s">
        <v>2262</v>
      </c>
      <c r="B1932" t="s">
        <v>2333</v>
      </c>
      <c r="C1932" t="s">
        <v>524</v>
      </c>
      <c r="D1932" t="s">
        <v>438</v>
      </c>
      <c r="E1932" t="s">
        <v>2349</v>
      </c>
      <c r="F1932" t="s">
        <v>2335</v>
      </c>
      <c r="G1932" t="s">
        <v>2266</v>
      </c>
      <c r="H1932" t="s">
        <v>373</v>
      </c>
      <c r="I1932" t="s">
        <v>289</v>
      </c>
      <c r="J1932" t="s">
        <v>764</v>
      </c>
      <c r="K1932">
        <v>4</v>
      </c>
      <c r="L1932" s="6">
        <v>1.2192000000000001</v>
      </c>
      <c r="M1932" s="7">
        <v>38.1</v>
      </c>
      <c r="N1932" s="7">
        <v>38.1</v>
      </c>
      <c r="O1932" s="7">
        <f t="shared" si="159"/>
        <v>48.000000000000007</v>
      </c>
      <c r="P1932" s="7">
        <f t="shared" si="160"/>
        <v>1.5000000000000002</v>
      </c>
      <c r="Q1932" s="7">
        <f t="shared" si="160"/>
        <v>1.5000000000000002</v>
      </c>
      <c r="R1932" s="6">
        <f t="shared" si="161"/>
        <v>2260.1390000000001</v>
      </c>
      <c r="S1932" s="6">
        <f t="shared" si="162"/>
        <v>1.7698029120000003E-3</v>
      </c>
      <c r="T1932" t="str">
        <f t="shared" si="163"/>
        <v>Massaranduba Bullet Wood S4S E4E 2x2 Short</v>
      </c>
    </row>
    <row r="1933" spans="1:20" x14ac:dyDescent="0.25">
      <c r="A1933" t="s">
        <v>2262</v>
      </c>
      <c r="B1933" t="s">
        <v>2333</v>
      </c>
      <c r="C1933" t="s">
        <v>524</v>
      </c>
      <c r="D1933" t="s">
        <v>438</v>
      </c>
      <c r="E1933" t="s">
        <v>2350</v>
      </c>
      <c r="F1933" t="s">
        <v>2335</v>
      </c>
      <c r="G1933" t="s">
        <v>2266</v>
      </c>
      <c r="H1933" t="s">
        <v>373</v>
      </c>
      <c r="I1933" t="s">
        <v>289</v>
      </c>
      <c r="J1933" t="s">
        <v>764</v>
      </c>
      <c r="K1933">
        <v>5</v>
      </c>
      <c r="L1933" s="6">
        <v>1.524</v>
      </c>
      <c r="M1933" s="7">
        <v>38.1</v>
      </c>
      <c r="N1933" s="7">
        <v>38.1</v>
      </c>
      <c r="O1933" s="7">
        <f t="shared" si="159"/>
        <v>60</v>
      </c>
      <c r="P1933" s="7">
        <f t="shared" si="160"/>
        <v>1.5000000000000002</v>
      </c>
      <c r="Q1933" s="7">
        <f t="shared" si="160"/>
        <v>1.5000000000000002</v>
      </c>
      <c r="R1933" s="6">
        <f t="shared" si="161"/>
        <v>2260.1390000000001</v>
      </c>
      <c r="S1933" s="6">
        <f t="shared" si="162"/>
        <v>2.2122536400000004E-3</v>
      </c>
      <c r="T1933" t="str">
        <f t="shared" si="163"/>
        <v>Massaranduba Bullet Wood S4S E4E 2x2 Short</v>
      </c>
    </row>
    <row r="1934" spans="1:20" x14ac:dyDescent="0.25">
      <c r="A1934" t="s">
        <v>2262</v>
      </c>
      <c r="B1934" t="s">
        <v>2333</v>
      </c>
      <c r="C1934" t="s">
        <v>524</v>
      </c>
      <c r="D1934" t="s">
        <v>438</v>
      </c>
      <c r="E1934" t="s">
        <v>2351</v>
      </c>
      <c r="F1934" t="s">
        <v>2335</v>
      </c>
      <c r="G1934" t="s">
        <v>2266</v>
      </c>
      <c r="H1934" t="s">
        <v>373</v>
      </c>
      <c r="I1934" t="s">
        <v>289</v>
      </c>
      <c r="J1934" t="s">
        <v>764</v>
      </c>
      <c r="K1934">
        <v>6</v>
      </c>
      <c r="L1934" s="6">
        <v>1.8288</v>
      </c>
      <c r="M1934" s="7">
        <v>38.1</v>
      </c>
      <c r="N1934" s="7">
        <v>38.1</v>
      </c>
      <c r="O1934" s="7">
        <f t="shared" si="159"/>
        <v>72</v>
      </c>
      <c r="P1934" s="7">
        <f t="shared" ref="P1934:Q1965" si="164">M1934/25.4</f>
        <v>1.5000000000000002</v>
      </c>
      <c r="Q1934" s="7">
        <f t="shared" si="164"/>
        <v>1.5000000000000002</v>
      </c>
      <c r="R1934" s="6">
        <f t="shared" si="161"/>
        <v>2260.1390000000001</v>
      </c>
      <c r="S1934" s="6">
        <f t="shared" si="162"/>
        <v>2.6547043680000002E-3</v>
      </c>
      <c r="T1934" t="str">
        <f t="shared" si="163"/>
        <v>Massaranduba Bullet Wood S4S E4E 2x2 Short</v>
      </c>
    </row>
    <row r="1935" spans="1:20" x14ac:dyDescent="0.25">
      <c r="A1935" t="s">
        <v>2262</v>
      </c>
      <c r="B1935" t="s">
        <v>2333</v>
      </c>
      <c r="C1935" t="s">
        <v>524</v>
      </c>
      <c r="D1935" t="s">
        <v>438</v>
      </c>
      <c r="E1935" t="s">
        <v>2352</v>
      </c>
      <c r="F1935" t="s">
        <v>2335</v>
      </c>
      <c r="G1935" t="s">
        <v>2266</v>
      </c>
      <c r="H1935" t="s">
        <v>373</v>
      </c>
      <c r="I1935" t="s">
        <v>289</v>
      </c>
      <c r="J1935" t="s">
        <v>764</v>
      </c>
      <c r="K1935">
        <v>7</v>
      </c>
      <c r="L1935" s="6">
        <v>2.1335999999999999</v>
      </c>
      <c r="M1935" s="7">
        <v>38.1</v>
      </c>
      <c r="N1935" s="7">
        <v>38.1</v>
      </c>
      <c r="O1935" s="7">
        <f t="shared" si="159"/>
        <v>84</v>
      </c>
      <c r="P1935" s="7">
        <f t="shared" si="164"/>
        <v>1.5000000000000002</v>
      </c>
      <c r="Q1935" s="7">
        <f t="shared" si="164"/>
        <v>1.5000000000000002</v>
      </c>
      <c r="R1935" s="6">
        <f t="shared" si="161"/>
        <v>2260.1390000000001</v>
      </c>
      <c r="S1935" s="6">
        <f t="shared" si="162"/>
        <v>3.0971550960000004E-3</v>
      </c>
      <c r="T1935" t="str">
        <f t="shared" si="163"/>
        <v>Massaranduba Bullet Wood S4S E4E 2x2 Short</v>
      </c>
    </row>
    <row r="1936" spans="1:20" x14ac:dyDescent="0.25">
      <c r="A1936" t="s">
        <v>2262</v>
      </c>
      <c r="B1936" t="s">
        <v>2333</v>
      </c>
      <c r="C1936" t="s">
        <v>283</v>
      </c>
      <c r="D1936" t="s">
        <v>438</v>
      </c>
      <c r="E1936" t="s">
        <v>2353</v>
      </c>
      <c r="F1936" t="s">
        <v>2335</v>
      </c>
      <c r="G1936" t="s">
        <v>2266</v>
      </c>
      <c r="H1936" t="s">
        <v>373</v>
      </c>
      <c r="I1936" t="s">
        <v>289</v>
      </c>
      <c r="J1936" t="s">
        <v>764</v>
      </c>
      <c r="K1936">
        <v>8</v>
      </c>
      <c r="L1936" s="6">
        <v>2.4384000000000001</v>
      </c>
      <c r="M1936" s="7">
        <v>38.1</v>
      </c>
      <c r="N1936" s="7">
        <v>38.1</v>
      </c>
      <c r="O1936" s="7">
        <f t="shared" si="159"/>
        <v>96.000000000000014</v>
      </c>
      <c r="P1936" s="7">
        <f t="shared" si="164"/>
        <v>1.5000000000000002</v>
      </c>
      <c r="Q1936" s="7">
        <f t="shared" si="164"/>
        <v>1.5000000000000002</v>
      </c>
      <c r="R1936" s="6">
        <f t="shared" si="161"/>
        <v>2260.1390000000001</v>
      </c>
      <c r="S1936" s="6">
        <f t="shared" si="162"/>
        <v>3.5396058240000005E-3</v>
      </c>
      <c r="T1936" t="str">
        <f t="shared" si="163"/>
        <v>Massaranduba Bullet Wood S4S E4E 2x2 Long</v>
      </c>
    </row>
    <row r="1937" spans="1:20" x14ac:dyDescent="0.25">
      <c r="A1937" t="s">
        <v>2262</v>
      </c>
      <c r="B1937" t="s">
        <v>2333</v>
      </c>
      <c r="C1937" t="s">
        <v>283</v>
      </c>
      <c r="D1937" t="s">
        <v>438</v>
      </c>
      <c r="E1937" t="s">
        <v>2354</v>
      </c>
      <c r="F1937" t="s">
        <v>2335</v>
      </c>
      <c r="G1937" t="s">
        <v>2266</v>
      </c>
      <c r="H1937" t="s">
        <v>373</v>
      </c>
      <c r="I1937" t="s">
        <v>289</v>
      </c>
      <c r="J1937" t="s">
        <v>764</v>
      </c>
      <c r="K1937">
        <v>9</v>
      </c>
      <c r="L1937" s="6">
        <v>2.7431999999999999</v>
      </c>
      <c r="M1937" s="7">
        <v>38.1</v>
      </c>
      <c r="N1937" s="7">
        <v>38.1</v>
      </c>
      <c r="O1937" s="7">
        <f t="shared" si="159"/>
        <v>108</v>
      </c>
      <c r="P1937" s="7">
        <f t="shared" si="164"/>
        <v>1.5000000000000002</v>
      </c>
      <c r="Q1937" s="7">
        <f t="shared" si="164"/>
        <v>1.5000000000000002</v>
      </c>
      <c r="R1937" s="6">
        <f t="shared" si="161"/>
        <v>2260.1390000000001</v>
      </c>
      <c r="S1937" s="6">
        <f t="shared" si="162"/>
        <v>3.9820565519999998E-3</v>
      </c>
      <c r="T1937" t="str">
        <f t="shared" si="163"/>
        <v>Massaranduba Bullet Wood S4S E4E 2x2 Long</v>
      </c>
    </row>
    <row r="1938" spans="1:20" x14ac:dyDescent="0.25">
      <c r="A1938" t="s">
        <v>2262</v>
      </c>
      <c r="B1938" t="s">
        <v>2355</v>
      </c>
      <c r="C1938" t="s">
        <v>283</v>
      </c>
      <c r="D1938" t="s">
        <v>438</v>
      </c>
      <c r="E1938" t="s">
        <v>2356</v>
      </c>
      <c r="F1938" t="s">
        <v>2357</v>
      </c>
      <c r="G1938" t="s">
        <v>2266</v>
      </c>
      <c r="H1938" t="s">
        <v>373</v>
      </c>
      <c r="I1938" t="s">
        <v>289</v>
      </c>
      <c r="J1938" t="s">
        <v>796</v>
      </c>
      <c r="K1938">
        <v>10</v>
      </c>
      <c r="L1938" s="6">
        <v>3.048</v>
      </c>
      <c r="M1938" s="7">
        <v>38.1</v>
      </c>
      <c r="N1938" s="7">
        <v>88.9</v>
      </c>
      <c r="O1938" s="7">
        <f t="shared" si="159"/>
        <v>120</v>
      </c>
      <c r="P1938" s="7">
        <f t="shared" si="164"/>
        <v>1.5000000000000002</v>
      </c>
      <c r="Q1938" s="7">
        <f t="shared" si="164"/>
        <v>3.5000000000000004</v>
      </c>
      <c r="R1938" s="6">
        <f t="shared" si="161"/>
        <v>968.63099999999997</v>
      </c>
      <c r="S1938" s="6">
        <f t="shared" si="162"/>
        <v>1.0323850320000001E-2</v>
      </c>
      <c r="T1938" t="str">
        <f t="shared" si="163"/>
        <v>Massaranduba Bullet Wood S4S E4E 2x4 Long</v>
      </c>
    </row>
    <row r="1939" spans="1:20" x14ac:dyDescent="0.25">
      <c r="A1939" t="s">
        <v>2262</v>
      </c>
      <c r="B1939" t="s">
        <v>2355</v>
      </c>
      <c r="C1939" t="s">
        <v>283</v>
      </c>
      <c r="D1939" t="s">
        <v>438</v>
      </c>
      <c r="E1939" t="s">
        <v>2358</v>
      </c>
      <c r="F1939" t="s">
        <v>2357</v>
      </c>
      <c r="G1939" t="s">
        <v>2266</v>
      </c>
      <c r="H1939" t="s">
        <v>373</v>
      </c>
      <c r="I1939" t="s">
        <v>289</v>
      </c>
      <c r="J1939" t="s">
        <v>796</v>
      </c>
      <c r="K1939">
        <v>11</v>
      </c>
      <c r="L1939" s="6">
        <v>3.3527999999999998</v>
      </c>
      <c r="M1939" s="7">
        <v>38.1</v>
      </c>
      <c r="N1939" s="7">
        <v>88.9</v>
      </c>
      <c r="O1939" s="7">
        <f t="shared" si="159"/>
        <v>132</v>
      </c>
      <c r="P1939" s="7">
        <f t="shared" si="164"/>
        <v>1.5000000000000002</v>
      </c>
      <c r="Q1939" s="7">
        <f t="shared" si="164"/>
        <v>3.5000000000000004</v>
      </c>
      <c r="R1939" s="6">
        <f t="shared" si="161"/>
        <v>968.63099999999997</v>
      </c>
      <c r="S1939" s="6">
        <f t="shared" si="162"/>
        <v>1.1356235352000001E-2</v>
      </c>
      <c r="T1939" t="str">
        <f t="shared" si="163"/>
        <v>Massaranduba Bullet Wood S4S E4E 2x4 Long</v>
      </c>
    </row>
    <row r="1940" spans="1:20" x14ac:dyDescent="0.25">
      <c r="A1940" t="s">
        <v>2262</v>
      </c>
      <c r="B1940" t="s">
        <v>2355</v>
      </c>
      <c r="C1940" t="s">
        <v>283</v>
      </c>
      <c r="D1940" t="s">
        <v>438</v>
      </c>
      <c r="E1940" t="s">
        <v>2359</v>
      </c>
      <c r="F1940" t="s">
        <v>2357</v>
      </c>
      <c r="G1940" t="s">
        <v>2266</v>
      </c>
      <c r="H1940" t="s">
        <v>373</v>
      </c>
      <c r="I1940" t="s">
        <v>289</v>
      </c>
      <c r="J1940" t="s">
        <v>796</v>
      </c>
      <c r="K1940">
        <v>12</v>
      </c>
      <c r="L1940" s="6">
        <v>3.6576</v>
      </c>
      <c r="M1940" s="7">
        <v>38.1</v>
      </c>
      <c r="N1940" s="7">
        <v>88.9</v>
      </c>
      <c r="O1940" s="7">
        <f t="shared" si="159"/>
        <v>144</v>
      </c>
      <c r="P1940" s="7">
        <f t="shared" si="164"/>
        <v>1.5000000000000002</v>
      </c>
      <c r="Q1940" s="7">
        <f t="shared" si="164"/>
        <v>3.5000000000000004</v>
      </c>
      <c r="R1940" s="6">
        <f t="shared" si="161"/>
        <v>968.63099999999997</v>
      </c>
      <c r="S1940" s="6">
        <f t="shared" si="162"/>
        <v>1.2388620384E-2</v>
      </c>
      <c r="T1940" t="str">
        <f t="shared" si="163"/>
        <v>Massaranduba Bullet Wood S4S E4E 2x4 Long</v>
      </c>
    </row>
    <row r="1941" spans="1:20" x14ac:dyDescent="0.25">
      <c r="A1941" t="s">
        <v>2262</v>
      </c>
      <c r="B1941" t="s">
        <v>2355</v>
      </c>
      <c r="C1941" t="s">
        <v>283</v>
      </c>
      <c r="D1941" t="s">
        <v>438</v>
      </c>
      <c r="E1941" t="s">
        <v>2360</v>
      </c>
      <c r="F1941" t="s">
        <v>2357</v>
      </c>
      <c r="G1941" t="s">
        <v>2266</v>
      </c>
      <c r="H1941" t="s">
        <v>373</v>
      </c>
      <c r="I1941" t="s">
        <v>289</v>
      </c>
      <c r="J1941" t="s">
        <v>796</v>
      </c>
      <c r="K1941">
        <v>13</v>
      </c>
      <c r="L1941" s="6">
        <v>3.9624000000000001</v>
      </c>
      <c r="M1941" s="7">
        <v>38.1</v>
      </c>
      <c r="N1941" s="7">
        <v>88.9</v>
      </c>
      <c r="O1941" s="7">
        <f t="shared" si="159"/>
        <v>156</v>
      </c>
      <c r="P1941" s="7">
        <f t="shared" si="164"/>
        <v>1.5000000000000002</v>
      </c>
      <c r="Q1941" s="7">
        <f t="shared" si="164"/>
        <v>3.5000000000000004</v>
      </c>
      <c r="R1941" s="6">
        <f t="shared" si="161"/>
        <v>968.63099999999997</v>
      </c>
      <c r="S1941" s="6">
        <f t="shared" si="162"/>
        <v>1.3421005416000002E-2</v>
      </c>
      <c r="T1941" t="str">
        <f t="shared" si="163"/>
        <v>Massaranduba Bullet Wood S4S E4E 2x4 Long</v>
      </c>
    </row>
    <row r="1942" spans="1:20" x14ac:dyDescent="0.25">
      <c r="A1942" t="s">
        <v>2262</v>
      </c>
      <c r="B1942" t="s">
        <v>2355</v>
      </c>
      <c r="C1942" t="s">
        <v>283</v>
      </c>
      <c r="D1942" t="s">
        <v>438</v>
      </c>
      <c r="E1942" t="s">
        <v>2361</v>
      </c>
      <c r="F1942" t="s">
        <v>2357</v>
      </c>
      <c r="G1942" t="s">
        <v>2266</v>
      </c>
      <c r="H1942" t="s">
        <v>373</v>
      </c>
      <c r="I1942" t="s">
        <v>289</v>
      </c>
      <c r="J1942" t="s">
        <v>796</v>
      </c>
      <c r="K1942">
        <v>14</v>
      </c>
      <c r="L1942" s="6">
        <v>4.2671999999999999</v>
      </c>
      <c r="M1942" s="7">
        <v>38.1</v>
      </c>
      <c r="N1942" s="7">
        <v>88.9</v>
      </c>
      <c r="O1942" s="7">
        <f t="shared" si="159"/>
        <v>168</v>
      </c>
      <c r="P1942" s="7">
        <f t="shared" si="164"/>
        <v>1.5000000000000002</v>
      </c>
      <c r="Q1942" s="7">
        <f t="shared" si="164"/>
        <v>3.5000000000000004</v>
      </c>
      <c r="R1942" s="6">
        <f t="shared" si="161"/>
        <v>968.63099999999997</v>
      </c>
      <c r="S1942" s="6">
        <f t="shared" si="162"/>
        <v>1.4453390448E-2</v>
      </c>
      <c r="T1942" t="str">
        <f t="shared" si="163"/>
        <v>Massaranduba Bullet Wood S4S E4E 2x4 Long</v>
      </c>
    </row>
    <row r="1943" spans="1:20" x14ac:dyDescent="0.25">
      <c r="A1943" t="s">
        <v>2262</v>
      </c>
      <c r="B1943" t="s">
        <v>2355</v>
      </c>
      <c r="C1943" t="s">
        <v>283</v>
      </c>
      <c r="D1943" t="s">
        <v>438</v>
      </c>
      <c r="E1943" t="s">
        <v>2362</v>
      </c>
      <c r="F1943" t="s">
        <v>2357</v>
      </c>
      <c r="G1943" t="s">
        <v>2266</v>
      </c>
      <c r="H1943" t="s">
        <v>373</v>
      </c>
      <c r="I1943" t="s">
        <v>289</v>
      </c>
      <c r="J1943" t="s">
        <v>796</v>
      </c>
      <c r="K1943">
        <v>15</v>
      </c>
      <c r="L1943" s="6">
        <v>4.5720000000000001</v>
      </c>
      <c r="M1943" s="7">
        <v>38.1</v>
      </c>
      <c r="N1943" s="7">
        <v>88.9</v>
      </c>
      <c r="O1943" s="7">
        <f t="shared" si="159"/>
        <v>180</v>
      </c>
      <c r="P1943" s="7">
        <f t="shared" si="164"/>
        <v>1.5000000000000002</v>
      </c>
      <c r="Q1943" s="7">
        <f t="shared" si="164"/>
        <v>3.5000000000000004</v>
      </c>
      <c r="R1943" s="6">
        <f t="shared" si="161"/>
        <v>968.63099999999997</v>
      </c>
      <c r="S1943" s="6">
        <f t="shared" si="162"/>
        <v>1.5485775480000004E-2</v>
      </c>
      <c r="T1943" t="str">
        <f t="shared" si="163"/>
        <v>Massaranduba Bullet Wood S4S E4E 2x4 Long</v>
      </c>
    </row>
    <row r="1944" spans="1:20" x14ac:dyDescent="0.25">
      <c r="A1944" t="s">
        <v>2262</v>
      </c>
      <c r="B1944" t="s">
        <v>2355</v>
      </c>
      <c r="C1944" t="s">
        <v>283</v>
      </c>
      <c r="D1944" t="s">
        <v>438</v>
      </c>
      <c r="E1944" t="s">
        <v>2363</v>
      </c>
      <c r="F1944" t="s">
        <v>2357</v>
      </c>
      <c r="G1944" t="s">
        <v>2266</v>
      </c>
      <c r="H1944" t="s">
        <v>373</v>
      </c>
      <c r="I1944" t="s">
        <v>289</v>
      </c>
      <c r="J1944" t="s">
        <v>796</v>
      </c>
      <c r="K1944">
        <v>16</v>
      </c>
      <c r="L1944" s="6">
        <v>4.8768000000000002</v>
      </c>
      <c r="M1944" s="7">
        <v>38.1</v>
      </c>
      <c r="N1944" s="7">
        <v>88.9</v>
      </c>
      <c r="O1944" s="7">
        <f t="shared" si="159"/>
        <v>192.00000000000003</v>
      </c>
      <c r="P1944" s="7">
        <f t="shared" si="164"/>
        <v>1.5000000000000002</v>
      </c>
      <c r="Q1944" s="7">
        <f t="shared" si="164"/>
        <v>3.5000000000000004</v>
      </c>
      <c r="R1944" s="6">
        <f t="shared" si="161"/>
        <v>968.63099999999997</v>
      </c>
      <c r="S1944" s="6">
        <f t="shared" si="162"/>
        <v>1.6518160512000002E-2</v>
      </c>
      <c r="T1944" t="str">
        <f t="shared" si="163"/>
        <v>Massaranduba Bullet Wood S4S E4E 2x4 Long</v>
      </c>
    </row>
    <row r="1945" spans="1:20" x14ac:dyDescent="0.25">
      <c r="A1945" t="s">
        <v>2262</v>
      </c>
      <c r="B1945" t="s">
        <v>2355</v>
      </c>
      <c r="C1945" t="s">
        <v>283</v>
      </c>
      <c r="D1945" t="s">
        <v>438</v>
      </c>
      <c r="E1945" t="s">
        <v>2364</v>
      </c>
      <c r="F1945" t="s">
        <v>2357</v>
      </c>
      <c r="G1945" t="s">
        <v>2266</v>
      </c>
      <c r="H1945" t="s">
        <v>373</v>
      </c>
      <c r="I1945" t="s">
        <v>289</v>
      </c>
      <c r="J1945" t="s">
        <v>796</v>
      </c>
      <c r="K1945">
        <v>17</v>
      </c>
      <c r="L1945" s="6">
        <v>5.1816000000000004</v>
      </c>
      <c r="M1945" s="7">
        <v>38.1</v>
      </c>
      <c r="N1945" s="7">
        <v>88.9</v>
      </c>
      <c r="O1945" s="7">
        <f t="shared" si="159"/>
        <v>204.00000000000003</v>
      </c>
      <c r="P1945" s="7">
        <f t="shared" si="164"/>
        <v>1.5000000000000002</v>
      </c>
      <c r="Q1945" s="7">
        <f t="shared" si="164"/>
        <v>3.5000000000000004</v>
      </c>
      <c r="R1945" s="6">
        <f t="shared" si="161"/>
        <v>968.63099999999997</v>
      </c>
      <c r="S1945" s="6">
        <f t="shared" si="162"/>
        <v>1.7550545544000005E-2</v>
      </c>
      <c r="T1945" t="str">
        <f t="shared" si="163"/>
        <v>Massaranduba Bullet Wood S4S E4E 2x4 Long</v>
      </c>
    </row>
    <row r="1946" spans="1:20" x14ac:dyDescent="0.25">
      <c r="A1946" t="s">
        <v>2262</v>
      </c>
      <c r="B1946" t="s">
        <v>2355</v>
      </c>
      <c r="C1946" t="s">
        <v>283</v>
      </c>
      <c r="D1946" t="s">
        <v>438</v>
      </c>
      <c r="E1946" t="s">
        <v>2365</v>
      </c>
      <c r="F1946" t="s">
        <v>2357</v>
      </c>
      <c r="G1946" t="s">
        <v>2266</v>
      </c>
      <c r="H1946" t="s">
        <v>373</v>
      </c>
      <c r="I1946" t="s">
        <v>289</v>
      </c>
      <c r="J1946" t="s">
        <v>796</v>
      </c>
      <c r="K1946">
        <v>18</v>
      </c>
      <c r="L1946" s="6">
        <v>5.4863999999999997</v>
      </c>
      <c r="M1946" s="7">
        <v>38.1</v>
      </c>
      <c r="N1946" s="7">
        <v>88.9</v>
      </c>
      <c r="O1946" s="7">
        <f t="shared" si="159"/>
        <v>216</v>
      </c>
      <c r="P1946" s="7">
        <f t="shared" si="164"/>
        <v>1.5000000000000002</v>
      </c>
      <c r="Q1946" s="7">
        <f t="shared" si="164"/>
        <v>3.5000000000000004</v>
      </c>
      <c r="R1946" s="6">
        <f t="shared" si="161"/>
        <v>968.63099999999997</v>
      </c>
      <c r="S1946" s="6">
        <f t="shared" si="162"/>
        <v>1.8582930576000002E-2</v>
      </c>
      <c r="T1946" t="str">
        <f t="shared" si="163"/>
        <v>Massaranduba Bullet Wood S4S E4E 2x4 Long</v>
      </c>
    </row>
    <row r="1947" spans="1:20" x14ac:dyDescent="0.25">
      <c r="A1947" t="s">
        <v>2262</v>
      </c>
      <c r="B1947" t="s">
        <v>2355</v>
      </c>
      <c r="C1947" t="s">
        <v>283</v>
      </c>
      <c r="D1947" t="s">
        <v>438</v>
      </c>
      <c r="E1947" t="s">
        <v>2366</v>
      </c>
      <c r="F1947" t="s">
        <v>2357</v>
      </c>
      <c r="G1947" t="s">
        <v>2266</v>
      </c>
      <c r="H1947" t="s">
        <v>373</v>
      </c>
      <c r="I1947" t="s">
        <v>289</v>
      </c>
      <c r="J1947" t="s">
        <v>796</v>
      </c>
      <c r="K1947">
        <v>19</v>
      </c>
      <c r="L1947" s="6">
        <v>5.7911999999999999</v>
      </c>
      <c r="M1947" s="7">
        <v>38.1</v>
      </c>
      <c r="N1947" s="7">
        <v>88.9</v>
      </c>
      <c r="O1947" s="7">
        <f t="shared" si="159"/>
        <v>228</v>
      </c>
      <c r="P1947" s="7">
        <f t="shared" si="164"/>
        <v>1.5000000000000002</v>
      </c>
      <c r="Q1947" s="7">
        <f t="shared" si="164"/>
        <v>3.5000000000000004</v>
      </c>
      <c r="R1947" s="6">
        <f t="shared" si="161"/>
        <v>968.63099999999997</v>
      </c>
      <c r="S1947" s="6">
        <f t="shared" si="162"/>
        <v>1.9615315608000002E-2</v>
      </c>
      <c r="T1947" t="str">
        <f t="shared" si="163"/>
        <v>Massaranduba Bullet Wood S4S E4E 2x4 Long</v>
      </c>
    </row>
    <row r="1948" spans="1:20" x14ac:dyDescent="0.25">
      <c r="A1948" t="s">
        <v>2262</v>
      </c>
      <c r="B1948" t="s">
        <v>2355</v>
      </c>
      <c r="C1948" t="s">
        <v>283</v>
      </c>
      <c r="D1948" t="s">
        <v>438</v>
      </c>
      <c r="E1948" t="s">
        <v>2367</v>
      </c>
      <c r="F1948" t="s">
        <v>2357</v>
      </c>
      <c r="G1948" t="s">
        <v>2266</v>
      </c>
      <c r="H1948" t="s">
        <v>373</v>
      </c>
      <c r="I1948" t="s">
        <v>289</v>
      </c>
      <c r="J1948" t="s">
        <v>796</v>
      </c>
      <c r="K1948">
        <v>20</v>
      </c>
      <c r="L1948" s="6">
        <v>6.0960000000000001</v>
      </c>
      <c r="M1948" s="7">
        <v>38.1</v>
      </c>
      <c r="N1948" s="7">
        <v>88.9</v>
      </c>
      <c r="O1948" s="7">
        <f t="shared" si="159"/>
        <v>240</v>
      </c>
      <c r="P1948" s="7">
        <f t="shared" si="164"/>
        <v>1.5000000000000002</v>
      </c>
      <c r="Q1948" s="7">
        <f t="shared" si="164"/>
        <v>3.5000000000000004</v>
      </c>
      <c r="R1948" s="6">
        <f t="shared" si="161"/>
        <v>968.63099999999997</v>
      </c>
      <c r="S1948" s="6">
        <f t="shared" si="162"/>
        <v>2.0647700640000002E-2</v>
      </c>
      <c r="T1948" t="str">
        <f t="shared" si="163"/>
        <v>Massaranduba Bullet Wood S4S E4E 2x4 Long</v>
      </c>
    </row>
    <row r="1949" spans="1:20" x14ac:dyDescent="0.25">
      <c r="A1949" t="s">
        <v>2262</v>
      </c>
      <c r="B1949" t="s">
        <v>2355</v>
      </c>
      <c r="C1949" t="s">
        <v>283</v>
      </c>
      <c r="D1949" t="s">
        <v>438</v>
      </c>
      <c r="E1949" t="s">
        <v>2368</v>
      </c>
      <c r="F1949" t="s">
        <v>2357</v>
      </c>
      <c r="G1949" t="s">
        <v>2266</v>
      </c>
      <c r="H1949" t="s">
        <v>373</v>
      </c>
      <c r="I1949" t="s">
        <v>289</v>
      </c>
      <c r="J1949" t="s">
        <v>796</v>
      </c>
      <c r="K1949">
        <v>21</v>
      </c>
      <c r="L1949" s="6">
        <v>6.4008000000000003</v>
      </c>
      <c r="M1949" s="7">
        <v>38.1</v>
      </c>
      <c r="N1949" s="7">
        <v>88.9</v>
      </c>
      <c r="O1949" s="7">
        <f t="shared" si="159"/>
        <v>252.00000000000003</v>
      </c>
      <c r="P1949" s="7">
        <f t="shared" si="164"/>
        <v>1.5000000000000002</v>
      </c>
      <c r="Q1949" s="7">
        <f t="shared" si="164"/>
        <v>3.5000000000000004</v>
      </c>
      <c r="R1949" s="6">
        <f t="shared" si="161"/>
        <v>968.63099999999997</v>
      </c>
      <c r="S1949" s="6">
        <f t="shared" si="162"/>
        <v>2.1680085672000003E-2</v>
      </c>
      <c r="T1949" t="str">
        <f t="shared" si="163"/>
        <v>Massaranduba Bullet Wood S4S E4E 2x4 Long</v>
      </c>
    </row>
    <row r="1950" spans="1:20" x14ac:dyDescent="0.25">
      <c r="A1950" t="s">
        <v>2262</v>
      </c>
      <c r="B1950" t="s">
        <v>2355</v>
      </c>
      <c r="C1950" t="s">
        <v>283</v>
      </c>
      <c r="D1950" t="s">
        <v>438</v>
      </c>
      <c r="E1950" t="s">
        <v>2369</v>
      </c>
      <c r="F1950" t="s">
        <v>2357</v>
      </c>
      <c r="G1950" t="s">
        <v>2266</v>
      </c>
      <c r="H1950" t="s">
        <v>373</v>
      </c>
      <c r="I1950" t="s">
        <v>289</v>
      </c>
      <c r="J1950" t="s">
        <v>796</v>
      </c>
      <c r="K1950">
        <v>22</v>
      </c>
      <c r="L1950" s="6">
        <v>6.7055999999999996</v>
      </c>
      <c r="M1950" s="7">
        <v>38.1</v>
      </c>
      <c r="N1950" s="7">
        <v>88.9</v>
      </c>
      <c r="O1950" s="7">
        <f t="shared" si="159"/>
        <v>264</v>
      </c>
      <c r="P1950" s="7">
        <f t="shared" si="164"/>
        <v>1.5000000000000002</v>
      </c>
      <c r="Q1950" s="7">
        <f t="shared" si="164"/>
        <v>3.5000000000000004</v>
      </c>
      <c r="R1950" s="6">
        <f t="shared" si="161"/>
        <v>968.63099999999997</v>
      </c>
      <c r="S1950" s="6">
        <f t="shared" si="162"/>
        <v>2.2712470704000003E-2</v>
      </c>
      <c r="T1950" t="str">
        <f t="shared" si="163"/>
        <v>Massaranduba Bullet Wood S4S E4E 2x4 Long</v>
      </c>
    </row>
    <row r="1951" spans="1:20" x14ac:dyDescent="0.25">
      <c r="A1951" t="s">
        <v>2262</v>
      </c>
      <c r="B1951" t="s">
        <v>2355</v>
      </c>
      <c r="C1951" t="s">
        <v>524</v>
      </c>
      <c r="D1951" t="s">
        <v>438</v>
      </c>
      <c r="E1951" t="s">
        <v>2370</v>
      </c>
      <c r="F1951" t="s">
        <v>2357</v>
      </c>
      <c r="G1951" t="s">
        <v>2266</v>
      </c>
      <c r="H1951" t="s">
        <v>373</v>
      </c>
      <c r="I1951" t="s">
        <v>289</v>
      </c>
      <c r="J1951" t="s">
        <v>796</v>
      </c>
      <c r="K1951">
        <v>3</v>
      </c>
      <c r="L1951" s="6">
        <v>0.91439999999999999</v>
      </c>
      <c r="M1951" s="7">
        <v>38.1</v>
      </c>
      <c r="N1951" s="7">
        <v>88.9</v>
      </c>
      <c r="O1951" s="7">
        <f t="shared" si="159"/>
        <v>36</v>
      </c>
      <c r="P1951" s="7">
        <f t="shared" si="164"/>
        <v>1.5000000000000002</v>
      </c>
      <c r="Q1951" s="7">
        <f t="shared" si="164"/>
        <v>3.5000000000000004</v>
      </c>
      <c r="R1951" s="6">
        <f t="shared" si="161"/>
        <v>968.63099999999997</v>
      </c>
      <c r="S1951" s="6">
        <f t="shared" si="162"/>
        <v>3.0971550959999999E-3</v>
      </c>
      <c r="T1951" t="str">
        <f t="shared" si="163"/>
        <v>Massaranduba Bullet Wood S4S E4E 2x4 Short</v>
      </c>
    </row>
    <row r="1952" spans="1:20" x14ac:dyDescent="0.25">
      <c r="A1952" t="s">
        <v>2262</v>
      </c>
      <c r="B1952" t="s">
        <v>2355</v>
      </c>
      <c r="C1952" t="s">
        <v>524</v>
      </c>
      <c r="D1952" t="s">
        <v>438</v>
      </c>
      <c r="E1952" t="s">
        <v>2371</v>
      </c>
      <c r="F1952" t="s">
        <v>2357</v>
      </c>
      <c r="G1952" t="s">
        <v>2266</v>
      </c>
      <c r="H1952" t="s">
        <v>373</v>
      </c>
      <c r="I1952" t="s">
        <v>289</v>
      </c>
      <c r="J1952" t="s">
        <v>796</v>
      </c>
      <c r="K1952">
        <v>4</v>
      </c>
      <c r="L1952" s="6">
        <v>1.2192000000000001</v>
      </c>
      <c r="M1952" s="7">
        <v>38.1</v>
      </c>
      <c r="N1952" s="7">
        <v>88.9</v>
      </c>
      <c r="O1952" s="7">
        <f t="shared" si="159"/>
        <v>48.000000000000007</v>
      </c>
      <c r="P1952" s="7">
        <f t="shared" si="164"/>
        <v>1.5000000000000002</v>
      </c>
      <c r="Q1952" s="7">
        <f t="shared" si="164"/>
        <v>3.5000000000000004</v>
      </c>
      <c r="R1952" s="6">
        <f t="shared" si="161"/>
        <v>968.63099999999997</v>
      </c>
      <c r="S1952" s="6">
        <f t="shared" si="162"/>
        <v>4.1295401280000005E-3</v>
      </c>
      <c r="T1952" t="str">
        <f t="shared" si="163"/>
        <v>Massaranduba Bullet Wood S4S E4E 2x4 Short</v>
      </c>
    </row>
    <row r="1953" spans="1:20" x14ac:dyDescent="0.25">
      <c r="A1953" t="s">
        <v>2262</v>
      </c>
      <c r="B1953" t="s">
        <v>2355</v>
      </c>
      <c r="C1953" t="s">
        <v>524</v>
      </c>
      <c r="D1953" t="s">
        <v>438</v>
      </c>
      <c r="E1953" t="s">
        <v>2372</v>
      </c>
      <c r="F1953" t="s">
        <v>2357</v>
      </c>
      <c r="G1953" t="s">
        <v>2266</v>
      </c>
      <c r="H1953" t="s">
        <v>373</v>
      </c>
      <c r="I1953" t="s">
        <v>289</v>
      </c>
      <c r="J1953" t="s">
        <v>796</v>
      </c>
      <c r="K1953">
        <v>5</v>
      </c>
      <c r="L1953" s="6">
        <v>1.524</v>
      </c>
      <c r="M1953" s="7">
        <v>38.1</v>
      </c>
      <c r="N1953" s="7">
        <v>88.9</v>
      </c>
      <c r="O1953" s="7">
        <f t="shared" si="159"/>
        <v>60</v>
      </c>
      <c r="P1953" s="7">
        <f t="shared" si="164"/>
        <v>1.5000000000000002</v>
      </c>
      <c r="Q1953" s="7">
        <f t="shared" si="164"/>
        <v>3.5000000000000004</v>
      </c>
      <c r="R1953" s="6">
        <f t="shared" si="161"/>
        <v>968.63099999999997</v>
      </c>
      <c r="S1953" s="6">
        <f t="shared" si="162"/>
        <v>5.1619251600000006E-3</v>
      </c>
      <c r="T1953" t="str">
        <f t="shared" si="163"/>
        <v>Massaranduba Bullet Wood S4S E4E 2x4 Short</v>
      </c>
    </row>
    <row r="1954" spans="1:20" x14ac:dyDescent="0.25">
      <c r="A1954" t="s">
        <v>2262</v>
      </c>
      <c r="B1954" t="s">
        <v>2355</v>
      </c>
      <c r="C1954" t="s">
        <v>524</v>
      </c>
      <c r="D1954" t="s">
        <v>438</v>
      </c>
      <c r="E1954" t="s">
        <v>2373</v>
      </c>
      <c r="F1954" t="s">
        <v>2357</v>
      </c>
      <c r="G1954" t="s">
        <v>2266</v>
      </c>
      <c r="H1954" t="s">
        <v>373</v>
      </c>
      <c r="I1954" t="s">
        <v>289</v>
      </c>
      <c r="J1954" t="s">
        <v>796</v>
      </c>
      <c r="K1954">
        <v>6</v>
      </c>
      <c r="L1954" s="6">
        <v>1.8288</v>
      </c>
      <c r="M1954" s="7">
        <v>38.1</v>
      </c>
      <c r="N1954" s="7">
        <v>88.9</v>
      </c>
      <c r="O1954" s="7">
        <f t="shared" si="159"/>
        <v>72</v>
      </c>
      <c r="P1954" s="7">
        <f t="shared" si="164"/>
        <v>1.5000000000000002</v>
      </c>
      <c r="Q1954" s="7">
        <f t="shared" si="164"/>
        <v>3.5000000000000004</v>
      </c>
      <c r="R1954" s="6">
        <f t="shared" si="161"/>
        <v>968.63099999999997</v>
      </c>
      <c r="S1954" s="6">
        <f t="shared" si="162"/>
        <v>6.1943101919999998E-3</v>
      </c>
      <c r="T1954" t="str">
        <f t="shared" si="163"/>
        <v>Massaranduba Bullet Wood S4S E4E 2x4 Short</v>
      </c>
    </row>
    <row r="1955" spans="1:20" x14ac:dyDescent="0.25">
      <c r="A1955" t="s">
        <v>2262</v>
      </c>
      <c r="B1955" t="s">
        <v>2355</v>
      </c>
      <c r="C1955" t="s">
        <v>524</v>
      </c>
      <c r="D1955" t="s">
        <v>438</v>
      </c>
      <c r="E1955" t="s">
        <v>2374</v>
      </c>
      <c r="F1955" t="s">
        <v>2357</v>
      </c>
      <c r="G1955" t="s">
        <v>2266</v>
      </c>
      <c r="H1955" t="s">
        <v>373</v>
      </c>
      <c r="I1955" t="s">
        <v>289</v>
      </c>
      <c r="J1955" t="s">
        <v>796</v>
      </c>
      <c r="K1955">
        <v>7</v>
      </c>
      <c r="L1955" s="6">
        <v>2.1335999999999999</v>
      </c>
      <c r="M1955" s="7">
        <v>38.1</v>
      </c>
      <c r="N1955" s="7">
        <v>88.9</v>
      </c>
      <c r="O1955" s="7">
        <f t="shared" si="159"/>
        <v>84</v>
      </c>
      <c r="P1955" s="7">
        <f t="shared" si="164"/>
        <v>1.5000000000000002</v>
      </c>
      <c r="Q1955" s="7">
        <f t="shared" si="164"/>
        <v>3.5000000000000004</v>
      </c>
      <c r="R1955" s="6">
        <f t="shared" si="161"/>
        <v>968.63099999999997</v>
      </c>
      <c r="S1955" s="6">
        <f t="shared" si="162"/>
        <v>7.226695224E-3</v>
      </c>
      <c r="T1955" t="str">
        <f t="shared" si="163"/>
        <v>Massaranduba Bullet Wood S4S E4E 2x4 Short</v>
      </c>
    </row>
    <row r="1956" spans="1:20" x14ac:dyDescent="0.25">
      <c r="A1956" t="s">
        <v>2262</v>
      </c>
      <c r="B1956" t="s">
        <v>2355</v>
      </c>
      <c r="C1956" t="s">
        <v>283</v>
      </c>
      <c r="D1956" t="s">
        <v>438</v>
      </c>
      <c r="E1956" t="s">
        <v>2375</v>
      </c>
      <c r="F1956" t="s">
        <v>2357</v>
      </c>
      <c r="G1956" t="s">
        <v>2266</v>
      </c>
      <c r="H1956" t="s">
        <v>373</v>
      </c>
      <c r="I1956" t="s">
        <v>289</v>
      </c>
      <c r="J1956" t="s">
        <v>796</v>
      </c>
      <c r="K1956">
        <v>8</v>
      </c>
      <c r="L1956" s="6">
        <v>2.4384000000000001</v>
      </c>
      <c r="M1956" s="7">
        <v>38.1</v>
      </c>
      <c r="N1956" s="7">
        <v>88.9</v>
      </c>
      <c r="O1956" s="7">
        <f t="shared" si="159"/>
        <v>96.000000000000014</v>
      </c>
      <c r="P1956" s="7">
        <f t="shared" si="164"/>
        <v>1.5000000000000002</v>
      </c>
      <c r="Q1956" s="7">
        <f t="shared" si="164"/>
        <v>3.5000000000000004</v>
      </c>
      <c r="R1956" s="6">
        <f t="shared" si="161"/>
        <v>968.63099999999997</v>
      </c>
      <c r="S1956" s="6">
        <f t="shared" si="162"/>
        <v>8.259080256000001E-3</v>
      </c>
      <c r="T1956" t="str">
        <f t="shared" si="163"/>
        <v>Massaranduba Bullet Wood S4S E4E 2x4 Long</v>
      </c>
    </row>
    <row r="1957" spans="1:20" x14ac:dyDescent="0.25">
      <c r="A1957" t="s">
        <v>2262</v>
      </c>
      <c r="B1957" t="s">
        <v>2355</v>
      </c>
      <c r="C1957" t="s">
        <v>283</v>
      </c>
      <c r="D1957" t="s">
        <v>438</v>
      </c>
      <c r="E1957" t="s">
        <v>2376</v>
      </c>
      <c r="F1957" t="s">
        <v>2357</v>
      </c>
      <c r="G1957" t="s">
        <v>2266</v>
      </c>
      <c r="H1957" t="s">
        <v>373</v>
      </c>
      <c r="I1957" t="s">
        <v>289</v>
      </c>
      <c r="J1957" t="s">
        <v>796</v>
      </c>
      <c r="K1957">
        <v>9</v>
      </c>
      <c r="L1957" s="6">
        <v>2.7431999999999999</v>
      </c>
      <c r="M1957" s="7">
        <v>38.1</v>
      </c>
      <c r="N1957" s="7">
        <v>88.9</v>
      </c>
      <c r="O1957" s="7">
        <f t="shared" si="159"/>
        <v>108</v>
      </c>
      <c r="P1957" s="7">
        <f t="shared" si="164"/>
        <v>1.5000000000000002</v>
      </c>
      <c r="Q1957" s="7">
        <f t="shared" si="164"/>
        <v>3.5000000000000004</v>
      </c>
      <c r="R1957" s="6">
        <f t="shared" si="161"/>
        <v>968.63099999999997</v>
      </c>
      <c r="S1957" s="6">
        <f t="shared" si="162"/>
        <v>9.2914652880000011E-3</v>
      </c>
      <c r="T1957" t="str">
        <f t="shared" si="163"/>
        <v>Massaranduba Bullet Wood S4S E4E 2x4 Long</v>
      </c>
    </row>
    <row r="1958" spans="1:20" x14ac:dyDescent="0.25">
      <c r="A1958" t="s">
        <v>2262</v>
      </c>
      <c r="B1958" t="s">
        <v>2377</v>
      </c>
      <c r="C1958" t="s">
        <v>283</v>
      </c>
      <c r="D1958" t="s">
        <v>438</v>
      </c>
      <c r="E1958" t="s">
        <v>2378</v>
      </c>
      <c r="F1958" t="s">
        <v>2379</v>
      </c>
      <c r="G1958" t="s">
        <v>2266</v>
      </c>
      <c r="H1958" t="s">
        <v>373</v>
      </c>
      <c r="I1958" t="s">
        <v>289</v>
      </c>
      <c r="J1958" t="s">
        <v>821</v>
      </c>
      <c r="K1958">
        <v>10</v>
      </c>
      <c r="L1958" s="6">
        <v>3.048</v>
      </c>
      <c r="M1958" s="7">
        <v>38.1</v>
      </c>
      <c r="N1958" s="7">
        <v>139.69999999999999</v>
      </c>
      <c r="O1958" s="7">
        <f t="shared" si="159"/>
        <v>120</v>
      </c>
      <c r="P1958" s="7">
        <f t="shared" si="164"/>
        <v>1.5000000000000002</v>
      </c>
      <c r="Q1958" s="7">
        <f t="shared" si="164"/>
        <v>5.5</v>
      </c>
      <c r="R1958" s="6">
        <f t="shared" si="161"/>
        <v>616.40099999999995</v>
      </c>
      <c r="S1958" s="6">
        <f t="shared" si="162"/>
        <v>1.6223193359999999E-2</v>
      </c>
      <c r="T1958" t="str">
        <f t="shared" si="163"/>
        <v>Massaranduba Bullet Wood S4S E4E 2x6 Long</v>
      </c>
    </row>
    <row r="1959" spans="1:20" x14ac:dyDescent="0.25">
      <c r="A1959" t="s">
        <v>2262</v>
      </c>
      <c r="B1959" t="s">
        <v>2377</v>
      </c>
      <c r="C1959" t="s">
        <v>283</v>
      </c>
      <c r="D1959" t="s">
        <v>438</v>
      </c>
      <c r="E1959" t="s">
        <v>2380</v>
      </c>
      <c r="F1959" t="s">
        <v>2379</v>
      </c>
      <c r="G1959" t="s">
        <v>2266</v>
      </c>
      <c r="H1959" t="s">
        <v>373</v>
      </c>
      <c r="I1959" t="s">
        <v>289</v>
      </c>
      <c r="J1959" t="s">
        <v>821</v>
      </c>
      <c r="K1959">
        <v>11</v>
      </c>
      <c r="L1959" s="6">
        <v>3.3527999999999998</v>
      </c>
      <c r="M1959" s="7">
        <v>38.1</v>
      </c>
      <c r="N1959" s="7">
        <v>139.69999999999999</v>
      </c>
      <c r="O1959" s="7">
        <f t="shared" si="159"/>
        <v>132</v>
      </c>
      <c r="P1959" s="7">
        <f t="shared" si="164"/>
        <v>1.5000000000000002</v>
      </c>
      <c r="Q1959" s="7">
        <f t="shared" si="164"/>
        <v>5.5</v>
      </c>
      <c r="R1959" s="6">
        <f t="shared" si="161"/>
        <v>616.40099999999995</v>
      </c>
      <c r="S1959" s="6">
        <f t="shared" si="162"/>
        <v>1.7845512695999998E-2</v>
      </c>
      <c r="T1959" t="str">
        <f t="shared" si="163"/>
        <v>Massaranduba Bullet Wood S4S E4E 2x6 Long</v>
      </c>
    </row>
    <row r="1960" spans="1:20" x14ac:dyDescent="0.25">
      <c r="A1960" t="s">
        <v>2262</v>
      </c>
      <c r="B1960" t="s">
        <v>2377</v>
      </c>
      <c r="C1960" t="s">
        <v>283</v>
      </c>
      <c r="D1960" t="s">
        <v>438</v>
      </c>
      <c r="E1960" t="s">
        <v>2381</v>
      </c>
      <c r="F1960" t="s">
        <v>2379</v>
      </c>
      <c r="G1960" t="s">
        <v>2266</v>
      </c>
      <c r="H1960" t="s">
        <v>373</v>
      </c>
      <c r="I1960" t="s">
        <v>289</v>
      </c>
      <c r="J1960" t="s">
        <v>821</v>
      </c>
      <c r="K1960">
        <v>12</v>
      </c>
      <c r="L1960" s="6">
        <v>3.6576</v>
      </c>
      <c r="M1960" s="7">
        <v>38.1</v>
      </c>
      <c r="N1960" s="7">
        <v>139.69999999999999</v>
      </c>
      <c r="O1960" s="7">
        <f t="shared" si="159"/>
        <v>144</v>
      </c>
      <c r="P1960" s="7">
        <f t="shared" si="164"/>
        <v>1.5000000000000002</v>
      </c>
      <c r="Q1960" s="7">
        <f t="shared" si="164"/>
        <v>5.5</v>
      </c>
      <c r="R1960" s="6">
        <f t="shared" si="161"/>
        <v>616.40099999999995</v>
      </c>
      <c r="S1960" s="6">
        <f t="shared" si="162"/>
        <v>1.9467832031999997E-2</v>
      </c>
      <c r="T1960" t="str">
        <f t="shared" si="163"/>
        <v>Massaranduba Bullet Wood S4S E4E 2x6 Long</v>
      </c>
    </row>
    <row r="1961" spans="1:20" x14ac:dyDescent="0.25">
      <c r="A1961" t="s">
        <v>2262</v>
      </c>
      <c r="B1961" t="s">
        <v>2377</v>
      </c>
      <c r="C1961" t="s">
        <v>283</v>
      </c>
      <c r="D1961" t="s">
        <v>438</v>
      </c>
      <c r="E1961" t="s">
        <v>2382</v>
      </c>
      <c r="F1961" t="s">
        <v>2379</v>
      </c>
      <c r="G1961" t="s">
        <v>2266</v>
      </c>
      <c r="H1961" t="s">
        <v>373</v>
      </c>
      <c r="I1961" t="s">
        <v>289</v>
      </c>
      <c r="J1961" t="s">
        <v>821</v>
      </c>
      <c r="K1961">
        <v>13</v>
      </c>
      <c r="L1961" s="6">
        <v>3.9624000000000001</v>
      </c>
      <c r="M1961" s="7">
        <v>38.1</v>
      </c>
      <c r="N1961" s="7">
        <v>139.69999999999999</v>
      </c>
      <c r="O1961" s="7">
        <f t="shared" si="159"/>
        <v>156</v>
      </c>
      <c r="P1961" s="7">
        <f t="shared" si="164"/>
        <v>1.5000000000000002</v>
      </c>
      <c r="Q1961" s="7">
        <f t="shared" si="164"/>
        <v>5.5</v>
      </c>
      <c r="R1961" s="6">
        <f t="shared" si="161"/>
        <v>616.40099999999995</v>
      </c>
      <c r="S1961" s="6">
        <f t="shared" si="162"/>
        <v>2.1090151368E-2</v>
      </c>
      <c r="T1961" t="str">
        <f t="shared" si="163"/>
        <v>Massaranduba Bullet Wood S4S E4E 2x6 Long</v>
      </c>
    </row>
    <row r="1962" spans="1:20" x14ac:dyDescent="0.25">
      <c r="A1962" t="s">
        <v>2262</v>
      </c>
      <c r="B1962" t="s">
        <v>2377</v>
      </c>
      <c r="C1962" t="s">
        <v>283</v>
      </c>
      <c r="D1962" t="s">
        <v>438</v>
      </c>
      <c r="E1962" t="s">
        <v>2383</v>
      </c>
      <c r="F1962" t="s">
        <v>2379</v>
      </c>
      <c r="G1962" t="s">
        <v>2266</v>
      </c>
      <c r="H1962" t="s">
        <v>373</v>
      </c>
      <c r="I1962" t="s">
        <v>289</v>
      </c>
      <c r="J1962" t="s">
        <v>821</v>
      </c>
      <c r="K1962">
        <v>14</v>
      </c>
      <c r="L1962" s="6">
        <v>4.2671999999999999</v>
      </c>
      <c r="M1962" s="7">
        <v>38.1</v>
      </c>
      <c r="N1962" s="7">
        <v>139.69999999999999</v>
      </c>
      <c r="O1962" s="7">
        <f t="shared" si="159"/>
        <v>168</v>
      </c>
      <c r="P1962" s="7">
        <f t="shared" si="164"/>
        <v>1.5000000000000002</v>
      </c>
      <c r="Q1962" s="7">
        <f t="shared" si="164"/>
        <v>5.5</v>
      </c>
      <c r="R1962" s="6">
        <f t="shared" si="161"/>
        <v>616.40099999999995</v>
      </c>
      <c r="S1962" s="6">
        <f t="shared" si="162"/>
        <v>2.2712470703999999E-2</v>
      </c>
      <c r="T1962" t="str">
        <f t="shared" si="163"/>
        <v>Massaranduba Bullet Wood S4S E4E 2x6 Long</v>
      </c>
    </row>
    <row r="1963" spans="1:20" x14ac:dyDescent="0.25">
      <c r="A1963" t="s">
        <v>2262</v>
      </c>
      <c r="B1963" t="s">
        <v>2377</v>
      </c>
      <c r="C1963" t="s">
        <v>283</v>
      </c>
      <c r="D1963" t="s">
        <v>438</v>
      </c>
      <c r="E1963" t="s">
        <v>2384</v>
      </c>
      <c r="F1963" t="s">
        <v>2379</v>
      </c>
      <c r="G1963" t="s">
        <v>2266</v>
      </c>
      <c r="H1963" t="s">
        <v>373</v>
      </c>
      <c r="I1963" t="s">
        <v>289</v>
      </c>
      <c r="J1963" t="s">
        <v>821</v>
      </c>
      <c r="K1963">
        <v>15</v>
      </c>
      <c r="L1963" s="6">
        <v>4.5720000000000001</v>
      </c>
      <c r="M1963" s="7">
        <v>38.1</v>
      </c>
      <c r="N1963" s="7">
        <v>139.69999999999999</v>
      </c>
      <c r="O1963" s="7">
        <f t="shared" si="159"/>
        <v>180</v>
      </c>
      <c r="P1963" s="7">
        <f t="shared" si="164"/>
        <v>1.5000000000000002</v>
      </c>
      <c r="Q1963" s="7">
        <f t="shared" si="164"/>
        <v>5.5</v>
      </c>
      <c r="R1963" s="6">
        <f t="shared" si="161"/>
        <v>616.40099999999995</v>
      </c>
      <c r="S1963" s="6">
        <f t="shared" si="162"/>
        <v>2.4334790040000002E-2</v>
      </c>
      <c r="T1963" t="str">
        <f t="shared" si="163"/>
        <v>Massaranduba Bullet Wood S4S E4E 2x6 Long</v>
      </c>
    </row>
    <row r="1964" spans="1:20" x14ac:dyDescent="0.25">
      <c r="A1964" t="s">
        <v>2262</v>
      </c>
      <c r="B1964" t="s">
        <v>2377</v>
      </c>
      <c r="C1964" t="s">
        <v>283</v>
      </c>
      <c r="D1964" t="s">
        <v>438</v>
      </c>
      <c r="E1964" t="s">
        <v>2385</v>
      </c>
      <c r="F1964" t="s">
        <v>2379</v>
      </c>
      <c r="G1964" t="s">
        <v>2266</v>
      </c>
      <c r="H1964" t="s">
        <v>373</v>
      </c>
      <c r="I1964" t="s">
        <v>289</v>
      </c>
      <c r="J1964" t="s">
        <v>821</v>
      </c>
      <c r="K1964">
        <v>16</v>
      </c>
      <c r="L1964" s="6">
        <v>4.8768000000000002</v>
      </c>
      <c r="M1964" s="7">
        <v>38.1</v>
      </c>
      <c r="N1964" s="7">
        <v>139.69999999999999</v>
      </c>
      <c r="O1964" s="7">
        <f t="shared" si="159"/>
        <v>192.00000000000003</v>
      </c>
      <c r="P1964" s="7">
        <f t="shared" si="164"/>
        <v>1.5000000000000002</v>
      </c>
      <c r="Q1964" s="7">
        <f t="shared" si="164"/>
        <v>5.5</v>
      </c>
      <c r="R1964" s="6">
        <f t="shared" si="161"/>
        <v>616.40099999999995</v>
      </c>
      <c r="S1964" s="6">
        <f t="shared" si="162"/>
        <v>2.5957109375999998E-2</v>
      </c>
      <c r="T1964" t="str">
        <f t="shared" si="163"/>
        <v>Massaranduba Bullet Wood S4S E4E 2x6 Long</v>
      </c>
    </row>
    <row r="1965" spans="1:20" x14ac:dyDescent="0.25">
      <c r="A1965" t="s">
        <v>2262</v>
      </c>
      <c r="B1965" t="s">
        <v>2377</v>
      </c>
      <c r="C1965" t="s">
        <v>283</v>
      </c>
      <c r="D1965" t="s">
        <v>438</v>
      </c>
      <c r="E1965" t="s">
        <v>2386</v>
      </c>
      <c r="F1965" t="s">
        <v>2379</v>
      </c>
      <c r="G1965" t="s">
        <v>2266</v>
      </c>
      <c r="H1965" t="s">
        <v>373</v>
      </c>
      <c r="I1965" t="s">
        <v>289</v>
      </c>
      <c r="J1965" t="s">
        <v>821</v>
      </c>
      <c r="K1965">
        <v>17</v>
      </c>
      <c r="L1965" s="6">
        <v>5.1816000000000004</v>
      </c>
      <c r="M1965" s="7">
        <v>38.1</v>
      </c>
      <c r="N1965" s="7">
        <v>139.69999999999999</v>
      </c>
      <c r="O1965" s="7">
        <f t="shared" si="159"/>
        <v>204.00000000000003</v>
      </c>
      <c r="P1965" s="7">
        <f t="shared" si="164"/>
        <v>1.5000000000000002</v>
      </c>
      <c r="Q1965" s="7">
        <f t="shared" si="164"/>
        <v>5.5</v>
      </c>
      <c r="R1965" s="6">
        <f t="shared" si="161"/>
        <v>616.40099999999995</v>
      </c>
      <c r="S1965" s="6">
        <f t="shared" si="162"/>
        <v>2.7579428712000004E-2</v>
      </c>
      <c r="T1965" t="str">
        <f t="shared" si="163"/>
        <v>Massaranduba Bullet Wood S4S E4E 2x6 Long</v>
      </c>
    </row>
    <row r="1966" spans="1:20" x14ac:dyDescent="0.25">
      <c r="A1966" t="s">
        <v>2262</v>
      </c>
      <c r="B1966" t="s">
        <v>2377</v>
      </c>
      <c r="C1966" t="s">
        <v>283</v>
      </c>
      <c r="D1966" t="s">
        <v>438</v>
      </c>
      <c r="E1966" t="s">
        <v>2387</v>
      </c>
      <c r="F1966" t="s">
        <v>2379</v>
      </c>
      <c r="G1966" t="s">
        <v>2266</v>
      </c>
      <c r="H1966" t="s">
        <v>373</v>
      </c>
      <c r="I1966" t="s">
        <v>289</v>
      </c>
      <c r="J1966" t="s">
        <v>821</v>
      </c>
      <c r="K1966">
        <v>18</v>
      </c>
      <c r="L1966" s="6">
        <v>5.4863999999999997</v>
      </c>
      <c r="M1966" s="7">
        <v>38.1</v>
      </c>
      <c r="N1966" s="7">
        <v>139.69999999999999</v>
      </c>
      <c r="O1966" s="7">
        <f t="shared" ref="O1966:O2029" si="165">L1966/0.0254</f>
        <v>216</v>
      </c>
      <c r="P1966" s="7">
        <f t="shared" ref="P1966:Q1997" si="166">M1966/25.4</f>
        <v>1.5000000000000002</v>
      </c>
      <c r="Q1966" s="7">
        <f t="shared" si="166"/>
        <v>5.5</v>
      </c>
      <c r="R1966" s="6">
        <f t="shared" ref="R1966:R2029" si="167">ROUND(IFERROR(1/((M1966*N1966*0.3048)/1000000),0),3)</f>
        <v>616.40099999999995</v>
      </c>
      <c r="S1966" s="6">
        <f t="shared" ref="S1966:S2029" si="168">L1966*M1966/1000*N1966/1000</f>
        <v>2.9201748047999999E-2</v>
      </c>
      <c r="T1966" t="str">
        <f t="shared" si="163"/>
        <v>Massaranduba Bullet Wood S4S E4E 2x6 Long</v>
      </c>
    </row>
    <row r="1967" spans="1:20" x14ac:dyDescent="0.25">
      <c r="A1967" t="s">
        <v>2262</v>
      </c>
      <c r="B1967" t="s">
        <v>2377</v>
      </c>
      <c r="C1967" t="s">
        <v>283</v>
      </c>
      <c r="D1967" t="s">
        <v>438</v>
      </c>
      <c r="E1967" t="s">
        <v>2388</v>
      </c>
      <c r="F1967" t="s">
        <v>2379</v>
      </c>
      <c r="G1967" t="s">
        <v>2266</v>
      </c>
      <c r="H1967" t="s">
        <v>373</v>
      </c>
      <c r="I1967" t="s">
        <v>289</v>
      </c>
      <c r="J1967" t="s">
        <v>821</v>
      </c>
      <c r="K1967">
        <v>19</v>
      </c>
      <c r="L1967" s="6">
        <v>5.7911999999999999</v>
      </c>
      <c r="M1967" s="7">
        <v>38.1</v>
      </c>
      <c r="N1967" s="7">
        <v>139.69999999999999</v>
      </c>
      <c r="O1967" s="7">
        <f t="shared" si="165"/>
        <v>228</v>
      </c>
      <c r="P1967" s="7">
        <f t="shared" si="166"/>
        <v>1.5000000000000002</v>
      </c>
      <c r="Q1967" s="7">
        <f t="shared" si="166"/>
        <v>5.5</v>
      </c>
      <c r="R1967" s="6">
        <f t="shared" si="167"/>
        <v>616.40099999999995</v>
      </c>
      <c r="S1967" s="6">
        <f t="shared" si="168"/>
        <v>3.0824067383999999E-2</v>
      </c>
      <c r="T1967" t="str">
        <f t="shared" si="163"/>
        <v>Massaranduba Bullet Wood S4S E4E 2x6 Long</v>
      </c>
    </row>
    <row r="1968" spans="1:20" x14ac:dyDescent="0.25">
      <c r="A1968" t="s">
        <v>2262</v>
      </c>
      <c r="B1968" t="s">
        <v>2377</v>
      </c>
      <c r="C1968" t="s">
        <v>283</v>
      </c>
      <c r="D1968" t="s">
        <v>438</v>
      </c>
      <c r="E1968" t="s">
        <v>2389</v>
      </c>
      <c r="F1968" t="s">
        <v>2379</v>
      </c>
      <c r="G1968" t="s">
        <v>2266</v>
      </c>
      <c r="H1968" t="s">
        <v>373</v>
      </c>
      <c r="I1968" t="s">
        <v>289</v>
      </c>
      <c r="J1968" t="s">
        <v>821</v>
      </c>
      <c r="K1968">
        <v>20</v>
      </c>
      <c r="L1968" s="6">
        <v>6.0960000000000001</v>
      </c>
      <c r="M1968" s="7">
        <v>38.1</v>
      </c>
      <c r="N1968" s="7">
        <v>139.69999999999999</v>
      </c>
      <c r="O1968" s="7">
        <f t="shared" si="165"/>
        <v>240</v>
      </c>
      <c r="P1968" s="7">
        <f t="shared" si="166"/>
        <v>1.5000000000000002</v>
      </c>
      <c r="Q1968" s="7">
        <f t="shared" si="166"/>
        <v>5.5</v>
      </c>
      <c r="R1968" s="6">
        <f t="shared" si="167"/>
        <v>616.40099999999995</v>
      </c>
      <c r="S1968" s="6">
        <f t="shared" si="168"/>
        <v>3.2446386719999998E-2</v>
      </c>
      <c r="T1968" t="str">
        <f t="shared" si="163"/>
        <v>Massaranduba Bullet Wood S4S E4E 2x6 Long</v>
      </c>
    </row>
    <row r="1969" spans="1:20" x14ac:dyDescent="0.25">
      <c r="A1969" t="s">
        <v>2262</v>
      </c>
      <c r="B1969" t="s">
        <v>2377</v>
      </c>
      <c r="C1969" t="s">
        <v>283</v>
      </c>
      <c r="D1969" t="s">
        <v>438</v>
      </c>
      <c r="E1969" t="s">
        <v>2390</v>
      </c>
      <c r="F1969" t="s">
        <v>2379</v>
      </c>
      <c r="G1969" t="s">
        <v>2266</v>
      </c>
      <c r="H1969" t="s">
        <v>373</v>
      </c>
      <c r="I1969" t="s">
        <v>289</v>
      </c>
      <c r="J1969" t="s">
        <v>821</v>
      </c>
      <c r="K1969">
        <v>21</v>
      </c>
      <c r="L1969" s="6">
        <v>6.4008000000000003</v>
      </c>
      <c r="M1969" s="7">
        <v>38.1</v>
      </c>
      <c r="N1969" s="7">
        <v>139.69999999999999</v>
      </c>
      <c r="O1969" s="7">
        <f t="shared" si="165"/>
        <v>252.00000000000003</v>
      </c>
      <c r="P1969" s="7">
        <f t="shared" si="166"/>
        <v>1.5000000000000002</v>
      </c>
      <c r="Q1969" s="7">
        <f t="shared" si="166"/>
        <v>5.5</v>
      </c>
      <c r="R1969" s="6">
        <f t="shared" si="167"/>
        <v>616.40099999999995</v>
      </c>
      <c r="S1969" s="6">
        <f t="shared" si="168"/>
        <v>3.4068706056E-2</v>
      </c>
      <c r="T1969" t="str">
        <f t="shared" si="163"/>
        <v>Massaranduba Bullet Wood S4S E4E 2x6 Long</v>
      </c>
    </row>
    <row r="1970" spans="1:20" x14ac:dyDescent="0.25">
      <c r="A1970" t="s">
        <v>2262</v>
      </c>
      <c r="B1970" t="s">
        <v>2377</v>
      </c>
      <c r="C1970" t="s">
        <v>283</v>
      </c>
      <c r="D1970" t="s">
        <v>438</v>
      </c>
      <c r="E1970" t="s">
        <v>2391</v>
      </c>
      <c r="F1970" t="s">
        <v>2379</v>
      </c>
      <c r="G1970" t="s">
        <v>2266</v>
      </c>
      <c r="H1970" t="s">
        <v>373</v>
      </c>
      <c r="I1970" t="s">
        <v>289</v>
      </c>
      <c r="J1970" t="s">
        <v>821</v>
      </c>
      <c r="K1970">
        <v>22</v>
      </c>
      <c r="L1970" s="6">
        <v>6.7055999999999996</v>
      </c>
      <c r="M1970" s="7">
        <v>38.1</v>
      </c>
      <c r="N1970" s="7">
        <v>139.69999999999999</v>
      </c>
      <c r="O1970" s="7">
        <f t="shared" si="165"/>
        <v>264</v>
      </c>
      <c r="P1970" s="7">
        <f t="shared" si="166"/>
        <v>1.5000000000000002</v>
      </c>
      <c r="Q1970" s="7">
        <f t="shared" si="166"/>
        <v>5.5</v>
      </c>
      <c r="R1970" s="6">
        <f t="shared" si="167"/>
        <v>616.40099999999995</v>
      </c>
      <c r="S1970" s="6">
        <f t="shared" si="168"/>
        <v>3.5691025391999996E-2</v>
      </c>
      <c r="T1970" t="str">
        <f t="shared" si="163"/>
        <v>Massaranduba Bullet Wood S4S E4E 2x6 Long</v>
      </c>
    </row>
    <row r="1971" spans="1:20" x14ac:dyDescent="0.25">
      <c r="A1971" t="s">
        <v>2262</v>
      </c>
      <c r="B1971" t="s">
        <v>2377</v>
      </c>
      <c r="C1971" t="s">
        <v>524</v>
      </c>
      <c r="D1971" t="s">
        <v>438</v>
      </c>
      <c r="E1971" t="s">
        <v>2392</v>
      </c>
      <c r="F1971" t="s">
        <v>2379</v>
      </c>
      <c r="G1971" t="s">
        <v>2266</v>
      </c>
      <c r="H1971" t="s">
        <v>373</v>
      </c>
      <c r="I1971" t="s">
        <v>289</v>
      </c>
      <c r="J1971" t="s">
        <v>821</v>
      </c>
      <c r="K1971">
        <v>3</v>
      </c>
      <c r="L1971" s="6">
        <v>0.91439999999999999</v>
      </c>
      <c r="M1971" s="7">
        <v>38.1</v>
      </c>
      <c r="N1971" s="7">
        <v>139.69999999999999</v>
      </c>
      <c r="O1971" s="7">
        <f t="shared" si="165"/>
        <v>36</v>
      </c>
      <c r="P1971" s="7">
        <f t="shared" si="166"/>
        <v>1.5000000000000002</v>
      </c>
      <c r="Q1971" s="7">
        <f t="shared" si="166"/>
        <v>5.5</v>
      </c>
      <c r="R1971" s="6">
        <f t="shared" si="167"/>
        <v>616.40099999999995</v>
      </c>
      <c r="S1971" s="6">
        <f t="shared" si="168"/>
        <v>4.8669580079999993E-3</v>
      </c>
      <c r="T1971" t="str">
        <f t="shared" si="163"/>
        <v>Massaranduba Bullet Wood S4S E4E 2x6 Short</v>
      </c>
    </row>
    <row r="1972" spans="1:20" x14ac:dyDescent="0.25">
      <c r="A1972" t="s">
        <v>2262</v>
      </c>
      <c r="B1972" t="s">
        <v>2377</v>
      </c>
      <c r="C1972" t="s">
        <v>524</v>
      </c>
      <c r="D1972" t="s">
        <v>438</v>
      </c>
      <c r="E1972" t="s">
        <v>2393</v>
      </c>
      <c r="F1972" t="s">
        <v>2379</v>
      </c>
      <c r="G1972" t="s">
        <v>2266</v>
      </c>
      <c r="H1972" t="s">
        <v>373</v>
      </c>
      <c r="I1972" t="s">
        <v>289</v>
      </c>
      <c r="J1972" t="s">
        <v>821</v>
      </c>
      <c r="K1972">
        <v>4</v>
      </c>
      <c r="L1972" s="6">
        <v>1.2192000000000001</v>
      </c>
      <c r="M1972" s="7">
        <v>38.1</v>
      </c>
      <c r="N1972" s="7">
        <v>139.69999999999999</v>
      </c>
      <c r="O1972" s="7">
        <f t="shared" si="165"/>
        <v>48.000000000000007</v>
      </c>
      <c r="P1972" s="7">
        <f t="shared" si="166"/>
        <v>1.5000000000000002</v>
      </c>
      <c r="Q1972" s="7">
        <f t="shared" si="166"/>
        <v>5.5</v>
      </c>
      <c r="R1972" s="6">
        <f t="shared" si="167"/>
        <v>616.40099999999995</v>
      </c>
      <c r="S1972" s="6">
        <f t="shared" si="168"/>
        <v>6.4892773439999994E-3</v>
      </c>
      <c r="T1972" t="str">
        <f t="shared" si="163"/>
        <v>Massaranduba Bullet Wood S4S E4E 2x6 Short</v>
      </c>
    </row>
    <row r="1973" spans="1:20" x14ac:dyDescent="0.25">
      <c r="A1973" t="s">
        <v>2262</v>
      </c>
      <c r="B1973" t="s">
        <v>2377</v>
      </c>
      <c r="C1973" t="s">
        <v>524</v>
      </c>
      <c r="D1973" t="s">
        <v>438</v>
      </c>
      <c r="E1973" t="s">
        <v>2394</v>
      </c>
      <c r="F1973" t="s">
        <v>2379</v>
      </c>
      <c r="G1973" t="s">
        <v>2266</v>
      </c>
      <c r="H1973" t="s">
        <v>373</v>
      </c>
      <c r="I1973" t="s">
        <v>289</v>
      </c>
      <c r="J1973" t="s">
        <v>821</v>
      </c>
      <c r="K1973">
        <v>5</v>
      </c>
      <c r="L1973" s="6">
        <v>1.524</v>
      </c>
      <c r="M1973" s="7">
        <v>38.1</v>
      </c>
      <c r="N1973" s="7">
        <v>139.69999999999999</v>
      </c>
      <c r="O1973" s="7">
        <f t="shared" si="165"/>
        <v>60</v>
      </c>
      <c r="P1973" s="7">
        <f t="shared" si="166"/>
        <v>1.5000000000000002</v>
      </c>
      <c r="Q1973" s="7">
        <f t="shared" si="166"/>
        <v>5.5</v>
      </c>
      <c r="R1973" s="6">
        <f t="shared" si="167"/>
        <v>616.40099999999995</v>
      </c>
      <c r="S1973" s="6">
        <f t="shared" si="168"/>
        <v>8.1115966799999994E-3</v>
      </c>
      <c r="T1973" t="str">
        <f t="shared" si="163"/>
        <v>Massaranduba Bullet Wood S4S E4E 2x6 Short</v>
      </c>
    </row>
    <row r="1974" spans="1:20" x14ac:dyDescent="0.25">
      <c r="A1974" t="s">
        <v>2262</v>
      </c>
      <c r="B1974" t="s">
        <v>2377</v>
      </c>
      <c r="C1974" t="s">
        <v>524</v>
      </c>
      <c r="D1974" t="s">
        <v>438</v>
      </c>
      <c r="E1974" t="s">
        <v>2395</v>
      </c>
      <c r="F1974" t="s">
        <v>2379</v>
      </c>
      <c r="G1974" t="s">
        <v>2266</v>
      </c>
      <c r="H1974" t="s">
        <v>373</v>
      </c>
      <c r="I1974" t="s">
        <v>289</v>
      </c>
      <c r="J1974" t="s">
        <v>821</v>
      </c>
      <c r="K1974">
        <v>6</v>
      </c>
      <c r="L1974" s="6">
        <v>1.8288</v>
      </c>
      <c r="M1974" s="7">
        <v>38.1</v>
      </c>
      <c r="N1974" s="7">
        <v>139.69999999999999</v>
      </c>
      <c r="O1974" s="7">
        <f t="shared" si="165"/>
        <v>72</v>
      </c>
      <c r="P1974" s="7">
        <f t="shared" si="166"/>
        <v>1.5000000000000002</v>
      </c>
      <c r="Q1974" s="7">
        <f t="shared" si="166"/>
        <v>5.5</v>
      </c>
      <c r="R1974" s="6">
        <f t="shared" si="167"/>
        <v>616.40099999999995</v>
      </c>
      <c r="S1974" s="6">
        <f t="shared" si="168"/>
        <v>9.7339160159999986E-3</v>
      </c>
      <c r="T1974" t="str">
        <f t="shared" si="163"/>
        <v>Massaranduba Bullet Wood S4S E4E 2x6 Short</v>
      </c>
    </row>
    <row r="1975" spans="1:20" x14ac:dyDescent="0.25">
      <c r="A1975" t="s">
        <v>2262</v>
      </c>
      <c r="B1975" t="s">
        <v>2377</v>
      </c>
      <c r="C1975" t="s">
        <v>524</v>
      </c>
      <c r="D1975" t="s">
        <v>438</v>
      </c>
      <c r="E1975" t="s">
        <v>2396</v>
      </c>
      <c r="F1975" t="s">
        <v>2379</v>
      </c>
      <c r="G1975" t="s">
        <v>2266</v>
      </c>
      <c r="H1975" t="s">
        <v>373</v>
      </c>
      <c r="I1975" t="s">
        <v>289</v>
      </c>
      <c r="J1975" t="s">
        <v>821</v>
      </c>
      <c r="K1975">
        <v>7</v>
      </c>
      <c r="L1975" s="6">
        <v>2.1335999999999999</v>
      </c>
      <c r="M1975" s="7">
        <v>38.1</v>
      </c>
      <c r="N1975" s="7">
        <v>139.69999999999999</v>
      </c>
      <c r="O1975" s="7">
        <f t="shared" si="165"/>
        <v>84</v>
      </c>
      <c r="P1975" s="7">
        <f t="shared" si="166"/>
        <v>1.5000000000000002</v>
      </c>
      <c r="Q1975" s="7">
        <f t="shared" si="166"/>
        <v>5.5</v>
      </c>
      <c r="R1975" s="6">
        <f t="shared" si="167"/>
        <v>616.40099999999995</v>
      </c>
      <c r="S1975" s="6">
        <f t="shared" si="168"/>
        <v>1.1356235352E-2</v>
      </c>
      <c r="T1975" t="str">
        <f t="shared" si="163"/>
        <v>Massaranduba Bullet Wood S4S E4E 2x6 Short</v>
      </c>
    </row>
    <row r="1976" spans="1:20" x14ac:dyDescent="0.25">
      <c r="A1976" t="s">
        <v>2262</v>
      </c>
      <c r="B1976" t="s">
        <v>2377</v>
      </c>
      <c r="C1976" t="s">
        <v>283</v>
      </c>
      <c r="D1976" t="s">
        <v>438</v>
      </c>
      <c r="E1976" t="s">
        <v>2397</v>
      </c>
      <c r="F1976" t="s">
        <v>2379</v>
      </c>
      <c r="G1976" t="s">
        <v>2266</v>
      </c>
      <c r="H1976" t="s">
        <v>373</v>
      </c>
      <c r="I1976" t="s">
        <v>289</v>
      </c>
      <c r="J1976" t="s">
        <v>821</v>
      </c>
      <c r="K1976">
        <v>8</v>
      </c>
      <c r="L1976" s="6">
        <v>2.4384000000000001</v>
      </c>
      <c r="M1976" s="7">
        <v>38.1</v>
      </c>
      <c r="N1976" s="7">
        <v>139.69999999999999</v>
      </c>
      <c r="O1976" s="7">
        <f t="shared" si="165"/>
        <v>96.000000000000014</v>
      </c>
      <c r="P1976" s="7">
        <f t="shared" si="166"/>
        <v>1.5000000000000002</v>
      </c>
      <c r="Q1976" s="7">
        <f t="shared" si="166"/>
        <v>5.5</v>
      </c>
      <c r="R1976" s="6">
        <f t="shared" si="167"/>
        <v>616.40099999999995</v>
      </c>
      <c r="S1976" s="6">
        <f t="shared" si="168"/>
        <v>1.2978554687999999E-2</v>
      </c>
      <c r="T1976" t="str">
        <f t="shared" si="163"/>
        <v>Massaranduba Bullet Wood S4S E4E 2x6 Long</v>
      </c>
    </row>
    <row r="1977" spans="1:20" x14ac:dyDescent="0.25">
      <c r="A1977" t="s">
        <v>2262</v>
      </c>
      <c r="B1977" t="s">
        <v>2377</v>
      </c>
      <c r="C1977" t="s">
        <v>283</v>
      </c>
      <c r="D1977" t="s">
        <v>438</v>
      </c>
      <c r="E1977" t="s">
        <v>2398</v>
      </c>
      <c r="F1977" t="s">
        <v>2379</v>
      </c>
      <c r="G1977" t="s">
        <v>2266</v>
      </c>
      <c r="H1977" t="s">
        <v>373</v>
      </c>
      <c r="I1977" t="s">
        <v>289</v>
      </c>
      <c r="J1977" t="s">
        <v>821</v>
      </c>
      <c r="K1977">
        <v>9</v>
      </c>
      <c r="L1977" s="6">
        <v>2.7431999999999999</v>
      </c>
      <c r="M1977" s="7">
        <v>38.1</v>
      </c>
      <c r="N1977" s="7">
        <v>139.69999999999999</v>
      </c>
      <c r="O1977" s="7">
        <f t="shared" si="165"/>
        <v>108</v>
      </c>
      <c r="P1977" s="7">
        <f t="shared" si="166"/>
        <v>1.5000000000000002</v>
      </c>
      <c r="Q1977" s="7">
        <f t="shared" si="166"/>
        <v>5.5</v>
      </c>
      <c r="R1977" s="6">
        <f t="shared" si="167"/>
        <v>616.40099999999995</v>
      </c>
      <c r="S1977" s="6">
        <f t="shared" si="168"/>
        <v>1.4600874024E-2</v>
      </c>
      <c r="T1977" t="str">
        <f t="shared" si="163"/>
        <v>Massaranduba Bullet Wood S4S E4E 2x6 Long</v>
      </c>
    </row>
    <row r="1978" spans="1:20" x14ac:dyDescent="0.25">
      <c r="A1978" t="s">
        <v>2262</v>
      </c>
      <c r="B1978" t="s">
        <v>2399</v>
      </c>
      <c r="C1978" t="s">
        <v>283</v>
      </c>
      <c r="D1978" t="s">
        <v>438</v>
      </c>
      <c r="E1978" t="s">
        <v>2400</v>
      </c>
      <c r="F1978" t="s">
        <v>2401</v>
      </c>
      <c r="G1978" t="s">
        <v>2266</v>
      </c>
      <c r="H1978" t="s">
        <v>373</v>
      </c>
      <c r="I1978" t="s">
        <v>289</v>
      </c>
      <c r="J1978" t="s">
        <v>1010</v>
      </c>
      <c r="K1978">
        <v>10</v>
      </c>
      <c r="L1978" s="6">
        <v>3.048</v>
      </c>
      <c r="M1978" s="7">
        <v>88.9</v>
      </c>
      <c r="N1978" s="7">
        <v>88.9</v>
      </c>
      <c r="O1978" s="7">
        <f t="shared" si="165"/>
        <v>120</v>
      </c>
      <c r="P1978" s="7">
        <f t="shared" si="166"/>
        <v>3.5000000000000004</v>
      </c>
      <c r="Q1978" s="7">
        <f t="shared" si="166"/>
        <v>3.5000000000000004</v>
      </c>
      <c r="R1978" s="6">
        <f t="shared" si="167"/>
        <v>415.12799999999999</v>
      </c>
      <c r="S1978" s="6">
        <f t="shared" si="168"/>
        <v>2.4088984080000007E-2</v>
      </c>
      <c r="T1978" t="str">
        <f t="shared" si="163"/>
        <v>Massaranduba Bullet Wood S4S E4E 4x4 Long</v>
      </c>
    </row>
    <row r="1979" spans="1:20" x14ac:dyDescent="0.25">
      <c r="A1979" t="s">
        <v>2262</v>
      </c>
      <c r="B1979" t="s">
        <v>2399</v>
      </c>
      <c r="C1979" t="s">
        <v>283</v>
      </c>
      <c r="D1979" t="s">
        <v>438</v>
      </c>
      <c r="E1979" t="s">
        <v>2402</v>
      </c>
      <c r="F1979" t="s">
        <v>2401</v>
      </c>
      <c r="G1979" t="s">
        <v>2266</v>
      </c>
      <c r="H1979" t="s">
        <v>373</v>
      </c>
      <c r="I1979" t="s">
        <v>289</v>
      </c>
      <c r="J1979" t="s">
        <v>1010</v>
      </c>
      <c r="K1979">
        <v>12</v>
      </c>
      <c r="L1979" s="6">
        <v>3.6576</v>
      </c>
      <c r="M1979" s="7">
        <v>88.9</v>
      </c>
      <c r="N1979" s="7">
        <v>88.9</v>
      </c>
      <c r="O1979" s="7">
        <f t="shared" si="165"/>
        <v>144</v>
      </c>
      <c r="P1979" s="7">
        <f t="shared" si="166"/>
        <v>3.5000000000000004</v>
      </c>
      <c r="Q1979" s="7">
        <f t="shared" si="166"/>
        <v>3.5000000000000004</v>
      </c>
      <c r="R1979" s="6">
        <f t="shared" si="167"/>
        <v>415.12799999999999</v>
      </c>
      <c r="S1979" s="6">
        <f t="shared" si="168"/>
        <v>2.8906780896E-2</v>
      </c>
      <c r="T1979" t="str">
        <f t="shared" si="163"/>
        <v>Massaranduba Bullet Wood S4S E4E 4x4 Long</v>
      </c>
    </row>
    <row r="1980" spans="1:20" x14ac:dyDescent="0.25">
      <c r="A1980" t="s">
        <v>2262</v>
      </c>
      <c r="B1980" t="s">
        <v>2399</v>
      </c>
      <c r="C1980" t="s">
        <v>283</v>
      </c>
      <c r="D1980" t="s">
        <v>438</v>
      </c>
      <c r="E1980" t="s">
        <v>2403</v>
      </c>
      <c r="F1980" t="s">
        <v>2401</v>
      </c>
      <c r="G1980" t="s">
        <v>2266</v>
      </c>
      <c r="H1980" t="s">
        <v>373</v>
      </c>
      <c r="I1980" t="s">
        <v>289</v>
      </c>
      <c r="J1980" t="s">
        <v>1010</v>
      </c>
      <c r="K1980">
        <v>14</v>
      </c>
      <c r="L1980" s="6">
        <v>4.2671999999999999</v>
      </c>
      <c r="M1980" s="7">
        <v>88.9</v>
      </c>
      <c r="N1980" s="7">
        <v>88.9</v>
      </c>
      <c r="O1980" s="7">
        <f t="shared" si="165"/>
        <v>168</v>
      </c>
      <c r="P1980" s="7">
        <f t="shared" si="166"/>
        <v>3.5000000000000004</v>
      </c>
      <c r="Q1980" s="7">
        <f t="shared" si="166"/>
        <v>3.5000000000000004</v>
      </c>
      <c r="R1980" s="6">
        <f t="shared" si="167"/>
        <v>415.12799999999999</v>
      </c>
      <c r="S1980" s="6">
        <f t="shared" si="168"/>
        <v>3.3724577712000006E-2</v>
      </c>
      <c r="T1980" t="str">
        <f t="shared" si="163"/>
        <v>Massaranduba Bullet Wood S4S E4E 4x4 Long</v>
      </c>
    </row>
    <row r="1981" spans="1:20" x14ac:dyDescent="0.25">
      <c r="A1981" t="s">
        <v>2262</v>
      </c>
      <c r="B1981" t="s">
        <v>2399</v>
      </c>
      <c r="C1981" t="s">
        <v>283</v>
      </c>
      <c r="D1981" t="s">
        <v>438</v>
      </c>
      <c r="E1981" t="s">
        <v>2404</v>
      </c>
      <c r="F1981" t="s">
        <v>2401</v>
      </c>
      <c r="G1981" t="s">
        <v>2266</v>
      </c>
      <c r="H1981" t="s">
        <v>373</v>
      </c>
      <c r="I1981" t="s">
        <v>289</v>
      </c>
      <c r="J1981" t="s">
        <v>1010</v>
      </c>
      <c r="K1981">
        <v>16</v>
      </c>
      <c r="L1981" s="6">
        <v>4.8768000000000002</v>
      </c>
      <c r="M1981" s="7">
        <v>88.9</v>
      </c>
      <c r="N1981" s="7">
        <v>88.9</v>
      </c>
      <c r="O1981" s="7">
        <f t="shared" si="165"/>
        <v>192.00000000000003</v>
      </c>
      <c r="P1981" s="7">
        <f t="shared" si="166"/>
        <v>3.5000000000000004</v>
      </c>
      <c r="Q1981" s="7">
        <f t="shared" si="166"/>
        <v>3.5000000000000004</v>
      </c>
      <c r="R1981" s="6">
        <f t="shared" si="167"/>
        <v>415.12799999999999</v>
      </c>
      <c r="S1981" s="6">
        <f t="shared" si="168"/>
        <v>3.8542374528000009E-2</v>
      </c>
      <c r="T1981" t="str">
        <f t="shared" si="163"/>
        <v>Massaranduba Bullet Wood S4S E4E 4x4 Long</v>
      </c>
    </row>
    <row r="1982" spans="1:20" x14ac:dyDescent="0.25">
      <c r="A1982" t="s">
        <v>2262</v>
      </c>
      <c r="B1982" t="s">
        <v>2399</v>
      </c>
      <c r="C1982" t="s">
        <v>283</v>
      </c>
      <c r="D1982" t="s">
        <v>438</v>
      </c>
      <c r="E1982" t="s">
        <v>2405</v>
      </c>
      <c r="F1982" t="s">
        <v>2401</v>
      </c>
      <c r="G1982" t="s">
        <v>2266</v>
      </c>
      <c r="H1982" t="s">
        <v>373</v>
      </c>
      <c r="I1982" t="s">
        <v>289</v>
      </c>
      <c r="J1982" t="s">
        <v>1010</v>
      </c>
      <c r="K1982">
        <v>18</v>
      </c>
      <c r="L1982" s="6">
        <v>5.4863999999999997</v>
      </c>
      <c r="M1982" s="7">
        <v>88.9</v>
      </c>
      <c r="N1982" s="7">
        <v>88.9</v>
      </c>
      <c r="O1982" s="7">
        <f t="shared" si="165"/>
        <v>216</v>
      </c>
      <c r="P1982" s="7">
        <f t="shared" si="166"/>
        <v>3.5000000000000004</v>
      </c>
      <c r="Q1982" s="7">
        <f t="shared" si="166"/>
        <v>3.5000000000000004</v>
      </c>
      <c r="R1982" s="6">
        <f t="shared" si="167"/>
        <v>415.12799999999999</v>
      </c>
      <c r="S1982" s="6">
        <f t="shared" si="168"/>
        <v>4.3360171344000005E-2</v>
      </c>
      <c r="T1982" t="str">
        <f t="shared" si="163"/>
        <v>Massaranduba Bullet Wood S4S E4E 4x4 Long</v>
      </c>
    </row>
    <row r="1983" spans="1:20" x14ac:dyDescent="0.25">
      <c r="A1983" t="s">
        <v>2262</v>
      </c>
      <c r="B1983" t="s">
        <v>2399</v>
      </c>
      <c r="C1983" t="s">
        <v>283</v>
      </c>
      <c r="D1983" t="s">
        <v>438</v>
      </c>
      <c r="E1983" t="s">
        <v>2406</v>
      </c>
      <c r="F1983" t="s">
        <v>2401</v>
      </c>
      <c r="G1983" t="s">
        <v>2266</v>
      </c>
      <c r="H1983" t="s">
        <v>373</v>
      </c>
      <c r="I1983" t="s">
        <v>289</v>
      </c>
      <c r="J1983" t="s">
        <v>1010</v>
      </c>
      <c r="K1983">
        <v>20</v>
      </c>
      <c r="L1983" s="6">
        <v>6.0960000000000001</v>
      </c>
      <c r="M1983" s="7">
        <v>88.9</v>
      </c>
      <c r="N1983" s="7">
        <v>88.9</v>
      </c>
      <c r="O1983" s="7">
        <f t="shared" si="165"/>
        <v>240</v>
      </c>
      <c r="P1983" s="7">
        <f t="shared" si="166"/>
        <v>3.5000000000000004</v>
      </c>
      <c r="Q1983" s="7">
        <f t="shared" si="166"/>
        <v>3.5000000000000004</v>
      </c>
      <c r="R1983" s="6">
        <f t="shared" si="167"/>
        <v>415.12799999999999</v>
      </c>
      <c r="S1983" s="6">
        <f t="shared" si="168"/>
        <v>4.8177968160000015E-2</v>
      </c>
      <c r="T1983" t="str">
        <f t="shared" si="163"/>
        <v>Massaranduba Bullet Wood S4S E4E 4x4 Long</v>
      </c>
    </row>
    <row r="1984" spans="1:20" x14ac:dyDescent="0.25">
      <c r="A1984" t="s">
        <v>2262</v>
      </c>
      <c r="B1984" t="s">
        <v>2399</v>
      </c>
      <c r="C1984" t="s">
        <v>283</v>
      </c>
      <c r="D1984" t="s">
        <v>438</v>
      </c>
      <c r="E1984" t="s">
        <v>2407</v>
      </c>
      <c r="F1984" t="s">
        <v>2401</v>
      </c>
      <c r="G1984" t="s">
        <v>2266</v>
      </c>
      <c r="H1984" t="s">
        <v>373</v>
      </c>
      <c r="I1984" t="s">
        <v>289</v>
      </c>
      <c r="J1984" t="s">
        <v>1010</v>
      </c>
      <c r="K1984">
        <v>22</v>
      </c>
      <c r="L1984" s="6">
        <v>6.7055999999999996</v>
      </c>
      <c r="M1984" s="7">
        <v>88.9</v>
      </c>
      <c r="N1984" s="7">
        <v>88.9</v>
      </c>
      <c r="O1984" s="7">
        <f t="shared" si="165"/>
        <v>264</v>
      </c>
      <c r="P1984" s="7">
        <f t="shared" si="166"/>
        <v>3.5000000000000004</v>
      </c>
      <c r="Q1984" s="7">
        <f t="shared" si="166"/>
        <v>3.5000000000000004</v>
      </c>
      <c r="R1984" s="6">
        <f t="shared" si="167"/>
        <v>415.12799999999999</v>
      </c>
      <c r="S1984" s="6">
        <f t="shared" si="168"/>
        <v>5.2995764975999997E-2</v>
      </c>
      <c r="T1984" t="str">
        <f t="shared" si="163"/>
        <v>Massaranduba Bullet Wood S4S E4E 4x4 Long</v>
      </c>
    </row>
    <row r="1985" spans="1:20" x14ac:dyDescent="0.25">
      <c r="A1985" t="s">
        <v>2262</v>
      </c>
      <c r="B1985" t="s">
        <v>2399</v>
      </c>
      <c r="C1985" t="s">
        <v>283</v>
      </c>
      <c r="D1985" t="s">
        <v>438</v>
      </c>
      <c r="E1985" t="s">
        <v>2408</v>
      </c>
      <c r="F1985" t="s">
        <v>2401</v>
      </c>
      <c r="G1985" t="s">
        <v>2266</v>
      </c>
      <c r="H1985" t="s">
        <v>373</v>
      </c>
      <c r="I1985" t="s">
        <v>289</v>
      </c>
      <c r="J1985" t="s">
        <v>1010</v>
      </c>
      <c r="K1985">
        <v>8</v>
      </c>
      <c r="L1985" s="6">
        <v>2.4384000000000001</v>
      </c>
      <c r="M1985" s="7">
        <v>88.9</v>
      </c>
      <c r="N1985" s="7">
        <v>88.9</v>
      </c>
      <c r="O1985" s="7">
        <f t="shared" si="165"/>
        <v>96.000000000000014</v>
      </c>
      <c r="P1985" s="7">
        <f t="shared" si="166"/>
        <v>3.5000000000000004</v>
      </c>
      <c r="Q1985" s="7">
        <f t="shared" si="166"/>
        <v>3.5000000000000004</v>
      </c>
      <c r="R1985" s="6">
        <f t="shared" si="167"/>
        <v>415.12799999999999</v>
      </c>
      <c r="S1985" s="6">
        <f t="shared" si="168"/>
        <v>1.9271187264000005E-2</v>
      </c>
      <c r="T1985" t="str">
        <f t="shared" si="163"/>
        <v>Massaranduba Bullet Wood S4S E4E 4x4 Long</v>
      </c>
    </row>
    <row r="1986" spans="1:20" x14ac:dyDescent="0.25">
      <c r="A1986" t="s">
        <v>2262</v>
      </c>
      <c r="B1986" t="s">
        <v>2409</v>
      </c>
      <c r="C1986" t="s">
        <v>283</v>
      </c>
      <c r="D1986" t="s">
        <v>438</v>
      </c>
      <c r="E1986" t="s">
        <v>2410</v>
      </c>
      <c r="F1986" t="s">
        <v>2411</v>
      </c>
      <c r="G1986" t="s">
        <v>2266</v>
      </c>
      <c r="H1986" t="s">
        <v>373</v>
      </c>
      <c r="I1986" t="s">
        <v>289</v>
      </c>
      <c r="J1986" t="s">
        <v>1968</v>
      </c>
      <c r="K1986">
        <v>10</v>
      </c>
      <c r="L1986" s="6">
        <v>3.048</v>
      </c>
      <c r="M1986" s="7">
        <v>25.4</v>
      </c>
      <c r="N1986" s="7">
        <v>88.9</v>
      </c>
      <c r="O1986" s="7">
        <f t="shared" si="165"/>
        <v>120</v>
      </c>
      <c r="P1986" s="7">
        <f t="shared" si="166"/>
        <v>1</v>
      </c>
      <c r="Q1986" s="7">
        <f t="shared" si="166"/>
        <v>3.5000000000000004</v>
      </c>
      <c r="R1986" s="6">
        <f t="shared" si="167"/>
        <v>1452.9459999999999</v>
      </c>
      <c r="S1986" s="6">
        <f t="shared" si="168"/>
        <v>6.8825668800000014E-3</v>
      </c>
      <c r="T1986" t="str">
        <f t="shared" ref="T1986:T2049" si="169">F1986&amp;" "&amp;C1986</f>
        <v>Massaranduba Bullet Wood S4S E4E 5/4x4 Long</v>
      </c>
    </row>
    <row r="1987" spans="1:20" x14ac:dyDescent="0.25">
      <c r="A1987" t="s">
        <v>2262</v>
      </c>
      <c r="B1987" t="s">
        <v>2409</v>
      </c>
      <c r="C1987" t="s">
        <v>283</v>
      </c>
      <c r="D1987" t="s">
        <v>438</v>
      </c>
      <c r="E1987" t="s">
        <v>2412</v>
      </c>
      <c r="F1987" t="s">
        <v>2411</v>
      </c>
      <c r="G1987" t="s">
        <v>2266</v>
      </c>
      <c r="H1987" t="s">
        <v>373</v>
      </c>
      <c r="I1987" t="s">
        <v>289</v>
      </c>
      <c r="J1987" t="s">
        <v>1968</v>
      </c>
      <c r="K1987">
        <v>12</v>
      </c>
      <c r="L1987" s="6">
        <v>3.6576</v>
      </c>
      <c r="M1987" s="7">
        <v>25.4</v>
      </c>
      <c r="N1987" s="7">
        <v>88.9</v>
      </c>
      <c r="O1987" s="7">
        <f t="shared" si="165"/>
        <v>144</v>
      </c>
      <c r="P1987" s="7">
        <f t="shared" si="166"/>
        <v>1</v>
      </c>
      <c r="Q1987" s="7">
        <f t="shared" si="166"/>
        <v>3.5000000000000004</v>
      </c>
      <c r="R1987" s="6">
        <f t="shared" si="167"/>
        <v>1452.9459999999999</v>
      </c>
      <c r="S1987" s="6">
        <f t="shared" si="168"/>
        <v>8.259080256000001E-3</v>
      </c>
      <c r="T1987" t="str">
        <f t="shared" si="169"/>
        <v>Massaranduba Bullet Wood S4S E4E 5/4x4 Long</v>
      </c>
    </row>
    <row r="1988" spans="1:20" x14ac:dyDescent="0.25">
      <c r="A1988" t="s">
        <v>2262</v>
      </c>
      <c r="B1988" t="s">
        <v>2409</v>
      </c>
      <c r="C1988" t="s">
        <v>283</v>
      </c>
      <c r="D1988" t="s">
        <v>438</v>
      </c>
      <c r="E1988" t="s">
        <v>2413</v>
      </c>
      <c r="F1988" t="s">
        <v>2411</v>
      </c>
      <c r="G1988" t="s">
        <v>2266</v>
      </c>
      <c r="H1988" t="s">
        <v>373</v>
      </c>
      <c r="I1988" t="s">
        <v>289</v>
      </c>
      <c r="J1988" t="s">
        <v>1968</v>
      </c>
      <c r="K1988">
        <v>14</v>
      </c>
      <c r="L1988" s="6">
        <v>4.2671999999999999</v>
      </c>
      <c r="M1988" s="7">
        <v>25.4</v>
      </c>
      <c r="N1988" s="7">
        <v>88.9</v>
      </c>
      <c r="O1988" s="7">
        <f t="shared" si="165"/>
        <v>168</v>
      </c>
      <c r="P1988" s="7">
        <f t="shared" si="166"/>
        <v>1</v>
      </c>
      <c r="Q1988" s="7">
        <f t="shared" si="166"/>
        <v>3.5000000000000004</v>
      </c>
      <c r="R1988" s="6">
        <f t="shared" si="167"/>
        <v>1452.9459999999999</v>
      </c>
      <c r="S1988" s="6">
        <f t="shared" si="168"/>
        <v>9.6355936319999988E-3</v>
      </c>
      <c r="T1988" t="str">
        <f t="shared" si="169"/>
        <v>Massaranduba Bullet Wood S4S E4E 5/4x4 Long</v>
      </c>
    </row>
    <row r="1989" spans="1:20" x14ac:dyDescent="0.25">
      <c r="A1989" t="s">
        <v>2262</v>
      </c>
      <c r="B1989" t="s">
        <v>2409</v>
      </c>
      <c r="C1989" t="s">
        <v>283</v>
      </c>
      <c r="D1989" t="s">
        <v>438</v>
      </c>
      <c r="E1989" t="s">
        <v>2414</v>
      </c>
      <c r="F1989" t="s">
        <v>2411</v>
      </c>
      <c r="G1989" t="s">
        <v>2266</v>
      </c>
      <c r="H1989" t="s">
        <v>373</v>
      </c>
      <c r="I1989" t="s">
        <v>289</v>
      </c>
      <c r="J1989" t="s">
        <v>1968</v>
      </c>
      <c r="K1989">
        <v>16</v>
      </c>
      <c r="L1989" s="6">
        <v>4.8768000000000002</v>
      </c>
      <c r="M1989" s="7">
        <v>25.4</v>
      </c>
      <c r="N1989" s="7">
        <v>88.9</v>
      </c>
      <c r="O1989" s="7">
        <f t="shared" si="165"/>
        <v>192.00000000000003</v>
      </c>
      <c r="P1989" s="7">
        <f t="shared" si="166"/>
        <v>1</v>
      </c>
      <c r="Q1989" s="7">
        <f t="shared" si="166"/>
        <v>3.5000000000000004</v>
      </c>
      <c r="R1989" s="6">
        <f t="shared" si="167"/>
        <v>1452.9459999999999</v>
      </c>
      <c r="S1989" s="6">
        <f t="shared" si="168"/>
        <v>1.1012107008E-2</v>
      </c>
      <c r="T1989" t="str">
        <f t="shared" si="169"/>
        <v>Massaranduba Bullet Wood S4S E4E 5/4x4 Long</v>
      </c>
    </row>
    <row r="1990" spans="1:20" x14ac:dyDescent="0.25">
      <c r="A1990" t="s">
        <v>2262</v>
      </c>
      <c r="B1990" t="s">
        <v>2409</v>
      </c>
      <c r="C1990" t="s">
        <v>283</v>
      </c>
      <c r="D1990" t="s">
        <v>438</v>
      </c>
      <c r="E1990" t="s">
        <v>2415</v>
      </c>
      <c r="F1990" t="s">
        <v>2411</v>
      </c>
      <c r="G1990" t="s">
        <v>2266</v>
      </c>
      <c r="H1990" t="s">
        <v>373</v>
      </c>
      <c r="I1990" t="s">
        <v>289</v>
      </c>
      <c r="J1990" t="s">
        <v>1968</v>
      </c>
      <c r="K1990">
        <v>18</v>
      </c>
      <c r="L1990" s="6">
        <v>5.4863999999999997</v>
      </c>
      <c r="M1990" s="7">
        <v>25.4</v>
      </c>
      <c r="N1990" s="7">
        <v>88.9</v>
      </c>
      <c r="O1990" s="7">
        <f t="shared" si="165"/>
        <v>216</v>
      </c>
      <c r="P1990" s="7">
        <f t="shared" si="166"/>
        <v>1</v>
      </c>
      <c r="Q1990" s="7">
        <f t="shared" si="166"/>
        <v>3.5000000000000004</v>
      </c>
      <c r="R1990" s="6">
        <f t="shared" si="167"/>
        <v>1452.9459999999999</v>
      </c>
      <c r="S1990" s="6">
        <f t="shared" si="168"/>
        <v>1.2388620384E-2</v>
      </c>
      <c r="T1990" t="str">
        <f t="shared" si="169"/>
        <v>Massaranduba Bullet Wood S4S E4E 5/4x4 Long</v>
      </c>
    </row>
    <row r="1991" spans="1:20" x14ac:dyDescent="0.25">
      <c r="A1991" t="s">
        <v>2262</v>
      </c>
      <c r="B1991" t="s">
        <v>2409</v>
      </c>
      <c r="C1991" t="s">
        <v>283</v>
      </c>
      <c r="D1991" t="s">
        <v>438</v>
      </c>
      <c r="E1991" t="s">
        <v>2416</v>
      </c>
      <c r="F1991" t="s">
        <v>2411</v>
      </c>
      <c r="G1991" t="s">
        <v>2266</v>
      </c>
      <c r="H1991" t="s">
        <v>373</v>
      </c>
      <c r="I1991" t="s">
        <v>289</v>
      </c>
      <c r="J1991" t="s">
        <v>1968</v>
      </c>
      <c r="K1991">
        <v>20</v>
      </c>
      <c r="L1991" s="6">
        <v>6.0960000000000001</v>
      </c>
      <c r="M1991" s="7">
        <v>25.4</v>
      </c>
      <c r="N1991" s="7">
        <v>88.9</v>
      </c>
      <c r="O1991" s="7">
        <f t="shared" si="165"/>
        <v>240</v>
      </c>
      <c r="P1991" s="7">
        <f t="shared" si="166"/>
        <v>1</v>
      </c>
      <c r="Q1991" s="7">
        <f t="shared" si="166"/>
        <v>3.5000000000000004</v>
      </c>
      <c r="R1991" s="6">
        <f t="shared" si="167"/>
        <v>1452.9459999999999</v>
      </c>
      <c r="S1991" s="6">
        <f t="shared" si="168"/>
        <v>1.3765133760000003E-2</v>
      </c>
      <c r="T1991" t="str">
        <f t="shared" si="169"/>
        <v>Massaranduba Bullet Wood S4S E4E 5/4x4 Long</v>
      </c>
    </row>
    <row r="1992" spans="1:20" x14ac:dyDescent="0.25">
      <c r="A1992" t="s">
        <v>2262</v>
      </c>
      <c r="B1992" t="s">
        <v>2409</v>
      </c>
      <c r="C1992" t="s">
        <v>283</v>
      </c>
      <c r="D1992" t="s">
        <v>438</v>
      </c>
      <c r="E1992" t="s">
        <v>2417</v>
      </c>
      <c r="F1992" t="s">
        <v>2411</v>
      </c>
      <c r="G1992" t="s">
        <v>2266</v>
      </c>
      <c r="H1992" t="s">
        <v>373</v>
      </c>
      <c r="I1992" t="s">
        <v>289</v>
      </c>
      <c r="J1992" t="s">
        <v>1968</v>
      </c>
      <c r="K1992">
        <v>22</v>
      </c>
      <c r="L1992" s="6">
        <v>6.7055999999999996</v>
      </c>
      <c r="M1992" s="7">
        <v>25.4</v>
      </c>
      <c r="N1992" s="7">
        <v>88.9</v>
      </c>
      <c r="O1992" s="7">
        <f t="shared" si="165"/>
        <v>264</v>
      </c>
      <c r="P1992" s="7">
        <f t="shared" si="166"/>
        <v>1</v>
      </c>
      <c r="Q1992" s="7">
        <f t="shared" si="166"/>
        <v>3.5000000000000004</v>
      </c>
      <c r="R1992" s="6">
        <f t="shared" si="167"/>
        <v>1452.9459999999999</v>
      </c>
      <c r="S1992" s="6">
        <f t="shared" si="168"/>
        <v>1.5141647135999997E-2</v>
      </c>
      <c r="T1992" t="str">
        <f t="shared" si="169"/>
        <v>Massaranduba Bullet Wood S4S E4E 5/4x4 Long</v>
      </c>
    </row>
    <row r="1993" spans="1:20" x14ac:dyDescent="0.25">
      <c r="A1993" t="s">
        <v>2262</v>
      </c>
      <c r="B1993" t="s">
        <v>2409</v>
      </c>
      <c r="C1993" t="s">
        <v>283</v>
      </c>
      <c r="D1993" t="s">
        <v>438</v>
      </c>
      <c r="E1993" t="s">
        <v>2418</v>
      </c>
      <c r="F1993" t="s">
        <v>2411</v>
      </c>
      <c r="G1993" t="s">
        <v>2266</v>
      </c>
      <c r="H1993" t="s">
        <v>373</v>
      </c>
      <c r="I1993" t="s">
        <v>289</v>
      </c>
      <c r="J1993" t="s">
        <v>1968</v>
      </c>
      <c r="K1993">
        <v>8</v>
      </c>
      <c r="L1993" s="6">
        <v>2.4384000000000001</v>
      </c>
      <c r="M1993" s="7">
        <v>25.4</v>
      </c>
      <c r="N1993" s="7">
        <v>88.9</v>
      </c>
      <c r="O1993" s="7">
        <f t="shared" si="165"/>
        <v>96.000000000000014</v>
      </c>
      <c r="P1993" s="7">
        <f t="shared" si="166"/>
        <v>1</v>
      </c>
      <c r="Q1993" s="7">
        <f t="shared" si="166"/>
        <v>3.5000000000000004</v>
      </c>
      <c r="R1993" s="6">
        <f t="shared" si="167"/>
        <v>1452.9459999999999</v>
      </c>
      <c r="S1993" s="6">
        <f t="shared" si="168"/>
        <v>5.5060535040000001E-3</v>
      </c>
      <c r="T1993" t="str">
        <f t="shared" si="169"/>
        <v>Massaranduba Bullet Wood S4S E4E 5/4x4 Long</v>
      </c>
    </row>
    <row r="1994" spans="1:20" x14ac:dyDescent="0.25">
      <c r="A1994" t="s">
        <v>2262</v>
      </c>
      <c r="B1994" t="s">
        <v>2419</v>
      </c>
      <c r="C1994" t="s">
        <v>283</v>
      </c>
      <c r="D1994" t="s">
        <v>438</v>
      </c>
      <c r="E1994" t="s">
        <v>2420</v>
      </c>
      <c r="F1994" t="s">
        <v>2421</v>
      </c>
      <c r="G1994" t="s">
        <v>2266</v>
      </c>
      <c r="H1994" t="s">
        <v>373</v>
      </c>
      <c r="I1994" t="s">
        <v>289</v>
      </c>
      <c r="J1994" t="s">
        <v>301</v>
      </c>
      <c r="K1994">
        <v>10</v>
      </c>
      <c r="L1994" s="6">
        <v>3.048</v>
      </c>
      <c r="M1994" s="7">
        <v>25.4</v>
      </c>
      <c r="N1994" s="7">
        <v>139.69999999999999</v>
      </c>
      <c r="O1994" s="7">
        <f t="shared" si="165"/>
        <v>120</v>
      </c>
      <c r="P1994" s="7">
        <f t="shared" si="166"/>
        <v>1</v>
      </c>
      <c r="Q1994" s="7">
        <f t="shared" si="166"/>
        <v>5.5</v>
      </c>
      <c r="R1994" s="6">
        <f t="shared" si="167"/>
        <v>924.60199999999998</v>
      </c>
      <c r="S1994" s="6">
        <f t="shared" si="168"/>
        <v>1.081546224E-2</v>
      </c>
      <c r="T1994" t="str">
        <f t="shared" si="169"/>
        <v>Massaranduba Bullet Wood S4S E4E 5/4x6 Long</v>
      </c>
    </row>
    <row r="1995" spans="1:20" x14ac:dyDescent="0.25">
      <c r="A1995" t="s">
        <v>2262</v>
      </c>
      <c r="B1995" t="s">
        <v>2419</v>
      </c>
      <c r="C1995" t="s">
        <v>283</v>
      </c>
      <c r="D1995" t="s">
        <v>438</v>
      </c>
      <c r="E1995" t="s">
        <v>2422</v>
      </c>
      <c r="F1995" t="s">
        <v>2421</v>
      </c>
      <c r="G1995" t="s">
        <v>2266</v>
      </c>
      <c r="H1995" t="s">
        <v>373</v>
      </c>
      <c r="I1995" t="s">
        <v>289</v>
      </c>
      <c r="J1995" t="s">
        <v>301</v>
      </c>
      <c r="K1995">
        <v>11</v>
      </c>
      <c r="L1995" s="6">
        <v>3.3528000000000002</v>
      </c>
      <c r="M1995" s="7">
        <v>25.4</v>
      </c>
      <c r="N1995" s="7">
        <v>139.69999999999999</v>
      </c>
      <c r="O1995" s="7">
        <f t="shared" si="165"/>
        <v>132</v>
      </c>
      <c r="P1995" s="7">
        <f t="shared" si="166"/>
        <v>1</v>
      </c>
      <c r="Q1995" s="7">
        <f t="shared" si="166"/>
        <v>5.5</v>
      </c>
      <c r="R1995" s="6">
        <f t="shared" si="167"/>
        <v>924.60199999999998</v>
      </c>
      <c r="S1995" s="6">
        <f t="shared" si="168"/>
        <v>1.1897008463999999E-2</v>
      </c>
      <c r="T1995" t="str">
        <f t="shared" si="169"/>
        <v>Massaranduba Bullet Wood S4S E4E 5/4x6 Long</v>
      </c>
    </row>
    <row r="1996" spans="1:20" x14ac:dyDescent="0.25">
      <c r="A1996" t="s">
        <v>2262</v>
      </c>
      <c r="B1996" t="s">
        <v>2419</v>
      </c>
      <c r="C1996" t="s">
        <v>283</v>
      </c>
      <c r="D1996" t="s">
        <v>438</v>
      </c>
      <c r="E1996" t="s">
        <v>2423</v>
      </c>
      <c r="F1996" t="s">
        <v>2421</v>
      </c>
      <c r="G1996" t="s">
        <v>2266</v>
      </c>
      <c r="H1996" t="s">
        <v>373</v>
      </c>
      <c r="I1996" t="s">
        <v>289</v>
      </c>
      <c r="J1996" t="s">
        <v>301</v>
      </c>
      <c r="K1996">
        <v>12</v>
      </c>
      <c r="L1996" s="6">
        <v>3.6576000000000004</v>
      </c>
      <c r="M1996" s="7">
        <v>25.4</v>
      </c>
      <c r="N1996" s="7">
        <v>139.69999999999999</v>
      </c>
      <c r="O1996" s="7">
        <f t="shared" si="165"/>
        <v>144.00000000000003</v>
      </c>
      <c r="P1996" s="7">
        <f t="shared" si="166"/>
        <v>1</v>
      </c>
      <c r="Q1996" s="7">
        <f t="shared" si="166"/>
        <v>5.5</v>
      </c>
      <c r="R1996" s="6">
        <f t="shared" si="167"/>
        <v>924.60199999999998</v>
      </c>
      <c r="S1996" s="6">
        <f t="shared" si="168"/>
        <v>1.2978554687999999E-2</v>
      </c>
      <c r="T1996" t="str">
        <f t="shared" si="169"/>
        <v>Massaranduba Bullet Wood S4S E4E 5/4x6 Long</v>
      </c>
    </row>
    <row r="1997" spans="1:20" x14ac:dyDescent="0.25">
      <c r="A1997" t="s">
        <v>2262</v>
      </c>
      <c r="B1997" t="s">
        <v>2419</v>
      </c>
      <c r="C1997" t="s">
        <v>283</v>
      </c>
      <c r="D1997" t="s">
        <v>438</v>
      </c>
      <c r="E1997" t="s">
        <v>2424</v>
      </c>
      <c r="F1997" t="s">
        <v>2421</v>
      </c>
      <c r="G1997" t="s">
        <v>2266</v>
      </c>
      <c r="H1997" t="s">
        <v>373</v>
      </c>
      <c r="I1997" t="s">
        <v>289</v>
      </c>
      <c r="J1997" t="s">
        <v>301</v>
      </c>
      <c r="K1997">
        <v>13</v>
      </c>
      <c r="L1997" s="6">
        <v>3.9624000000000001</v>
      </c>
      <c r="M1997" s="7">
        <v>25.4</v>
      </c>
      <c r="N1997" s="7">
        <v>139.69999999999999</v>
      </c>
      <c r="O1997" s="7">
        <f t="shared" si="165"/>
        <v>156</v>
      </c>
      <c r="P1997" s="7">
        <f t="shared" si="166"/>
        <v>1</v>
      </c>
      <c r="Q1997" s="7">
        <f t="shared" si="166"/>
        <v>5.5</v>
      </c>
      <c r="R1997" s="6">
        <f t="shared" si="167"/>
        <v>924.60199999999998</v>
      </c>
      <c r="S1997" s="6">
        <f t="shared" si="168"/>
        <v>1.4060100911999997E-2</v>
      </c>
      <c r="T1997" t="str">
        <f t="shared" si="169"/>
        <v>Massaranduba Bullet Wood S4S E4E 5/4x6 Long</v>
      </c>
    </row>
    <row r="1998" spans="1:20" x14ac:dyDescent="0.25">
      <c r="A1998" t="s">
        <v>2262</v>
      </c>
      <c r="B1998" t="s">
        <v>2419</v>
      </c>
      <c r="C1998" t="s">
        <v>283</v>
      </c>
      <c r="D1998" t="s">
        <v>438</v>
      </c>
      <c r="E1998" t="s">
        <v>2425</v>
      </c>
      <c r="F1998" t="s">
        <v>2421</v>
      </c>
      <c r="G1998" t="s">
        <v>2266</v>
      </c>
      <c r="H1998" t="s">
        <v>373</v>
      </c>
      <c r="I1998" t="s">
        <v>289</v>
      </c>
      <c r="J1998" t="s">
        <v>301</v>
      </c>
      <c r="K1998">
        <v>14</v>
      </c>
      <c r="L1998" s="6">
        <v>4.2671999999999999</v>
      </c>
      <c r="M1998" s="7">
        <v>25.4</v>
      </c>
      <c r="N1998" s="7">
        <v>139.69999999999999</v>
      </c>
      <c r="O1998" s="7">
        <f t="shared" si="165"/>
        <v>168</v>
      </c>
      <c r="P1998" s="7">
        <f t="shared" ref="P1998:Q2033" si="170">M1998/25.4</f>
        <v>1</v>
      </c>
      <c r="Q1998" s="7">
        <f t="shared" si="170"/>
        <v>5.5</v>
      </c>
      <c r="R1998" s="6">
        <f t="shared" si="167"/>
        <v>924.60199999999998</v>
      </c>
      <c r="S1998" s="6">
        <f t="shared" si="168"/>
        <v>1.5141647135999997E-2</v>
      </c>
      <c r="T1998" t="str">
        <f t="shared" si="169"/>
        <v>Massaranduba Bullet Wood S4S E4E 5/4x6 Long</v>
      </c>
    </row>
    <row r="1999" spans="1:20" x14ac:dyDescent="0.25">
      <c r="A1999" t="s">
        <v>2262</v>
      </c>
      <c r="B1999" t="s">
        <v>2419</v>
      </c>
      <c r="C1999" t="s">
        <v>283</v>
      </c>
      <c r="D1999" t="s">
        <v>438</v>
      </c>
      <c r="E1999" t="s">
        <v>2426</v>
      </c>
      <c r="F1999" t="s">
        <v>2421</v>
      </c>
      <c r="G1999" t="s">
        <v>2266</v>
      </c>
      <c r="H1999" t="s">
        <v>373</v>
      </c>
      <c r="I1999" t="s">
        <v>289</v>
      </c>
      <c r="J1999" t="s">
        <v>301</v>
      </c>
      <c r="K1999">
        <v>15</v>
      </c>
      <c r="L1999" s="6">
        <v>4.5720000000000001</v>
      </c>
      <c r="M1999" s="7">
        <v>25.4</v>
      </c>
      <c r="N1999" s="7">
        <v>139.69999999999999</v>
      </c>
      <c r="O1999" s="7">
        <f t="shared" si="165"/>
        <v>180</v>
      </c>
      <c r="P1999" s="7">
        <f t="shared" si="170"/>
        <v>1</v>
      </c>
      <c r="Q1999" s="7">
        <f t="shared" si="170"/>
        <v>5.5</v>
      </c>
      <c r="R1999" s="6">
        <f t="shared" si="167"/>
        <v>924.60199999999998</v>
      </c>
      <c r="S1999" s="6">
        <f t="shared" si="168"/>
        <v>1.6223193359999999E-2</v>
      </c>
      <c r="T1999" t="str">
        <f t="shared" si="169"/>
        <v>Massaranduba Bullet Wood S4S E4E 5/4x6 Long</v>
      </c>
    </row>
    <row r="2000" spans="1:20" x14ac:dyDescent="0.25">
      <c r="A2000" t="s">
        <v>2262</v>
      </c>
      <c r="B2000" t="s">
        <v>2419</v>
      </c>
      <c r="C2000" t="s">
        <v>283</v>
      </c>
      <c r="D2000" t="s">
        <v>438</v>
      </c>
      <c r="E2000" t="s">
        <v>2427</v>
      </c>
      <c r="F2000" t="s">
        <v>2421</v>
      </c>
      <c r="G2000" t="s">
        <v>2266</v>
      </c>
      <c r="H2000" t="s">
        <v>373</v>
      </c>
      <c r="I2000" t="s">
        <v>289</v>
      </c>
      <c r="J2000" t="s">
        <v>301</v>
      </c>
      <c r="K2000">
        <v>16</v>
      </c>
      <c r="L2000" s="6">
        <v>4.8768000000000002</v>
      </c>
      <c r="M2000" s="7">
        <v>25.4</v>
      </c>
      <c r="N2000" s="7">
        <v>139.69999999999999</v>
      </c>
      <c r="O2000" s="7">
        <f t="shared" si="165"/>
        <v>192.00000000000003</v>
      </c>
      <c r="P2000" s="7">
        <f t="shared" si="170"/>
        <v>1</v>
      </c>
      <c r="Q2000" s="7">
        <f t="shared" si="170"/>
        <v>5.5</v>
      </c>
      <c r="R2000" s="6">
        <f t="shared" si="167"/>
        <v>924.60199999999998</v>
      </c>
      <c r="S2000" s="6">
        <f t="shared" si="168"/>
        <v>1.7304739584000001E-2</v>
      </c>
      <c r="T2000" t="str">
        <f t="shared" si="169"/>
        <v>Massaranduba Bullet Wood S4S E4E 5/4x6 Long</v>
      </c>
    </row>
    <row r="2001" spans="1:20" x14ac:dyDescent="0.25">
      <c r="A2001" t="s">
        <v>2262</v>
      </c>
      <c r="B2001" t="s">
        <v>2419</v>
      </c>
      <c r="C2001" t="s">
        <v>283</v>
      </c>
      <c r="D2001" t="s">
        <v>438</v>
      </c>
      <c r="E2001" t="s">
        <v>2428</v>
      </c>
      <c r="F2001" t="s">
        <v>2421</v>
      </c>
      <c r="G2001" t="s">
        <v>2266</v>
      </c>
      <c r="H2001" t="s">
        <v>373</v>
      </c>
      <c r="I2001" t="s">
        <v>289</v>
      </c>
      <c r="J2001" t="s">
        <v>301</v>
      </c>
      <c r="K2001">
        <v>17</v>
      </c>
      <c r="L2001" s="6">
        <v>5.1816000000000004</v>
      </c>
      <c r="M2001" s="7">
        <v>25.4</v>
      </c>
      <c r="N2001" s="7">
        <v>139.69999999999999</v>
      </c>
      <c r="O2001" s="7">
        <f t="shared" si="165"/>
        <v>204.00000000000003</v>
      </c>
      <c r="P2001" s="7">
        <f t="shared" si="170"/>
        <v>1</v>
      </c>
      <c r="Q2001" s="7">
        <f t="shared" si="170"/>
        <v>5.5</v>
      </c>
      <c r="R2001" s="6">
        <f t="shared" si="167"/>
        <v>924.60199999999998</v>
      </c>
      <c r="S2001" s="6">
        <f t="shared" si="168"/>
        <v>1.8386285807999999E-2</v>
      </c>
      <c r="T2001" t="str">
        <f t="shared" si="169"/>
        <v>Massaranduba Bullet Wood S4S E4E 5/4x6 Long</v>
      </c>
    </row>
    <row r="2002" spans="1:20" x14ac:dyDescent="0.25">
      <c r="A2002" t="s">
        <v>2262</v>
      </c>
      <c r="B2002" t="s">
        <v>2419</v>
      </c>
      <c r="C2002" t="s">
        <v>283</v>
      </c>
      <c r="D2002" t="s">
        <v>438</v>
      </c>
      <c r="E2002" t="s">
        <v>2429</v>
      </c>
      <c r="F2002" t="s">
        <v>2421</v>
      </c>
      <c r="G2002" t="s">
        <v>2266</v>
      </c>
      <c r="H2002" t="s">
        <v>373</v>
      </c>
      <c r="I2002" t="s">
        <v>289</v>
      </c>
      <c r="J2002" t="s">
        <v>301</v>
      </c>
      <c r="K2002">
        <v>18</v>
      </c>
      <c r="L2002" s="6">
        <v>5.4863999999999997</v>
      </c>
      <c r="M2002" s="7">
        <v>25.4</v>
      </c>
      <c r="N2002" s="7">
        <v>139.69999999999999</v>
      </c>
      <c r="O2002" s="7">
        <f t="shared" si="165"/>
        <v>216</v>
      </c>
      <c r="P2002" s="7">
        <f t="shared" si="170"/>
        <v>1</v>
      </c>
      <c r="Q2002" s="7">
        <f t="shared" si="170"/>
        <v>5.5</v>
      </c>
      <c r="R2002" s="6">
        <f t="shared" si="167"/>
        <v>924.60199999999998</v>
      </c>
      <c r="S2002" s="6">
        <f t="shared" si="168"/>
        <v>1.9467832031999997E-2</v>
      </c>
      <c r="T2002" t="str">
        <f t="shared" si="169"/>
        <v>Massaranduba Bullet Wood S4S E4E 5/4x6 Long</v>
      </c>
    </row>
    <row r="2003" spans="1:20" x14ac:dyDescent="0.25">
      <c r="A2003" t="s">
        <v>2262</v>
      </c>
      <c r="B2003" t="s">
        <v>2419</v>
      </c>
      <c r="C2003" t="s">
        <v>283</v>
      </c>
      <c r="D2003" t="s">
        <v>438</v>
      </c>
      <c r="E2003" t="s">
        <v>2430</v>
      </c>
      <c r="F2003" t="s">
        <v>2421</v>
      </c>
      <c r="G2003" t="s">
        <v>2266</v>
      </c>
      <c r="H2003" t="s">
        <v>373</v>
      </c>
      <c r="I2003" t="s">
        <v>289</v>
      </c>
      <c r="J2003" t="s">
        <v>301</v>
      </c>
      <c r="K2003">
        <v>19</v>
      </c>
      <c r="L2003" s="6">
        <v>5.7911999999999999</v>
      </c>
      <c r="M2003" s="7">
        <v>25.4</v>
      </c>
      <c r="N2003" s="7">
        <v>139.69999999999999</v>
      </c>
      <c r="O2003" s="7">
        <f t="shared" si="165"/>
        <v>228</v>
      </c>
      <c r="P2003" s="7">
        <f t="shared" si="170"/>
        <v>1</v>
      </c>
      <c r="Q2003" s="7">
        <f t="shared" si="170"/>
        <v>5.5</v>
      </c>
      <c r="R2003" s="6">
        <f t="shared" si="167"/>
        <v>924.60199999999998</v>
      </c>
      <c r="S2003" s="6">
        <f t="shared" si="168"/>
        <v>2.0549378255999992E-2</v>
      </c>
      <c r="T2003" t="str">
        <f t="shared" si="169"/>
        <v>Massaranduba Bullet Wood S4S E4E 5/4x6 Long</v>
      </c>
    </row>
    <row r="2004" spans="1:20" x14ac:dyDescent="0.25">
      <c r="A2004" t="s">
        <v>2262</v>
      </c>
      <c r="B2004" t="s">
        <v>2419</v>
      </c>
      <c r="C2004" t="s">
        <v>283</v>
      </c>
      <c r="D2004" t="s">
        <v>438</v>
      </c>
      <c r="E2004" t="s">
        <v>2431</v>
      </c>
      <c r="F2004" t="s">
        <v>2421</v>
      </c>
      <c r="G2004" t="s">
        <v>2266</v>
      </c>
      <c r="H2004" t="s">
        <v>373</v>
      </c>
      <c r="I2004" t="s">
        <v>289</v>
      </c>
      <c r="J2004" t="s">
        <v>301</v>
      </c>
      <c r="K2004">
        <v>20</v>
      </c>
      <c r="L2004" s="6">
        <v>6.0960000000000001</v>
      </c>
      <c r="M2004" s="7">
        <v>25.4</v>
      </c>
      <c r="N2004" s="7">
        <v>139.69999999999999</v>
      </c>
      <c r="O2004" s="7">
        <f t="shared" si="165"/>
        <v>240</v>
      </c>
      <c r="P2004" s="7">
        <f t="shared" si="170"/>
        <v>1</v>
      </c>
      <c r="Q2004" s="7">
        <f t="shared" si="170"/>
        <v>5.5</v>
      </c>
      <c r="R2004" s="6">
        <f t="shared" si="167"/>
        <v>924.60199999999998</v>
      </c>
      <c r="S2004" s="6">
        <f t="shared" si="168"/>
        <v>2.1630924480000001E-2</v>
      </c>
      <c r="T2004" t="str">
        <f t="shared" si="169"/>
        <v>Massaranduba Bullet Wood S4S E4E 5/4x6 Long</v>
      </c>
    </row>
    <row r="2005" spans="1:20" x14ac:dyDescent="0.25">
      <c r="A2005" t="s">
        <v>2262</v>
      </c>
      <c r="B2005" t="s">
        <v>2419</v>
      </c>
      <c r="C2005" t="s">
        <v>283</v>
      </c>
      <c r="D2005" t="s">
        <v>438</v>
      </c>
      <c r="E2005" t="s">
        <v>2432</v>
      </c>
      <c r="F2005" t="s">
        <v>2421</v>
      </c>
      <c r="G2005" t="s">
        <v>2266</v>
      </c>
      <c r="H2005" t="s">
        <v>373</v>
      </c>
      <c r="I2005" t="s">
        <v>289</v>
      </c>
      <c r="J2005" t="s">
        <v>301</v>
      </c>
      <c r="K2005">
        <v>21</v>
      </c>
      <c r="L2005" s="6">
        <v>6.4008000000000003</v>
      </c>
      <c r="M2005" s="7">
        <v>25.4</v>
      </c>
      <c r="N2005" s="7">
        <v>139.69999999999999</v>
      </c>
      <c r="O2005" s="7">
        <f t="shared" si="165"/>
        <v>252.00000000000003</v>
      </c>
      <c r="P2005" s="7">
        <f t="shared" si="170"/>
        <v>1</v>
      </c>
      <c r="Q2005" s="7">
        <f t="shared" si="170"/>
        <v>5.5</v>
      </c>
      <c r="R2005" s="6">
        <f t="shared" si="167"/>
        <v>924.60199999999998</v>
      </c>
      <c r="S2005" s="6">
        <f t="shared" si="168"/>
        <v>2.2712470703999999E-2</v>
      </c>
      <c r="T2005" t="str">
        <f t="shared" si="169"/>
        <v>Massaranduba Bullet Wood S4S E4E 5/4x6 Long</v>
      </c>
    </row>
    <row r="2006" spans="1:20" x14ac:dyDescent="0.25">
      <c r="A2006" t="s">
        <v>2262</v>
      </c>
      <c r="B2006" t="s">
        <v>2419</v>
      </c>
      <c r="C2006" t="s">
        <v>283</v>
      </c>
      <c r="D2006" t="s">
        <v>438</v>
      </c>
      <c r="E2006" t="s">
        <v>2433</v>
      </c>
      <c r="F2006" t="s">
        <v>2421</v>
      </c>
      <c r="G2006" t="s">
        <v>2266</v>
      </c>
      <c r="H2006" t="s">
        <v>373</v>
      </c>
      <c r="I2006" t="s">
        <v>289</v>
      </c>
      <c r="J2006" t="s">
        <v>301</v>
      </c>
      <c r="K2006">
        <v>22</v>
      </c>
      <c r="L2006" s="6">
        <v>6.7055999999999996</v>
      </c>
      <c r="M2006" s="7">
        <v>25.4</v>
      </c>
      <c r="N2006" s="7">
        <v>139.69999999999999</v>
      </c>
      <c r="O2006" s="7">
        <f t="shared" si="165"/>
        <v>264</v>
      </c>
      <c r="P2006" s="7">
        <f t="shared" si="170"/>
        <v>1</v>
      </c>
      <c r="Q2006" s="7">
        <f t="shared" si="170"/>
        <v>5.5</v>
      </c>
      <c r="R2006" s="6">
        <f t="shared" si="167"/>
        <v>924.60199999999998</v>
      </c>
      <c r="S2006" s="6">
        <f t="shared" si="168"/>
        <v>2.3794016927999991E-2</v>
      </c>
      <c r="T2006" t="str">
        <f t="shared" si="169"/>
        <v>Massaranduba Bullet Wood S4S E4E 5/4x6 Long</v>
      </c>
    </row>
    <row r="2007" spans="1:20" x14ac:dyDescent="0.25">
      <c r="A2007" t="s">
        <v>2262</v>
      </c>
      <c r="B2007" t="s">
        <v>2419</v>
      </c>
      <c r="C2007" t="s">
        <v>524</v>
      </c>
      <c r="D2007" t="s">
        <v>438</v>
      </c>
      <c r="E2007" t="s">
        <v>2434</v>
      </c>
      <c r="F2007" t="s">
        <v>2421</v>
      </c>
      <c r="G2007" t="s">
        <v>2266</v>
      </c>
      <c r="H2007" t="s">
        <v>373</v>
      </c>
      <c r="I2007" t="s">
        <v>289</v>
      </c>
      <c r="J2007" t="s">
        <v>301</v>
      </c>
      <c r="K2007">
        <v>3</v>
      </c>
      <c r="L2007" s="6">
        <v>0.9144000000000001</v>
      </c>
      <c r="M2007" s="7">
        <v>25.4</v>
      </c>
      <c r="N2007" s="7">
        <v>139.69999999999999</v>
      </c>
      <c r="O2007" s="7">
        <f t="shared" si="165"/>
        <v>36.000000000000007</v>
      </c>
      <c r="P2007" s="7">
        <f t="shared" si="170"/>
        <v>1</v>
      </c>
      <c r="Q2007" s="7">
        <f t="shared" si="170"/>
        <v>5.5</v>
      </c>
      <c r="R2007" s="6">
        <f t="shared" si="167"/>
        <v>924.60199999999998</v>
      </c>
      <c r="S2007" s="6">
        <f t="shared" si="168"/>
        <v>3.2446386719999997E-3</v>
      </c>
      <c r="T2007" t="str">
        <f t="shared" si="169"/>
        <v>Massaranduba Bullet Wood S4S E4E 5/4x6 Short</v>
      </c>
    </row>
    <row r="2008" spans="1:20" x14ac:dyDescent="0.25">
      <c r="A2008" t="s">
        <v>2262</v>
      </c>
      <c r="B2008" t="s">
        <v>2419</v>
      </c>
      <c r="C2008" t="s">
        <v>524</v>
      </c>
      <c r="D2008" t="s">
        <v>438</v>
      </c>
      <c r="E2008" t="s">
        <v>2435</v>
      </c>
      <c r="F2008" t="s">
        <v>2421</v>
      </c>
      <c r="G2008" t="s">
        <v>2266</v>
      </c>
      <c r="H2008" t="s">
        <v>373</v>
      </c>
      <c r="I2008" t="s">
        <v>289</v>
      </c>
      <c r="J2008" t="s">
        <v>301</v>
      </c>
      <c r="K2008">
        <v>4</v>
      </c>
      <c r="L2008" s="6">
        <v>1.2192000000000001</v>
      </c>
      <c r="M2008" s="7">
        <v>25.4</v>
      </c>
      <c r="N2008" s="7">
        <v>139.69999999999999</v>
      </c>
      <c r="O2008" s="7">
        <f t="shared" si="165"/>
        <v>48.000000000000007</v>
      </c>
      <c r="P2008" s="7">
        <f t="shared" si="170"/>
        <v>1</v>
      </c>
      <c r="Q2008" s="7">
        <f t="shared" si="170"/>
        <v>5.5</v>
      </c>
      <c r="R2008" s="6">
        <f t="shared" si="167"/>
        <v>924.60199999999998</v>
      </c>
      <c r="S2008" s="6">
        <f t="shared" si="168"/>
        <v>4.3261848960000002E-3</v>
      </c>
      <c r="T2008" t="str">
        <f t="shared" si="169"/>
        <v>Massaranduba Bullet Wood S4S E4E 5/4x6 Short</v>
      </c>
    </row>
    <row r="2009" spans="1:20" x14ac:dyDescent="0.25">
      <c r="A2009" t="s">
        <v>2262</v>
      </c>
      <c r="B2009" t="s">
        <v>2419</v>
      </c>
      <c r="C2009" t="s">
        <v>524</v>
      </c>
      <c r="D2009" t="s">
        <v>438</v>
      </c>
      <c r="E2009" t="s">
        <v>2436</v>
      </c>
      <c r="F2009" t="s">
        <v>2421</v>
      </c>
      <c r="G2009" t="s">
        <v>2266</v>
      </c>
      <c r="H2009" t="s">
        <v>373</v>
      </c>
      <c r="I2009" t="s">
        <v>289</v>
      </c>
      <c r="J2009" t="s">
        <v>301</v>
      </c>
      <c r="K2009">
        <v>5</v>
      </c>
      <c r="L2009" s="6">
        <v>1.524</v>
      </c>
      <c r="M2009" s="7">
        <v>25.4</v>
      </c>
      <c r="N2009" s="7">
        <v>139.69999999999999</v>
      </c>
      <c r="O2009" s="7">
        <f t="shared" si="165"/>
        <v>60</v>
      </c>
      <c r="P2009" s="7">
        <f t="shared" si="170"/>
        <v>1</v>
      </c>
      <c r="Q2009" s="7">
        <f t="shared" si="170"/>
        <v>5.5</v>
      </c>
      <c r="R2009" s="6">
        <f t="shared" si="167"/>
        <v>924.60199999999998</v>
      </c>
      <c r="S2009" s="6">
        <f t="shared" si="168"/>
        <v>5.4077311200000002E-3</v>
      </c>
      <c r="T2009" t="str">
        <f t="shared" si="169"/>
        <v>Massaranduba Bullet Wood S4S E4E 5/4x6 Short</v>
      </c>
    </row>
    <row r="2010" spans="1:20" x14ac:dyDescent="0.25">
      <c r="A2010" t="s">
        <v>2262</v>
      </c>
      <c r="B2010" t="s">
        <v>2419</v>
      </c>
      <c r="C2010" t="s">
        <v>524</v>
      </c>
      <c r="D2010" t="s">
        <v>438</v>
      </c>
      <c r="E2010" t="s">
        <v>2437</v>
      </c>
      <c r="F2010" t="s">
        <v>2421</v>
      </c>
      <c r="G2010" t="s">
        <v>2266</v>
      </c>
      <c r="H2010" t="s">
        <v>373</v>
      </c>
      <c r="I2010" t="s">
        <v>289</v>
      </c>
      <c r="J2010" t="s">
        <v>301</v>
      </c>
      <c r="K2010">
        <v>6</v>
      </c>
      <c r="L2010" s="6">
        <v>1.8288000000000002</v>
      </c>
      <c r="M2010" s="7">
        <v>25.4</v>
      </c>
      <c r="N2010" s="7">
        <v>139.69999999999999</v>
      </c>
      <c r="O2010" s="7">
        <f t="shared" si="165"/>
        <v>72.000000000000014</v>
      </c>
      <c r="P2010" s="7">
        <f t="shared" si="170"/>
        <v>1</v>
      </c>
      <c r="Q2010" s="7">
        <f t="shared" si="170"/>
        <v>5.5</v>
      </c>
      <c r="R2010" s="6">
        <f t="shared" si="167"/>
        <v>924.60199999999998</v>
      </c>
      <c r="S2010" s="6">
        <f t="shared" si="168"/>
        <v>6.4892773439999994E-3</v>
      </c>
      <c r="T2010" t="str">
        <f t="shared" si="169"/>
        <v>Massaranduba Bullet Wood S4S E4E 5/4x6 Short</v>
      </c>
    </row>
    <row r="2011" spans="1:20" x14ac:dyDescent="0.25">
      <c r="A2011" t="s">
        <v>2262</v>
      </c>
      <c r="B2011" t="s">
        <v>2419</v>
      </c>
      <c r="C2011" t="s">
        <v>524</v>
      </c>
      <c r="D2011" t="s">
        <v>438</v>
      </c>
      <c r="E2011" t="s">
        <v>2438</v>
      </c>
      <c r="F2011" t="s">
        <v>2421</v>
      </c>
      <c r="G2011" t="s">
        <v>2266</v>
      </c>
      <c r="H2011" t="s">
        <v>373</v>
      </c>
      <c r="I2011" t="s">
        <v>289</v>
      </c>
      <c r="J2011" t="s">
        <v>301</v>
      </c>
      <c r="K2011">
        <v>7</v>
      </c>
      <c r="L2011" s="6">
        <v>2.1335999999999999</v>
      </c>
      <c r="M2011" s="7">
        <v>25.4</v>
      </c>
      <c r="N2011" s="7">
        <v>139.69999999999999</v>
      </c>
      <c r="O2011" s="7">
        <f t="shared" si="165"/>
        <v>84</v>
      </c>
      <c r="P2011" s="7">
        <f t="shared" si="170"/>
        <v>1</v>
      </c>
      <c r="Q2011" s="7">
        <f t="shared" si="170"/>
        <v>5.5</v>
      </c>
      <c r="R2011" s="6">
        <f t="shared" si="167"/>
        <v>924.60199999999998</v>
      </c>
      <c r="S2011" s="6">
        <f t="shared" si="168"/>
        <v>7.5708235679999986E-3</v>
      </c>
      <c r="T2011" t="str">
        <f t="shared" si="169"/>
        <v>Massaranduba Bullet Wood S4S E4E 5/4x6 Short</v>
      </c>
    </row>
    <row r="2012" spans="1:20" x14ac:dyDescent="0.25">
      <c r="A2012" t="s">
        <v>2262</v>
      </c>
      <c r="B2012" t="s">
        <v>2419</v>
      </c>
      <c r="C2012" t="s">
        <v>283</v>
      </c>
      <c r="D2012" t="s">
        <v>438</v>
      </c>
      <c r="E2012" t="s">
        <v>2439</v>
      </c>
      <c r="F2012" t="s">
        <v>2421</v>
      </c>
      <c r="G2012" t="s">
        <v>2266</v>
      </c>
      <c r="H2012" t="s">
        <v>373</v>
      </c>
      <c r="I2012" t="s">
        <v>289</v>
      </c>
      <c r="J2012" t="s">
        <v>301</v>
      </c>
      <c r="K2012">
        <v>8</v>
      </c>
      <c r="L2012" s="6">
        <v>2.4384000000000001</v>
      </c>
      <c r="M2012" s="7">
        <v>25.4</v>
      </c>
      <c r="N2012" s="7">
        <v>139.69999999999999</v>
      </c>
      <c r="O2012" s="7">
        <f t="shared" si="165"/>
        <v>96.000000000000014</v>
      </c>
      <c r="P2012" s="7">
        <f t="shared" si="170"/>
        <v>1</v>
      </c>
      <c r="Q2012" s="7">
        <f t="shared" si="170"/>
        <v>5.5</v>
      </c>
      <c r="R2012" s="6">
        <f t="shared" si="167"/>
        <v>924.60199999999998</v>
      </c>
      <c r="S2012" s="6">
        <f t="shared" si="168"/>
        <v>8.6523697920000003E-3</v>
      </c>
      <c r="T2012" t="str">
        <f t="shared" si="169"/>
        <v>Massaranduba Bullet Wood S4S E4E 5/4x6 Long</v>
      </c>
    </row>
    <row r="2013" spans="1:20" x14ac:dyDescent="0.25">
      <c r="A2013" t="s">
        <v>2262</v>
      </c>
      <c r="B2013" t="s">
        <v>2419</v>
      </c>
      <c r="C2013" t="s">
        <v>283</v>
      </c>
      <c r="D2013" t="s">
        <v>438</v>
      </c>
      <c r="E2013" t="s">
        <v>2440</v>
      </c>
      <c r="F2013" t="s">
        <v>2421</v>
      </c>
      <c r="G2013" t="s">
        <v>2266</v>
      </c>
      <c r="H2013" t="s">
        <v>373</v>
      </c>
      <c r="I2013" t="s">
        <v>289</v>
      </c>
      <c r="J2013" t="s">
        <v>301</v>
      </c>
      <c r="K2013">
        <v>9</v>
      </c>
      <c r="L2013" s="6">
        <v>2.7432000000000003</v>
      </c>
      <c r="M2013" s="7">
        <v>25.4</v>
      </c>
      <c r="N2013" s="7">
        <v>139.69999999999999</v>
      </c>
      <c r="O2013" s="7">
        <f t="shared" si="165"/>
        <v>108.00000000000001</v>
      </c>
      <c r="P2013" s="7">
        <f t="shared" si="170"/>
        <v>1</v>
      </c>
      <c r="Q2013" s="7">
        <f t="shared" si="170"/>
        <v>5.5</v>
      </c>
      <c r="R2013" s="6">
        <f t="shared" si="167"/>
        <v>924.60199999999998</v>
      </c>
      <c r="S2013" s="6">
        <f t="shared" si="168"/>
        <v>9.7339160160000004E-3</v>
      </c>
      <c r="T2013" t="str">
        <f t="shared" si="169"/>
        <v>Massaranduba Bullet Wood S4S E4E 5/4x6 Long</v>
      </c>
    </row>
    <row r="2014" spans="1:20" x14ac:dyDescent="0.25">
      <c r="A2014" t="s">
        <v>2262</v>
      </c>
      <c r="B2014" t="s">
        <v>2441</v>
      </c>
      <c r="C2014" t="s">
        <v>283</v>
      </c>
      <c r="D2014" t="s">
        <v>438</v>
      </c>
      <c r="E2014" t="s">
        <v>2442</v>
      </c>
      <c r="F2014" t="s">
        <v>2443</v>
      </c>
      <c r="G2014" t="s">
        <v>2266</v>
      </c>
      <c r="H2014" t="s">
        <v>373</v>
      </c>
      <c r="I2014" t="s">
        <v>289</v>
      </c>
      <c r="J2014" t="s">
        <v>1180</v>
      </c>
      <c r="K2014">
        <v>10</v>
      </c>
      <c r="L2014" s="6">
        <v>3.048</v>
      </c>
      <c r="M2014" s="7">
        <v>139.69999999999999</v>
      </c>
      <c r="N2014" s="7">
        <v>139.69999999999999</v>
      </c>
      <c r="O2014" s="7">
        <f t="shared" si="165"/>
        <v>120</v>
      </c>
      <c r="P2014" s="7">
        <f t="shared" si="170"/>
        <v>5.5</v>
      </c>
      <c r="Q2014" s="7">
        <f t="shared" si="170"/>
        <v>5.5</v>
      </c>
      <c r="R2014" s="6">
        <f t="shared" si="167"/>
        <v>168.10900000000001</v>
      </c>
      <c r="S2014" s="6">
        <f t="shared" si="168"/>
        <v>5.9485042319999994E-2</v>
      </c>
      <c r="T2014" t="str">
        <f t="shared" si="169"/>
        <v>Massaranduba Bullet Wood S4S E4E 6x6 Long</v>
      </c>
    </row>
    <row r="2015" spans="1:20" x14ac:dyDescent="0.25">
      <c r="A2015" t="s">
        <v>2262</v>
      </c>
      <c r="B2015" t="s">
        <v>2441</v>
      </c>
      <c r="C2015" t="s">
        <v>283</v>
      </c>
      <c r="D2015" t="s">
        <v>438</v>
      </c>
      <c r="E2015" t="s">
        <v>2444</v>
      </c>
      <c r="F2015" t="s">
        <v>2443</v>
      </c>
      <c r="G2015" t="s">
        <v>2266</v>
      </c>
      <c r="H2015" t="s">
        <v>373</v>
      </c>
      <c r="I2015" t="s">
        <v>289</v>
      </c>
      <c r="J2015" t="s">
        <v>1180</v>
      </c>
      <c r="K2015">
        <v>11</v>
      </c>
      <c r="L2015" s="6">
        <v>3.3528000000000002</v>
      </c>
      <c r="M2015" s="7">
        <v>139.69999999999999</v>
      </c>
      <c r="N2015" s="7">
        <v>139.69999999999999</v>
      </c>
      <c r="O2015" s="7">
        <f t="shared" si="165"/>
        <v>132</v>
      </c>
      <c r="P2015" s="7">
        <f t="shared" si="170"/>
        <v>5.5</v>
      </c>
      <c r="Q2015" s="7">
        <f t="shared" si="170"/>
        <v>5.5</v>
      </c>
      <c r="R2015" s="6">
        <f t="shared" si="167"/>
        <v>168.10900000000001</v>
      </c>
      <c r="S2015" s="6">
        <f t="shared" si="168"/>
        <v>6.5433546551999996E-2</v>
      </c>
      <c r="T2015" t="str">
        <f t="shared" si="169"/>
        <v>Massaranduba Bullet Wood S4S E4E 6x6 Long</v>
      </c>
    </row>
    <row r="2016" spans="1:20" x14ac:dyDescent="0.25">
      <c r="A2016" t="s">
        <v>2262</v>
      </c>
      <c r="B2016" t="s">
        <v>2441</v>
      </c>
      <c r="C2016" t="s">
        <v>283</v>
      </c>
      <c r="D2016" t="s">
        <v>438</v>
      </c>
      <c r="E2016" t="s">
        <v>2445</v>
      </c>
      <c r="F2016" t="s">
        <v>2443</v>
      </c>
      <c r="G2016" t="s">
        <v>2266</v>
      </c>
      <c r="H2016" t="s">
        <v>373</v>
      </c>
      <c r="I2016" t="s">
        <v>289</v>
      </c>
      <c r="J2016" t="s">
        <v>1180</v>
      </c>
      <c r="K2016">
        <v>12</v>
      </c>
      <c r="L2016" s="6">
        <v>3.6576</v>
      </c>
      <c r="M2016" s="7">
        <v>139.69999999999999</v>
      </c>
      <c r="N2016" s="7">
        <v>139.69999999999999</v>
      </c>
      <c r="O2016" s="7">
        <f t="shared" si="165"/>
        <v>144</v>
      </c>
      <c r="P2016" s="7">
        <f t="shared" si="170"/>
        <v>5.5</v>
      </c>
      <c r="Q2016" s="7">
        <f t="shared" si="170"/>
        <v>5.5</v>
      </c>
      <c r="R2016" s="6">
        <f t="shared" si="167"/>
        <v>168.10900000000001</v>
      </c>
      <c r="S2016" s="6">
        <f t="shared" si="168"/>
        <v>7.1382050783999992E-2</v>
      </c>
      <c r="T2016" t="str">
        <f t="shared" si="169"/>
        <v>Massaranduba Bullet Wood S4S E4E 6x6 Long</v>
      </c>
    </row>
    <row r="2017" spans="1:20" x14ac:dyDescent="0.25">
      <c r="A2017" t="s">
        <v>2262</v>
      </c>
      <c r="B2017" t="s">
        <v>2441</v>
      </c>
      <c r="C2017" t="s">
        <v>283</v>
      </c>
      <c r="D2017" t="s">
        <v>438</v>
      </c>
      <c r="E2017" t="s">
        <v>2446</v>
      </c>
      <c r="F2017" t="s">
        <v>2443</v>
      </c>
      <c r="G2017" t="s">
        <v>2266</v>
      </c>
      <c r="H2017" t="s">
        <v>373</v>
      </c>
      <c r="I2017" t="s">
        <v>289</v>
      </c>
      <c r="J2017" t="s">
        <v>1180</v>
      </c>
      <c r="K2017">
        <v>13</v>
      </c>
      <c r="L2017" s="6">
        <v>3.9624000000000001</v>
      </c>
      <c r="M2017" s="7">
        <v>139.69999999999999</v>
      </c>
      <c r="N2017" s="7">
        <v>139.69999999999999</v>
      </c>
      <c r="O2017" s="7">
        <f t="shared" si="165"/>
        <v>156</v>
      </c>
      <c r="P2017" s="7">
        <f t="shared" si="170"/>
        <v>5.5</v>
      </c>
      <c r="Q2017" s="7">
        <f t="shared" si="170"/>
        <v>5.5</v>
      </c>
      <c r="R2017" s="6">
        <f t="shared" si="167"/>
        <v>168.10900000000001</v>
      </c>
      <c r="S2017" s="6">
        <f t="shared" si="168"/>
        <v>7.7330555015999988E-2</v>
      </c>
      <c r="T2017" t="str">
        <f t="shared" si="169"/>
        <v>Massaranduba Bullet Wood S4S E4E 6x6 Long</v>
      </c>
    </row>
    <row r="2018" spans="1:20" x14ac:dyDescent="0.25">
      <c r="A2018" t="s">
        <v>2262</v>
      </c>
      <c r="B2018" t="s">
        <v>2441</v>
      </c>
      <c r="C2018" t="s">
        <v>283</v>
      </c>
      <c r="D2018" t="s">
        <v>438</v>
      </c>
      <c r="E2018" t="s">
        <v>2447</v>
      </c>
      <c r="F2018" t="s">
        <v>2443</v>
      </c>
      <c r="G2018" t="s">
        <v>2266</v>
      </c>
      <c r="H2018" t="s">
        <v>373</v>
      </c>
      <c r="I2018" t="s">
        <v>289</v>
      </c>
      <c r="J2018" t="s">
        <v>1180</v>
      </c>
      <c r="K2018">
        <v>14</v>
      </c>
      <c r="L2018" s="6">
        <v>4.2671999999999999</v>
      </c>
      <c r="M2018" s="7">
        <v>139.69999999999999</v>
      </c>
      <c r="N2018" s="7">
        <v>139.69999999999999</v>
      </c>
      <c r="O2018" s="7">
        <f t="shared" si="165"/>
        <v>168</v>
      </c>
      <c r="P2018" s="7">
        <f t="shared" si="170"/>
        <v>5.5</v>
      </c>
      <c r="Q2018" s="7">
        <f t="shared" si="170"/>
        <v>5.5</v>
      </c>
      <c r="R2018" s="6">
        <f t="shared" si="167"/>
        <v>168.10900000000001</v>
      </c>
      <c r="S2018" s="6">
        <f t="shared" si="168"/>
        <v>8.327905924799997E-2</v>
      </c>
      <c r="T2018" t="str">
        <f t="shared" si="169"/>
        <v>Massaranduba Bullet Wood S4S E4E 6x6 Long</v>
      </c>
    </row>
    <row r="2019" spans="1:20" x14ac:dyDescent="0.25">
      <c r="A2019" t="s">
        <v>2262</v>
      </c>
      <c r="B2019" t="s">
        <v>2441</v>
      </c>
      <c r="C2019" t="s">
        <v>283</v>
      </c>
      <c r="D2019" t="s">
        <v>438</v>
      </c>
      <c r="E2019" t="s">
        <v>2448</v>
      </c>
      <c r="F2019" t="s">
        <v>2443</v>
      </c>
      <c r="G2019" t="s">
        <v>2266</v>
      </c>
      <c r="H2019" t="s">
        <v>373</v>
      </c>
      <c r="I2019" t="s">
        <v>289</v>
      </c>
      <c r="J2019" t="s">
        <v>1180</v>
      </c>
      <c r="K2019">
        <v>15</v>
      </c>
      <c r="L2019" s="6">
        <v>4.5720000000000001</v>
      </c>
      <c r="M2019" s="7">
        <v>139.69999999999999</v>
      </c>
      <c r="N2019" s="7">
        <v>139.69999999999999</v>
      </c>
      <c r="O2019" s="7">
        <f t="shared" si="165"/>
        <v>180</v>
      </c>
      <c r="P2019" s="7">
        <f t="shared" si="170"/>
        <v>5.5</v>
      </c>
      <c r="Q2019" s="7">
        <f t="shared" si="170"/>
        <v>5.5</v>
      </c>
      <c r="R2019" s="6">
        <f t="shared" si="167"/>
        <v>168.10900000000001</v>
      </c>
      <c r="S2019" s="6">
        <f t="shared" si="168"/>
        <v>8.922756347999998E-2</v>
      </c>
      <c r="T2019" t="str">
        <f t="shared" si="169"/>
        <v>Massaranduba Bullet Wood S4S E4E 6x6 Long</v>
      </c>
    </row>
    <row r="2020" spans="1:20" x14ac:dyDescent="0.25">
      <c r="A2020" t="s">
        <v>2262</v>
      </c>
      <c r="B2020" t="s">
        <v>2441</v>
      </c>
      <c r="C2020" t="s">
        <v>283</v>
      </c>
      <c r="D2020" t="s">
        <v>438</v>
      </c>
      <c r="E2020" t="s">
        <v>2449</v>
      </c>
      <c r="F2020" t="s">
        <v>2443</v>
      </c>
      <c r="G2020" t="s">
        <v>2266</v>
      </c>
      <c r="H2020" t="s">
        <v>373</v>
      </c>
      <c r="I2020" t="s">
        <v>289</v>
      </c>
      <c r="J2020" t="s">
        <v>1180</v>
      </c>
      <c r="K2020">
        <v>16</v>
      </c>
      <c r="L2020" s="6">
        <v>4.8768000000000002</v>
      </c>
      <c r="M2020" s="7">
        <v>139.69999999999999</v>
      </c>
      <c r="N2020" s="7">
        <v>139.69999999999999</v>
      </c>
      <c r="O2020" s="7">
        <f t="shared" si="165"/>
        <v>192.00000000000003</v>
      </c>
      <c r="P2020" s="7">
        <f t="shared" si="170"/>
        <v>5.5</v>
      </c>
      <c r="Q2020" s="7">
        <f t="shared" si="170"/>
        <v>5.5</v>
      </c>
      <c r="R2020" s="6">
        <f t="shared" si="167"/>
        <v>168.10900000000001</v>
      </c>
      <c r="S2020" s="6">
        <f t="shared" si="168"/>
        <v>9.517606771199999E-2</v>
      </c>
      <c r="T2020" t="str">
        <f t="shared" si="169"/>
        <v>Massaranduba Bullet Wood S4S E4E 6x6 Long</v>
      </c>
    </row>
    <row r="2021" spans="1:20" x14ac:dyDescent="0.25">
      <c r="A2021" t="s">
        <v>2262</v>
      </c>
      <c r="B2021" t="s">
        <v>2441</v>
      </c>
      <c r="C2021" t="s">
        <v>283</v>
      </c>
      <c r="D2021" t="s">
        <v>438</v>
      </c>
      <c r="E2021" t="s">
        <v>2450</v>
      </c>
      <c r="F2021" t="s">
        <v>2443</v>
      </c>
      <c r="G2021" t="s">
        <v>2266</v>
      </c>
      <c r="H2021" t="s">
        <v>373</v>
      </c>
      <c r="I2021" t="s">
        <v>289</v>
      </c>
      <c r="J2021" t="s">
        <v>1180</v>
      </c>
      <c r="K2021">
        <v>17</v>
      </c>
      <c r="L2021" s="6">
        <v>5.1816000000000004</v>
      </c>
      <c r="M2021" s="7">
        <v>139.69999999999999</v>
      </c>
      <c r="N2021" s="7">
        <v>139.69999999999999</v>
      </c>
      <c r="O2021" s="7">
        <f t="shared" si="165"/>
        <v>204.00000000000003</v>
      </c>
      <c r="P2021" s="7">
        <f t="shared" si="170"/>
        <v>5.5</v>
      </c>
      <c r="Q2021" s="7">
        <f t="shared" si="170"/>
        <v>5.5</v>
      </c>
      <c r="R2021" s="6">
        <f t="shared" si="167"/>
        <v>168.10900000000001</v>
      </c>
      <c r="S2021" s="6">
        <f t="shared" si="168"/>
        <v>0.10112457194399999</v>
      </c>
      <c r="T2021" t="str">
        <f t="shared" si="169"/>
        <v>Massaranduba Bullet Wood S4S E4E 6x6 Long</v>
      </c>
    </row>
    <row r="2022" spans="1:20" x14ac:dyDescent="0.25">
      <c r="A2022" t="s">
        <v>2262</v>
      </c>
      <c r="B2022" t="s">
        <v>2441</v>
      </c>
      <c r="C2022" t="s">
        <v>283</v>
      </c>
      <c r="D2022" t="s">
        <v>438</v>
      </c>
      <c r="E2022" t="s">
        <v>2451</v>
      </c>
      <c r="F2022" t="s">
        <v>2443</v>
      </c>
      <c r="G2022" t="s">
        <v>2266</v>
      </c>
      <c r="H2022" t="s">
        <v>373</v>
      </c>
      <c r="I2022" t="s">
        <v>289</v>
      </c>
      <c r="J2022" t="s">
        <v>1180</v>
      </c>
      <c r="K2022">
        <v>18</v>
      </c>
      <c r="L2022" s="6">
        <v>5.4863999999999997</v>
      </c>
      <c r="M2022" s="7">
        <v>139.69999999999999</v>
      </c>
      <c r="N2022" s="7">
        <v>139.69999999999999</v>
      </c>
      <c r="O2022" s="7">
        <f t="shared" si="165"/>
        <v>216</v>
      </c>
      <c r="P2022" s="7">
        <f t="shared" si="170"/>
        <v>5.5</v>
      </c>
      <c r="Q2022" s="7">
        <f t="shared" si="170"/>
        <v>5.5</v>
      </c>
      <c r="R2022" s="6">
        <f t="shared" si="167"/>
        <v>168.10900000000001</v>
      </c>
      <c r="S2022" s="6">
        <f t="shared" si="168"/>
        <v>0.10707307617599995</v>
      </c>
      <c r="T2022" t="str">
        <f t="shared" si="169"/>
        <v>Massaranduba Bullet Wood S4S E4E 6x6 Long</v>
      </c>
    </row>
    <row r="2023" spans="1:20" x14ac:dyDescent="0.25">
      <c r="A2023" t="s">
        <v>2262</v>
      </c>
      <c r="B2023" t="s">
        <v>2441</v>
      </c>
      <c r="C2023" t="s">
        <v>283</v>
      </c>
      <c r="D2023" t="s">
        <v>438</v>
      </c>
      <c r="E2023" t="s">
        <v>2452</v>
      </c>
      <c r="F2023" t="s">
        <v>2443</v>
      </c>
      <c r="G2023" t="s">
        <v>2266</v>
      </c>
      <c r="H2023" t="s">
        <v>373</v>
      </c>
      <c r="I2023" t="s">
        <v>289</v>
      </c>
      <c r="J2023" t="s">
        <v>1180</v>
      </c>
      <c r="K2023">
        <v>19</v>
      </c>
      <c r="L2023" s="6">
        <v>5.7911999999999999</v>
      </c>
      <c r="M2023" s="7">
        <v>139.69999999999999</v>
      </c>
      <c r="N2023" s="7">
        <v>139.69999999999999</v>
      </c>
      <c r="O2023" s="7">
        <f t="shared" si="165"/>
        <v>228</v>
      </c>
      <c r="P2023" s="7">
        <f t="shared" si="170"/>
        <v>5.5</v>
      </c>
      <c r="Q2023" s="7">
        <f t="shared" si="170"/>
        <v>5.5</v>
      </c>
      <c r="R2023" s="6">
        <f t="shared" si="167"/>
        <v>168.10900000000001</v>
      </c>
      <c r="S2023" s="6">
        <f t="shared" si="168"/>
        <v>0.11302158040799998</v>
      </c>
      <c r="T2023" t="str">
        <f t="shared" si="169"/>
        <v>Massaranduba Bullet Wood S4S E4E 6x6 Long</v>
      </c>
    </row>
    <row r="2024" spans="1:20" x14ac:dyDescent="0.25">
      <c r="A2024" t="s">
        <v>2262</v>
      </c>
      <c r="B2024" t="s">
        <v>2441</v>
      </c>
      <c r="C2024" t="s">
        <v>283</v>
      </c>
      <c r="D2024" t="s">
        <v>438</v>
      </c>
      <c r="E2024" t="s">
        <v>2453</v>
      </c>
      <c r="F2024" t="s">
        <v>2443</v>
      </c>
      <c r="G2024" t="s">
        <v>2266</v>
      </c>
      <c r="H2024" t="s">
        <v>373</v>
      </c>
      <c r="I2024" t="s">
        <v>289</v>
      </c>
      <c r="J2024" t="s">
        <v>1180</v>
      </c>
      <c r="K2024">
        <v>20</v>
      </c>
      <c r="L2024" s="6">
        <v>6.0960000000000001</v>
      </c>
      <c r="M2024" s="7">
        <v>139.69999999999999</v>
      </c>
      <c r="N2024" s="7">
        <v>139.69999999999999</v>
      </c>
      <c r="O2024" s="7">
        <f t="shared" si="165"/>
        <v>240</v>
      </c>
      <c r="P2024" s="7">
        <f t="shared" si="170"/>
        <v>5.5</v>
      </c>
      <c r="Q2024" s="7">
        <f t="shared" si="170"/>
        <v>5.5</v>
      </c>
      <c r="R2024" s="6">
        <f t="shared" si="167"/>
        <v>168.10900000000001</v>
      </c>
      <c r="S2024" s="6">
        <f t="shared" si="168"/>
        <v>0.11897008463999999</v>
      </c>
      <c r="T2024" t="str">
        <f t="shared" si="169"/>
        <v>Massaranduba Bullet Wood S4S E4E 6x6 Long</v>
      </c>
    </row>
    <row r="2025" spans="1:20" x14ac:dyDescent="0.25">
      <c r="A2025" t="s">
        <v>2262</v>
      </c>
      <c r="B2025" t="s">
        <v>2441</v>
      </c>
      <c r="C2025" t="s">
        <v>283</v>
      </c>
      <c r="D2025" t="s">
        <v>438</v>
      </c>
      <c r="E2025" t="s">
        <v>2454</v>
      </c>
      <c r="F2025" t="s">
        <v>2443</v>
      </c>
      <c r="G2025" t="s">
        <v>2266</v>
      </c>
      <c r="H2025" t="s">
        <v>373</v>
      </c>
      <c r="I2025" t="s">
        <v>289</v>
      </c>
      <c r="J2025" t="s">
        <v>1180</v>
      </c>
      <c r="K2025">
        <v>21</v>
      </c>
      <c r="L2025" s="6">
        <v>6.4008000000000003</v>
      </c>
      <c r="M2025" s="7">
        <v>139.69999999999999</v>
      </c>
      <c r="N2025" s="7">
        <v>139.69999999999999</v>
      </c>
      <c r="O2025" s="7">
        <f t="shared" si="165"/>
        <v>252.00000000000003</v>
      </c>
      <c r="P2025" s="7">
        <f t="shared" si="170"/>
        <v>5.5</v>
      </c>
      <c r="Q2025" s="7">
        <f t="shared" si="170"/>
        <v>5.5</v>
      </c>
      <c r="R2025" s="6">
        <f t="shared" si="167"/>
        <v>168.10900000000001</v>
      </c>
      <c r="S2025" s="6">
        <f t="shared" si="168"/>
        <v>0.12491858887199997</v>
      </c>
      <c r="T2025" t="str">
        <f t="shared" si="169"/>
        <v>Massaranduba Bullet Wood S4S E4E 6x6 Long</v>
      </c>
    </row>
    <row r="2026" spans="1:20" x14ac:dyDescent="0.25">
      <c r="A2026" t="s">
        <v>2262</v>
      </c>
      <c r="B2026" t="s">
        <v>2441</v>
      </c>
      <c r="C2026" t="s">
        <v>283</v>
      </c>
      <c r="D2026" t="s">
        <v>438</v>
      </c>
      <c r="E2026" t="s">
        <v>2455</v>
      </c>
      <c r="F2026" t="s">
        <v>2443</v>
      </c>
      <c r="G2026" t="s">
        <v>2266</v>
      </c>
      <c r="H2026" t="s">
        <v>373</v>
      </c>
      <c r="I2026" t="s">
        <v>289</v>
      </c>
      <c r="J2026" t="s">
        <v>1180</v>
      </c>
      <c r="K2026">
        <v>22</v>
      </c>
      <c r="L2026" s="6">
        <v>6.7055999999999996</v>
      </c>
      <c r="M2026" s="7">
        <v>139.69999999999999</v>
      </c>
      <c r="N2026" s="7">
        <v>139.69999999999999</v>
      </c>
      <c r="O2026" s="7">
        <f t="shared" si="165"/>
        <v>264</v>
      </c>
      <c r="P2026" s="7">
        <f t="shared" si="170"/>
        <v>5.5</v>
      </c>
      <c r="Q2026" s="7">
        <f t="shared" si="170"/>
        <v>5.5</v>
      </c>
      <c r="R2026" s="6">
        <f t="shared" si="167"/>
        <v>168.10900000000001</v>
      </c>
      <c r="S2026" s="6">
        <f t="shared" si="168"/>
        <v>0.13086709310399997</v>
      </c>
      <c r="T2026" t="str">
        <f t="shared" si="169"/>
        <v>Massaranduba Bullet Wood S4S E4E 6x6 Long</v>
      </c>
    </row>
    <row r="2027" spans="1:20" x14ac:dyDescent="0.25">
      <c r="A2027" t="s">
        <v>2262</v>
      </c>
      <c r="B2027" t="s">
        <v>2441</v>
      </c>
      <c r="C2027" t="s">
        <v>283</v>
      </c>
      <c r="D2027" t="s">
        <v>438</v>
      </c>
      <c r="E2027" t="s">
        <v>2456</v>
      </c>
      <c r="F2027" t="s">
        <v>2443</v>
      </c>
      <c r="G2027" t="s">
        <v>2266</v>
      </c>
      <c r="H2027" t="s">
        <v>373</v>
      </c>
      <c r="I2027" t="s">
        <v>289</v>
      </c>
      <c r="J2027" t="s">
        <v>1180</v>
      </c>
      <c r="K2027">
        <v>3</v>
      </c>
      <c r="L2027" s="6">
        <v>0.9144000000000001</v>
      </c>
      <c r="M2027" s="7">
        <v>139.69999999999999</v>
      </c>
      <c r="N2027" s="7">
        <v>139.69999999999999</v>
      </c>
      <c r="O2027" s="7">
        <f t="shared" si="165"/>
        <v>36.000000000000007</v>
      </c>
      <c r="P2027" s="7">
        <f t="shared" si="170"/>
        <v>5.5</v>
      </c>
      <c r="Q2027" s="7">
        <f t="shared" si="170"/>
        <v>5.5</v>
      </c>
      <c r="R2027" s="6">
        <f t="shared" si="167"/>
        <v>168.10900000000001</v>
      </c>
      <c r="S2027" s="6">
        <f t="shared" si="168"/>
        <v>1.7845512695999998E-2</v>
      </c>
      <c r="T2027" t="str">
        <f t="shared" si="169"/>
        <v>Massaranduba Bullet Wood S4S E4E 6x6 Long</v>
      </c>
    </row>
    <row r="2028" spans="1:20" x14ac:dyDescent="0.25">
      <c r="A2028" t="s">
        <v>2262</v>
      </c>
      <c r="B2028" t="s">
        <v>2441</v>
      </c>
      <c r="C2028" t="s">
        <v>283</v>
      </c>
      <c r="D2028" t="s">
        <v>438</v>
      </c>
      <c r="E2028" t="s">
        <v>2457</v>
      </c>
      <c r="F2028" t="s">
        <v>2443</v>
      </c>
      <c r="G2028" t="s">
        <v>2266</v>
      </c>
      <c r="H2028" t="s">
        <v>373</v>
      </c>
      <c r="I2028" t="s">
        <v>289</v>
      </c>
      <c r="J2028" t="s">
        <v>1180</v>
      </c>
      <c r="K2028">
        <v>4</v>
      </c>
      <c r="L2028" s="6">
        <v>1.2192000000000001</v>
      </c>
      <c r="M2028" s="7">
        <v>139.69999999999999</v>
      </c>
      <c r="N2028" s="7">
        <v>139.69999999999999</v>
      </c>
      <c r="O2028" s="7">
        <f t="shared" si="165"/>
        <v>48.000000000000007</v>
      </c>
      <c r="P2028" s="7">
        <f t="shared" si="170"/>
        <v>5.5</v>
      </c>
      <c r="Q2028" s="7">
        <f t="shared" si="170"/>
        <v>5.5</v>
      </c>
      <c r="R2028" s="6">
        <f t="shared" si="167"/>
        <v>168.10900000000001</v>
      </c>
      <c r="S2028" s="6">
        <f t="shared" si="168"/>
        <v>2.3794016927999997E-2</v>
      </c>
      <c r="T2028" t="str">
        <f t="shared" si="169"/>
        <v>Massaranduba Bullet Wood S4S E4E 6x6 Long</v>
      </c>
    </row>
    <row r="2029" spans="1:20" x14ac:dyDescent="0.25">
      <c r="A2029" t="s">
        <v>2262</v>
      </c>
      <c r="B2029" t="s">
        <v>2441</v>
      </c>
      <c r="C2029" t="s">
        <v>283</v>
      </c>
      <c r="D2029" t="s">
        <v>438</v>
      </c>
      <c r="E2029" t="s">
        <v>2458</v>
      </c>
      <c r="F2029" t="s">
        <v>2443</v>
      </c>
      <c r="G2029" t="s">
        <v>2266</v>
      </c>
      <c r="H2029" t="s">
        <v>373</v>
      </c>
      <c r="I2029" t="s">
        <v>289</v>
      </c>
      <c r="J2029" t="s">
        <v>1180</v>
      </c>
      <c r="K2029">
        <v>5</v>
      </c>
      <c r="L2029" s="6">
        <v>1.524</v>
      </c>
      <c r="M2029" s="7">
        <v>139.69999999999999</v>
      </c>
      <c r="N2029" s="7">
        <v>139.69999999999999</v>
      </c>
      <c r="O2029" s="7">
        <f t="shared" si="165"/>
        <v>60</v>
      </c>
      <c r="P2029" s="7">
        <f t="shared" si="170"/>
        <v>5.5</v>
      </c>
      <c r="Q2029" s="7">
        <f t="shared" si="170"/>
        <v>5.5</v>
      </c>
      <c r="R2029" s="6">
        <f t="shared" si="167"/>
        <v>168.10900000000001</v>
      </c>
      <c r="S2029" s="6">
        <f t="shared" si="168"/>
        <v>2.9742521159999997E-2</v>
      </c>
      <c r="T2029" t="str">
        <f t="shared" si="169"/>
        <v>Massaranduba Bullet Wood S4S E4E 6x6 Long</v>
      </c>
    </row>
    <row r="2030" spans="1:20" x14ac:dyDescent="0.25">
      <c r="A2030" t="s">
        <v>2262</v>
      </c>
      <c r="B2030" t="s">
        <v>2441</v>
      </c>
      <c r="C2030" t="s">
        <v>283</v>
      </c>
      <c r="D2030" t="s">
        <v>438</v>
      </c>
      <c r="E2030" t="s">
        <v>2459</v>
      </c>
      <c r="F2030" t="s">
        <v>2443</v>
      </c>
      <c r="G2030" t="s">
        <v>2266</v>
      </c>
      <c r="H2030" t="s">
        <v>373</v>
      </c>
      <c r="I2030" t="s">
        <v>289</v>
      </c>
      <c r="J2030" t="s">
        <v>1180</v>
      </c>
      <c r="K2030">
        <v>6</v>
      </c>
      <c r="L2030" s="6">
        <v>1.8288</v>
      </c>
      <c r="M2030" s="7">
        <v>139.69999999999999</v>
      </c>
      <c r="N2030" s="7">
        <v>139.69999999999999</v>
      </c>
      <c r="O2030" s="7">
        <f t="shared" ref="O2030:O2033" si="171">L2030/0.0254</f>
        <v>72</v>
      </c>
      <c r="P2030" s="7">
        <f t="shared" si="170"/>
        <v>5.5</v>
      </c>
      <c r="Q2030" s="7">
        <f t="shared" si="170"/>
        <v>5.5</v>
      </c>
      <c r="R2030" s="6">
        <f t="shared" ref="R2030:R2033" si="172">ROUND(IFERROR(1/((M2030*N2030*0.3048)/1000000),0),3)</f>
        <v>168.10900000000001</v>
      </c>
      <c r="S2030" s="6">
        <f t="shared" ref="S2030:S2033" si="173">L2030*M2030/1000*N2030/1000</f>
        <v>3.5691025391999996E-2</v>
      </c>
      <c r="T2030" t="str">
        <f t="shared" si="169"/>
        <v>Massaranduba Bullet Wood S4S E4E 6x6 Long</v>
      </c>
    </row>
    <row r="2031" spans="1:20" x14ac:dyDescent="0.25">
      <c r="A2031" t="s">
        <v>2262</v>
      </c>
      <c r="B2031" t="s">
        <v>2441</v>
      </c>
      <c r="C2031" t="s">
        <v>283</v>
      </c>
      <c r="D2031" t="s">
        <v>438</v>
      </c>
      <c r="E2031" t="s">
        <v>2460</v>
      </c>
      <c r="F2031" t="s">
        <v>2443</v>
      </c>
      <c r="G2031" t="s">
        <v>2266</v>
      </c>
      <c r="H2031" t="s">
        <v>373</v>
      </c>
      <c r="I2031" t="s">
        <v>289</v>
      </c>
      <c r="J2031" t="s">
        <v>1180</v>
      </c>
      <c r="K2031">
        <v>7</v>
      </c>
      <c r="L2031" s="6">
        <v>2.1335999999999999</v>
      </c>
      <c r="M2031" s="7">
        <v>139.69999999999999</v>
      </c>
      <c r="N2031" s="7">
        <v>139.69999999999999</v>
      </c>
      <c r="O2031" s="7">
        <f t="shared" si="171"/>
        <v>84</v>
      </c>
      <c r="P2031" s="7">
        <f t="shared" si="170"/>
        <v>5.5</v>
      </c>
      <c r="Q2031" s="7">
        <f t="shared" si="170"/>
        <v>5.5</v>
      </c>
      <c r="R2031" s="6">
        <f t="shared" si="172"/>
        <v>168.10900000000001</v>
      </c>
      <c r="S2031" s="6">
        <f t="shared" si="173"/>
        <v>4.1639529623999985E-2</v>
      </c>
      <c r="T2031" t="str">
        <f t="shared" si="169"/>
        <v>Massaranduba Bullet Wood S4S E4E 6x6 Long</v>
      </c>
    </row>
    <row r="2032" spans="1:20" x14ac:dyDescent="0.25">
      <c r="A2032" t="s">
        <v>2262</v>
      </c>
      <c r="B2032" t="s">
        <v>2441</v>
      </c>
      <c r="C2032" t="s">
        <v>283</v>
      </c>
      <c r="D2032" t="s">
        <v>438</v>
      </c>
      <c r="E2032" t="s">
        <v>2461</v>
      </c>
      <c r="F2032" t="s">
        <v>2443</v>
      </c>
      <c r="G2032" t="s">
        <v>2266</v>
      </c>
      <c r="H2032" t="s">
        <v>373</v>
      </c>
      <c r="I2032" t="s">
        <v>289</v>
      </c>
      <c r="J2032" t="s">
        <v>1180</v>
      </c>
      <c r="K2032">
        <v>8</v>
      </c>
      <c r="L2032" s="6">
        <v>2.4384000000000001</v>
      </c>
      <c r="M2032" s="7">
        <v>139.69999999999999</v>
      </c>
      <c r="N2032" s="7">
        <v>139.69999999999999</v>
      </c>
      <c r="O2032" s="7">
        <f t="shared" si="171"/>
        <v>96.000000000000014</v>
      </c>
      <c r="P2032" s="7">
        <f t="shared" si="170"/>
        <v>5.5</v>
      </c>
      <c r="Q2032" s="7">
        <f t="shared" si="170"/>
        <v>5.5</v>
      </c>
      <c r="R2032" s="6">
        <f t="shared" si="172"/>
        <v>168.10900000000001</v>
      </c>
      <c r="S2032" s="6">
        <f t="shared" si="173"/>
        <v>4.7588033855999995E-2</v>
      </c>
      <c r="T2032" t="str">
        <f t="shared" si="169"/>
        <v>Massaranduba Bullet Wood S4S E4E 6x6 Long</v>
      </c>
    </row>
    <row r="2033" spans="1:20" x14ac:dyDescent="0.25">
      <c r="A2033" t="s">
        <v>2262</v>
      </c>
      <c r="B2033" t="s">
        <v>2441</v>
      </c>
      <c r="C2033" t="s">
        <v>283</v>
      </c>
      <c r="D2033" t="s">
        <v>438</v>
      </c>
      <c r="E2033" t="s">
        <v>2462</v>
      </c>
      <c r="F2033" t="s">
        <v>2443</v>
      </c>
      <c r="G2033" t="s">
        <v>2266</v>
      </c>
      <c r="H2033" t="s">
        <v>373</v>
      </c>
      <c r="I2033" t="s">
        <v>289</v>
      </c>
      <c r="J2033" t="s">
        <v>1180</v>
      </c>
      <c r="K2033">
        <v>9</v>
      </c>
      <c r="L2033" s="6">
        <v>2.7431999999999999</v>
      </c>
      <c r="M2033" s="7">
        <v>139.69999999999999</v>
      </c>
      <c r="N2033" s="7">
        <v>139.69999999999999</v>
      </c>
      <c r="O2033" s="7">
        <f t="shared" si="171"/>
        <v>108</v>
      </c>
      <c r="P2033" s="7">
        <f t="shared" si="170"/>
        <v>5.5</v>
      </c>
      <c r="Q2033" s="7">
        <f t="shared" si="170"/>
        <v>5.5</v>
      </c>
      <c r="R2033" s="6">
        <f t="shared" si="172"/>
        <v>168.10900000000001</v>
      </c>
      <c r="S2033" s="6">
        <f t="shared" si="173"/>
        <v>5.3536538087999977E-2</v>
      </c>
      <c r="T2033" t="str">
        <f t="shared" si="169"/>
        <v>Massaranduba Bullet Wood S4S E4E 6x6 Long</v>
      </c>
    </row>
    <row r="2034" spans="1:20" x14ac:dyDescent="0.25">
      <c r="A2034" t="s">
        <v>2262</v>
      </c>
      <c r="B2034" t="s">
        <v>2463</v>
      </c>
      <c r="C2034" t="s">
        <v>1353</v>
      </c>
      <c r="D2034" t="s">
        <v>438</v>
      </c>
      <c r="E2034" t="s">
        <v>2464</v>
      </c>
      <c r="F2034" t="s">
        <v>2465</v>
      </c>
      <c r="G2034" t="s">
        <v>2262</v>
      </c>
      <c r="H2034" t="s">
        <v>373</v>
      </c>
      <c r="I2034" t="s">
        <v>1353</v>
      </c>
      <c r="J2034" t="s">
        <v>2466</v>
      </c>
      <c r="K2034">
        <v>0</v>
      </c>
      <c r="L2034" s="6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  <c r="R2034" s="6">
        <v>0</v>
      </c>
      <c r="S2034" s="6">
        <v>0</v>
      </c>
      <c r="T2034" t="str">
        <f t="shared" si="169"/>
        <v>Massaranduba S4S E4E Random Lenght 12x100 Random Lenght</v>
      </c>
    </row>
    <row r="2035" spans="1:20" x14ac:dyDescent="0.25">
      <c r="A2035" t="s">
        <v>2262</v>
      </c>
      <c r="B2035" t="s">
        <v>2467</v>
      </c>
      <c r="C2035" t="s">
        <v>1353</v>
      </c>
      <c r="D2035" t="s">
        <v>438</v>
      </c>
      <c r="E2035" t="s">
        <v>2468</v>
      </c>
      <c r="F2035" t="s">
        <v>2469</v>
      </c>
      <c r="G2035" t="s">
        <v>2262</v>
      </c>
      <c r="H2035" t="s">
        <v>373</v>
      </c>
      <c r="I2035" t="s">
        <v>1353</v>
      </c>
      <c r="J2035" t="s">
        <v>2258</v>
      </c>
      <c r="K2035">
        <v>0</v>
      </c>
      <c r="L2035" s="6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6">
        <v>0</v>
      </c>
      <c r="S2035" s="6">
        <v>0</v>
      </c>
      <c r="T2035" t="str">
        <f t="shared" si="169"/>
        <v>Massaranduba S4S E4E Random Lenght 20x105 Random Lenght</v>
      </c>
    </row>
    <row r="2036" spans="1:20" x14ac:dyDescent="0.25">
      <c r="A2036" t="s">
        <v>2262</v>
      </c>
      <c r="B2036" t="s">
        <v>2470</v>
      </c>
      <c r="C2036" t="s">
        <v>1353</v>
      </c>
      <c r="D2036" t="s">
        <v>438</v>
      </c>
      <c r="E2036" t="s">
        <v>2471</v>
      </c>
      <c r="F2036" t="s">
        <v>2472</v>
      </c>
      <c r="G2036" t="s">
        <v>2262</v>
      </c>
      <c r="H2036" t="s">
        <v>373</v>
      </c>
      <c r="I2036" t="s">
        <v>1353</v>
      </c>
      <c r="J2036" t="s">
        <v>2473</v>
      </c>
      <c r="K2036">
        <v>0</v>
      </c>
      <c r="L2036" s="6">
        <v>0</v>
      </c>
      <c r="M2036" s="7">
        <v>0</v>
      </c>
      <c r="N2036" s="7">
        <v>0</v>
      </c>
      <c r="O2036" s="7">
        <v>0</v>
      </c>
      <c r="P2036" s="7">
        <v>0</v>
      </c>
      <c r="Q2036" s="7">
        <v>0</v>
      </c>
      <c r="R2036" s="6">
        <v>0</v>
      </c>
      <c r="S2036" s="6">
        <v>0</v>
      </c>
      <c r="T2036" t="str">
        <f t="shared" si="169"/>
        <v>Massaranduba S4S E4E Random Lenght 30x105 Random Lenght</v>
      </c>
    </row>
    <row r="2037" spans="1:20" x14ac:dyDescent="0.25">
      <c r="A2037" t="s">
        <v>2262</v>
      </c>
      <c r="B2037" t="s">
        <v>2474</v>
      </c>
      <c r="C2037" t="s">
        <v>1353</v>
      </c>
      <c r="D2037" t="s">
        <v>438</v>
      </c>
      <c r="E2037" t="s">
        <v>2475</v>
      </c>
      <c r="F2037" t="s">
        <v>2476</v>
      </c>
      <c r="G2037" t="s">
        <v>2262</v>
      </c>
      <c r="H2037" t="s">
        <v>373</v>
      </c>
      <c r="I2037" t="s">
        <v>1353</v>
      </c>
      <c r="J2037" t="s">
        <v>2477</v>
      </c>
      <c r="K2037">
        <v>0</v>
      </c>
      <c r="L2037" s="6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6">
        <v>0</v>
      </c>
      <c r="S2037" s="6">
        <v>0</v>
      </c>
      <c r="T2037" t="str">
        <f t="shared" si="169"/>
        <v>Massaranduba S4S E4E Random Lenght 30x150 Random Lenght</v>
      </c>
    </row>
    <row r="2038" spans="1:20" x14ac:dyDescent="0.25">
      <c r="A2038" t="s">
        <v>2478</v>
      </c>
      <c r="B2038" t="s">
        <v>2479</v>
      </c>
      <c r="C2038" t="s">
        <v>1353</v>
      </c>
      <c r="D2038" t="s">
        <v>438</v>
      </c>
      <c r="E2038" t="s">
        <v>2480</v>
      </c>
      <c r="F2038" t="s">
        <v>2481</v>
      </c>
      <c r="G2038" t="s">
        <v>2478</v>
      </c>
      <c r="H2038" t="s">
        <v>373</v>
      </c>
      <c r="I2038" t="s">
        <v>1353</v>
      </c>
      <c r="J2038" t="s">
        <v>301</v>
      </c>
      <c r="K2038">
        <v>0</v>
      </c>
      <c r="L2038" s="6">
        <v>0</v>
      </c>
      <c r="M2038" s="7">
        <v>0</v>
      </c>
      <c r="N2038" s="7">
        <v>0</v>
      </c>
      <c r="O2038" s="7">
        <v>0</v>
      </c>
      <c r="P2038" s="7">
        <v>0</v>
      </c>
      <c r="Q2038" s="7">
        <v>0</v>
      </c>
      <c r="R2038" s="6">
        <v>0</v>
      </c>
      <c r="S2038" s="6">
        <v>0</v>
      </c>
      <c r="T2038" t="str">
        <f t="shared" si="169"/>
        <v>Sucupira S4S E4E Random Lenght 5/4x6 Random Lenght</v>
      </c>
    </row>
    <row r="2039" spans="1:20" x14ac:dyDescent="0.25">
      <c r="A2039" t="s">
        <v>2482</v>
      </c>
      <c r="B2039" t="s">
        <v>2483</v>
      </c>
      <c r="C2039" t="s">
        <v>283</v>
      </c>
      <c r="D2039" t="s">
        <v>438</v>
      </c>
      <c r="E2039" t="s">
        <v>2484</v>
      </c>
      <c r="F2039" t="s">
        <v>2485</v>
      </c>
      <c r="G2039" t="s">
        <v>2482</v>
      </c>
      <c r="H2039" t="s">
        <v>373</v>
      </c>
      <c r="I2039" t="s">
        <v>289</v>
      </c>
      <c r="J2039" t="s">
        <v>613</v>
      </c>
      <c r="K2039">
        <v>10</v>
      </c>
      <c r="L2039" s="6">
        <v>3.048</v>
      </c>
      <c r="M2039" s="7">
        <v>19.05</v>
      </c>
      <c r="N2039" s="7">
        <v>88.9</v>
      </c>
      <c r="O2039" s="7">
        <f t="shared" ref="O2039:O2061" si="174">L2039/0.0254</f>
        <v>120</v>
      </c>
      <c r="P2039" s="7">
        <f t="shared" ref="P2039:Q2061" si="175">M2039/25.4</f>
        <v>0.75000000000000011</v>
      </c>
      <c r="Q2039" s="7">
        <f t="shared" si="175"/>
        <v>3.5000000000000004</v>
      </c>
      <c r="R2039" s="6">
        <f t="shared" ref="R2039:R2061" si="176">ROUND(IFERROR(1/((M2039*N2039*0.3048)/1000000),0),3)</f>
        <v>1937.2619999999999</v>
      </c>
      <c r="S2039" s="6">
        <f t="shared" ref="S2039:S2061" si="177">L2039*M2039/1000*N2039/1000</f>
        <v>5.1619251600000006E-3</v>
      </c>
      <c r="T2039" t="str">
        <f t="shared" si="169"/>
        <v>Tigerwood S4S E4E 1x4 Long</v>
      </c>
    </row>
    <row r="2040" spans="1:20" x14ac:dyDescent="0.25">
      <c r="A2040" t="s">
        <v>2482</v>
      </c>
      <c r="B2040" t="s">
        <v>2483</v>
      </c>
      <c r="C2040" t="s">
        <v>283</v>
      </c>
      <c r="D2040" t="s">
        <v>438</v>
      </c>
      <c r="E2040" t="s">
        <v>2486</v>
      </c>
      <c r="F2040" t="s">
        <v>2485</v>
      </c>
      <c r="G2040" t="s">
        <v>2482</v>
      </c>
      <c r="H2040" t="s">
        <v>373</v>
      </c>
      <c r="I2040" t="s">
        <v>289</v>
      </c>
      <c r="J2040" t="s">
        <v>613</v>
      </c>
      <c r="K2040">
        <v>12</v>
      </c>
      <c r="L2040" s="6">
        <v>3.6576</v>
      </c>
      <c r="M2040" s="7">
        <v>19.05</v>
      </c>
      <c r="N2040" s="7">
        <v>88.9</v>
      </c>
      <c r="O2040" s="7">
        <f t="shared" si="174"/>
        <v>144</v>
      </c>
      <c r="P2040" s="7">
        <f t="shared" si="175"/>
        <v>0.75000000000000011</v>
      </c>
      <c r="Q2040" s="7">
        <f t="shared" si="175"/>
        <v>3.5000000000000004</v>
      </c>
      <c r="R2040" s="6">
        <f t="shared" si="176"/>
        <v>1937.2619999999999</v>
      </c>
      <c r="S2040" s="6">
        <f t="shared" si="177"/>
        <v>6.1943101919999998E-3</v>
      </c>
      <c r="T2040" t="str">
        <f t="shared" si="169"/>
        <v>Tigerwood S4S E4E 1x4 Long</v>
      </c>
    </row>
    <row r="2041" spans="1:20" x14ac:dyDescent="0.25">
      <c r="A2041" t="s">
        <v>2482</v>
      </c>
      <c r="B2041" t="s">
        <v>2483</v>
      </c>
      <c r="C2041" t="s">
        <v>283</v>
      </c>
      <c r="D2041" t="s">
        <v>438</v>
      </c>
      <c r="E2041" t="s">
        <v>2487</v>
      </c>
      <c r="F2041" t="s">
        <v>2485</v>
      </c>
      <c r="G2041" t="s">
        <v>2482</v>
      </c>
      <c r="H2041" t="s">
        <v>373</v>
      </c>
      <c r="I2041" t="s">
        <v>289</v>
      </c>
      <c r="J2041" t="s">
        <v>613</v>
      </c>
      <c r="K2041">
        <v>14</v>
      </c>
      <c r="L2041" s="6">
        <v>4.2671999999999999</v>
      </c>
      <c r="M2041" s="7">
        <v>19.05</v>
      </c>
      <c r="N2041" s="7">
        <v>88.9</v>
      </c>
      <c r="O2041" s="7">
        <f t="shared" si="174"/>
        <v>168</v>
      </c>
      <c r="P2041" s="7">
        <f t="shared" si="175"/>
        <v>0.75000000000000011</v>
      </c>
      <c r="Q2041" s="7">
        <f t="shared" si="175"/>
        <v>3.5000000000000004</v>
      </c>
      <c r="R2041" s="6">
        <f t="shared" si="176"/>
        <v>1937.2619999999999</v>
      </c>
      <c r="S2041" s="6">
        <f t="shared" si="177"/>
        <v>7.226695224E-3</v>
      </c>
      <c r="T2041" t="str">
        <f t="shared" si="169"/>
        <v>Tigerwood S4S E4E 1x4 Long</v>
      </c>
    </row>
    <row r="2042" spans="1:20" x14ac:dyDescent="0.25">
      <c r="A2042" t="s">
        <v>2482</v>
      </c>
      <c r="B2042" t="s">
        <v>2483</v>
      </c>
      <c r="C2042" t="s">
        <v>283</v>
      </c>
      <c r="D2042" t="s">
        <v>438</v>
      </c>
      <c r="E2042" t="s">
        <v>2488</v>
      </c>
      <c r="F2042" t="s">
        <v>2485</v>
      </c>
      <c r="G2042" t="s">
        <v>2482</v>
      </c>
      <c r="H2042" t="s">
        <v>373</v>
      </c>
      <c r="I2042" t="s">
        <v>289</v>
      </c>
      <c r="J2042" t="s">
        <v>613</v>
      </c>
      <c r="K2042">
        <v>16</v>
      </c>
      <c r="L2042" s="6">
        <v>4.8768000000000002</v>
      </c>
      <c r="M2042" s="7">
        <v>19.05</v>
      </c>
      <c r="N2042" s="7">
        <v>88.9</v>
      </c>
      <c r="O2042" s="7">
        <f t="shared" si="174"/>
        <v>192.00000000000003</v>
      </c>
      <c r="P2042" s="7">
        <f t="shared" si="175"/>
        <v>0.75000000000000011</v>
      </c>
      <c r="Q2042" s="7">
        <f t="shared" si="175"/>
        <v>3.5000000000000004</v>
      </c>
      <c r="R2042" s="6">
        <f t="shared" si="176"/>
        <v>1937.2619999999999</v>
      </c>
      <c r="S2042" s="6">
        <f t="shared" si="177"/>
        <v>8.259080256000001E-3</v>
      </c>
      <c r="T2042" t="str">
        <f t="shared" si="169"/>
        <v>Tigerwood S4S E4E 1x4 Long</v>
      </c>
    </row>
    <row r="2043" spans="1:20" x14ac:dyDescent="0.25">
      <c r="A2043" t="s">
        <v>2482</v>
      </c>
      <c r="B2043" t="s">
        <v>2483</v>
      </c>
      <c r="C2043" t="s">
        <v>283</v>
      </c>
      <c r="D2043" t="s">
        <v>438</v>
      </c>
      <c r="E2043" t="s">
        <v>2489</v>
      </c>
      <c r="F2043" t="s">
        <v>2485</v>
      </c>
      <c r="G2043" t="s">
        <v>2482</v>
      </c>
      <c r="H2043" t="s">
        <v>373</v>
      </c>
      <c r="I2043" t="s">
        <v>289</v>
      </c>
      <c r="J2043" t="s">
        <v>613</v>
      </c>
      <c r="K2043">
        <v>18</v>
      </c>
      <c r="L2043" s="6">
        <v>5.4863999999999997</v>
      </c>
      <c r="M2043" s="7">
        <v>19.05</v>
      </c>
      <c r="N2043" s="7">
        <v>88.9</v>
      </c>
      <c r="O2043" s="7">
        <f t="shared" si="174"/>
        <v>216</v>
      </c>
      <c r="P2043" s="7">
        <f t="shared" si="175"/>
        <v>0.75000000000000011</v>
      </c>
      <c r="Q2043" s="7">
        <f t="shared" si="175"/>
        <v>3.5000000000000004</v>
      </c>
      <c r="R2043" s="6">
        <f t="shared" si="176"/>
        <v>1937.2619999999999</v>
      </c>
      <c r="S2043" s="6">
        <f t="shared" si="177"/>
        <v>9.2914652880000011E-3</v>
      </c>
      <c r="T2043" t="str">
        <f t="shared" si="169"/>
        <v>Tigerwood S4S E4E 1x4 Long</v>
      </c>
    </row>
    <row r="2044" spans="1:20" x14ac:dyDescent="0.25">
      <c r="A2044" t="s">
        <v>2482</v>
      </c>
      <c r="B2044" t="s">
        <v>2483</v>
      </c>
      <c r="C2044" t="s">
        <v>283</v>
      </c>
      <c r="D2044" t="s">
        <v>438</v>
      </c>
      <c r="E2044" t="s">
        <v>2490</v>
      </c>
      <c r="F2044" t="s">
        <v>2485</v>
      </c>
      <c r="G2044" t="s">
        <v>2482</v>
      </c>
      <c r="H2044" t="s">
        <v>373</v>
      </c>
      <c r="I2044" t="s">
        <v>289</v>
      </c>
      <c r="J2044" t="s">
        <v>613</v>
      </c>
      <c r="K2044">
        <v>20</v>
      </c>
      <c r="L2044" s="6">
        <v>6.0960000000000001</v>
      </c>
      <c r="M2044" s="7">
        <v>19.05</v>
      </c>
      <c r="N2044" s="7">
        <v>88.9</v>
      </c>
      <c r="O2044" s="7">
        <f t="shared" si="174"/>
        <v>240</v>
      </c>
      <c r="P2044" s="7">
        <f t="shared" si="175"/>
        <v>0.75000000000000011</v>
      </c>
      <c r="Q2044" s="7">
        <f t="shared" si="175"/>
        <v>3.5000000000000004</v>
      </c>
      <c r="R2044" s="6">
        <f t="shared" si="176"/>
        <v>1937.2619999999999</v>
      </c>
      <c r="S2044" s="6">
        <f t="shared" si="177"/>
        <v>1.0323850320000001E-2</v>
      </c>
      <c r="T2044" t="str">
        <f t="shared" si="169"/>
        <v>Tigerwood S4S E4E 1x4 Long</v>
      </c>
    </row>
    <row r="2045" spans="1:20" x14ac:dyDescent="0.25">
      <c r="A2045" t="s">
        <v>2482</v>
      </c>
      <c r="B2045" t="s">
        <v>2483</v>
      </c>
      <c r="C2045" t="s">
        <v>283</v>
      </c>
      <c r="D2045" t="s">
        <v>438</v>
      </c>
      <c r="E2045" t="s">
        <v>2491</v>
      </c>
      <c r="F2045" t="s">
        <v>2485</v>
      </c>
      <c r="G2045" t="s">
        <v>2482</v>
      </c>
      <c r="H2045" t="s">
        <v>373</v>
      </c>
      <c r="I2045" t="s">
        <v>289</v>
      </c>
      <c r="J2045" t="s">
        <v>613</v>
      </c>
      <c r="K2045">
        <v>22</v>
      </c>
      <c r="L2045" s="6">
        <v>6.7055999999999996</v>
      </c>
      <c r="M2045" s="7">
        <v>19.05</v>
      </c>
      <c r="N2045" s="7">
        <v>88.9</v>
      </c>
      <c r="O2045" s="7">
        <f t="shared" si="174"/>
        <v>264</v>
      </c>
      <c r="P2045" s="7">
        <f t="shared" si="175"/>
        <v>0.75000000000000011</v>
      </c>
      <c r="Q2045" s="7">
        <f t="shared" si="175"/>
        <v>3.5000000000000004</v>
      </c>
      <c r="R2045" s="6">
        <f t="shared" si="176"/>
        <v>1937.2619999999999</v>
      </c>
      <c r="S2045" s="6">
        <f t="shared" si="177"/>
        <v>1.1356235352000001E-2</v>
      </c>
      <c r="T2045" t="str">
        <f t="shared" si="169"/>
        <v>Tigerwood S4S E4E 1x4 Long</v>
      </c>
    </row>
    <row r="2046" spans="1:20" x14ac:dyDescent="0.25">
      <c r="A2046" t="s">
        <v>2482</v>
      </c>
      <c r="B2046" t="s">
        <v>2483</v>
      </c>
      <c r="C2046" t="s">
        <v>524</v>
      </c>
      <c r="D2046" t="s">
        <v>438</v>
      </c>
      <c r="E2046" t="s">
        <v>2492</v>
      </c>
      <c r="F2046" t="s">
        <v>2485</v>
      </c>
      <c r="G2046" t="s">
        <v>2482</v>
      </c>
      <c r="H2046" t="s">
        <v>373</v>
      </c>
      <c r="I2046" t="s">
        <v>289</v>
      </c>
      <c r="J2046" t="s">
        <v>613</v>
      </c>
      <c r="K2046">
        <v>4</v>
      </c>
      <c r="L2046" s="6">
        <v>1.2192000000000001</v>
      </c>
      <c r="M2046" s="7">
        <v>19.05</v>
      </c>
      <c r="N2046" s="7">
        <v>88.9</v>
      </c>
      <c r="O2046" s="7">
        <f t="shared" si="174"/>
        <v>48.000000000000007</v>
      </c>
      <c r="P2046" s="7">
        <f t="shared" si="175"/>
        <v>0.75000000000000011</v>
      </c>
      <c r="Q2046" s="7">
        <f t="shared" si="175"/>
        <v>3.5000000000000004</v>
      </c>
      <c r="R2046" s="6">
        <f t="shared" si="176"/>
        <v>1937.2619999999999</v>
      </c>
      <c r="S2046" s="6">
        <f t="shared" si="177"/>
        <v>2.0647700640000002E-3</v>
      </c>
      <c r="T2046" t="str">
        <f t="shared" si="169"/>
        <v>Tigerwood S4S E4E 1x4 Short</v>
      </c>
    </row>
    <row r="2047" spans="1:20" x14ac:dyDescent="0.25">
      <c r="A2047" t="s">
        <v>2482</v>
      </c>
      <c r="B2047" t="s">
        <v>2483</v>
      </c>
      <c r="C2047" t="s">
        <v>524</v>
      </c>
      <c r="D2047" t="s">
        <v>438</v>
      </c>
      <c r="E2047" t="s">
        <v>2493</v>
      </c>
      <c r="F2047" t="s">
        <v>2485</v>
      </c>
      <c r="G2047" t="s">
        <v>2482</v>
      </c>
      <c r="H2047" t="s">
        <v>373</v>
      </c>
      <c r="I2047" t="s">
        <v>289</v>
      </c>
      <c r="J2047" t="s">
        <v>613</v>
      </c>
      <c r="K2047">
        <v>5</v>
      </c>
      <c r="L2047" s="6">
        <v>1.524</v>
      </c>
      <c r="M2047" s="7">
        <v>19.05</v>
      </c>
      <c r="N2047" s="7">
        <v>88.9</v>
      </c>
      <c r="O2047" s="7">
        <f t="shared" si="174"/>
        <v>60</v>
      </c>
      <c r="P2047" s="7">
        <f t="shared" si="175"/>
        <v>0.75000000000000011</v>
      </c>
      <c r="Q2047" s="7">
        <f t="shared" si="175"/>
        <v>3.5000000000000004</v>
      </c>
      <c r="R2047" s="6">
        <f t="shared" si="176"/>
        <v>1937.2619999999999</v>
      </c>
      <c r="S2047" s="6">
        <f t="shared" si="177"/>
        <v>2.5809625800000003E-3</v>
      </c>
      <c r="T2047" t="str">
        <f t="shared" si="169"/>
        <v>Tigerwood S4S E4E 1x4 Short</v>
      </c>
    </row>
    <row r="2048" spans="1:20" x14ac:dyDescent="0.25">
      <c r="A2048" t="s">
        <v>2482</v>
      </c>
      <c r="B2048" t="s">
        <v>2483</v>
      </c>
      <c r="C2048" t="s">
        <v>524</v>
      </c>
      <c r="D2048" t="s">
        <v>438</v>
      </c>
      <c r="E2048" t="s">
        <v>2494</v>
      </c>
      <c r="F2048" t="s">
        <v>2485</v>
      </c>
      <c r="G2048" t="s">
        <v>2482</v>
      </c>
      <c r="H2048" t="s">
        <v>373</v>
      </c>
      <c r="I2048" t="s">
        <v>289</v>
      </c>
      <c r="J2048" t="s">
        <v>613</v>
      </c>
      <c r="K2048">
        <v>6</v>
      </c>
      <c r="L2048" s="6">
        <v>1.8288</v>
      </c>
      <c r="M2048" s="7">
        <v>19.05</v>
      </c>
      <c r="N2048" s="7">
        <v>88.9</v>
      </c>
      <c r="O2048" s="7">
        <f t="shared" si="174"/>
        <v>72</v>
      </c>
      <c r="P2048" s="7">
        <f t="shared" si="175"/>
        <v>0.75000000000000011</v>
      </c>
      <c r="Q2048" s="7">
        <f t="shared" si="175"/>
        <v>3.5000000000000004</v>
      </c>
      <c r="R2048" s="6">
        <f t="shared" si="176"/>
        <v>1937.2619999999999</v>
      </c>
      <c r="S2048" s="6">
        <f t="shared" si="177"/>
        <v>3.0971550959999999E-3</v>
      </c>
      <c r="T2048" t="str">
        <f t="shared" si="169"/>
        <v>Tigerwood S4S E4E 1x4 Short</v>
      </c>
    </row>
    <row r="2049" spans="1:20" x14ac:dyDescent="0.25">
      <c r="A2049" t="s">
        <v>2482</v>
      </c>
      <c r="B2049" t="s">
        <v>2483</v>
      </c>
      <c r="C2049" t="s">
        <v>524</v>
      </c>
      <c r="D2049" t="s">
        <v>438</v>
      </c>
      <c r="E2049" t="s">
        <v>2495</v>
      </c>
      <c r="F2049" t="s">
        <v>2485</v>
      </c>
      <c r="G2049" t="s">
        <v>2482</v>
      </c>
      <c r="H2049" t="s">
        <v>373</v>
      </c>
      <c r="I2049" t="s">
        <v>289</v>
      </c>
      <c r="J2049" t="s">
        <v>613</v>
      </c>
      <c r="K2049">
        <v>7</v>
      </c>
      <c r="L2049" s="6">
        <v>2.1335999999999999</v>
      </c>
      <c r="M2049" s="7">
        <v>19.05</v>
      </c>
      <c r="N2049" s="7">
        <v>88.9</v>
      </c>
      <c r="O2049" s="7">
        <f t="shared" si="174"/>
        <v>84</v>
      </c>
      <c r="P2049" s="7">
        <f t="shared" si="175"/>
        <v>0.75000000000000011</v>
      </c>
      <c r="Q2049" s="7">
        <f t="shared" si="175"/>
        <v>3.5000000000000004</v>
      </c>
      <c r="R2049" s="6">
        <f t="shared" si="176"/>
        <v>1937.2619999999999</v>
      </c>
      <c r="S2049" s="6">
        <f t="shared" si="177"/>
        <v>3.613347612E-3</v>
      </c>
      <c r="T2049" t="str">
        <f t="shared" si="169"/>
        <v>Tigerwood S4S E4E 1x4 Short</v>
      </c>
    </row>
    <row r="2050" spans="1:20" x14ac:dyDescent="0.25">
      <c r="A2050" t="s">
        <v>2482</v>
      </c>
      <c r="B2050" t="s">
        <v>2483</v>
      </c>
      <c r="C2050" t="s">
        <v>283</v>
      </c>
      <c r="D2050" t="s">
        <v>438</v>
      </c>
      <c r="E2050" t="s">
        <v>2496</v>
      </c>
      <c r="F2050" t="s">
        <v>2485</v>
      </c>
      <c r="G2050" t="s">
        <v>2482</v>
      </c>
      <c r="H2050" t="s">
        <v>373</v>
      </c>
      <c r="I2050" t="s">
        <v>289</v>
      </c>
      <c r="J2050" t="s">
        <v>613</v>
      </c>
      <c r="K2050">
        <v>8</v>
      </c>
      <c r="L2050" s="6">
        <v>2.4384000000000001</v>
      </c>
      <c r="M2050" s="7">
        <v>19.05</v>
      </c>
      <c r="N2050" s="7">
        <v>88.9</v>
      </c>
      <c r="O2050" s="7">
        <f t="shared" si="174"/>
        <v>96.000000000000014</v>
      </c>
      <c r="P2050" s="7">
        <f t="shared" si="175"/>
        <v>0.75000000000000011</v>
      </c>
      <c r="Q2050" s="7">
        <f t="shared" si="175"/>
        <v>3.5000000000000004</v>
      </c>
      <c r="R2050" s="6">
        <f t="shared" si="176"/>
        <v>1937.2619999999999</v>
      </c>
      <c r="S2050" s="6">
        <f t="shared" si="177"/>
        <v>4.1295401280000005E-3</v>
      </c>
      <c r="T2050" t="str">
        <f t="shared" ref="T2050:T2113" si="178">F2050&amp;" "&amp;C2050</f>
        <v>Tigerwood S4S E4E 1x4 Long</v>
      </c>
    </row>
    <row r="2051" spans="1:20" x14ac:dyDescent="0.25">
      <c r="A2051" t="s">
        <v>2482</v>
      </c>
      <c r="B2051" t="s">
        <v>2497</v>
      </c>
      <c r="C2051" t="s">
        <v>283</v>
      </c>
      <c r="D2051" t="s">
        <v>438</v>
      </c>
      <c r="E2051" t="s">
        <v>2498</v>
      </c>
      <c r="F2051" t="s">
        <v>2499</v>
      </c>
      <c r="G2051" t="s">
        <v>2482</v>
      </c>
      <c r="H2051" t="s">
        <v>373</v>
      </c>
      <c r="I2051" t="s">
        <v>289</v>
      </c>
      <c r="J2051" t="s">
        <v>344</v>
      </c>
      <c r="K2051">
        <v>10</v>
      </c>
      <c r="L2051" s="6">
        <v>3.048</v>
      </c>
      <c r="M2051" s="7">
        <v>19.05</v>
      </c>
      <c r="N2051" s="7">
        <v>139.69999999999999</v>
      </c>
      <c r="O2051" s="7">
        <f t="shared" si="174"/>
        <v>120</v>
      </c>
      <c r="P2051" s="7">
        <f t="shared" si="175"/>
        <v>0.75000000000000011</v>
      </c>
      <c r="Q2051" s="7">
        <f t="shared" si="175"/>
        <v>5.5</v>
      </c>
      <c r="R2051" s="6">
        <f t="shared" si="176"/>
        <v>1232.8030000000001</v>
      </c>
      <c r="S2051" s="6">
        <f t="shared" si="177"/>
        <v>8.1115966799999994E-3</v>
      </c>
      <c r="T2051" t="str">
        <f t="shared" si="178"/>
        <v>Tigerwood S4S E4E 1x6 Long</v>
      </c>
    </row>
    <row r="2052" spans="1:20" x14ac:dyDescent="0.25">
      <c r="A2052" t="s">
        <v>2482</v>
      </c>
      <c r="B2052" t="s">
        <v>2497</v>
      </c>
      <c r="C2052" t="s">
        <v>283</v>
      </c>
      <c r="D2052" t="s">
        <v>438</v>
      </c>
      <c r="E2052" t="s">
        <v>2500</v>
      </c>
      <c r="F2052" t="s">
        <v>2499</v>
      </c>
      <c r="G2052" t="s">
        <v>2482</v>
      </c>
      <c r="H2052" t="s">
        <v>373</v>
      </c>
      <c r="I2052" t="s">
        <v>289</v>
      </c>
      <c r="J2052" t="s">
        <v>344</v>
      </c>
      <c r="K2052">
        <v>12</v>
      </c>
      <c r="L2052" s="6">
        <v>3.6576</v>
      </c>
      <c r="M2052" s="7">
        <v>19.05</v>
      </c>
      <c r="N2052" s="7">
        <v>139.69999999999999</v>
      </c>
      <c r="O2052" s="7">
        <f t="shared" si="174"/>
        <v>144</v>
      </c>
      <c r="P2052" s="7">
        <f t="shared" si="175"/>
        <v>0.75000000000000011</v>
      </c>
      <c r="Q2052" s="7">
        <f t="shared" si="175"/>
        <v>5.5</v>
      </c>
      <c r="R2052" s="6">
        <f t="shared" si="176"/>
        <v>1232.8030000000001</v>
      </c>
      <c r="S2052" s="6">
        <f t="shared" si="177"/>
        <v>9.7339160159999986E-3</v>
      </c>
      <c r="T2052" t="str">
        <f t="shared" si="178"/>
        <v>Tigerwood S4S E4E 1x6 Long</v>
      </c>
    </row>
    <row r="2053" spans="1:20" x14ac:dyDescent="0.25">
      <c r="A2053" t="s">
        <v>2482</v>
      </c>
      <c r="B2053" t="s">
        <v>2497</v>
      </c>
      <c r="C2053" t="s">
        <v>283</v>
      </c>
      <c r="D2053" t="s">
        <v>438</v>
      </c>
      <c r="E2053" t="s">
        <v>2501</v>
      </c>
      <c r="F2053" t="s">
        <v>2499</v>
      </c>
      <c r="G2053" t="s">
        <v>2482</v>
      </c>
      <c r="H2053" t="s">
        <v>373</v>
      </c>
      <c r="I2053" t="s">
        <v>289</v>
      </c>
      <c r="J2053" t="s">
        <v>344</v>
      </c>
      <c r="K2053">
        <v>14</v>
      </c>
      <c r="L2053" s="6">
        <v>4.2671999999999999</v>
      </c>
      <c r="M2053" s="7">
        <v>19.05</v>
      </c>
      <c r="N2053" s="7">
        <v>139.69999999999999</v>
      </c>
      <c r="O2053" s="7">
        <f t="shared" si="174"/>
        <v>168</v>
      </c>
      <c r="P2053" s="7">
        <f t="shared" si="175"/>
        <v>0.75000000000000011</v>
      </c>
      <c r="Q2053" s="7">
        <f t="shared" si="175"/>
        <v>5.5</v>
      </c>
      <c r="R2053" s="6">
        <f t="shared" si="176"/>
        <v>1232.8030000000001</v>
      </c>
      <c r="S2053" s="6">
        <f t="shared" si="177"/>
        <v>1.1356235352E-2</v>
      </c>
      <c r="T2053" t="str">
        <f t="shared" si="178"/>
        <v>Tigerwood S4S E4E 1x6 Long</v>
      </c>
    </row>
    <row r="2054" spans="1:20" x14ac:dyDescent="0.25">
      <c r="A2054" t="s">
        <v>2482</v>
      </c>
      <c r="B2054" t="s">
        <v>2497</v>
      </c>
      <c r="C2054" t="s">
        <v>283</v>
      </c>
      <c r="D2054" t="s">
        <v>438</v>
      </c>
      <c r="E2054" t="s">
        <v>2502</v>
      </c>
      <c r="F2054" t="s">
        <v>2499</v>
      </c>
      <c r="G2054" t="s">
        <v>2482</v>
      </c>
      <c r="H2054" t="s">
        <v>373</v>
      </c>
      <c r="I2054" t="s">
        <v>289</v>
      </c>
      <c r="J2054" t="s">
        <v>344</v>
      </c>
      <c r="K2054">
        <v>16</v>
      </c>
      <c r="L2054" s="6">
        <v>4.8768000000000002</v>
      </c>
      <c r="M2054" s="7">
        <v>19.05</v>
      </c>
      <c r="N2054" s="7">
        <v>139.69999999999999</v>
      </c>
      <c r="O2054" s="7">
        <f t="shared" si="174"/>
        <v>192.00000000000003</v>
      </c>
      <c r="P2054" s="7">
        <f t="shared" si="175"/>
        <v>0.75000000000000011</v>
      </c>
      <c r="Q2054" s="7">
        <f t="shared" si="175"/>
        <v>5.5</v>
      </c>
      <c r="R2054" s="6">
        <f t="shared" si="176"/>
        <v>1232.8030000000001</v>
      </c>
      <c r="S2054" s="6">
        <f t="shared" si="177"/>
        <v>1.2978554687999999E-2</v>
      </c>
      <c r="T2054" t="str">
        <f t="shared" si="178"/>
        <v>Tigerwood S4S E4E 1x6 Long</v>
      </c>
    </row>
    <row r="2055" spans="1:20" x14ac:dyDescent="0.25">
      <c r="A2055" t="s">
        <v>2482</v>
      </c>
      <c r="B2055" t="s">
        <v>2497</v>
      </c>
      <c r="C2055" t="s">
        <v>283</v>
      </c>
      <c r="D2055" t="s">
        <v>438</v>
      </c>
      <c r="E2055" t="s">
        <v>2503</v>
      </c>
      <c r="F2055" t="s">
        <v>2499</v>
      </c>
      <c r="G2055" t="s">
        <v>2482</v>
      </c>
      <c r="H2055" t="s">
        <v>373</v>
      </c>
      <c r="I2055" t="s">
        <v>289</v>
      </c>
      <c r="J2055" t="s">
        <v>344</v>
      </c>
      <c r="K2055">
        <v>18</v>
      </c>
      <c r="L2055" s="6">
        <v>5.4863999999999997</v>
      </c>
      <c r="M2055" s="7">
        <v>19.05</v>
      </c>
      <c r="N2055" s="7">
        <v>139.69999999999999</v>
      </c>
      <c r="O2055" s="7">
        <f t="shared" si="174"/>
        <v>216</v>
      </c>
      <c r="P2055" s="7">
        <f t="shared" si="175"/>
        <v>0.75000000000000011</v>
      </c>
      <c r="Q2055" s="7">
        <f t="shared" si="175"/>
        <v>5.5</v>
      </c>
      <c r="R2055" s="6">
        <f t="shared" si="176"/>
        <v>1232.8030000000001</v>
      </c>
      <c r="S2055" s="6">
        <f t="shared" si="177"/>
        <v>1.4600874024E-2</v>
      </c>
      <c r="T2055" t="str">
        <f t="shared" si="178"/>
        <v>Tigerwood S4S E4E 1x6 Long</v>
      </c>
    </row>
    <row r="2056" spans="1:20" x14ac:dyDescent="0.25">
      <c r="A2056" t="s">
        <v>2482</v>
      </c>
      <c r="B2056" t="s">
        <v>2497</v>
      </c>
      <c r="C2056" t="s">
        <v>283</v>
      </c>
      <c r="D2056" t="s">
        <v>438</v>
      </c>
      <c r="E2056" t="s">
        <v>2504</v>
      </c>
      <c r="F2056" t="s">
        <v>2499</v>
      </c>
      <c r="G2056" t="s">
        <v>2482</v>
      </c>
      <c r="H2056" t="s">
        <v>373</v>
      </c>
      <c r="I2056" t="s">
        <v>289</v>
      </c>
      <c r="J2056" t="s">
        <v>344</v>
      </c>
      <c r="K2056">
        <v>20</v>
      </c>
      <c r="L2056" s="6">
        <v>6.0960000000000001</v>
      </c>
      <c r="M2056" s="7">
        <v>19.05</v>
      </c>
      <c r="N2056" s="7">
        <v>139.69999999999999</v>
      </c>
      <c r="O2056" s="7">
        <f t="shared" si="174"/>
        <v>240</v>
      </c>
      <c r="P2056" s="7">
        <f t="shared" si="175"/>
        <v>0.75000000000000011</v>
      </c>
      <c r="Q2056" s="7">
        <f t="shared" si="175"/>
        <v>5.5</v>
      </c>
      <c r="R2056" s="6">
        <f t="shared" si="176"/>
        <v>1232.8030000000001</v>
      </c>
      <c r="S2056" s="6">
        <f t="shared" si="177"/>
        <v>1.6223193359999999E-2</v>
      </c>
      <c r="T2056" t="str">
        <f t="shared" si="178"/>
        <v>Tigerwood S4S E4E 1x6 Long</v>
      </c>
    </row>
    <row r="2057" spans="1:20" x14ac:dyDescent="0.25">
      <c r="A2057" t="s">
        <v>2482</v>
      </c>
      <c r="B2057" t="s">
        <v>2497</v>
      </c>
      <c r="C2057" t="s">
        <v>283</v>
      </c>
      <c r="D2057" t="s">
        <v>438</v>
      </c>
      <c r="E2057" t="s">
        <v>2505</v>
      </c>
      <c r="F2057" t="s">
        <v>2499</v>
      </c>
      <c r="G2057" t="s">
        <v>2482</v>
      </c>
      <c r="H2057" t="s">
        <v>373</v>
      </c>
      <c r="I2057" t="s">
        <v>289</v>
      </c>
      <c r="J2057" t="s">
        <v>344</v>
      </c>
      <c r="K2057">
        <v>22</v>
      </c>
      <c r="L2057" s="6">
        <v>6.7055999999999996</v>
      </c>
      <c r="M2057" s="7">
        <v>19.05</v>
      </c>
      <c r="N2057" s="7">
        <v>139.69999999999999</v>
      </c>
      <c r="O2057" s="7">
        <f t="shared" si="174"/>
        <v>264</v>
      </c>
      <c r="P2057" s="7">
        <f t="shared" si="175"/>
        <v>0.75000000000000011</v>
      </c>
      <c r="Q2057" s="7">
        <f t="shared" si="175"/>
        <v>5.5</v>
      </c>
      <c r="R2057" s="6">
        <f t="shared" si="176"/>
        <v>1232.8030000000001</v>
      </c>
      <c r="S2057" s="6">
        <f t="shared" si="177"/>
        <v>1.7845512695999998E-2</v>
      </c>
      <c r="T2057" t="str">
        <f t="shared" si="178"/>
        <v>Tigerwood S4S E4E 1x6 Long</v>
      </c>
    </row>
    <row r="2058" spans="1:20" x14ac:dyDescent="0.25">
      <c r="A2058" t="s">
        <v>2482</v>
      </c>
      <c r="B2058" t="s">
        <v>2497</v>
      </c>
      <c r="C2058" t="s">
        <v>524</v>
      </c>
      <c r="D2058" t="s">
        <v>438</v>
      </c>
      <c r="E2058" t="s">
        <v>2506</v>
      </c>
      <c r="F2058" t="s">
        <v>2499</v>
      </c>
      <c r="G2058" t="s">
        <v>2482</v>
      </c>
      <c r="H2058" t="s">
        <v>373</v>
      </c>
      <c r="I2058" t="s">
        <v>289</v>
      </c>
      <c r="J2058" t="s">
        <v>344</v>
      </c>
      <c r="K2058">
        <v>4</v>
      </c>
      <c r="L2058" s="6">
        <v>1.2192000000000001</v>
      </c>
      <c r="M2058" s="7">
        <v>19.05</v>
      </c>
      <c r="N2058" s="7">
        <v>139.69999999999999</v>
      </c>
      <c r="O2058" s="7">
        <f t="shared" si="174"/>
        <v>48.000000000000007</v>
      </c>
      <c r="P2058" s="7">
        <f t="shared" si="175"/>
        <v>0.75000000000000011</v>
      </c>
      <c r="Q2058" s="7">
        <f t="shared" si="175"/>
        <v>5.5</v>
      </c>
      <c r="R2058" s="6">
        <f t="shared" si="176"/>
        <v>1232.8030000000001</v>
      </c>
      <c r="S2058" s="6">
        <f t="shared" si="177"/>
        <v>3.2446386719999997E-3</v>
      </c>
      <c r="T2058" t="str">
        <f t="shared" si="178"/>
        <v>Tigerwood S4S E4E 1x6 Short</v>
      </c>
    </row>
    <row r="2059" spans="1:20" x14ac:dyDescent="0.25">
      <c r="A2059" t="s">
        <v>2482</v>
      </c>
      <c r="B2059" t="s">
        <v>2497</v>
      </c>
      <c r="C2059" t="s">
        <v>524</v>
      </c>
      <c r="D2059" t="s">
        <v>438</v>
      </c>
      <c r="E2059" t="s">
        <v>2507</v>
      </c>
      <c r="F2059" t="s">
        <v>2499</v>
      </c>
      <c r="G2059" t="s">
        <v>2482</v>
      </c>
      <c r="H2059" t="s">
        <v>373</v>
      </c>
      <c r="I2059" t="s">
        <v>289</v>
      </c>
      <c r="J2059" t="s">
        <v>344</v>
      </c>
      <c r="K2059">
        <v>5</v>
      </c>
      <c r="L2059" s="6">
        <v>1.524</v>
      </c>
      <c r="M2059" s="7">
        <v>19.05</v>
      </c>
      <c r="N2059" s="7">
        <v>139.69999999999999</v>
      </c>
      <c r="O2059" s="7">
        <f t="shared" si="174"/>
        <v>60</v>
      </c>
      <c r="P2059" s="7">
        <f t="shared" si="175"/>
        <v>0.75000000000000011</v>
      </c>
      <c r="Q2059" s="7">
        <f t="shared" si="175"/>
        <v>5.5</v>
      </c>
      <c r="R2059" s="6">
        <f t="shared" si="176"/>
        <v>1232.8030000000001</v>
      </c>
      <c r="S2059" s="6">
        <f t="shared" si="177"/>
        <v>4.0557983399999997E-3</v>
      </c>
      <c r="T2059" t="str">
        <f t="shared" si="178"/>
        <v>Tigerwood S4S E4E 1x6 Short</v>
      </c>
    </row>
    <row r="2060" spans="1:20" x14ac:dyDescent="0.25">
      <c r="A2060" t="s">
        <v>2482</v>
      </c>
      <c r="B2060" t="s">
        <v>2497</v>
      </c>
      <c r="C2060" t="s">
        <v>524</v>
      </c>
      <c r="D2060" t="s">
        <v>438</v>
      </c>
      <c r="E2060" t="s">
        <v>2508</v>
      </c>
      <c r="F2060" t="s">
        <v>2499</v>
      </c>
      <c r="G2060" t="s">
        <v>2482</v>
      </c>
      <c r="H2060" t="s">
        <v>373</v>
      </c>
      <c r="I2060" t="s">
        <v>289</v>
      </c>
      <c r="J2060" t="s">
        <v>344</v>
      </c>
      <c r="K2060">
        <v>6</v>
      </c>
      <c r="L2060" s="6">
        <v>1.8288</v>
      </c>
      <c r="M2060" s="7">
        <v>19.05</v>
      </c>
      <c r="N2060" s="7">
        <v>139.69999999999999</v>
      </c>
      <c r="O2060" s="7">
        <f t="shared" si="174"/>
        <v>72</v>
      </c>
      <c r="P2060" s="7">
        <f t="shared" si="175"/>
        <v>0.75000000000000011</v>
      </c>
      <c r="Q2060" s="7">
        <f t="shared" si="175"/>
        <v>5.5</v>
      </c>
      <c r="R2060" s="6">
        <f t="shared" si="176"/>
        <v>1232.8030000000001</v>
      </c>
      <c r="S2060" s="6">
        <f t="shared" si="177"/>
        <v>4.8669580079999993E-3</v>
      </c>
      <c r="T2060" t="str">
        <f t="shared" si="178"/>
        <v>Tigerwood S4S E4E 1x6 Short</v>
      </c>
    </row>
    <row r="2061" spans="1:20" x14ac:dyDescent="0.25">
      <c r="A2061" t="s">
        <v>2482</v>
      </c>
      <c r="B2061" t="s">
        <v>2497</v>
      </c>
      <c r="C2061" t="s">
        <v>283</v>
      </c>
      <c r="D2061" t="s">
        <v>438</v>
      </c>
      <c r="E2061" t="s">
        <v>2509</v>
      </c>
      <c r="F2061" t="s">
        <v>2499</v>
      </c>
      <c r="G2061" t="s">
        <v>2482</v>
      </c>
      <c r="H2061" t="s">
        <v>373</v>
      </c>
      <c r="I2061" t="s">
        <v>289</v>
      </c>
      <c r="J2061" t="s">
        <v>344</v>
      </c>
      <c r="K2061">
        <v>8</v>
      </c>
      <c r="L2061" s="6">
        <v>2.4384000000000001</v>
      </c>
      <c r="M2061" s="7">
        <v>19.05</v>
      </c>
      <c r="N2061" s="7">
        <v>139.69999999999999</v>
      </c>
      <c r="O2061" s="7">
        <f t="shared" si="174"/>
        <v>96.000000000000014</v>
      </c>
      <c r="P2061" s="7">
        <f t="shared" si="175"/>
        <v>0.75000000000000011</v>
      </c>
      <c r="Q2061" s="7">
        <f t="shared" si="175"/>
        <v>5.5</v>
      </c>
      <c r="R2061" s="6">
        <f t="shared" si="176"/>
        <v>1232.8030000000001</v>
      </c>
      <c r="S2061" s="6">
        <f t="shared" si="177"/>
        <v>6.4892773439999994E-3</v>
      </c>
      <c r="T2061" t="str">
        <f t="shared" si="178"/>
        <v>Tigerwood S4S E4E 1x6 Long</v>
      </c>
    </row>
    <row r="2062" spans="1:20" x14ac:dyDescent="0.25">
      <c r="A2062" t="s">
        <v>2510</v>
      </c>
      <c r="B2062" t="s">
        <v>2511</v>
      </c>
      <c r="C2062" t="s">
        <v>283</v>
      </c>
      <c r="D2062" t="s">
        <v>2512</v>
      </c>
      <c r="E2062" t="s">
        <v>172</v>
      </c>
      <c r="F2062" t="s">
        <v>2513</v>
      </c>
      <c r="G2062" t="s">
        <v>2514</v>
      </c>
      <c r="H2062" t="s">
        <v>2515</v>
      </c>
      <c r="I2062" t="s">
        <v>289</v>
      </c>
      <c r="J2062" t="s">
        <v>672</v>
      </c>
      <c r="K2062">
        <v>16</v>
      </c>
      <c r="L2062" s="6">
        <v>4.88</v>
      </c>
      <c r="M2062" s="7">
        <v>26</v>
      </c>
      <c r="N2062" s="7">
        <v>219</v>
      </c>
      <c r="O2062" s="7">
        <v>0</v>
      </c>
      <c r="P2062" s="7">
        <v>0</v>
      </c>
      <c r="Q2062" s="7">
        <v>0</v>
      </c>
      <c r="R2062" s="6">
        <v>0</v>
      </c>
      <c r="S2062" s="6">
        <v>0</v>
      </c>
      <c r="T2062" t="str">
        <f t="shared" si="178"/>
        <v>Big Ben London Collection Profile 1x8 Long</v>
      </c>
    </row>
    <row r="2063" spans="1:20" x14ac:dyDescent="0.25">
      <c r="A2063" t="s">
        <v>2510</v>
      </c>
      <c r="B2063" t="s">
        <v>2516</v>
      </c>
      <c r="C2063" t="s">
        <v>283</v>
      </c>
      <c r="D2063" t="s">
        <v>2512</v>
      </c>
      <c r="E2063" t="s">
        <v>2517</v>
      </c>
      <c r="F2063" t="s">
        <v>2518</v>
      </c>
      <c r="G2063" t="s">
        <v>2519</v>
      </c>
      <c r="H2063" t="s">
        <v>2515</v>
      </c>
      <c r="I2063" t="s">
        <v>289</v>
      </c>
      <c r="J2063" t="s">
        <v>344</v>
      </c>
      <c r="K2063">
        <v>16</v>
      </c>
      <c r="L2063" s="6">
        <v>4.88</v>
      </c>
      <c r="M2063" s="7">
        <v>21</v>
      </c>
      <c r="N2063" s="7">
        <v>156</v>
      </c>
      <c r="O2063" s="7">
        <v>0</v>
      </c>
      <c r="P2063" s="7">
        <v>0</v>
      </c>
      <c r="Q2063" s="7">
        <v>0</v>
      </c>
      <c r="R2063" s="6">
        <v>0</v>
      </c>
      <c r="S2063" s="6">
        <v>0</v>
      </c>
      <c r="T2063" t="str">
        <f t="shared" si="178"/>
        <v>Brooklyn New York Collection Profile 1x6 Long</v>
      </c>
    </row>
    <row r="2064" spans="1:20" x14ac:dyDescent="0.25">
      <c r="A2064" t="s">
        <v>2510</v>
      </c>
      <c r="B2064" t="s">
        <v>2520</v>
      </c>
      <c r="C2064" t="s">
        <v>283</v>
      </c>
      <c r="D2064" t="s">
        <v>2512</v>
      </c>
      <c r="E2064" t="s">
        <v>2521</v>
      </c>
      <c r="F2064" t="s">
        <v>2518</v>
      </c>
      <c r="G2064" t="s">
        <v>2519</v>
      </c>
      <c r="H2064" t="s">
        <v>2515</v>
      </c>
      <c r="I2064" t="s">
        <v>289</v>
      </c>
      <c r="J2064" t="s">
        <v>344</v>
      </c>
      <c r="K2064">
        <v>8</v>
      </c>
      <c r="L2064" s="6">
        <v>2.44</v>
      </c>
      <c r="M2064" s="7">
        <v>21</v>
      </c>
      <c r="N2064" s="7">
        <v>156</v>
      </c>
      <c r="O2064" s="7">
        <v>0</v>
      </c>
      <c r="P2064" s="7">
        <v>0</v>
      </c>
      <c r="Q2064" s="7">
        <v>0</v>
      </c>
      <c r="R2064" s="6">
        <v>0</v>
      </c>
      <c r="S2064" s="6">
        <v>0</v>
      </c>
      <c r="T2064" t="str">
        <f t="shared" si="178"/>
        <v>Brooklyn New York Collection Profile 1x6 Long</v>
      </c>
    </row>
    <row r="2065" spans="1:20" x14ac:dyDescent="0.25">
      <c r="A2065" t="s">
        <v>2510</v>
      </c>
      <c r="B2065" t="s">
        <v>2522</v>
      </c>
      <c r="C2065" t="s">
        <v>283</v>
      </c>
      <c r="D2065" t="s">
        <v>2512</v>
      </c>
      <c r="E2065" t="s">
        <v>2523</v>
      </c>
      <c r="F2065" t="s">
        <v>2524</v>
      </c>
      <c r="G2065" t="s">
        <v>2525</v>
      </c>
      <c r="H2065" t="s">
        <v>2526</v>
      </c>
      <c r="I2065" t="s">
        <v>289</v>
      </c>
      <c r="J2065" t="s">
        <v>764</v>
      </c>
      <c r="K2065">
        <v>16</v>
      </c>
      <c r="L2065" s="6">
        <v>4.88</v>
      </c>
      <c r="M2065" s="7">
        <v>50</v>
      </c>
      <c r="N2065" s="7">
        <v>50</v>
      </c>
      <c r="O2065" s="7">
        <v>0</v>
      </c>
      <c r="P2065" s="7">
        <v>0</v>
      </c>
      <c r="Q2065" s="7">
        <v>0</v>
      </c>
      <c r="R2065" s="6">
        <v>0</v>
      </c>
      <c r="S2065" s="6">
        <v>0</v>
      </c>
      <c r="T2065" t="str">
        <f t="shared" si="178"/>
        <v>Charcoal Architecture Collection L Trim 2x2 Long</v>
      </c>
    </row>
    <row r="2066" spans="1:20" x14ac:dyDescent="0.25">
      <c r="A2066" t="s">
        <v>2510</v>
      </c>
      <c r="B2066" t="s">
        <v>2511</v>
      </c>
      <c r="C2066" t="s">
        <v>283</v>
      </c>
      <c r="D2066" t="s">
        <v>2512</v>
      </c>
      <c r="E2066" t="s">
        <v>2527</v>
      </c>
      <c r="F2066" t="s">
        <v>2528</v>
      </c>
      <c r="G2066" t="s">
        <v>2525</v>
      </c>
      <c r="H2066" t="s">
        <v>2529</v>
      </c>
      <c r="I2066" t="s">
        <v>289</v>
      </c>
      <c r="J2066" t="s">
        <v>2530</v>
      </c>
      <c r="K2066">
        <v>16</v>
      </c>
      <c r="L2066" s="6">
        <v>4.88</v>
      </c>
      <c r="M2066" s="7">
        <v>49</v>
      </c>
      <c r="N2066" s="7">
        <v>99</v>
      </c>
      <c r="O2066" s="7">
        <v>0</v>
      </c>
      <c r="P2066" s="7">
        <v>0</v>
      </c>
      <c r="Q2066" s="7">
        <v>0</v>
      </c>
      <c r="R2066" s="6">
        <v>0</v>
      </c>
      <c r="S2066" s="6">
        <v>0</v>
      </c>
      <c r="T2066" t="str">
        <f t="shared" si="178"/>
        <v>Charcoal London Collection Corner Trim 1.5x3.9 Long</v>
      </c>
    </row>
    <row r="2067" spans="1:20" x14ac:dyDescent="0.25">
      <c r="A2067" t="s">
        <v>2510</v>
      </c>
      <c r="B2067" t="s">
        <v>2531</v>
      </c>
      <c r="C2067" t="s">
        <v>283</v>
      </c>
      <c r="D2067" t="s">
        <v>2512</v>
      </c>
      <c r="E2067" t="s">
        <v>2532</v>
      </c>
      <c r="F2067" t="s">
        <v>2533</v>
      </c>
      <c r="G2067" t="s">
        <v>2525</v>
      </c>
      <c r="H2067" t="s">
        <v>2529</v>
      </c>
      <c r="I2067" t="s">
        <v>289</v>
      </c>
      <c r="J2067" t="s">
        <v>2534</v>
      </c>
      <c r="K2067">
        <v>16</v>
      </c>
      <c r="L2067" s="6">
        <v>4.88</v>
      </c>
      <c r="M2067" s="7">
        <v>38</v>
      </c>
      <c r="N2067" s="7">
        <v>78</v>
      </c>
      <c r="O2067" s="7">
        <v>0</v>
      </c>
      <c r="P2067" s="7">
        <v>0</v>
      </c>
      <c r="Q2067" s="7">
        <v>0</v>
      </c>
      <c r="R2067" s="6">
        <v>0</v>
      </c>
      <c r="S2067" s="6">
        <v>0</v>
      </c>
      <c r="T2067" t="str">
        <f t="shared" si="178"/>
        <v>Charcoal Rome Collection Corner Trim 1.5x3 Long</v>
      </c>
    </row>
    <row r="2068" spans="1:20" x14ac:dyDescent="0.25">
      <c r="A2068" t="s">
        <v>2510</v>
      </c>
      <c r="B2068" t="s">
        <v>2531</v>
      </c>
      <c r="C2068" t="s">
        <v>283</v>
      </c>
      <c r="D2068" t="s">
        <v>2512</v>
      </c>
      <c r="E2068" t="s">
        <v>2535</v>
      </c>
      <c r="F2068" t="s">
        <v>2536</v>
      </c>
      <c r="G2068" t="s">
        <v>2537</v>
      </c>
      <c r="H2068" t="s">
        <v>2515</v>
      </c>
      <c r="I2068" t="s">
        <v>289</v>
      </c>
      <c r="J2068" t="s">
        <v>2538</v>
      </c>
      <c r="K2068">
        <v>16</v>
      </c>
      <c r="L2068" s="6">
        <v>4.88</v>
      </c>
      <c r="M2068" s="7">
        <v>26</v>
      </c>
      <c r="N2068" s="7">
        <v>176</v>
      </c>
      <c r="O2068" s="7">
        <v>0</v>
      </c>
      <c r="P2068" s="7">
        <v>0</v>
      </c>
      <c r="Q2068" s="7">
        <v>0</v>
      </c>
      <c r="R2068" s="6">
        <v>0</v>
      </c>
      <c r="S2068" s="6">
        <v>0</v>
      </c>
      <c r="T2068" t="str">
        <f t="shared" si="178"/>
        <v>Colosseum Rome Collection Profile 1x7 Long</v>
      </c>
    </row>
    <row r="2069" spans="1:20" x14ac:dyDescent="0.25">
      <c r="A2069" t="s">
        <v>2539</v>
      </c>
      <c r="B2069" t="s">
        <v>2540</v>
      </c>
      <c r="C2069" t="s">
        <v>283</v>
      </c>
      <c r="D2069" t="s">
        <v>2512</v>
      </c>
      <c r="E2069" t="s">
        <v>2541</v>
      </c>
      <c r="F2069" t="s">
        <v>2542</v>
      </c>
      <c r="G2069" t="s">
        <v>2543</v>
      </c>
      <c r="H2069" t="s">
        <v>324</v>
      </c>
      <c r="I2069" t="s">
        <v>289</v>
      </c>
      <c r="J2069" t="s">
        <v>344</v>
      </c>
      <c r="K2069">
        <v>12</v>
      </c>
      <c r="L2069" s="6">
        <v>3.66</v>
      </c>
      <c r="M2069" s="7">
        <v>23</v>
      </c>
      <c r="N2069" s="7">
        <v>140</v>
      </c>
      <c r="O2069" s="7">
        <v>0</v>
      </c>
      <c r="P2069" s="7">
        <v>0</v>
      </c>
      <c r="Q2069" s="7">
        <v>0</v>
      </c>
      <c r="R2069" s="6">
        <v>0</v>
      </c>
      <c r="S2069" s="6">
        <v>0</v>
      </c>
      <c r="T2069" t="str">
        <f t="shared" si="178"/>
        <v>Copacabana Rio Collection Grooved 1x6 Long</v>
      </c>
    </row>
    <row r="2070" spans="1:20" x14ac:dyDescent="0.25">
      <c r="A2070" t="s">
        <v>2539</v>
      </c>
      <c r="B2070" t="s">
        <v>2540</v>
      </c>
      <c r="C2070" t="s">
        <v>283</v>
      </c>
      <c r="D2070" t="s">
        <v>2512</v>
      </c>
      <c r="E2070" t="s">
        <v>2544</v>
      </c>
      <c r="F2070" t="s">
        <v>2542</v>
      </c>
      <c r="G2070" t="s">
        <v>2543</v>
      </c>
      <c r="H2070" t="s">
        <v>324</v>
      </c>
      <c r="I2070" t="s">
        <v>289</v>
      </c>
      <c r="J2070" t="s">
        <v>344</v>
      </c>
      <c r="K2070">
        <v>16</v>
      </c>
      <c r="L2070" s="6">
        <v>4.88</v>
      </c>
      <c r="M2070" s="7">
        <v>23</v>
      </c>
      <c r="N2070" s="7">
        <v>140</v>
      </c>
      <c r="O2070" s="7">
        <v>0</v>
      </c>
      <c r="P2070" s="7">
        <v>0</v>
      </c>
      <c r="Q2070" s="7">
        <v>0</v>
      </c>
      <c r="R2070" s="6">
        <v>0</v>
      </c>
      <c r="S2070" s="6">
        <v>0</v>
      </c>
      <c r="T2070" t="str">
        <f t="shared" si="178"/>
        <v>Copacabana Rio Collection Grooved 1x6 Long</v>
      </c>
    </row>
    <row r="2071" spans="1:20" x14ac:dyDescent="0.25">
      <c r="A2071" t="s">
        <v>2539</v>
      </c>
      <c r="B2071" t="s">
        <v>2540</v>
      </c>
      <c r="C2071" t="s">
        <v>283</v>
      </c>
      <c r="D2071" t="s">
        <v>2512</v>
      </c>
      <c r="E2071" t="s">
        <v>2545</v>
      </c>
      <c r="F2071" t="s">
        <v>2542</v>
      </c>
      <c r="G2071" t="s">
        <v>2543</v>
      </c>
      <c r="H2071" t="s">
        <v>324</v>
      </c>
      <c r="I2071" t="s">
        <v>289</v>
      </c>
      <c r="J2071" t="s">
        <v>344</v>
      </c>
      <c r="K2071">
        <v>20</v>
      </c>
      <c r="L2071" s="6">
        <v>7.1</v>
      </c>
      <c r="M2071" s="7">
        <v>23</v>
      </c>
      <c r="N2071" s="7">
        <v>140</v>
      </c>
      <c r="O2071" s="7">
        <v>0</v>
      </c>
      <c r="P2071" s="7">
        <v>0</v>
      </c>
      <c r="Q2071" s="7">
        <v>0</v>
      </c>
      <c r="R2071" s="6">
        <v>0</v>
      </c>
      <c r="S2071" s="6">
        <v>0</v>
      </c>
      <c r="T2071" t="str">
        <f t="shared" si="178"/>
        <v>Copacabana Rio Collection Grooved 1x6 Long</v>
      </c>
    </row>
    <row r="2072" spans="1:20" x14ac:dyDescent="0.25">
      <c r="A2072" t="s">
        <v>2539</v>
      </c>
      <c r="B2072" t="s">
        <v>2540</v>
      </c>
      <c r="C2072" t="s">
        <v>283</v>
      </c>
      <c r="D2072" t="s">
        <v>2512</v>
      </c>
      <c r="E2072" t="s">
        <v>2546</v>
      </c>
      <c r="F2072" t="s">
        <v>2547</v>
      </c>
      <c r="G2072" t="s">
        <v>2543</v>
      </c>
      <c r="H2072" t="s">
        <v>2548</v>
      </c>
      <c r="I2072" t="s">
        <v>289</v>
      </c>
      <c r="J2072" t="s">
        <v>344</v>
      </c>
      <c r="K2072">
        <v>12</v>
      </c>
      <c r="L2072" s="6">
        <v>3.66</v>
      </c>
      <c r="M2072" s="7">
        <v>23</v>
      </c>
      <c r="N2072" s="7">
        <v>140</v>
      </c>
      <c r="O2072" s="7">
        <v>0</v>
      </c>
      <c r="P2072" s="7">
        <v>0</v>
      </c>
      <c r="Q2072" s="7">
        <v>0</v>
      </c>
      <c r="R2072" s="6">
        <v>0</v>
      </c>
      <c r="S2072" s="6">
        <v>0</v>
      </c>
      <c r="T2072" t="str">
        <f t="shared" si="178"/>
        <v>Copacabana Rio Collection Square 1x6 Long</v>
      </c>
    </row>
    <row r="2073" spans="1:20" x14ac:dyDescent="0.25">
      <c r="A2073" t="s">
        <v>2539</v>
      </c>
      <c r="B2073" t="s">
        <v>2540</v>
      </c>
      <c r="C2073" t="s">
        <v>283</v>
      </c>
      <c r="D2073" t="s">
        <v>2512</v>
      </c>
      <c r="E2073" t="s">
        <v>2549</v>
      </c>
      <c r="F2073" t="s">
        <v>2547</v>
      </c>
      <c r="G2073" t="s">
        <v>2543</v>
      </c>
      <c r="H2073" t="s">
        <v>2548</v>
      </c>
      <c r="I2073" t="s">
        <v>289</v>
      </c>
      <c r="J2073" t="s">
        <v>344</v>
      </c>
      <c r="K2073">
        <v>16</v>
      </c>
      <c r="L2073" s="6">
        <v>4.88</v>
      </c>
      <c r="M2073" s="7">
        <v>23</v>
      </c>
      <c r="N2073" s="7">
        <v>140</v>
      </c>
      <c r="O2073" s="7">
        <v>0</v>
      </c>
      <c r="P2073" s="7">
        <v>0</v>
      </c>
      <c r="Q2073" s="7">
        <v>0</v>
      </c>
      <c r="R2073" s="6">
        <v>0</v>
      </c>
      <c r="S2073" s="6">
        <v>0</v>
      </c>
      <c r="T2073" t="str">
        <f t="shared" si="178"/>
        <v>Copacabana Rio Collection Square 1x6 Long</v>
      </c>
    </row>
    <row r="2074" spans="1:20" x14ac:dyDescent="0.25">
      <c r="A2074" t="s">
        <v>2539</v>
      </c>
      <c r="B2074" t="s">
        <v>2540</v>
      </c>
      <c r="C2074" t="s">
        <v>283</v>
      </c>
      <c r="D2074" t="s">
        <v>2512</v>
      </c>
      <c r="E2074" t="s">
        <v>2550</v>
      </c>
      <c r="F2074" t="s">
        <v>2547</v>
      </c>
      <c r="G2074" t="s">
        <v>2543</v>
      </c>
      <c r="H2074" t="s">
        <v>2548</v>
      </c>
      <c r="I2074" t="s">
        <v>289</v>
      </c>
      <c r="J2074" t="s">
        <v>344</v>
      </c>
      <c r="K2074">
        <v>20</v>
      </c>
      <c r="L2074" s="6">
        <v>7.1</v>
      </c>
      <c r="M2074" s="7">
        <v>23</v>
      </c>
      <c r="N2074" s="7">
        <v>140</v>
      </c>
      <c r="O2074" s="7">
        <v>0</v>
      </c>
      <c r="P2074" s="7">
        <v>0</v>
      </c>
      <c r="Q2074" s="7">
        <v>0</v>
      </c>
      <c r="R2074" s="6">
        <v>0</v>
      </c>
      <c r="S2074" s="6">
        <v>0</v>
      </c>
      <c r="T2074" t="str">
        <f t="shared" si="178"/>
        <v>Copacabana Rio Collection Square 1x6 Long</v>
      </c>
    </row>
    <row r="2075" spans="1:20" x14ac:dyDescent="0.25">
      <c r="A2075" t="s">
        <v>2510</v>
      </c>
      <c r="B2075" t="s">
        <v>2522</v>
      </c>
      <c r="C2075" t="s">
        <v>283</v>
      </c>
      <c r="D2075" t="s">
        <v>2512</v>
      </c>
      <c r="E2075" t="s">
        <v>2551</v>
      </c>
      <c r="F2075" t="s">
        <v>2552</v>
      </c>
      <c r="G2075" t="s">
        <v>2553</v>
      </c>
      <c r="H2075" t="s">
        <v>2526</v>
      </c>
      <c r="I2075" t="s">
        <v>289</v>
      </c>
      <c r="J2075" t="s">
        <v>764</v>
      </c>
      <c r="K2075">
        <v>16</v>
      </c>
      <c r="L2075" s="6">
        <v>4.88</v>
      </c>
      <c r="M2075" s="7">
        <v>50</v>
      </c>
      <c r="N2075" s="7">
        <v>50</v>
      </c>
      <c r="O2075" s="7">
        <v>0</v>
      </c>
      <c r="P2075" s="7">
        <v>0</v>
      </c>
      <c r="Q2075" s="7">
        <v>0</v>
      </c>
      <c r="R2075" s="6">
        <v>0</v>
      </c>
      <c r="S2075" s="6">
        <v>0</v>
      </c>
      <c r="T2075" t="str">
        <f t="shared" si="178"/>
        <v>Dark Brown Architecture Collection L Trim 2x2 Long</v>
      </c>
    </row>
    <row r="2076" spans="1:20" x14ac:dyDescent="0.25">
      <c r="A2076" t="s">
        <v>2510</v>
      </c>
      <c r="B2076" t="s">
        <v>2511</v>
      </c>
      <c r="C2076" t="s">
        <v>283</v>
      </c>
      <c r="D2076" t="s">
        <v>2512</v>
      </c>
      <c r="E2076" t="s">
        <v>2554</v>
      </c>
      <c r="F2076" t="s">
        <v>2555</v>
      </c>
      <c r="G2076" t="s">
        <v>2553</v>
      </c>
      <c r="H2076" t="s">
        <v>2529</v>
      </c>
      <c r="I2076" t="s">
        <v>289</v>
      </c>
      <c r="J2076" t="s">
        <v>2530</v>
      </c>
      <c r="K2076">
        <v>16</v>
      </c>
      <c r="L2076" s="6">
        <v>4.88</v>
      </c>
      <c r="M2076" s="7">
        <v>49</v>
      </c>
      <c r="N2076" s="7">
        <v>99</v>
      </c>
      <c r="O2076" s="7">
        <v>0</v>
      </c>
      <c r="P2076" s="7">
        <v>0</v>
      </c>
      <c r="Q2076" s="7">
        <v>0</v>
      </c>
      <c r="R2076" s="6">
        <v>0</v>
      </c>
      <c r="S2076" s="6">
        <v>0</v>
      </c>
      <c r="T2076" t="str">
        <f t="shared" si="178"/>
        <v>Dark Brown London Collection Corner Trim 1.5x3.9 Long</v>
      </c>
    </row>
    <row r="2077" spans="1:20" x14ac:dyDescent="0.25">
      <c r="A2077" t="s">
        <v>2510</v>
      </c>
      <c r="B2077" t="s">
        <v>2520</v>
      </c>
      <c r="C2077" t="s">
        <v>283</v>
      </c>
      <c r="D2077" t="s">
        <v>2512</v>
      </c>
      <c r="E2077" t="s">
        <v>2556</v>
      </c>
      <c r="F2077" t="s">
        <v>2557</v>
      </c>
      <c r="G2077" t="s">
        <v>2553</v>
      </c>
      <c r="H2077" t="s">
        <v>2529</v>
      </c>
      <c r="I2077" t="s">
        <v>289</v>
      </c>
      <c r="J2077" t="s">
        <v>2558</v>
      </c>
      <c r="K2077">
        <v>16</v>
      </c>
      <c r="L2077" s="6">
        <v>4.88</v>
      </c>
      <c r="M2077" s="7">
        <v>22.2</v>
      </c>
      <c r="N2077" s="7">
        <v>22.2</v>
      </c>
      <c r="O2077" s="7">
        <v>0</v>
      </c>
      <c r="P2077" s="7">
        <v>0</v>
      </c>
      <c r="Q2077" s="7">
        <v>0</v>
      </c>
      <c r="R2077" s="6">
        <v>0</v>
      </c>
      <c r="S2077" s="6">
        <v>0</v>
      </c>
      <c r="T2077" t="str">
        <f t="shared" si="178"/>
        <v>Dark Brown New York Collection Corner Trim 1x1 Long</v>
      </c>
    </row>
    <row r="2078" spans="1:20" x14ac:dyDescent="0.25">
      <c r="A2078" t="s">
        <v>2510</v>
      </c>
      <c r="B2078" t="s">
        <v>2531</v>
      </c>
      <c r="C2078" t="s">
        <v>283</v>
      </c>
      <c r="D2078" t="s">
        <v>2512</v>
      </c>
      <c r="E2078" t="s">
        <v>2559</v>
      </c>
      <c r="F2078" t="s">
        <v>2560</v>
      </c>
      <c r="G2078" t="s">
        <v>2553</v>
      </c>
      <c r="H2078" t="s">
        <v>2529</v>
      </c>
      <c r="I2078" t="s">
        <v>289</v>
      </c>
      <c r="J2078" t="s">
        <v>2534</v>
      </c>
      <c r="K2078">
        <v>16</v>
      </c>
      <c r="L2078" s="6">
        <v>4.88</v>
      </c>
      <c r="M2078" s="7">
        <v>38</v>
      </c>
      <c r="N2078" s="7">
        <v>78</v>
      </c>
      <c r="O2078" s="7">
        <v>0</v>
      </c>
      <c r="P2078" s="7">
        <v>0</v>
      </c>
      <c r="Q2078" s="7">
        <v>0</v>
      </c>
      <c r="R2078" s="6">
        <v>0</v>
      </c>
      <c r="S2078" s="6">
        <v>0</v>
      </c>
      <c r="T2078" t="str">
        <f t="shared" si="178"/>
        <v>Dark Brown Rome Collection Corner Trim 1.5x3 Long</v>
      </c>
    </row>
    <row r="2079" spans="1:20" x14ac:dyDescent="0.25">
      <c r="A2079" t="s">
        <v>2561</v>
      </c>
      <c r="B2079" t="s">
        <v>2562</v>
      </c>
      <c r="C2079" t="s">
        <v>283</v>
      </c>
      <c r="D2079" t="s">
        <v>2512</v>
      </c>
      <c r="E2079" t="s">
        <v>2563</v>
      </c>
      <c r="F2079" t="s">
        <v>2564</v>
      </c>
      <c r="G2079" t="s">
        <v>2565</v>
      </c>
      <c r="H2079" t="s">
        <v>2566</v>
      </c>
      <c r="I2079" t="s">
        <v>289</v>
      </c>
      <c r="J2079" t="s">
        <v>2567</v>
      </c>
      <c r="K2079">
        <v>16</v>
      </c>
      <c r="L2079" s="6">
        <v>4.88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6">
        <v>0</v>
      </c>
      <c r="S2079" s="6">
        <v>0</v>
      </c>
      <c r="T2079" t="str">
        <f t="shared" si="178"/>
        <v>Deck With Texture Gray Deck 1.25" x 5.5" Long</v>
      </c>
    </row>
    <row r="2080" spans="1:20" x14ac:dyDescent="0.25">
      <c r="A2080" t="s">
        <v>2561</v>
      </c>
      <c r="B2080" t="s">
        <v>2562</v>
      </c>
      <c r="C2080" t="s">
        <v>283</v>
      </c>
      <c r="D2080" t="s">
        <v>2512</v>
      </c>
      <c r="E2080" t="s">
        <v>2568</v>
      </c>
      <c r="F2080" t="s">
        <v>2569</v>
      </c>
      <c r="G2080" t="s">
        <v>2565</v>
      </c>
      <c r="H2080" t="s">
        <v>2566</v>
      </c>
      <c r="I2080" t="s">
        <v>289</v>
      </c>
      <c r="J2080" t="s">
        <v>2570</v>
      </c>
      <c r="K2080">
        <v>12</v>
      </c>
      <c r="L2080" s="6">
        <v>3.66</v>
      </c>
      <c r="M2080" s="7">
        <v>0</v>
      </c>
      <c r="N2080" s="7">
        <v>0</v>
      </c>
      <c r="O2080" s="7">
        <v>0</v>
      </c>
      <c r="P2080" s="7">
        <v>0</v>
      </c>
      <c r="Q2080" s="7">
        <v>0</v>
      </c>
      <c r="R2080" s="6">
        <v>0</v>
      </c>
      <c r="S2080" s="6">
        <v>0</v>
      </c>
      <c r="T2080" t="str">
        <f t="shared" si="178"/>
        <v>Deck With Texture Gray Deck 1.25" x 6" Long</v>
      </c>
    </row>
    <row r="2081" spans="1:20" x14ac:dyDescent="0.25">
      <c r="A2081" t="s">
        <v>2561</v>
      </c>
      <c r="B2081" t="s">
        <v>2562</v>
      </c>
      <c r="C2081" t="s">
        <v>283</v>
      </c>
      <c r="D2081" t="s">
        <v>2512</v>
      </c>
      <c r="E2081" t="s">
        <v>2571</v>
      </c>
      <c r="F2081" t="s">
        <v>2569</v>
      </c>
      <c r="G2081" t="s">
        <v>2565</v>
      </c>
      <c r="H2081" t="s">
        <v>2566</v>
      </c>
      <c r="I2081" t="s">
        <v>289</v>
      </c>
      <c r="J2081" t="s">
        <v>2570</v>
      </c>
      <c r="K2081">
        <v>16</v>
      </c>
      <c r="L2081" s="6">
        <v>4.88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6">
        <v>0</v>
      </c>
      <c r="S2081" s="6">
        <v>0</v>
      </c>
      <c r="T2081" t="str">
        <f t="shared" si="178"/>
        <v>Deck With Texture Gray Deck 1.25" x 6" Long</v>
      </c>
    </row>
    <row r="2082" spans="1:20" x14ac:dyDescent="0.25">
      <c r="A2082" t="s">
        <v>2561</v>
      </c>
      <c r="B2082" t="s">
        <v>2562</v>
      </c>
      <c r="C2082" t="s">
        <v>283</v>
      </c>
      <c r="D2082" t="s">
        <v>2512</v>
      </c>
      <c r="E2082" t="s">
        <v>2572</v>
      </c>
      <c r="F2082" t="s">
        <v>2573</v>
      </c>
      <c r="G2082" t="s">
        <v>2574</v>
      </c>
      <c r="H2082" t="s">
        <v>2566</v>
      </c>
      <c r="I2082" t="s">
        <v>289</v>
      </c>
      <c r="J2082" t="s">
        <v>2570</v>
      </c>
      <c r="K2082">
        <v>12</v>
      </c>
      <c r="L2082" s="6">
        <v>3.66</v>
      </c>
      <c r="M2082" s="7">
        <v>0</v>
      </c>
      <c r="N2082" s="7">
        <v>0</v>
      </c>
      <c r="O2082" s="7">
        <v>0</v>
      </c>
      <c r="P2082" s="7">
        <v>0</v>
      </c>
      <c r="Q2082" s="7">
        <v>0</v>
      </c>
      <c r="R2082" s="6">
        <v>0</v>
      </c>
      <c r="S2082" s="6">
        <v>0</v>
      </c>
      <c r="T2082" t="str">
        <f t="shared" si="178"/>
        <v>Deck With Texture Ipe Deck 1.25" x 6" Long</v>
      </c>
    </row>
    <row r="2083" spans="1:20" x14ac:dyDescent="0.25">
      <c r="A2083" t="s">
        <v>2561</v>
      </c>
      <c r="B2083" t="s">
        <v>2562</v>
      </c>
      <c r="C2083" t="s">
        <v>283</v>
      </c>
      <c r="D2083" t="s">
        <v>2512</v>
      </c>
      <c r="E2083" t="s">
        <v>2575</v>
      </c>
      <c r="F2083" t="s">
        <v>2573</v>
      </c>
      <c r="G2083" t="s">
        <v>2574</v>
      </c>
      <c r="H2083" t="s">
        <v>2566</v>
      </c>
      <c r="I2083" t="s">
        <v>289</v>
      </c>
      <c r="J2083" t="s">
        <v>2570</v>
      </c>
      <c r="K2083">
        <v>16</v>
      </c>
      <c r="L2083" s="6">
        <v>4.88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6">
        <v>0</v>
      </c>
      <c r="S2083" s="6">
        <v>0</v>
      </c>
      <c r="T2083" t="str">
        <f t="shared" si="178"/>
        <v>Deck With Texture Ipe Deck 1.25" x 6" Long</v>
      </c>
    </row>
    <row r="2084" spans="1:20" x14ac:dyDescent="0.25">
      <c r="A2084" t="s">
        <v>2576</v>
      </c>
      <c r="B2084" t="s">
        <v>2577</v>
      </c>
      <c r="C2084" t="s">
        <v>283</v>
      </c>
      <c r="D2084" t="s">
        <v>2512</v>
      </c>
      <c r="E2084" t="s">
        <v>2578</v>
      </c>
      <c r="F2084" t="s">
        <v>2579</v>
      </c>
      <c r="G2084" t="s">
        <v>2580</v>
      </c>
      <c r="H2084" t="s">
        <v>2529</v>
      </c>
      <c r="I2084" t="s">
        <v>289</v>
      </c>
      <c r="J2084" t="s">
        <v>2534</v>
      </c>
      <c r="K2084">
        <v>16</v>
      </c>
      <c r="L2084" s="6">
        <v>4.88</v>
      </c>
      <c r="M2084" s="7">
        <v>38</v>
      </c>
      <c r="N2084" s="7">
        <v>78</v>
      </c>
      <c r="O2084" s="7">
        <v>0</v>
      </c>
      <c r="P2084" s="7">
        <v>0</v>
      </c>
      <c r="Q2084" s="7">
        <v>0</v>
      </c>
      <c r="R2084" s="6">
        <v>0</v>
      </c>
      <c r="S2084" s="6">
        <v>0</v>
      </c>
      <c r="T2084" t="str">
        <f t="shared" si="178"/>
        <v>Ebony Performance Corner Trim 1.5x3 Long</v>
      </c>
    </row>
    <row r="2085" spans="1:20" x14ac:dyDescent="0.25">
      <c r="A2085" t="s">
        <v>2581</v>
      </c>
      <c r="B2085" t="s">
        <v>2577</v>
      </c>
      <c r="C2085" t="s">
        <v>283</v>
      </c>
      <c r="D2085" t="s">
        <v>2512</v>
      </c>
      <c r="E2085" t="s">
        <v>2582</v>
      </c>
      <c r="F2085" t="s">
        <v>2579</v>
      </c>
      <c r="G2085" t="s">
        <v>2580</v>
      </c>
      <c r="H2085" t="s">
        <v>2529</v>
      </c>
      <c r="I2085" t="s">
        <v>289</v>
      </c>
      <c r="J2085" t="s">
        <v>2534</v>
      </c>
      <c r="K2085">
        <v>16</v>
      </c>
      <c r="L2085" s="6">
        <v>4.88</v>
      </c>
      <c r="M2085" s="7">
        <v>38</v>
      </c>
      <c r="N2085" s="7">
        <v>78</v>
      </c>
      <c r="O2085" s="7">
        <v>0</v>
      </c>
      <c r="P2085" s="7">
        <v>0</v>
      </c>
      <c r="Q2085" s="7">
        <v>0</v>
      </c>
      <c r="R2085" s="6">
        <v>0</v>
      </c>
      <c r="S2085" s="6">
        <v>0</v>
      </c>
      <c r="T2085" t="str">
        <f t="shared" si="178"/>
        <v>Ebony Performance Corner Trim 1.5x3 Long</v>
      </c>
    </row>
    <row r="2086" spans="1:20" x14ac:dyDescent="0.25">
      <c r="A2086" t="s">
        <v>2576</v>
      </c>
      <c r="B2086" t="s">
        <v>2583</v>
      </c>
      <c r="C2086" t="s">
        <v>283</v>
      </c>
      <c r="D2086" t="s">
        <v>2512</v>
      </c>
      <c r="E2086" t="s">
        <v>2584</v>
      </c>
      <c r="F2086" t="s">
        <v>2585</v>
      </c>
      <c r="G2086" t="s">
        <v>2580</v>
      </c>
      <c r="H2086" t="s">
        <v>2529</v>
      </c>
      <c r="I2086" t="s">
        <v>289</v>
      </c>
      <c r="J2086" t="s">
        <v>2530</v>
      </c>
      <c r="K2086">
        <v>16</v>
      </c>
      <c r="L2086" s="6">
        <v>4.88</v>
      </c>
      <c r="M2086" s="7">
        <v>49</v>
      </c>
      <c r="N2086" s="7">
        <v>99</v>
      </c>
      <c r="O2086" s="7">
        <v>0</v>
      </c>
      <c r="P2086" s="7">
        <v>0</v>
      </c>
      <c r="Q2086" s="7">
        <v>0</v>
      </c>
      <c r="R2086" s="6">
        <v>0</v>
      </c>
      <c r="S2086" s="6">
        <v>0</v>
      </c>
      <c r="T2086" t="str">
        <f t="shared" si="178"/>
        <v>Ebony Performance Corner Trim 1.5x3.9 Long</v>
      </c>
    </row>
    <row r="2087" spans="1:20" x14ac:dyDescent="0.25">
      <c r="A2087" t="s">
        <v>2581</v>
      </c>
      <c r="B2087" t="s">
        <v>2583</v>
      </c>
      <c r="C2087" t="s">
        <v>283</v>
      </c>
      <c r="D2087" t="s">
        <v>2512</v>
      </c>
      <c r="E2087" t="s">
        <v>2586</v>
      </c>
      <c r="F2087" t="s">
        <v>2585</v>
      </c>
      <c r="G2087" t="s">
        <v>2580</v>
      </c>
      <c r="H2087" t="s">
        <v>2529</v>
      </c>
      <c r="I2087" t="s">
        <v>289</v>
      </c>
      <c r="J2087" t="s">
        <v>2530</v>
      </c>
      <c r="K2087">
        <v>16</v>
      </c>
      <c r="L2087" s="6">
        <v>4.88</v>
      </c>
      <c r="M2087" s="7">
        <v>49</v>
      </c>
      <c r="N2087" s="7">
        <v>99</v>
      </c>
      <c r="O2087" s="7">
        <v>0</v>
      </c>
      <c r="P2087" s="7">
        <v>0</v>
      </c>
      <c r="Q2087" s="7">
        <v>0</v>
      </c>
      <c r="R2087" s="6">
        <v>0</v>
      </c>
      <c r="S2087" s="6">
        <v>0</v>
      </c>
      <c r="T2087" t="str">
        <f t="shared" si="178"/>
        <v>Ebony Performance Corner Trim 1.5x3.9 Long</v>
      </c>
    </row>
    <row r="2088" spans="1:20" x14ac:dyDescent="0.25">
      <c r="A2088" t="s">
        <v>2576</v>
      </c>
      <c r="B2088" t="s">
        <v>2522</v>
      </c>
      <c r="C2088" t="s">
        <v>283</v>
      </c>
      <c r="D2088" t="s">
        <v>2512</v>
      </c>
      <c r="E2088" t="s">
        <v>2587</v>
      </c>
      <c r="F2088" t="s">
        <v>2588</v>
      </c>
      <c r="G2088" t="s">
        <v>2580</v>
      </c>
      <c r="H2088" t="s">
        <v>2526</v>
      </c>
      <c r="I2088" t="s">
        <v>289</v>
      </c>
      <c r="J2088" t="s">
        <v>764</v>
      </c>
      <c r="K2088">
        <v>16</v>
      </c>
      <c r="L2088" s="6">
        <v>4.88</v>
      </c>
      <c r="M2088" s="7">
        <v>50</v>
      </c>
      <c r="N2088" s="7">
        <v>50</v>
      </c>
      <c r="O2088" s="7">
        <v>0</v>
      </c>
      <c r="P2088" s="7">
        <v>0</v>
      </c>
      <c r="Q2088" s="7">
        <v>0</v>
      </c>
      <c r="R2088" s="6">
        <v>0</v>
      </c>
      <c r="S2088" s="6">
        <v>0</v>
      </c>
      <c r="T2088" t="str">
        <f t="shared" si="178"/>
        <v>Ebony Performance L Trim 2x2 Long</v>
      </c>
    </row>
    <row r="2089" spans="1:20" x14ac:dyDescent="0.25">
      <c r="A2089" t="s">
        <v>2581</v>
      </c>
      <c r="B2089" t="s">
        <v>2522</v>
      </c>
      <c r="C2089" t="s">
        <v>283</v>
      </c>
      <c r="D2089" t="s">
        <v>2512</v>
      </c>
      <c r="E2089" t="s">
        <v>2589</v>
      </c>
      <c r="F2089" t="s">
        <v>2588</v>
      </c>
      <c r="G2089" t="s">
        <v>2580</v>
      </c>
      <c r="H2089" t="s">
        <v>2526</v>
      </c>
      <c r="I2089" t="s">
        <v>289</v>
      </c>
      <c r="J2089" t="s">
        <v>764</v>
      </c>
      <c r="K2089">
        <v>16</v>
      </c>
      <c r="L2089" s="6">
        <v>4.88</v>
      </c>
      <c r="M2089" s="7">
        <v>50</v>
      </c>
      <c r="N2089" s="7">
        <v>50</v>
      </c>
      <c r="O2089" s="7">
        <v>0</v>
      </c>
      <c r="P2089" s="7">
        <v>0</v>
      </c>
      <c r="Q2089" s="7">
        <v>0</v>
      </c>
      <c r="R2089" s="6">
        <v>0</v>
      </c>
      <c r="S2089" s="6">
        <v>0</v>
      </c>
      <c r="T2089" t="str">
        <f t="shared" si="178"/>
        <v>Ebony Performance L Trim 2x2 Long</v>
      </c>
    </row>
    <row r="2090" spans="1:20" x14ac:dyDescent="0.25">
      <c r="A2090" t="s">
        <v>2576</v>
      </c>
      <c r="B2090" t="s">
        <v>2540</v>
      </c>
      <c r="C2090" t="s">
        <v>283</v>
      </c>
      <c r="D2090" t="s">
        <v>2512</v>
      </c>
      <c r="E2090" t="s">
        <v>2590</v>
      </c>
      <c r="F2090" t="s">
        <v>2591</v>
      </c>
      <c r="G2090" t="s">
        <v>2580</v>
      </c>
      <c r="H2090" t="s">
        <v>2515</v>
      </c>
      <c r="I2090" t="s">
        <v>289</v>
      </c>
      <c r="J2090" t="s">
        <v>344</v>
      </c>
      <c r="K2090">
        <v>16</v>
      </c>
      <c r="L2090" s="6">
        <v>4.88</v>
      </c>
      <c r="M2090" s="7">
        <v>25</v>
      </c>
      <c r="N2090" s="7">
        <v>142</v>
      </c>
      <c r="O2090" s="7">
        <v>0</v>
      </c>
      <c r="P2090" s="7">
        <v>0</v>
      </c>
      <c r="Q2090" s="7">
        <v>0</v>
      </c>
      <c r="R2090" s="6">
        <v>0</v>
      </c>
      <c r="S2090" s="6">
        <v>0</v>
      </c>
      <c r="T2090" t="str">
        <f t="shared" si="178"/>
        <v>Ebony Performance Profile 1x6 Long</v>
      </c>
    </row>
    <row r="2091" spans="1:20" x14ac:dyDescent="0.25">
      <c r="A2091" t="s">
        <v>2581</v>
      </c>
      <c r="B2091" t="s">
        <v>2592</v>
      </c>
      <c r="C2091" t="s">
        <v>283</v>
      </c>
      <c r="D2091" t="s">
        <v>2512</v>
      </c>
      <c r="E2091" t="s">
        <v>2593</v>
      </c>
      <c r="F2091" t="s">
        <v>2594</v>
      </c>
      <c r="G2091" t="s">
        <v>2580</v>
      </c>
      <c r="H2091" t="s">
        <v>2515</v>
      </c>
      <c r="I2091" t="s">
        <v>289</v>
      </c>
      <c r="J2091" t="s">
        <v>2538</v>
      </c>
      <c r="K2091">
        <v>16</v>
      </c>
      <c r="L2091" s="6">
        <v>4.88</v>
      </c>
      <c r="M2091" s="7">
        <v>26</v>
      </c>
      <c r="N2091" s="7">
        <v>176</v>
      </c>
      <c r="O2091" s="7">
        <v>0</v>
      </c>
      <c r="P2091" s="7">
        <v>0</v>
      </c>
      <c r="Q2091" s="7">
        <v>0</v>
      </c>
      <c r="R2091" s="6">
        <v>0</v>
      </c>
      <c r="S2091" s="6">
        <v>0</v>
      </c>
      <c r="T2091" t="str">
        <f t="shared" si="178"/>
        <v>Ebony Performance Profile 1x7 Long</v>
      </c>
    </row>
    <row r="2092" spans="1:20" x14ac:dyDescent="0.25">
      <c r="A2092" t="s">
        <v>2576</v>
      </c>
      <c r="B2092" t="s">
        <v>2595</v>
      </c>
      <c r="C2092" t="s">
        <v>283</v>
      </c>
      <c r="D2092" t="s">
        <v>2512</v>
      </c>
      <c r="E2092" t="s">
        <v>2596</v>
      </c>
      <c r="F2092" t="s">
        <v>2597</v>
      </c>
      <c r="G2092" t="s">
        <v>2580</v>
      </c>
      <c r="H2092" t="s">
        <v>2515</v>
      </c>
      <c r="I2092" t="s">
        <v>289</v>
      </c>
      <c r="J2092" t="s">
        <v>672</v>
      </c>
      <c r="K2092">
        <v>16</v>
      </c>
      <c r="L2092" s="6">
        <v>4.88</v>
      </c>
      <c r="M2092" s="7">
        <v>25</v>
      </c>
      <c r="N2092" s="7">
        <v>222</v>
      </c>
      <c r="O2092" s="7">
        <v>0</v>
      </c>
      <c r="P2092" s="7">
        <v>0</v>
      </c>
      <c r="Q2092" s="7">
        <v>0</v>
      </c>
      <c r="R2092" s="6">
        <v>0</v>
      </c>
      <c r="S2092" s="6">
        <v>0</v>
      </c>
      <c r="T2092" t="str">
        <f t="shared" si="178"/>
        <v>Ebony Performance Profile 1x8 Long</v>
      </c>
    </row>
    <row r="2093" spans="1:20" x14ac:dyDescent="0.25">
      <c r="A2093" t="s">
        <v>2581</v>
      </c>
      <c r="B2093" t="s">
        <v>2595</v>
      </c>
      <c r="C2093" t="s">
        <v>283</v>
      </c>
      <c r="D2093" t="s">
        <v>2512</v>
      </c>
      <c r="E2093" t="s">
        <v>2598</v>
      </c>
      <c r="F2093" t="s">
        <v>2597</v>
      </c>
      <c r="G2093" t="s">
        <v>2580</v>
      </c>
      <c r="H2093" t="s">
        <v>2515</v>
      </c>
      <c r="I2093" t="s">
        <v>289</v>
      </c>
      <c r="J2093" t="s">
        <v>672</v>
      </c>
      <c r="K2093">
        <v>16</v>
      </c>
      <c r="L2093" s="6">
        <v>4.88</v>
      </c>
      <c r="M2093" s="7">
        <v>26</v>
      </c>
      <c r="N2093" s="7">
        <v>219</v>
      </c>
      <c r="O2093" s="7">
        <v>0</v>
      </c>
      <c r="P2093" s="7">
        <v>0</v>
      </c>
      <c r="Q2093" s="7">
        <v>0</v>
      </c>
      <c r="R2093" s="6">
        <v>0</v>
      </c>
      <c r="S2093" s="6">
        <v>0</v>
      </c>
      <c r="T2093" t="str">
        <f t="shared" si="178"/>
        <v>Ebony Performance Profile 1x8 Long</v>
      </c>
    </row>
    <row r="2094" spans="1:20" x14ac:dyDescent="0.25">
      <c r="A2094" t="s">
        <v>2581</v>
      </c>
      <c r="B2094" t="s">
        <v>2595</v>
      </c>
      <c r="C2094" t="s">
        <v>283</v>
      </c>
      <c r="D2094" t="s">
        <v>2512</v>
      </c>
      <c r="E2094" t="s">
        <v>2599</v>
      </c>
      <c r="F2094" t="s">
        <v>2597</v>
      </c>
      <c r="G2094" t="s">
        <v>2580</v>
      </c>
      <c r="H2094" t="s">
        <v>2515</v>
      </c>
      <c r="I2094" t="s">
        <v>289</v>
      </c>
      <c r="J2094" t="s">
        <v>672</v>
      </c>
      <c r="K2094">
        <v>7</v>
      </c>
      <c r="L2094" s="6">
        <v>2.13</v>
      </c>
      <c r="M2094" s="7">
        <v>26</v>
      </c>
      <c r="N2094" s="7">
        <v>219</v>
      </c>
      <c r="O2094" s="7">
        <v>0</v>
      </c>
      <c r="P2094" s="7">
        <v>0</v>
      </c>
      <c r="Q2094" s="7">
        <v>0</v>
      </c>
      <c r="R2094" s="6">
        <v>0</v>
      </c>
      <c r="S2094" s="6">
        <v>0</v>
      </c>
      <c r="T2094" t="str">
        <f t="shared" si="178"/>
        <v>Ebony Performance Profile 1x8 Long</v>
      </c>
    </row>
    <row r="2095" spans="1:20" x14ac:dyDescent="0.25">
      <c r="A2095" t="s">
        <v>2600</v>
      </c>
      <c r="B2095" t="s">
        <v>2601</v>
      </c>
      <c r="C2095" t="s">
        <v>283</v>
      </c>
      <c r="D2095" t="s">
        <v>2512</v>
      </c>
      <c r="E2095" t="s">
        <v>2602</v>
      </c>
      <c r="F2095" t="s">
        <v>2603</v>
      </c>
      <c r="G2095" t="s">
        <v>2604</v>
      </c>
      <c r="H2095" t="s">
        <v>2600</v>
      </c>
      <c r="I2095" t="s">
        <v>289</v>
      </c>
      <c r="J2095" t="s">
        <v>2605</v>
      </c>
      <c r="K2095">
        <v>8</v>
      </c>
      <c r="L2095" s="6">
        <v>2.44</v>
      </c>
      <c r="M2095" s="7">
        <v>19.05</v>
      </c>
      <c r="N2095" s="7">
        <v>1219.2</v>
      </c>
      <c r="O2095" s="7">
        <v>0</v>
      </c>
      <c r="P2095" s="7">
        <v>0</v>
      </c>
      <c r="Q2095" s="7">
        <v>0</v>
      </c>
      <c r="R2095" s="6">
        <v>0</v>
      </c>
      <c r="S2095" s="6">
        <v>0</v>
      </c>
      <c r="T2095" t="str">
        <f t="shared" si="178"/>
        <v>Elliots Pine Plywood 3/4x4x8' Long</v>
      </c>
    </row>
    <row r="2096" spans="1:20" x14ac:dyDescent="0.25">
      <c r="A2096" t="s">
        <v>2600</v>
      </c>
      <c r="B2096" t="s">
        <v>2601</v>
      </c>
      <c r="C2096" t="s">
        <v>283</v>
      </c>
      <c r="D2096" t="s">
        <v>2512</v>
      </c>
      <c r="E2096" t="s">
        <v>2606</v>
      </c>
      <c r="F2096" t="s">
        <v>2607</v>
      </c>
      <c r="G2096" t="s">
        <v>2604</v>
      </c>
      <c r="H2096" t="s">
        <v>2600</v>
      </c>
      <c r="I2096" t="s">
        <v>289</v>
      </c>
      <c r="J2096" t="s">
        <v>1968</v>
      </c>
      <c r="K2096">
        <v>8</v>
      </c>
      <c r="L2096" s="6">
        <v>2.44</v>
      </c>
      <c r="M2096" s="7">
        <v>15.88</v>
      </c>
      <c r="N2096" s="7">
        <v>1219.2</v>
      </c>
      <c r="O2096" s="7">
        <v>0</v>
      </c>
      <c r="P2096" s="7">
        <v>0</v>
      </c>
      <c r="Q2096" s="7">
        <v>0</v>
      </c>
      <c r="R2096" s="6">
        <v>0</v>
      </c>
      <c r="S2096" s="6">
        <v>0</v>
      </c>
      <c r="T2096" t="str">
        <f t="shared" si="178"/>
        <v>Elliots Pine Plywood 5/4x4x8' Long</v>
      </c>
    </row>
    <row r="2097" spans="1:20" x14ac:dyDescent="0.25">
      <c r="A2097" t="s">
        <v>2510</v>
      </c>
      <c r="B2097" t="s">
        <v>2520</v>
      </c>
      <c r="C2097" t="s">
        <v>283</v>
      </c>
      <c r="D2097" t="s">
        <v>2512</v>
      </c>
      <c r="E2097" t="s">
        <v>134</v>
      </c>
      <c r="F2097" t="s">
        <v>2608</v>
      </c>
      <c r="G2097" t="s">
        <v>2609</v>
      </c>
      <c r="H2097" t="s">
        <v>2515</v>
      </c>
      <c r="I2097" t="s">
        <v>289</v>
      </c>
      <c r="J2097" t="s">
        <v>344</v>
      </c>
      <c r="K2097">
        <v>16</v>
      </c>
      <c r="L2097" s="6">
        <v>4.88</v>
      </c>
      <c r="M2097" s="7">
        <v>21</v>
      </c>
      <c r="N2097" s="7">
        <v>156</v>
      </c>
      <c r="O2097" s="7">
        <v>0</v>
      </c>
      <c r="P2097" s="7">
        <v>0</v>
      </c>
      <c r="Q2097" s="7">
        <v>0</v>
      </c>
      <c r="R2097" s="6">
        <v>0</v>
      </c>
      <c r="S2097" s="6">
        <v>0</v>
      </c>
      <c r="T2097" t="str">
        <f t="shared" si="178"/>
        <v>Empire State New York Collection Profile 1x6 Long</v>
      </c>
    </row>
    <row r="2098" spans="1:20" x14ac:dyDescent="0.25">
      <c r="A2098" t="s">
        <v>2510</v>
      </c>
      <c r="B2098" t="s">
        <v>2520</v>
      </c>
      <c r="C2098" t="s">
        <v>283</v>
      </c>
      <c r="D2098" t="s">
        <v>2512</v>
      </c>
      <c r="E2098" t="s">
        <v>2610</v>
      </c>
      <c r="F2098" t="s">
        <v>2608</v>
      </c>
      <c r="G2098" t="s">
        <v>2609</v>
      </c>
      <c r="H2098" t="s">
        <v>2515</v>
      </c>
      <c r="I2098" t="s">
        <v>289</v>
      </c>
      <c r="J2098" t="s">
        <v>344</v>
      </c>
      <c r="K2098">
        <v>8</v>
      </c>
      <c r="L2098" s="6">
        <v>2.44</v>
      </c>
      <c r="M2098" s="7">
        <v>21</v>
      </c>
      <c r="N2098" s="7">
        <v>156</v>
      </c>
      <c r="O2098" s="7">
        <v>0</v>
      </c>
      <c r="P2098" s="7">
        <v>0</v>
      </c>
      <c r="Q2098" s="7">
        <v>0</v>
      </c>
      <c r="R2098" s="6">
        <v>0</v>
      </c>
      <c r="S2098" s="6">
        <v>0</v>
      </c>
      <c r="T2098" t="str">
        <f t="shared" si="178"/>
        <v>Empire State New York Collection Profile 1x6 Long</v>
      </c>
    </row>
    <row r="2099" spans="1:20" x14ac:dyDescent="0.25">
      <c r="A2099" t="s">
        <v>2510</v>
      </c>
      <c r="B2099" t="s">
        <v>2611</v>
      </c>
      <c r="C2099" t="s">
        <v>283</v>
      </c>
      <c r="D2099" t="s">
        <v>2512</v>
      </c>
      <c r="E2099" t="s">
        <v>252</v>
      </c>
      <c r="F2099" t="s">
        <v>2612</v>
      </c>
      <c r="G2099" t="s">
        <v>2613</v>
      </c>
      <c r="H2099" t="s">
        <v>2515</v>
      </c>
      <c r="I2099" t="s">
        <v>289</v>
      </c>
      <c r="J2099" t="s">
        <v>344</v>
      </c>
      <c r="K2099">
        <v>16</v>
      </c>
      <c r="L2099" s="6">
        <v>4.88</v>
      </c>
      <c r="M2099" s="7">
        <v>11.5</v>
      </c>
      <c r="N2099" s="7">
        <v>140</v>
      </c>
      <c r="O2099" s="7">
        <v>0</v>
      </c>
      <c r="P2099" s="7">
        <v>0</v>
      </c>
      <c r="Q2099" s="7">
        <v>0</v>
      </c>
      <c r="R2099" s="6">
        <v>0</v>
      </c>
      <c r="S2099" s="6">
        <v>0</v>
      </c>
      <c r="T2099" t="str">
        <f t="shared" si="178"/>
        <v>Fascia Charcoal Fascia Collection Profile 1x6 Long</v>
      </c>
    </row>
    <row r="2100" spans="1:20" x14ac:dyDescent="0.25">
      <c r="A2100" t="s">
        <v>2510</v>
      </c>
      <c r="B2100" t="s">
        <v>2611</v>
      </c>
      <c r="C2100" t="s">
        <v>283</v>
      </c>
      <c r="D2100" t="s">
        <v>2512</v>
      </c>
      <c r="E2100" t="s">
        <v>253</v>
      </c>
      <c r="F2100" t="s">
        <v>2614</v>
      </c>
      <c r="G2100" t="s">
        <v>2615</v>
      </c>
      <c r="H2100" t="s">
        <v>2515</v>
      </c>
      <c r="I2100" t="s">
        <v>289</v>
      </c>
      <c r="J2100" t="s">
        <v>344</v>
      </c>
      <c r="K2100">
        <v>16</v>
      </c>
      <c r="L2100" s="6">
        <v>4.88</v>
      </c>
      <c r="M2100" s="7">
        <v>11.5</v>
      </c>
      <c r="N2100" s="7">
        <v>140</v>
      </c>
      <c r="O2100" s="7">
        <v>0</v>
      </c>
      <c r="P2100" s="7">
        <v>0</v>
      </c>
      <c r="Q2100" s="7">
        <v>0</v>
      </c>
      <c r="R2100" s="6">
        <v>0</v>
      </c>
      <c r="S2100" s="6">
        <v>0</v>
      </c>
      <c r="T2100" t="str">
        <f t="shared" si="178"/>
        <v>Fascia Dark Brown Fascia Collection Profile 1x6 Long</v>
      </c>
    </row>
    <row r="2101" spans="1:20" x14ac:dyDescent="0.25">
      <c r="A2101" t="s">
        <v>2510</v>
      </c>
      <c r="B2101" t="s">
        <v>2611</v>
      </c>
      <c r="C2101" t="s">
        <v>283</v>
      </c>
      <c r="D2101" t="s">
        <v>2512</v>
      </c>
      <c r="E2101" t="s">
        <v>254</v>
      </c>
      <c r="F2101" t="s">
        <v>2616</v>
      </c>
      <c r="G2101" t="s">
        <v>2617</v>
      </c>
      <c r="H2101" t="s">
        <v>2515</v>
      </c>
      <c r="I2101" t="s">
        <v>289</v>
      </c>
      <c r="J2101" t="s">
        <v>344</v>
      </c>
      <c r="K2101">
        <v>16</v>
      </c>
      <c r="L2101" s="6">
        <v>4.88</v>
      </c>
      <c r="M2101" s="7">
        <v>11.5</v>
      </c>
      <c r="N2101" s="7">
        <v>140</v>
      </c>
      <c r="O2101" s="7">
        <v>0</v>
      </c>
      <c r="P2101" s="7">
        <v>0</v>
      </c>
      <c r="Q2101" s="7">
        <v>0</v>
      </c>
      <c r="R2101" s="6">
        <v>0</v>
      </c>
      <c r="S2101" s="6">
        <v>0</v>
      </c>
      <c r="T2101" t="str">
        <f t="shared" si="178"/>
        <v>Fascia Gray Fascia Collection Profile 1x6 Long</v>
      </c>
    </row>
    <row r="2102" spans="1:20" x14ac:dyDescent="0.25">
      <c r="A2102" t="s">
        <v>2510</v>
      </c>
      <c r="B2102" t="s">
        <v>2611</v>
      </c>
      <c r="C2102" t="s">
        <v>283</v>
      </c>
      <c r="D2102" t="s">
        <v>2512</v>
      </c>
      <c r="E2102" t="s">
        <v>255</v>
      </c>
      <c r="F2102" t="s">
        <v>2618</v>
      </c>
      <c r="G2102" t="s">
        <v>2619</v>
      </c>
      <c r="H2102" t="s">
        <v>2515</v>
      </c>
      <c r="I2102" t="s">
        <v>289</v>
      </c>
      <c r="J2102" t="s">
        <v>344</v>
      </c>
      <c r="K2102">
        <v>16</v>
      </c>
      <c r="L2102" s="6">
        <v>4.88</v>
      </c>
      <c r="M2102" s="7">
        <v>11.5</v>
      </c>
      <c r="N2102" s="7">
        <v>140</v>
      </c>
      <c r="O2102" s="7">
        <v>0</v>
      </c>
      <c r="P2102" s="7">
        <v>0</v>
      </c>
      <c r="Q2102" s="7">
        <v>0</v>
      </c>
      <c r="R2102" s="6">
        <v>0</v>
      </c>
      <c r="S2102" s="6">
        <v>0</v>
      </c>
      <c r="T2102" t="str">
        <f t="shared" si="178"/>
        <v>Fascia Light Brown Fascia Collection Profile 1x6 Long</v>
      </c>
    </row>
    <row r="2103" spans="1:20" x14ac:dyDescent="0.25">
      <c r="A2103" t="s">
        <v>2510</v>
      </c>
      <c r="B2103" t="s">
        <v>2522</v>
      </c>
      <c r="C2103" t="s">
        <v>283</v>
      </c>
      <c r="D2103" t="s">
        <v>2512</v>
      </c>
      <c r="E2103" t="s">
        <v>2620</v>
      </c>
      <c r="F2103" t="s">
        <v>2621</v>
      </c>
      <c r="G2103" t="s">
        <v>2622</v>
      </c>
      <c r="H2103" t="s">
        <v>2526</v>
      </c>
      <c r="I2103" t="s">
        <v>289</v>
      </c>
      <c r="J2103" t="s">
        <v>764</v>
      </c>
      <c r="K2103">
        <v>16</v>
      </c>
      <c r="L2103" s="6">
        <v>4.88</v>
      </c>
      <c r="M2103" s="7">
        <v>50</v>
      </c>
      <c r="N2103" s="7">
        <v>50</v>
      </c>
      <c r="O2103" s="7">
        <v>0</v>
      </c>
      <c r="P2103" s="7">
        <v>0</v>
      </c>
      <c r="Q2103" s="7">
        <v>0</v>
      </c>
      <c r="R2103" s="6">
        <v>0</v>
      </c>
      <c r="S2103" s="6">
        <v>0</v>
      </c>
      <c r="T2103" t="str">
        <f t="shared" si="178"/>
        <v>Gray Architecture Collection L Trim 2x2 Long</v>
      </c>
    </row>
    <row r="2104" spans="1:20" x14ac:dyDescent="0.25">
      <c r="A2104" t="s">
        <v>2561</v>
      </c>
      <c r="B2104" t="s">
        <v>2562</v>
      </c>
      <c r="C2104" t="s">
        <v>283</v>
      </c>
      <c r="D2104" t="s">
        <v>2512</v>
      </c>
      <c r="E2104" t="s">
        <v>2623</v>
      </c>
      <c r="F2104" t="s">
        <v>2624</v>
      </c>
      <c r="G2104" t="s">
        <v>2622</v>
      </c>
      <c r="H2104" t="s">
        <v>2625</v>
      </c>
      <c r="I2104" t="s">
        <v>289</v>
      </c>
      <c r="J2104" t="s">
        <v>1180</v>
      </c>
      <c r="K2104">
        <v>6</v>
      </c>
      <c r="L2104" s="6">
        <v>1.83</v>
      </c>
      <c r="M2104" s="7">
        <v>0</v>
      </c>
      <c r="N2104" s="7">
        <v>0</v>
      </c>
      <c r="O2104" s="7">
        <v>0</v>
      </c>
      <c r="P2104" s="7">
        <v>0</v>
      </c>
      <c r="Q2104" s="7">
        <v>0</v>
      </c>
      <c r="R2104" s="6">
        <v>0</v>
      </c>
      <c r="S2104" s="6">
        <v>0</v>
      </c>
      <c r="T2104" t="str">
        <f t="shared" si="178"/>
        <v>Gray Edge Finishinf 6x6 Long</v>
      </c>
    </row>
    <row r="2105" spans="1:20" x14ac:dyDescent="0.25">
      <c r="A2105" t="s">
        <v>2561</v>
      </c>
      <c r="B2105" t="s">
        <v>2562</v>
      </c>
      <c r="C2105" t="s">
        <v>283</v>
      </c>
      <c r="D2105" t="s">
        <v>2512</v>
      </c>
      <c r="E2105" t="s">
        <v>2626</v>
      </c>
      <c r="F2105" t="s">
        <v>2624</v>
      </c>
      <c r="G2105" t="s">
        <v>2622</v>
      </c>
      <c r="H2105" t="s">
        <v>2625</v>
      </c>
      <c r="I2105" t="s">
        <v>289</v>
      </c>
      <c r="J2105" t="s">
        <v>1180</v>
      </c>
      <c r="K2105">
        <v>6</v>
      </c>
      <c r="L2105" s="6">
        <v>1.83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6">
        <v>0</v>
      </c>
      <c r="S2105" s="6">
        <v>0</v>
      </c>
      <c r="T2105" t="str">
        <f t="shared" si="178"/>
        <v>Gray Edge Finishinf 6x6 Long</v>
      </c>
    </row>
    <row r="2106" spans="1:20" x14ac:dyDescent="0.25">
      <c r="A2106" t="s">
        <v>2510</v>
      </c>
      <c r="B2106" t="s">
        <v>2511</v>
      </c>
      <c r="C2106" t="s">
        <v>283</v>
      </c>
      <c r="D2106" t="s">
        <v>2512</v>
      </c>
      <c r="E2106" t="s">
        <v>2627</v>
      </c>
      <c r="F2106" t="s">
        <v>2628</v>
      </c>
      <c r="G2106" t="s">
        <v>2622</v>
      </c>
      <c r="H2106" t="s">
        <v>2529</v>
      </c>
      <c r="I2106" t="s">
        <v>289</v>
      </c>
      <c r="J2106" t="s">
        <v>2530</v>
      </c>
      <c r="K2106">
        <v>16</v>
      </c>
      <c r="L2106" s="6">
        <v>4.88</v>
      </c>
      <c r="M2106" s="7">
        <v>49</v>
      </c>
      <c r="N2106" s="7">
        <v>99</v>
      </c>
      <c r="O2106" s="7">
        <v>0</v>
      </c>
      <c r="P2106" s="7">
        <v>0</v>
      </c>
      <c r="Q2106" s="7">
        <v>0</v>
      </c>
      <c r="R2106" s="6">
        <v>0</v>
      </c>
      <c r="S2106" s="6">
        <v>0</v>
      </c>
      <c r="T2106" t="str">
        <f t="shared" si="178"/>
        <v>Gray London Collection Corner Trim 1.5x3.9 Long</v>
      </c>
    </row>
    <row r="2107" spans="1:20" x14ac:dyDescent="0.25">
      <c r="A2107" t="s">
        <v>2510</v>
      </c>
      <c r="B2107" t="s">
        <v>2520</v>
      </c>
      <c r="C2107" t="s">
        <v>283</v>
      </c>
      <c r="D2107" t="s">
        <v>2512</v>
      </c>
      <c r="E2107" t="s">
        <v>2629</v>
      </c>
      <c r="F2107" t="s">
        <v>2630</v>
      </c>
      <c r="G2107" t="s">
        <v>2622</v>
      </c>
      <c r="H2107" t="s">
        <v>2529</v>
      </c>
      <c r="I2107" t="s">
        <v>289</v>
      </c>
      <c r="J2107" t="s">
        <v>2558</v>
      </c>
      <c r="K2107">
        <v>16</v>
      </c>
      <c r="L2107" s="6">
        <v>4.88</v>
      </c>
      <c r="M2107" s="7">
        <v>22.2</v>
      </c>
      <c r="N2107" s="7">
        <v>22.2</v>
      </c>
      <c r="O2107" s="7">
        <v>0</v>
      </c>
      <c r="P2107" s="7">
        <v>0</v>
      </c>
      <c r="Q2107" s="7">
        <v>0</v>
      </c>
      <c r="R2107" s="6">
        <v>0</v>
      </c>
      <c r="S2107" s="6">
        <v>0</v>
      </c>
      <c r="T2107" t="str">
        <f t="shared" si="178"/>
        <v>Gray New York Collection Corner Trim 1x1 Long</v>
      </c>
    </row>
    <row r="2108" spans="1:20" x14ac:dyDescent="0.25">
      <c r="A2108" t="s">
        <v>2510</v>
      </c>
      <c r="B2108" t="s">
        <v>2531</v>
      </c>
      <c r="C2108" t="s">
        <v>283</v>
      </c>
      <c r="D2108" t="s">
        <v>2512</v>
      </c>
      <c r="E2108" t="s">
        <v>2631</v>
      </c>
      <c r="F2108" t="s">
        <v>2632</v>
      </c>
      <c r="G2108" t="s">
        <v>2622</v>
      </c>
      <c r="H2108" t="s">
        <v>2529</v>
      </c>
      <c r="I2108" t="s">
        <v>289</v>
      </c>
      <c r="J2108" t="s">
        <v>2534</v>
      </c>
      <c r="K2108">
        <v>16</v>
      </c>
      <c r="L2108" s="6">
        <v>4.88</v>
      </c>
      <c r="M2108" s="7">
        <v>38</v>
      </c>
      <c r="N2108" s="7">
        <v>78</v>
      </c>
      <c r="O2108" s="7">
        <v>0</v>
      </c>
      <c r="P2108" s="7">
        <v>0</v>
      </c>
      <c r="Q2108" s="7">
        <v>0</v>
      </c>
      <c r="R2108" s="6">
        <v>0</v>
      </c>
      <c r="S2108" s="6">
        <v>0</v>
      </c>
      <c r="T2108" t="str">
        <f t="shared" si="178"/>
        <v>Gray Rome Collection Corner Trim 1.5x3 Long</v>
      </c>
    </row>
    <row r="2109" spans="1:20" x14ac:dyDescent="0.25">
      <c r="A2109" t="s">
        <v>2576</v>
      </c>
      <c r="B2109" t="s">
        <v>2577</v>
      </c>
      <c r="C2109" t="s">
        <v>283</v>
      </c>
      <c r="D2109" t="s">
        <v>2512</v>
      </c>
      <c r="E2109" t="s">
        <v>2633</v>
      </c>
      <c r="F2109" t="s">
        <v>2634</v>
      </c>
      <c r="G2109" t="s">
        <v>2635</v>
      </c>
      <c r="H2109" t="s">
        <v>2529</v>
      </c>
      <c r="I2109" t="s">
        <v>289</v>
      </c>
      <c r="J2109" t="s">
        <v>2534</v>
      </c>
      <c r="K2109">
        <v>16</v>
      </c>
      <c r="L2109" s="6">
        <v>4.88</v>
      </c>
      <c r="M2109" s="7">
        <v>38</v>
      </c>
      <c r="N2109" s="7">
        <v>78</v>
      </c>
      <c r="O2109" s="7">
        <v>0</v>
      </c>
      <c r="P2109" s="7">
        <v>0</v>
      </c>
      <c r="Q2109" s="7">
        <v>0</v>
      </c>
      <c r="R2109" s="6">
        <v>0</v>
      </c>
      <c r="S2109" s="6">
        <v>0</v>
      </c>
      <c r="T2109" t="str">
        <f t="shared" si="178"/>
        <v>Hickory Performance Corner Trim 1.5x3 Long</v>
      </c>
    </row>
    <row r="2110" spans="1:20" x14ac:dyDescent="0.25">
      <c r="A2110" t="s">
        <v>2581</v>
      </c>
      <c r="B2110" t="s">
        <v>2577</v>
      </c>
      <c r="C2110" t="s">
        <v>283</v>
      </c>
      <c r="D2110" t="s">
        <v>2512</v>
      </c>
      <c r="E2110" t="s">
        <v>2636</v>
      </c>
      <c r="F2110" t="s">
        <v>2634</v>
      </c>
      <c r="G2110" t="s">
        <v>2635</v>
      </c>
      <c r="H2110" t="s">
        <v>2529</v>
      </c>
      <c r="I2110" t="s">
        <v>289</v>
      </c>
      <c r="J2110" t="s">
        <v>2534</v>
      </c>
      <c r="K2110">
        <v>16</v>
      </c>
      <c r="L2110" s="6">
        <v>4.88</v>
      </c>
      <c r="M2110" s="7">
        <v>38</v>
      </c>
      <c r="N2110" s="7">
        <v>78</v>
      </c>
      <c r="O2110" s="7">
        <v>0</v>
      </c>
      <c r="P2110" s="7">
        <v>0</v>
      </c>
      <c r="Q2110" s="7">
        <v>0</v>
      </c>
      <c r="R2110" s="6">
        <v>0</v>
      </c>
      <c r="S2110" s="6">
        <v>0</v>
      </c>
      <c r="T2110" t="str">
        <f t="shared" si="178"/>
        <v>Hickory Performance Corner Trim 1.5x3 Long</v>
      </c>
    </row>
    <row r="2111" spans="1:20" x14ac:dyDescent="0.25">
      <c r="A2111" t="s">
        <v>2576</v>
      </c>
      <c r="B2111" t="s">
        <v>2583</v>
      </c>
      <c r="C2111" t="s">
        <v>283</v>
      </c>
      <c r="D2111" t="s">
        <v>2512</v>
      </c>
      <c r="E2111" t="s">
        <v>2637</v>
      </c>
      <c r="F2111" t="s">
        <v>2638</v>
      </c>
      <c r="G2111" t="s">
        <v>2635</v>
      </c>
      <c r="H2111" t="s">
        <v>2529</v>
      </c>
      <c r="I2111" t="s">
        <v>289</v>
      </c>
      <c r="J2111" t="s">
        <v>2530</v>
      </c>
      <c r="K2111">
        <v>16</v>
      </c>
      <c r="L2111" s="6">
        <v>4.88</v>
      </c>
      <c r="M2111" s="7">
        <v>49</v>
      </c>
      <c r="N2111" s="7">
        <v>99</v>
      </c>
      <c r="O2111" s="7">
        <v>0</v>
      </c>
      <c r="P2111" s="7">
        <v>0</v>
      </c>
      <c r="Q2111" s="7">
        <v>0</v>
      </c>
      <c r="R2111" s="6">
        <v>0</v>
      </c>
      <c r="S2111" s="6">
        <v>0</v>
      </c>
      <c r="T2111" t="str">
        <f t="shared" si="178"/>
        <v>Hickory Performance Corner Trim 1.5x3.9 Long</v>
      </c>
    </row>
    <row r="2112" spans="1:20" x14ac:dyDescent="0.25">
      <c r="A2112" t="s">
        <v>2581</v>
      </c>
      <c r="B2112" t="s">
        <v>2583</v>
      </c>
      <c r="C2112" t="s">
        <v>283</v>
      </c>
      <c r="D2112" t="s">
        <v>2512</v>
      </c>
      <c r="E2112" t="s">
        <v>2639</v>
      </c>
      <c r="F2112" t="s">
        <v>2638</v>
      </c>
      <c r="G2112" t="s">
        <v>2635</v>
      </c>
      <c r="H2112" t="s">
        <v>2529</v>
      </c>
      <c r="I2112" t="s">
        <v>289</v>
      </c>
      <c r="J2112" t="s">
        <v>2530</v>
      </c>
      <c r="K2112">
        <v>16</v>
      </c>
      <c r="L2112" s="6">
        <v>4.88</v>
      </c>
      <c r="M2112" s="7">
        <v>49</v>
      </c>
      <c r="N2112" s="7">
        <v>99</v>
      </c>
      <c r="O2112" s="7">
        <v>0</v>
      </c>
      <c r="P2112" s="7">
        <v>0</v>
      </c>
      <c r="Q2112" s="7">
        <v>0</v>
      </c>
      <c r="R2112" s="6">
        <v>0</v>
      </c>
      <c r="S2112" s="6">
        <v>0</v>
      </c>
      <c r="T2112" t="str">
        <f t="shared" si="178"/>
        <v>Hickory Performance Corner Trim 1.5x3.9 Long</v>
      </c>
    </row>
    <row r="2113" spans="1:20" x14ac:dyDescent="0.25">
      <c r="A2113" t="s">
        <v>2576</v>
      </c>
      <c r="B2113" t="s">
        <v>2522</v>
      </c>
      <c r="C2113" t="s">
        <v>283</v>
      </c>
      <c r="D2113" t="s">
        <v>2512</v>
      </c>
      <c r="E2113" t="s">
        <v>2640</v>
      </c>
      <c r="F2113" t="s">
        <v>2641</v>
      </c>
      <c r="G2113" t="s">
        <v>2635</v>
      </c>
      <c r="H2113" t="s">
        <v>2526</v>
      </c>
      <c r="I2113" t="s">
        <v>289</v>
      </c>
      <c r="J2113" t="s">
        <v>764</v>
      </c>
      <c r="K2113">
        <v>16</v>
      </c>
      <c r="L2113" s="6">
        <v>4.88</v>
      </c>
      <c r="M2113" s="7">
        <v>50</v>
      </c>
      <c r="N2113" s="7">
        <v>50</v>
      </c>
      <c r="O2113" s="7">
        <v>0</v>
      </c>
      <c r="P2113" s="7">
        <v>0</v>
      </c>
      <c r="Q2113" s="7">
        <v>0</v>
      </c>
      <c r="R2113" s="6">
        <v>0</v>
      </c>
      <c r="S2113" s="6">
        <v>0</v>
      </c>
      <c r="T2113" t="str">
        <f t="shared" si="178"/>
        <v>Hickory Performance L Trim 2x2 Long</v>
      </c>
    </row>
    <row r="2114" spans="1:20" x14ac:dyDescent="0.25">
      <c r="A2114" t="s">
        <v>2581</v>
      </c>
      <c r="B2114" t="s">
        <v>2522</v>
      </c>
      <c r="C2114" t="s">
        <v>283</v>
      </c>
      <c r="D2114" t="s">
        <v>2512</v>
      </c>
      <c r="E2114" t="s">
        <v>2642</v>
      </c>
      <c r="F2114" t="s">
        <v>2641</v>
      </c>
      <c r="G2114" t="s">
        <v>2635</v>
      </c>
      <c r="H2114" t="s">
        <v>2526</v>
      </c>
      <c r="I2114" t="s">
        <v>289</v>
      </c>
      <c r="J2114" t="s">
        <v>764</v>
      </c>
      <c r="K2114">
        <v>16</v>
      </c>
      <c r="L2114" s="6">
        <v>4.88</v>
      </c>
      <c r="M2114" s="7">
        <v>50</v>
      </c>
      <c r="N2114" s="7">
        <v>50</v>
      </c>
      <c r="O2114" s="7">
        <v>0</v>
      </c>
      <c r="P2114" s="7">
        <v>0</v>
      </c>
      <c r="Q2114" s="7">
        <v>0</v>
      </c>
      <c r="R2114" s="6">
        <v>0</v>
      </c>
      <c r="S2114" s="6">
        <v>0</v>
      </c>
      <c r="T2114" t="str">
        <f t="shared" ref="T2114:T2177" si="179">F2114&amp;" "&amp;C2114</f>
        <v>Hickory Performance L Trim 2x2 Long</v>
      </c>
    </row>
    <row r="2115" spans="1:20" x14ac:dyDescent="0.25">
      <c r="A2115" t="s">
        <v>2576</v>
      </c>
      <c r="B2115" t="s">
        <v>2540</v>
      </c>
      <c r="C2115" t="s">
        <v>283</v>
      </c>
      <c r="D2115" t="s">
        <v>2512</v>
      </c>
      <c r="E2115" t="s">
        <v>2643</v>
      </c>
      <c r="F2115" t="s">
        <v>2644</v>
      </c>
      <c r="G2115" t="s">
        <v>2635</v>
      </c>
      <c r="H2115" t="s">
        <v>2515</v>
      </c>
      <c r="I2115" t="s">
        <v>289</v>
      </c>
      <c r="J2115" t="s">
        <v>344</v>
      </c>
      <c r="K2115">
        <v>16</v>
      </c>
      <c r="L2115" s="6">
        <v>4.88</v>
      </c>
      <c r="M2115" s="7">
        <v>25</v>
      </c>
      <c r="N2115" s="7">
        <v>142</v>
      </c>
      <c r="O2115" s="7">
        <v>0</v>
      </c>
      <c r="P2115" s="7">
        <v>0</v>
      </c>
      <c r="Q2115" s="7">
        <v>0</v>
      </c>
      <c r="R2115" s="6">
        <v>0</v>
      </c>
      <c r="S2115" s="6">
        <v>0</v>
      </c>
      <c r="T2115" t="str">
        <f t="shared" si="179"/>
        <v>Hickory Performance Profile 1x6 Long</v>
      </c>
    </row>
    <row r="2116" spans="1:20" x14ac:dyDescent="0.25">
      <c r="A2116" t="s">
        <v>2581</v>
      </c>
      <c r="B2116" t="s">
        <v>2592</v>
      </c>
      <c r="C2116" t="s">
        <v>283</v>
      </c>
      <c r="D2116" t="s">
        <v>2512</v>
      </c>
      <c r="E2116" t="s">
        <v>2645</v>
      </c>
      <c r="F2116" t="s">
        <v>2646</v>
      </c>
      <c r="G2116" t="s">
        <v>2635</v>
      </c>
      <c r="H2116" t="s">
        <v>2515</v>
      </c>
      <c r="I2116" t="s">
        <v>289</v>
      </c>
      <c r="J2116" t="s">
        <v>2538</v>
      </c>
      <c r="K2116">
        <v>16</v>
      </c>
      <c r="L2116" s="6">
        <v>4.88</v>
      </c>
      <c r="M2116" s="7">
        <v>26</v>
      </c>
      <c r="N2116" s="7">
        <v>176</v>
      </c>
      <c r="O2116" s="7">
        <v>0</v>
      </c>
      <c r="P2116" s="7">
        <v>0</v>
      </c>
      <c r="Q2116" s="7">
        <v>0</v>
      </c>
      <c r="R2116" s="6">
        <v>0</v>
      </c>
      <c r="S2116" s="6">
        <v>0</v>
      </c>
      <c r="T2116" t="str">
        <f t="shared" si="179"/>
        <v>Hickory Performance Profile 1x7 Long</v>
      </c>
    </row>
    <row r="2117" spans="1:20" x14ac:dyDescent="0.25">
      <c r="A2117" t="s">
        <v>2576</v>
      </c>
      <c r="B2117" t="s">
        <v>2595</v>
      </c>
      <c r="C2117" t="s">
        <v>283</v>
      </c>
      <c r="D2117" t="s">
        <v>2512</v>
      </c>
      <c r="E2117" t="s">
        <v>2647</v>
      </c>
      <c r="F2117" t="s">
        <v>2648</v>
      </c>
      <c r="G2117" t="s">
        <v>2635</v>
      </c>
      <c r="H2117" t="s">
        <v>2515</v>
      </c>
      <c r="I2117" t="s">
        <v>289</v>
      </c>
      <c r="J2117" t="s">
        <v>672</v>
      </c>
      <c r="K2117">
        <v>16</v>
      </c>
      <c r="L2117" s="6">
        <v>4.88</v>
      </c>
      <c r="M2117" s="7">
        <v>25</v>
      </c>
      <c r="N2117" s="7">
        <v>222</v>
      </c>
      <c r="O2117" s="7">
        <v>0</v>
      </c>
      <c r="P2117" s="7">
        <v>0</v>
      </c>
      <c r="Q2117" s="7">
        <v>0</v>
      </c>
      <c r="R2117" s="6">
        <v>0</v>
      </c>
      <c r="S2117" s="6">
        <v>0</v>
      </c>
      <c r="T2117" t="str">
        <f t="shared" si="179"/>
        <v>Hickory Performance Profile 1x8 Long</v>
      </c>
    </row>
    <row r="2118" spans="1:20" x14ac:dyDescent="0.25">
      <c r="A2118" t="s">
        <v>2581</v>
      </c>
      <c r="B2118" t="s">
        <v>2595</v>
      </c>
      <c r="C2118" t="s">
        <v>283</v>
      </c>
      <c r="D2118" t="s">
        <v>2512</v>
      </c>
      <c r="E2118" t="s">
        <v>2649</v>
      </c>
      <c r="F2118" t="s">
        <v>2648</v>
      </c>
      <c r="G2118" t="s">
        <v>2635</v>
      </c>
      <c r="H2118" t="s">
        <v>2515</v>
      </c>
      <c r="I2118" t="s">
        <v>289</v>
      </c>
      <c r="J2118" t="s">
        <v>672</v>
      </c>
      <c r="K2118">
        <v>16</v>
      </c>
      <c r="L2118" s="6">
        <v>4.88</v>
      </c>
      <c r="M2118" s="7">
        <v>26</v>
      </c>
      <c r="N2118" s="7">
        <v>219</v>
      </c>
      <c r="O2118" s="7">
        <v>0</v>
      </c>
      <c r="P2118" s="7">
        <v>0</v>
      </c>
      <c r="Q2118" s="7">
        <v>0</v>
      </c>
      <c r="R2118" s="6">
        <v>0</v>
      </c>
      <c r="S2118" s="6">
        <v>0</v>
      </c>
      <c r="T2118" t="str">
        <f t="shared" si="179"/>
        <v>Hickory Performance Profile 1x8 Long</v>
      </c>
    </row>
    <row r="2119" spans="1:20" x14ac:dyDescent="0.25">
      <c r="A2119" t="s">
        <v>2510</v>
      </c>
      <c r="B2119" t="s">
        <v>2516</v>
      </c>
      <c r="C2119" t="s">
        <v>283</v>
      </c>
      <c r="D2119" t="s">
        <v>2512</v>
      </c>
      <c r="E2119" t="s">
        <v>2650</v>
      </c>
      <c r="F2119" t="s">
        <v>2651</v>
      </c>
      <c r="G2119" t="s">
        <v>2652</v>
      </c>
      <c r="H2119" t="s">
        <v>2515</v>
      </c>
      <c r="I2119" t="s">
        <v>289</v>
      </c>
      <c r="J2119" t="s">
        <v>344</v>
      </c>
      <c r="K2119">
        <v>16</v>
      </c>
      <c r="L2119" s="6">
        <v>4.88</v>
      </c>
      <c r="M2119" s="7">
        <v>12</v>
      </c>
      <c r="N2119" s="7">
        <v>140</v>
      </c>
      <c r="O2119" s="7">
        <v>0</v>
      </c>
      <c r="P2119" s="7">
        <v>0</v>
      </c>
      <c r="Q2119" s="7">
        <v>0</v>
      </c>
      <c r="R2119" s="6">
        <v>0</v>
      </c>
      <c r="S2119" s="6">
        <v>0</v>
      </c>
      <c r="T2119" t="str">
        <f t="shared" si="179"/>
        <v>Hollywood Los Angeles Collection Profile 1x6 Long</v>
      </c>
    </row>
    <row r="2120" spans="1:20" x14ac:dyDescent="0.25">
      <c r="A2120" t="s">
        <v>2510</v>
      </c>
      <c r="B2120" t="s">
        <v>2511</v>
      </c>
      <c r="C2120" t="s">
        <v>283</v>
      </c>
      <c r="D2120" t="s">
        <v>2512</v>
      </c>
      <c r="E2120" t="s">
        <v>2653</v>
      </c>
      <c r="F2120" t="s">
        <v>2654</v>
      </c>
      <c r="G2120" t="s">
        <v>2655</v>
      </c>
      <c r="H2120" t="s">
        <v>2515</v>
      </c>
      <c r="I2120" t="s">
        <v>289</v>
      </c>
      <c r="J2120" t="s">
        <v>672</v>
      </c>
      <c r="K2120">
        <v>16</v>
      </c>
      <c r="L2120" s="6">
        <v>4.88</v>
      </c>
      <c r="M2120" s="7">
        <v>26</v>
      </c>
      <c r="N2120" s="7">
        <v>219</v>
      </c>
      <c r="O2120" s="7">
        <v>0</v>
      </c>
      <c r="P2120" s="7">
        <v>0</v>
      </c>
      <c r="Q2120" s="7">
        <v>0</v>
      </c>
      <c r="R2120" s="6">
        <v>0</v>
      </c>
      <c r="S2120" s="6">
        <v>0</v>
      </c>
      <c r="T2120" t="str">
        <f t="shared" si="179"/>
        <v>Hyde Park London Collection Profile 1x8 Long</v>
      </c>
    </row>
    <row r="2121" spans="1:20" x14ac:dyDescent="0.25">
      <c r="A2121" t="s">
        <v>2539</v>
      </c>
      <c r="B2121" t="s">
        <v>2540</v>
      </c>
      <c r="C2121" t="s">
        <v>283</v>
      </c>
      <c r="D2121" t="s">
        <v>2512</v>
      </c>
      <c r="E2121" t="s">
        <v>2656</v>
      </c>
      <c r="F2121" t="s">
        <v>2657</v>
      </c>
      <c r="G2121" t="s">
        <v>2658</v>
      </c>
      <c r="H2121" t="s">
        <v>324</v>
      </c>
      <c r="I2121" t="s">
        <v>289</v>
      </c>
      <c r="J2121" t="s">
        <v>344</v>
      </c>
      <c r="K2121">
        <v>12</v>
      </c>
      <c r="L2121" s="6">
        <v>3.66</v>
      </c>
      <c r="M2121" s="7">
        <v>23</v>
      </c>
      <c r="N2121" s="7">
        <v>140</v>
      </c>
      <c r="O2121" s="7">
        <v>0</v>
      </c>
      <c r="P2121" s="7">
        <v>0</v>
      </c>
      <c r="Q2121" s="7">
        <v>0</v>
      </c>
      <c r="R2121" s="6">
        <v>0</v>
      </c>
      <c r="S2121" s="6">
        <v>0</v>
      </c>
      <c r="T2121" t="str">
        <f t="shared" si="179"/>
        <v>Ipanema Rio Collection Grooved 1x6 Long</v>
      </c>
    </row>
    <row r="2122" spans="1:20" x14ac:dyDescent="0.25">
      <c r="A2122" t="s">
        <v>2539</v>
      </c>
      <c r="B2122" t="s">
        <v>2540</v>
      </c>
      <c r="C2122" t="s">
        <v>283</v>
      </c>
      <c r="D2122" t="s">
        <v>2512</v>
      </c>
      <c r="E2122" t="s">
        <v>2659</v>
      </c>
      <c r="F2122" t="s">
        <v>2657</v>
      </c>
      <c r="G2122" t="s">
        <v>2658</v>
      </c>
      <c r="H2122" t="s">
        <v>324</v>
      </c>
      <c r="I2122" t="s">
        <v>289</v>
      </c>
      <c r="J2122" t="s">
        <v>344</v>
      </c>
      <c r="K2122">
        <v>16</v>
      </c>
      <c r="L2122" s="6">
        <v>4.88</v>
      </c>
      <c r="M2122" s="7">
        <v>23</v>
      </c>
      <c r="N2122" s="7">
        <v>140</v>
      </c>
      <c r="O2122" s="7">
        <v>0</v>
      </c>
      <c r="P2122" s="7">
        <v>0</v>
      </c>
      <c r="Q2122" s="7">
        <v>0</v>
      </c>
      <c r="R2122" s="6">
        <v>0</v>
      </c>
      <c r="S2122" s="6">
        <v>0</v>
      </c>
      <c r="T2122" t="str">
        <f t="shared" si="179"/>
        <v>Ipanema Rio Collection Grooved 1x6 Long</v>
      </c>
    </row>
    <row r="2123" spans="1:20" x14ac:dyDescent="0.25">
      <c r="A2123" t="s">
        <v>2539</v>
      </c>
      <c r="B2123" t="s">
        <v>2540</v>
      </c>
      <c r="C2123" t="s">
        <v>283</v>
      </c>
      <c r="D2123" t="s">
        <v>2512</v>
      </c>
      <c r="E2123" t="s">
        <v>2660</v>
      </c>
      <c r="F2123" t="s">
        <v>2657</v>
      </c>
      <c r="G2123" t="s">
        <v>2658</v>
      </c>
      <c r="H2123" t="s">
        <v>324</v>
      </c>
      <c r="I2123" t="s">
        <v>289</v>
      </c>
      <c r="J2123" t="s">
        <v>344</v>
      </c>
      <c r="K2123">
        <v>20</v>
      </c>
      <c r="L2123" s="6">
        <v>7.1</v>
      </c>
      <c r="M2123" s="7">
        <v>23</v>
      </c>
      <c r="N2123" s="7">
        <v>140</v>
      </c>
      <c r="O2123" s="7">
        <v>0</v>
      </c>
      <c r="P2123" s="7">
        <v>0</v>
      </c>
      <c r="Q2123" s="7">
        <v>0</v>
      </c>
      <c r="R2123" s="6">
        <v>0</v>
      </c>
      <c r="S2123" s="6">
        <v>0</v>
      </c>
      <c r="T2123" t="str">
        <f t="shared" si="179"/>
        <v>Ipanema Rio Collection Grooved 1x6 Long</v>
      </c>
    </row>
    <row r="2124" spans="1:20" x14ac:dyDescent="0.25">
      <c r="A2124" t="s">
        <v>2539</v>
      </c>
      <c r="B2124" t="s">
        <v>2540</v>
      </c>
      <c r="C2124" t="s">
        <v>283</v>
      </c>
      <c r="D2124" t="s">
        <v>2512</v>
      </c>
      <c r="E2124" t="s">
        <v>2661</v>
      </c>
      <c r="F2124" t="s">
        <v>2662</v>
      </c>
      <c r="G2124" t="s">
        <v>2658</v>
      </c>
      <c r="H2124" t="s">
        <v>2548</v>
      </c>
      <c r="I2124" t="s">
        <v>289</v>
      </c>
      <c r="J2124" t="s">
        <v>344</v>
      </c>
      <c r="K2124">
        <v>12</v>
      </c>
      <c r="L2124" s="6">
        <v>3.66</v>
      </c>
      <c r="M2124" s="7">
        <v>23</v>
      </c>
      <c r="N2124" s="7">
        <v>140</v>
      </c>
      <c r="O2124" s="7">
        <v>0</v>
      </c>
      <c r="P2124" s="7">
        <v>0</v>
      </c>
      <c r="Q2124" s="7">
        <v>0</v>
      </c>
      <c r="R2124" s="6">
        <v>0</v>
      </c>
      <c r="S2124" s="6">
        <v>0</v>
      </c>
      <c r="T2124" t="str">
        <f t="shared" si="179"/>
        <v>Ipanema Rio Collection Square 1x6 Long</v>
      </c>
    </row>
    <row r="2125" spans="1:20" x14ac:dyDescent="0.25">
      <c r="A2125" t="s">
        <v>2539</v>
      </c>
      <c r="B2125" t="s">
        <v>2540</v>
      </c>
      <c r="C2125" t="s">
        <v>283</v>
      </c>
      <c r="D2125" t="s">
        <v>2512</v>
      </c>
      <c r="E2125" t="s">
        <v>2663</v>
      </c>
      <c r="F2125" t="s">
        <v>2662</v>
      </c>
      <c r="G2125" t="s">
        <v>2658</v>
      </c>
      <c r="H2125" t="s">
        <v>2548</v>
      </c>
      <c r="I2125" t="s">
        <v>289</v>
      </c>
      <c r="J2125" t="s">
        <v>344</v>
      </c>
      <c r="K2125">
        <v>16</v>
      </c>
      <c r="L2125" s="6">
        <v>4.88</v>
      </c>
      <c r="M2125" s="7">
        <v>23</v>
      </c>
      <c r="N2125" s="7">
        <v>140</v>
      </c>
      <c r="O2125" s="7">
        <v>0</v>
      </c>
      <c r="P2125" s="7">
        <v>0</v>
      </c>
      <c r="Q2125" s="7">
        <v>0</v>
      </c>
      <c r="R2125" s="6">
        <v>0</v>
      </c>
      <c r="S2125" s="6">
        <v>0</v>
      </c>
      <c r="T2125" t="str">
        <f t="shared" si="179"/>
        <v>Ipanema Rio Collection Square 1x6 Long</v>
      </c>
    </row>
    <row r="2126" spans="1:20" x14ac:dyDescent="0.25">
      <c r="A2126" t="s">
        <v>2539</v>
      </c>
      <c r="B2126" t="s">
        <v>2540</v>
      </c>
      <c r="C2126" t="s">
        <v>283</v>
      </c>
      <c r="D2126" t="s">
        <v>2512</v>
      </c>
      <c r="E2126" t="s">
        <v>2664</v>
      </c>
      <c r="F2126" t="s">
        <v>2662</v>
      </c>
      <c r="G2126" t="s">
        <v>2658</v>
      </c>
      <c r="H2126" t="s">
        <v>2548</v>
      </c>
      <c r="I2126" t="s">
        <v>289</v>
      </c>
      <c r="J2126" t="s">
        <v>344</v>
      </c>
      <c r="K2126">
        <v>20</v>
      </c>
      <c r="L2126" s="6">
        <v>7.1</v>
      </c>
      <c r="M2126" s="7">
        <v>23</v>
      </c>
      <c r="N2126" s="7">
        <v>140</v>
      </c>
      <c r="O2126" s="7">
        <v>0</v>
      </c>
      <c r="P2126" s="7">
        <v>0</v>
      </c>
      <c r="Q2126" s="7">
        <v>0</v>
      </c>
      <c r="R2126" s="6">
        <v>0</v>
      </c>
      <c r="S2126" s="6">
        <v>0</v>
      </c>
      <c r="T2126" t="str">
        <f t="shared" si="179"/>
        <v>Ipanema Rio Collection Square 1x6 Long</v>
      </c>
    </row>
    <row r="2127" spans="1:20" x14ac:dyDescent="0.25">
      <c r="A2127" t="s">
        <v>2561</v>
      </c>
      <c r="B2127" t="s">
        <v>2562</v>
      </c>
      <c r="C2127" t="s">
        <v>283</v>
      </c>
      <c r="D2127" t="s">
        <v>2512</v>
      </c>
      <c r="E2127" t="s">
        <v>2665</v>
      </c>
      <c r="F2127" t="s">
        <v>2666</v>
      </c>
      <c r="G2127" t="s">
        <v>1351</v>
      </c>
      <c r="H2127" t="s">
        <v>2667</v>
      </c>
      <c r="I2127" t="s">
        <v>289</v>
      </c>
      <c r="J2127" t="s">
        <v>2567</v>
      </c>
      <c r="K2127">
        <v>16</v>
      </c>
      <c r="L2127" s="6">
        <v>4.88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6">
        <v>0</v>
      </c>
      <c r="S2127" s="6">
        <v>0</v>
      </c>
      <c r="T2127" t="str">
        <f t="shared" si="179"/>
        <v>Ipe Board 1.25" x 5.5" Long</v>
      </c>
    </row>
    <row r="2128" spans="1:20" x14ac:dyDescent="0.25">
      <c r="A2128" t="s">
        <v>2561</v>
      </c>
      <c r="B2128" t="s">
        <v>2562</v>
      </c>
      <c r="C2128" t="s">
        <v>283</v>
      </c>
      <c r="D2128" t="s">
        <v>2512</v>
      </c>
      <c r="E2128" t="s">
        <v>2668</v>
      </c>
      <c r="F2128" t="s">
        <v>2666</v>
      </c>
      <c r="G2128" t="s">
        <v>1351</v>
      </c>
      <c r="H2128" t="s">
        <v>2667</v>
      </c>
      <c r="I2128" t="s">
        <v>289</v>
      </c>
      <c r="J2128" t="s">
        <v>2567</v>
      </c>
      <c r="K2128">
        <v>16</v>
      </c>
      <c r="L2128" s="6">
        <v>4.88</v>
      </c>
      <c r="M2128" s="7">
        <v>0</v>
      </c>
      <c r="N2128" s="7">
        <v>0</v>
      </c>
      <c r="O2128" s="7">
        <v>0</v>
      </c>
      <c r="P2128" s="7">
        <v>0</v>
      </c>
      <c r="Q2128" s="7">
        <v>0</v>
      </c>
      <c r="R2128" s="6">
        <v>0</v>
      </c>
      <c r="S2128" s="6">
        <v>0</v>
      </c>
      <c r="T2128" t="str">
        <f t="shared" si="179"/>
        <v>Ipe Board 1.25" x 5.5" Long</v>
      </c>
    </row>
    <row r="2129" spans="1:20" x14ac:dyDescent="0.25">
      <c r="A2129" t="s">
        <v>2561</v>
      </c>
      <c r="B2129" t="s">
        <v>2562</v>
      </c>
      <c r="C2129" t="s">
        <v>283</v>
      </c>
      <c r="D2129" t="s">
        <v>2512</v>
      </c>
      <c r="E2129" t="s">
        <v>2669</v>
      </c>
      <c r="F2129" t="s">
        <v>2670</v>
      </c>
      <c r="G2129" t="s">
        <v>1351</v>
      </c>
      <c r="H2129" t="s">
        <v>2671</v>
      </c>
      <c r="I2129" t="s">
        <v>289</v>
      </c>
      <c r="J2129" t="s">
        <v>2672</v>
      </c>
      <c r="K2129">
        <v>8</v>
      </c>
      <c r="L2129" s="6">
        <v>2.44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6">
        <v>0</v>
      </c>
      <c r="S2129" s="6">
        <v>0</v>
      </c>
      <c r="T2129" t="str">
        <f t="shared" si="179"/>
        <v>Ipe Column 5"x5" Long</v>
      </c>
    </row>
    <row r="2130" spans="1:20" x14ac:dyDescent="0.25">
      <c r="A2130" t="s">
        <v>2561</v>
      </c>
      <c r="B2130" t="s">
        <v>2562</v>
      </c>
      <c r="C2130" t="s">
        <v>283</v>
      </c>
      <c r="D2130" t="s">
        <v>2512</v>
      </c>
      <c r="E2130" t="s">
        <v>2673</v>
      </c>
      <c r="F2130" t="s">
        <v>2674</v>
      </c>
      <c r="G2130" t="s">
        <v>1351</v>
      </c>
      <c r="H2130" t="s">
        <v>2675</v>
      </c>
      <c r="I2130" t="s">
        <v>289</v>
      </c>
      <c r="J2130" t="s">
        <v>2672</v>
      </c>
      <c r="K2130">
        <v>8</v>
      </c>
      <c r="L2130" s="6">
        <v>2.44</v>
      </c>
      <c r="M2130" s="7">
        <v>0</v>
      </c>
      <c r="N2130" s="7">
        <v>0</v>
      </c>
      <c r="O2130" s="7">
        <v>0</v>
      </c>
      <c r="P2130" s="7">
        <v>0</v>
      </c>
      <c r="Q2130" s="7">
        <v>0</v>
      </c>
      <c r="R2130" s="6">
        <v>0</v>
      </c>
      <c r="S2130" s="6">
        <v>0</v>
      </c>
      <c r="T2130" t="str">
        <f t="shared" si="179"/>
        <v>Ipe Column Cover 5"x5" Long</v>
      </c>
    </row>
    <row r="2131" spans="1:20" x14ac:dyDescent="0.25">
      <c r="A2131" t="s">
        <v>2561</v>
      </c>
      <c r="B2131" t="s">
        <v>2562</v>
      </c>
      <c r="C2131" t="s">
        <v>283</v>
      </c>
      <c r="D2131" t="s">
        <v>2512</v>
      </c>
      <c r="E2131" t="s">
        <v>2676</v>
      </c>
      <c r="F2131" t="s">
        <v>2677</v>
      </c>
      <c r="G2131" t="s">
        <v>1351</v>
      </c>
      <c r="H2131" t="s">
        <v>2678</v>
      </c>
      <c r="I2131" t="s">
        <v>289</v>
      </c>
      <c r="J2131" t="s">
        <v>2679</v>
      </c>
      <c r="K2131">
        <v>6</v>
      </c>
      <c r="L2131" s="6">
        <v>1.83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6">
        <v>0</v>
      </c>
      <c r="S2131" s="6">
        <v>0</v>
      </c>
      <c r="T2131" t="str">
        <f t="shared" si="179"/>
        <v>Ipe Fence Finishing 2.5"x3.5" Long</v>
      </c>
    </row>
    <row r="2132" spans="1:20" x14ac:dyDescent="0.25">
      <c r="A2132" t="s">
        <v>2561</v>
      </c>
      <c r="B2132" t="s">
        <v>2562</v>
      </c>
      <c r="C2132" t="s">
        <v>283</v>
      </c>
      <c r="D2132" t="s">
        <v>2512</v>
      </c>
      <c r="E2132" t="s">
        <v>2680</v>
      </c>
      <c r="F2132" t="s">
        <v>2681</v>
      </c>
      <c r="G2132" t="s">
        <v>1351</v>
      </c>
      <c r="H2132" t="s">
        <v>2682</v>
      </c>
      <c r="I2132" t="s">
        <v>289</v>
      </c>
      <c r="J2132" t="s">
        <v>2683</v>
      </c>
      <c r="K2132">
        <v>6</v>
      </c>
      <c r="L2132" s="6">
        <v>1.83</v>
      </c>
      <c r="M2132" s="7">
        <v>0</v>
      </c>
      <c r="N2132" s="7">
        <v>0</v>
      </c>
      <c r="O2132" s="7">
        <v>0</v>
      </c>
      <c r="P2132" s="7">
        <v>0</v>
      </c>
      <c r="Q2132" s="7">
        <v>0</v>
      </c>
      <c r="R2132" s="6">
        <v>0</v>
      </c>
      <c r="S2132" s="6">
        <v>0</v>
      </c>
      <c r="T2132" t="str">
        <f t="shared" si="179"/>
        <v>Ipe Fence Tongue and Grooved 3"x7" Long</v>
      </c>
    </row>
    <row r="2133" spans="1:20" x14ac:dyDescent="0.25">
      <c r="A2133" t="s">
        <v>2561</v>
      </c>
      <c r="B2133" t="s">
        <v>2562</v>
      </c>
      <c r="C2133" t="s">
        <v>283</v>
      </c>
      <c r="D2133" t="s">
        <v>2512</v>
      </c>
      <c r="E2133" t="s">
        <v>2684</v>
      </c>
      <c r="F2133" t="s">
        <v>2685</v>
      </c>
      <c r="G2133" t="s">
        <v>1351</v>
      </c>
      <c r="H2133" t="s">
        <v>2686</v>
      </c>
      <c r="I2133" t="s">
        <v>289</v>
      </c>
      <c r="J2133" t="s">
        <v>2687</v>
      </c>
      <c r="K2133">
        <v>5</v>
      </c>
      <c r="L2133" s="6">
        <v>1.52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6">
        <v>0</v>
      </c>
      <c r="S2133" s="6">
        <v>0</v>
      </c>
      <c r="T2133" t="str">
        <f t="shared" si="179"/>
        <v>Ipe Floor Fitting 1.5"x9" Long</v>
      </c>
    </row>
    <row r="2134" spans="1:20" x14ac:dyDescent="0.25">
      <c r="A2134" t="s">
        <v>2576</v>
      </c>
      <c r="B2134" t="s">
        <v>2577</v>
      </c>
      <c r="C2134" t="s">
        <v>283</v>
      </c>
      <c r="D2134" t="s">
        <v>2512</v>
      </c>
      <c r="E2134" t="s">
        <v>2688</v>
      </c>
      <c r="F2134" t="s">
        <v>2689</v>
      </c>
      <c r="G2134" t="s">
        <v>1351</v>
      </c>
      <c r="H2134" t="s">
        <v>2529</v>
      </c>
      <c r="I2134" t="s">
        <v>289</v>
      </c>
      <c r="J2134" t="s">
        <v>2534</v>
      </c>
      <c r="K2134">
        <v>16</v>
      </c>
      <c r="L2134" s="6">
        <v>4.88</v>
      </c>
      <c r="M2134" s="7">
        <v>38</v>
      </c>
      <c r="N2134" s="7">
        <v>78</v>
      </c>
      <c r="O2134" s="7">
        <v>0</v>
      </c>
      <c r="P2134" s="7">
        <v>0</v>
      </c>
      <c r="Q2134" s="7">
        <v>0</v>
      </c>
      <c r="R2134" s="6">
        <v>0</v>
      </c>
      <c r="S2134" s="6">
        <v>0</v>
      </c>
      <c r="T2134" t="str">
        <f t="shared" si="179"/>
        <v>Ipe Performance Corner Trim 1.5x3 Long</v>
      </c>
    </row>
    <row r="2135" spans="1:20" x14ac:dyDescent="0.25">
      <c r="A2135" t="s">
        <v>2581</v>
      </c>
      <c r="B2135" t="s">
        <v>2577</v>
      </c>
      <c r="C2135" t="s">
        <v>283</v>
      </c>
      <c r="D2135" t="s">
        <v>2512</v>
      </c>
      <c r="E2135" t="s">
        <v>2690</v>
      </c>
      <c r="F2135" t="s">
        <v>2689</v>
      </c>
      <c r="G2135" t="s">
        <v>1351</v>
      </c>
      <c r="H2135" t="s">
        <v>2529</v>
      </c>
      <c r="I2135" t="s">
        <v>289</v>
      </c>
      <c r="J2135" t="s">
        <v>2534</v>
      </c>
      <c r="K2135">
        <v>16</v>
      </c>
      <c r="L2135" s="6">
        <v>4.88</v>
      </c>
      <c r="M2135" s="7">
        <v>38</v>
      </c>
      <c r="N2135" s="7">
        <v>78</v>
      </c>
      <c r="O2135" s="7">
        <v>0</v>
      </c>
      <c r="P2135" s="7">
        <v>0</v>
      </c>
      <c r="Q2135" s="7">
        <v>0</v>
      </c>
      <c r="R2135" s="6">
        <v>0</v>
      </c>
      <c r="S2135" s="6">
        <v>0</v>
      </c>
      <c r="T2135" t="str">
        <f t="shared" si="179"/>
        <v>Ipe Performance Corner Trim 1.5x3 Long</v>
      </c>
    </row>
    <row r="2136" spans="1:20" x14ac:dyDescent="0.25">
      <c r="A2136" t="s">
        <v>2576</v>
      </c>
      <c r="B2136" t="s">
        <v>2583</v>
      </c>
      <c r="C2136" t="s">
        <v>283</v>
      </c>
      <c r="D2136" t="s">
        <v>2512</v>
      </c>
      <c r="E2136" t="s">
        <v>2691</v>
      </c>
      <c r="F2136" t="s">
        <v>2692</v>
      </c>
      <c r="G2136" t="s">
        <v>1351</v>
      </c>
      <c r="H2136" t="s">
        <v>2529</v>
      </c>
      <c r="I2136" t="s">
        <v>289</v>
      </c>
      <c r="J2136" t="s">
        <v>2530</v>
      </c>
      <c r="K2136">
        <v>16</v>
      </c>
      <c r="L2136" s="6">
        <v>4.88</v>
      </c>
      <c r="M2136" s="7">
        <v>49</v>
      </c>
      <c r="N2136" s="7">
        <v>99</v>
      </c>
      <c r="O2136" s="7">
        <v>0</v>
      </c>
      <c r="P2136" s="7">
        <v>0</v>
      </c>
      <c r="Q2136" s="7">
        <v>0</v>
      </c>
      <c r="R2136" s="6">
        <v>0</v>
      </c>
      <c r="S2136" s="6">
        <v>0</v>
      </c>
      <c r="T2136" t="str">
        <f t="shared" si="179"/>
        <v>Ipe Performance Corner Trim 1.5x3.9 Long</v>
      </c>
    </row>
    <row r="2137" spans="1:20" x14ac:dyDescent="0.25">
      <c r="A2137" t="s">
        <v>2581</v>
      </c>
      <c r="B2137" t="s">
        <v>2583</v>
      </c>
      <c r="C2137" t="s">
        <v>283</v>
      </c>
      <c r="D2137" t="s">
        <v>2512</v>
      </c>
      <c r="E2137" t="s">
        <v>2693</v>
      </c>
      <c r="F2137" t="s">
        <v>2692</v>
      </c>
      <c r="G2137" t="s">
        <v>1351</v>
      </c>
      <c r="H2137" t="s">
        <v>2529</v>
      </c>
      <c r="I2137" t="s">
        <v>289</v>
      </c>
      <c r="J2137" t="s">
        <v>2530</v>
      </c>
      <c r="K2137">
        <v>16</v>
      </c>
      <c r="L2137" s="6">
        <v>4.88</v>
      </c>
      <c r="M2137" s="7">
        <v>49</v>
      </c>
      <c r="N2137" s="7">
        <v>99</v>
      </c>
      <c r="O2137" s="7">
        <v>0</v>
      </c>
      <c r="P2137" s="7">
        <v>0</v>
      </c>
      <c r="Q2137" s="7">
        <v>0</v>
      </c>
      <c r="R2137" s="6">
        <v>0</v>
      </c>
      <c r="S2137" s="6">
        <v>0</v>
      </c>
      <c r="T2137" t="str">
        <f t="shared" si="179"/>
        <v>Ipe Performance Corner Trim 1.5x3.9 Long</v>
      </c>
    </row>
    <row r="2138" spans="1:20" x14ac:dyDescent="0.25">
      <c r="A2138" t="s">
        <v>2576</v>
      </c>
      <c r="B2138" t="s">
        <v>2583</v>
      </c>
      <c r="C2138" t="s">
        <v>283</v>
      </c>
      <c r="D2138" t="s">
        <v>2512</v>
      </c>
      <c r="E2138" t="s">
        <v>2694</v>
      </c>
      <c r="F2138" t="s">
        <v>2692</v>
      </c>
      <c r="G2138" t="s">
        <v>1351</v>
      </c>
      <c r="H2138" t="s">
        <v>2529</v>
      </c>
      <c r="I2138" t="s">
        <v>289</v>
      </c>
      <c r="J2138" t="s">
        <v>2530</v>
      </c>
      <c r="K2138">
        <v>16</v>
      </c>
      <c r="L2138" s="6">
        <v>4.88</v>
      </c>
      <c r="M2138" s="7">
        <v>49</v>
      </c>
      <c r="N2138" s="7">
        <v>99</v>
      </c>
      <c r="O2138" s="7">
        <v>0</v>
      </c>
      <c r="P2138" s="7">
        <v>0</v>
      </c>
      <c r="Q2138" s="7">
        <v>0</v>
      </c>
      <c r="R2138" s="6">
        <v>0</v>
      </c>
      <c r="S2138" s="6">
        <v>0</v>
      </c>
      <c r="T2138" t="str">
        <f t="shared" si="179"/>
        <v>Ipe Performance Corner Trim 1.5x3.9 Long</v>
      </c>
    </row>
    <row r="2139" spans="1:20" x14ac:dyDescent="0.25">
      <c r="A2139" t="s">
        <v>2576</v>
      </c>
      <c r="B2139" t="s">
        <v>2695</v>
      </c>
      <c r="C2139" t="s">
        <v>283</v>
      </c>
      <c r="D2139" t="s">
        <v>2512</v>
      </c>
      <c r="E2139" t="s">
        <v>2696</v>
      </c>
      <c r="F2139" t="s">
        <v>2697</v>
      </c>
      <c r="G2139" t="s">
        <v>1351</v>
      </c>
      <c r="H2139" t="s">
        <v>2529</v>
      </c>
      <c r="I2139" t="s">
        <v>289</v>
      </c>
      <c r="J2139" t="s">
        <v>1726</v>
      </c>
      <c r="K2139">
        <v>16</v>
      </c>
      <c r="L2139" s="6">
        <v>4.88</v>
      </c>
      <c r="M2139" s="7">
        <v>58</v>
      </c>
      <c r="N2139" s="7">
        <v>58</v>
      </c>
      <c r="O2139" s="7">
        <v>0</v>
      </c>
      <c r="P2139" s="7">
        <v>0</v>
      </c>
      <c r="Q2139" s="7">
        <v>0</v>
      </c>
      <c r="R2139" s="6">
        <v>0</v>
      </c>
      <c r="S2139" s="6">
        <v>0</v>
      </c>
      <c r="T2139" t="str">
        <f t="shared" si="179"/>
        <v>Ipe Performance Corner Trim 3x3 Long</v>
      </c>
    </row>
    <row r="2140" spans="1:20" x14ac:dyDescent="0.25">
      <c r="A2140" t="s">
        <v>2576</v>
      </c>
      <c r="B2140" t="s">
        <v>2695</v>
      </c>
      <c r="C2140" t="s">
        <v>283</v>
      </c>
      <c r="D2140" t="s">
        <v>2512</v>
      </c>
      <c r="E2140" t="s">
        <v>2698</v>
      </c>
      <c r="F2140" t="s">
        <v>2697</v>
      </c>
      <c r="G2140" t="s">
        <v>2699</v>
      </c>
      <c r="H2140" t="s">
        <v>2529</v>
      </c>
      <c r="I2140" t="s">
        <v>289</v>
      </c>
      <c r="J2140" t="s">
        <v>1726</v>
      </c>
      <c r="K2140">
        <v>16</v>
      </c>
      <c r="L2140" s="6">
        <v>4.88</v>
      </c>
      <c r="M2140" s="7">
        <v>58</v>
      </c>
      <c r="N2140" s="7">
        <v>58</v>
      </c>
      <c r="O2140" s="7">
        <v>0</v>
      </c>
      <c r="P2140" s="7">
        <v>0</v>
      </c>
      <c r="Q2140" s="7">
        <v>0</v>
      </c>
      <c r="R2140" s="6">
        <v>0</v>
      </c>
      <c r="S2140" s="6">
        <v>0</v>
      </c>
      <c r="T2140" t="str">
        <f t="shared" si="179"/>
        <v>Ipe Performance Corner Trim 3x3 Long</v>
      </c>
    </row>
    <row r="2141" spans="1:20" x14ac:dyDescent="0.25">
      <c r="A2141" t="s">
        <v>2576</v>
      </c>
      <c r="B2141" t="s">
        <v>2695</v>
      </c>
      <c r="C2141" t="s">
        <v>283</v>
      </c>
      <c r="D2141" t="s">
        <v>2512</v>
      </c>
      <c r="E2141" t="s">
        <v>2700</v>
      </c>
      <c r="F2141" t="s">
        <v>2697</v>
      </c>
      <c r="G2141" t="s">
        <v>2699</v>
      </c>
      <c r="H2141" t="s">
        <v>2529</v>
      </c>
      <c r="I2141" t="s">
        <v>289</v>
      </c>
      <c r="J2141" t="s">
        <v>1726</v>
      </c>
      <c r="K2141">
        <v>16</v>
      </c>
      <c r="L2141" s="6">
        <v>4.88</v>
      </c>
      <c r="M2141" s="7">
        <v>58</v>
      </c>
      <c r="N2141" s="7">
        <v>58</v>
      </c>
      <c r="O2141" s="7">
        <v>0</v>
      </c>
      <c r="P2141" s="7">
        <v>0</v>
      </c>
      <c r="Q2141" s="7">
        <v>0</v>
      </c>
      <c r="R2141" s="6">
        <v>0</v>
      </c>
      <c r="S2141" s="6">
        <v>0</v>
      </c>
      <c r="T2141" t="str">
        <f t="shared" si="179"/>
        <v>Ipe Performance Corner Trim 3x3 Long</v>
      </c>
    </row>
    <row r="2142" spans="1:20" x14ac:dyDescent="0.25">
      <c r="A2142" t="s">
        <v>2576</v>
      </c>
      <c r="B2142" t="s">
        <v>2522</v>
      </c>
      <c r="C2142" t="s">
        <v>283</v>
      </c>
      <c r="D2142" t="s">
        <v>2512</v>
      </c>
      <c r="E2142" t="s">
        <v>2701</v>
      </c>
      <c r="F2142" t="s">
        <v>2702</v>
      </c>
      <c r="G2142" t="s">
        <v>1351</v>
      </c>
      <c r="H2142" t="s">
        <v>2526</v>
      </c>
      <c r="I2142" t="s">
        <v>289</v>
      </c>
      <c r="J2142" t="s">
        <v>764</v>
      </c>
      <c r="K2142">
        <v>16</v>
      </c>
      <c r="L2142" s="6">
        <v>4.88</v>
      </c>
      <c r="M2142" s="7">
        <v>50</v>
      </c>
      <c r="N2142" s="7">
        <v>50</v>
      </c>
      <c r="O2142" s="7">
        <v>0</v>
      </c>
      <c r="P2142" s="7">
        <v>0</v>
      </c>
      <c r="Q2142" s="7">
        <v>0</v>
      </c>
      <c r="R2142" s="6">
        <v>0</v>
      </c>
      <c r="S2142" s="6">
        <v>0</v>
      </c>
      <c r="T2142" t="str">
        <f t="shared" si="179"/>
        <v>Ipe Performance L Trim 2x2 Long</v>
      </c>
    </row>
    <row r="2143" spans="1:20" x14ac:dyDescent="0.25">
      <c r="A2143" t="s">
        <v>2581</v>
      </c>
      <c r="B2143" t="s">
        <v>2522</v>
      </c>
      <c r="C2143" t="s">
        <v>283</v>
      </c>
      <c r="D2143" t="s">
        <v>2512</v>
      </c>
      <c r="E2143" t="s">
        <v>2703</v>
      </c>
      <c r="F2143" t="s">
        <v>2702</v>
      </c>
      <c r="G2143" t="s">
        <v>1351</v>
      </c>
      <c r="H2143" t="s">
        <v>2526</v>
      </c>
      <c r="I2143" t="s">
        <v>289</v>
      </c>
      <c r="J2143" t="s">
        <v>764</v>
      </c>
      <c r="K2143">
        <v>16</v>
      </c>
      <c r="L2143" s="6">
        <v>4.88</v>
      </c>
      <c r="M2143" s="7">
        <v>50</v>
      </c>
      <c r="N2143" s="7">
        <v>50</v>
      </c>
      <c r="O2143" s="7">
        <v>0</v>
      </c>
      <c r="P2143" s="7">
        <v>0</v>
      </c>
      <c r="Q2143" s="7">
        <v>0</v>
      </c>
      <c r="R2143" s="6">
        <v>0</v>
      </c>
      <c r="S2143" s="6">
        <v>0</v>
      </c>
      <c r="T2143" t="str">
        <f t="shared" si="179"/>
        <v>Ipe Performance L Trim 2x2 Long</v>
      </c>
    </row>
    <row r="2144" spans="1:20" x14ac:dyDescent="0.25">
      <c r="A2144" t="s">
        <v>2576</v>
      </c>
      <c r="B2144" t="s">
        <v>2540</v>
      </c>
      <c r="C2144" t="s">
        <v>283</v>
      </c>
      <c r="D2144" t="s">
        <v>2512</v>
      </c>
      <c r="E2144" t="s">
        <v>250</v>
      </c>
      <c r="F2144" t="s">
        <v>2704</v>
      </c>
      <c r="G2144" t="s">
        <v>1351</v>
      </c>
      <c r="H2144" t="s">
        <v>2515</v>
      </c>
      <c r="I2144" t="s">
        <v>289</v>
      </c>
      <c r="J2144" t="s">
        <v>344</v>
      </c>
      <c r="K2144">
        <v>16</v>
      </c>
      <c r="L2144" s="6">
        <v>4.88</v>
      </c>
      <c r="M2144" s="7">
        <v>25</v>
      </c>
      <c r="N2144" s="7">
        <v>142</v>
      </c>
      <c r="O2144" s="7">
        <v>0</v>
      </c>
      <c r="P2144" s="7">
        <v>0</v>
      </c>
      <c r="Q2144" s="7">
        <v>0</v>
      </c>
      <c r="R2144" s="6">
        <v>0</v>
      </c>
      <c r="S2144" s="6">
        <v>0</v>
      </c>
      <c r="T2144" t="str">
        <f t="shared" si="179"/>
        <v>Ipe Performance Profile 1x6 Long</v>
      </c>
    </row>
    <row r="2145" spans="1:20" x14ac:dyDescent="0.25">
      <c r="A2145" t="s">
        <v>2581</v>
      </c>
      <c r="B2145" t="s">
        <v>2592</v>
      </c>
      <c r="C2145" t="s">
        <v>283</v>
      </c>
      <c r="D2145" t="s">
        <v>2512</v>
      </c>
      <c r="E2145" t="s">
        <v>2705</v>
      </c>
      <c r="F2145" t="s">
        <v>2706</v>
      </c>
      <c r="G2145" t="s">
        <v>1351</v>
      </c>
      <c r="H2145" t="s">
        <v>2515</v>
      </c>
      <c r="I2145" t="s">
        <v>289</v>
      </c>
      <c r="J2145" t="s">
        <v>2538</v>
      </c>
      <c r="K2145">
        <v>16</v>
      </c>
      <c r="L2145" s="6">
        <v>4.88</v>
      </c>
      <c r="M2145" s="7">
        <v>26</v>
      </c>
      <c r="N2145" s="7">
        <v>176</v>
      </c>
      <c r="O2145" s="7">
        <v>0</v>
      </c>
      <c r="P2145" s="7">
        <v>0</v>
      </c>
      <c r="Q2145" s="7">
        <v>0</v>
      </c>
      <c r="R2145" s="6">
        <v>0</v>
      </c>
      <c r="S2145" s="6">
        <v>0</v>
      </c>
      <c r="T2145" t="str">
        <f t="shared" si="179"/>
        <v>Ipe Performance Profile 1x7 Long</v>
      </c>
    </row>
    <row r="2146" spans="1:20" x14ac:dyDescent="0.25">
      <c r="A2146" t="s">
        <v>2576</v>
      </c>
      <c r="B2146" t="s">
        <v>2595</v>
      </c>
      <c r="C2146" t="s">
        <v>283</v>
      </c>
      <c r="D2146" t="s">
        <v>2512</v>
      </c>
      <c r="E2146" t="s">
        <v>136</v>
      </c>
      <c r="F2146" t="s">
        <v>2707</v>
      </c>
      <c r="G2146" t="s">
        <v>1351</v>
      </c>
      <c r="H2146" t="s">
        <v>2515</v>
      </c>
      <c r="I2146" t="s">
        <v>289</v>
      </c>
      <c r="J2146" t="s">
        <v>672</v>
      </c>
      <c r="K2146">
        <v>16</v>
      </c>
      <c r="L2146" s="6">
        <v>4.88</v>
      </c>
      <c r="M2146" s="7">
        <v>25</v>
      </c>
      <c r="N2146" s="7">
        <v>222</v>
      </c>
      <c r="O2146" s="7">
        <v>0</v>
      </c>
      <c r="P2146" s="7">
        <v>0</v>
      </c>
      <c r="Q2146" s="7">
        <v>0</v>
      </c>
      <c r="R2146" s="6">
        <v>0</v>
      </c>
      <c r="S2146" s="6">
        <v>0</v>
      </c>
      <c r="T2146" t="str">
        <f t="shared" si="179"/>
        <v>Ipe Performance Profile 1x8 Long</v>
      </c>
    </row>
    <row r="2147" spans="1:20" x14ac:dyDescent="0.25">
      <c r="A2147" t="s">
        <v>2581</v>
      </c>
      <c r="B2147" t="s">
        <v>2595</v>
      </c>
      <c r="C2147" t="s">
        <v>283</v>
      </c>
      <c r="D2147" t="s">
        <v>2512</v>
      </c>
      <c r="E2147" t="s">
        <v>2708</v>
      </c>
      <c r="F2147" t="s">
        <v>2707</v>
      </c>
      <c r="G2147" t="s">
        <v>1351</v>
      </c>
      <c r="H2147" t="s">
        <v>2515</v>
      </c>
      <c r="I2147" t="s">
        <v>289</v>
      </c>
      <c r="J2147" t="s">
        <v>672</v>
      </c>
      <c r="K2147">
        <v>16</v>
      </c>
      <c r="L2147" s="6">
        <v>4.88</v>
      </c>
      <c r="M2147" s="7">
        <v>26</v>
      </c>
      <c r="N2147" s="7">
        <v>219</v>
      </c>
      <c r="O2147" s="7">
        <v>0</v>
      </c>
      <c r="P2147" s="7">
        <v>0</v>
      </c>
      <c r="Q2147" s="7">
        <v>0</v>
      </c>
      <c r="R2147" s="6">
        <v>0</v>
      </c>
      <c r="S2147" s="6">
        <v>0</v>
      </c>
      <c r="T2147" t="str">
        <f t="shared" si="179"/>
        <v>Ipe Performance Profile 1x8 Long</v>
      </c>
    </row>
    <row r="2148" spans="1:20" x14ac:dyDescent="0.25">
      <c r="A2148" t="s">
        <v>2539</v>
      </c>
      <c r="B2148" t="s">
        <v>2540</v>
      </c>
      <c r="C2148" t="s">
        <v>283</v>
      </c>
      <c r="D2148" t="s">
        <v>2512</v>
      </c>
      <c r="E2148" t="s">
        <v>2709</v>
      </c>
      <c r="F2148" t="s">
        <v>2710</v>
      </c>
      <c r="G2148" t="s">
        <v>2711</v>
      </c>
      <c r="H2148" t="s">
        <v>324</v>
      </c>
      <c r="I2148" t="s">
        <v>289</v>
      </c>
      <c r="J2148" t="s">
        <v>344</v>
      </c>
      <c r="K2148">
        <v>12</v>
      </c>
      <c r="L2148" s="6">
        <v>3.66</v>
      </c>
      <c r="M2148" s="7">
        <v>23</v>
      </c>
      <c r="N2148" s="7">
        <v>140</v>
      </c>
      <c r="O2148" s="7">
        <v>0</v>
      </c>
      <c r="P2148" s="7">
        <v>0</v>
      </c>
      <c r="Q2148" s="7">
        <v>0</v>
      </c>
      <c r="R2148" s="6">
        <v>0</v>
      </c>
      <c r="S2148" s="6">
        <v>0</v>
      </c>
      <c r="T2148" t="str">
        <f t="shared" si="179"/>
        <v>Leblon Rio Collection Grooved 1x6 Long</v>
      </c>
    </row>
    <row r="2149" spans="1:20" x14ac:dyDescent="0.25">
      <c r="A2149" t="s">
        <v>2539</v>
      </c>
      <c r="B2149" t="s">
        <v>2540</v>
      </c>
      <c r="C2149" t="s">
        <v>283</v>
      </c>
      <c r="D2149" t="s">
        <v>2512</v>
      </c>
      <c r="E2149" t="s">
        <v>2712</v>
      </c>
      <c r="F2149" t="s">
        <v>2710</v>
      </c>
      <c r="G2149" t="s">
        <v>2711</v>
      </c>
      <c r="H2149" t="s">
        <v>324</v>
      </c>
      <c r="I2149" t="s">
        <v>289</v>
      </c>
      <c r="J2149" t="s">
        <v>344</v>
      </c>
      <c r="K2149">
        <v>16</v>
      </c>
      <c r="L2149" s="6">
        <v>4.88</v>
      </c>
      <c r="M2149" s="7">
        <v>23</v>
      </c>
      <c r="N2149" s="7">
        <v>140</v>
      </c>
      <c r="O2149" s="7">
        <v>0</v>
      </c>
      <c r="P2149" s="7">
        <v>0</v>
      </c>
      <c r="Q2149" s="7">
        <v>0</v>
      </c>
      <c r="R2149" s="6">
        <v>0</v>
      </c>
      <c r="S2149" s="6">
        <v>0</v>
      </c>
      <c r="T2149" t="str">
        <f t="shared" si="179"/>
        <v>Leblon Rio Collection Grooved 1x6 Long</v>
      </c>
    </row>
    <row r="2150" spans="1:20" x14ac:dyDescent="0.25">
      <c r="A2150" t="s">
        <v>2539</v>
      </c>
      <c r="B2150" t="s">
        <v>2540</v>
      </c>
      <c r="C2150" t="s">
        <v>283</v>
      </c>
      <c r="D2150" t="s">
        <v>2512</v>
      </c>
      <c r="E2150" t="s">
        <v>2713</v>
      </c>
      <c r="F2150" t="s">
        <v>2710</v>
      </c>
      <c r="G2150" t="s">
        <v>2711</v>
      </c>
      <c r="H2150" t="s">
        <v>324</v>
      </c>
      <c r="I2150" t="s">
        <v>289</v>
      </c>
      <c r="J2150" t="s">
        <v>344</v>
      </c>
      <c r="K2150">
        <v>20</v>
      </c>
      <c r="L2150" s="6">
        <v>7.1</v>
      </c>
      <c r="M2150" s="7">
        <v>23</v>
      </c>
      <c r="N2150" s="7">
        <v>140</v>
      </c>
      <c r="O2150" s="7">
        <v>0</v>
      </c>
      <c r="P2150" s="7">
        <v>0</v>
      </c>
      <c r="Q2150" s="7">
        <v>0</v>
      </c>
      <c r="R2150" s="6">
        <v>0</v>
      </c>
      <c r="S2150" s="6">
        <v>0</v>
      </c>
      <c r="T2150" t="str">
        <f t="shared" si="179"/>
        <v>Leblon Rio Collection Grooved 1x6 Long</v>
      </c>
    </row>
    <row r="2151" spans="1:20" x14ac:dyDescent="0.25">
      <c r="A2151" t="s">
        <v>2539</v>
      </c>
      <c r="B2151" t="s">
        <v>2595</v>
      </c>
      <c r="C2151" t="s">
        <v>283</v>
      </c>
      <c r="D2151" t="s">
        <v>2512</v>
      </c>
      <c r="E2151" t="s">
        <v>2714</v>
      </c>
      <c r="F2151" t="s">
        <v>2715</v>
      </c>
      <c r="G2151" t="s">
        <v>2711</v>
      </c>
      <c r="H2151" t="s">
        <v>2716</v>
      </c>
      <c r="I2151" t="s">
        <v>289</v>
      </c>
      <c r="J2151" t="s">
        <v>672</v>
      </c>
      <c r="K2151">
        <v>12</v>
      </c>
      <c r="L2151" s="6">
        <v>3.66</v>
      </c>
      <c r="M2151" s="7">
        <v>14</v>
      </c>
      <c r="N2151" s="7">
        <v>185</v>
      </c>
      <c r="O2151" s="7">
        <v>0</v>
      </c>
      <c r="P2151" s="7">
        <v>0</v>
      </c>
      <c r="Q2151" s="7">
        <v>0</v>
      </c>
      <c r="R2151" s="6">
        <v>0</v>
      </c>
      <c r="S2151" s="6">
        <v>0</v>
      </c>
      <c r="T2151" t="str">
        <f t="shared" si="179"/>
        <v>Leblon Rio Collection Riser 1x6 Long</v>
      </c>
    </row>
    <row r="2152" spans="1:20" x14ac:dyDescent="0.25">
      <c r="A2152" t="s">
        <v>2539</v>
      </c>
      <c r="B2152" t="s">
        <v>2540</v>
      </c>
      <c r="C2152" t="s">
        <v>283</v>
      </c>
      <c r="D2152" t="s">
        <v>2512</v>
      </c>
      <c r="E2152" t="s">
        <v>2717</v>
      </c>
      <c r="F2152" t="s">
        <v>2718</v>
      </c>
      <c r="G2152" t="s">
        <v>2711</v>
      </c>
      <c r="H2152" t="s">
        <v>2548</v>
      </c>
      <c r="I2152" t="s">
        <v>289</v>
      </c>
      <c r="J2152" t="s">
        <v>344</v>
      </c>
      <c r="K2152">
        <v>16</v>
      </c>
      <c r="L2152" s="6">
        <v>4.88</v>
      </c>
      <c r="M2152" s="7">
        <v>23</v>
      </c>
      <c r="N2152" s="7">
        <v>140</v>
      </c>
      <c r="O2152" s="7">
        <v>0</v>
      </c>
      <c r="P2152" s="7">
        <v>0</v>
      </c>
      <c r="Q2152" s="7">
        <v>0</v>
      </c>
      <c r="R2152" s="6">
        <v>0</v>
      </c>
      <c r="S2152" s="6">
        <v>0</v>
      </c>
      <c r="T2152" t="str">
        <f t="shared" si="179"/>
        <v>Leblon Rio Collection Square 1x6 Long</v>
      </c>
    </row>
    <row r="2153" spans="1:20" x14ac:dyDescent="0.25">
      <c r="A2153" t="s">
        <v>2510</v>
      </c>
      <c r="B2153" t="s">
        <v>2522</v>
      </c>
      <c r="C2153" t="s">
        <v>283</v>
      </c>
      <c r="D2153" t="s">
        <v>2512</v>
      </c>
      <c r="E2153" t="s">
        <v>2719</v>
      </c>
      <c r="F2153" t="s">
        <v>2720</v>
      </c>
      <c r="G2153" t="s">
        <v>2721</v>
      </c>
      <c r="H2153" t="s">
        <v>2526</v>
      </c>
      <c r="I2153" t="s">
        <v>289</v>
      </c>
      <c r="J2153" t="s">
        <v>764</v>
      </c>
      <c r="K2153">
        <v>16</v>
      </c>
      <c r="L2153" s="6">
        <v>4.88</v>
      </c>
      <c r="M2153" s="7">
        <v>50</v>
      </c>
      <c r="N2153" s="7">
        <v>50</v>
      </c>
      <c r="O2153" s="7">
        <v>0</v>
      </c>
      <c r="P2153" s="7">
        <v>0</v>
      </c>
      <c r="Q2153" s="7">
        <v>0</v>
      </c>
      <c r="R2153" s="6">
        <v>0</v>
      </c>
      <c r="S2153" s="6">
        <v>0</v>
      </c>
      <c r="T2153" t="str">
        <f t="shared" si="179"/>
        <v>Light Brown Architecture Collection L Trim 2x2 Long</v>
      </c>
    </row>
    <row r="2154" spans="1:20" x14ac:dyDescent="0.25">
      <c r="A2154" t="s">
        <v>2510</v>
      </c>
      <c r="B2154" t="s">
        <v>2522</v>
      </c>
      <c r="C2154" t="s">
        <v>283</v>
      </c>
      <c r="D2154" t="s">
        <v>2512</v>
      </c>
      <c r="E2154" t="s">
        <v>2722</v>
      </c>
      <c r="F2154" t="s">
        <v>2720</v>
      </c>
      <c r="G2154" t="s">
        <v>2721</v>
      </c>
      <c r="H2154" t="s">
        <v>2526</v>
      </c>
      <c r="I2154" t="s">
        <v>289</v>
      </c>
      <c r="J2154" t="s">
        <v>764</v>
      </c>
      <c r="K2154">
        <v>16</v>
      </c>
      <c r="L2154" s="6">
        <v>4.88</v>
      </c>
      <c r="M2154" s="7">
        <v>50</v>
      </c>
      <c r="N2154" s="7">
        <v>50</v>
      </c>
      <c r="O2154" s="7">
        <v>0</v>
      </c>
      <c r="P2154" s="7">
        <v>0</v>
      </c>
      <c r="Q2154" s="7">
        <v>0</v>
      </c>
      <c r="R2154" s="6">
        <v>0</v>
      </c>
      <c r="S2154" s="6">
        <v>0</v>
      </c>
      <c r="T2154" t="str">
        <f t="shared" si="179"/>
        <v>Light Brown Architecture Collection L Trim 2x2 Long</v>
      </c>
    </row>
    <row r="2155" spans="1:20" x14ac:dyDescent="0.25">
      <c r="A2155" t="s">
        <v>2510</v>
      </c>
      <c r="B2155" t="s">
        <v>2511</v>
      </c>
      <c r="C2155" t="s">
        <v>283</v>
      </c>
      <c r="D2155" t="s">
        <v>2512</v>
      </c>
      <c r="E2155" t="s">
        <v>2723</v>
      </c>
      <c r="F2155" t="s">
        <v>2724</v>
      </c>
      <c r="G2155" t="s">
        <v>2721</v>
      </c>
      <c r="H2155" t="s">
        <v>2529</v>
      </c>
      <c r="I2155" t="s">
        <v>289</v>
      </c>
      <c r="J2155" t="s">
        <v>2530</v>
      </c>
      <c r="K2155">
        <v>16</v>
      </c>
      <c r="L2155" s="6">
        <v>4.88</v>
      </c>
      <c r="M2155" s="7">
        <v>49</v>
      </c>
      <c r="N2155" s="7">
        <v>99</v>
      </c>
      <c r="O2155" s="7">
        <v>0</v>
      </c>
      <c r="P2155" s="7">
        <v>0</v>
      </c>
      <c r="Q2155" s="7">
        <v>0</v>
      </c>
      <c r="R2155" s="6">
        <v>0</v>
      </c>
      <c r="S2155" s="6">
        <v>0</v>
      </c>
      <c r="T2155" t="str">
        <f t="shared" si="179"/>
        <v>Light Brown London Collection Corner Trim 1.5x3.9 Long</v>
      </c>
    </row>
    <row r="2156" spans="1:20" x14ac:dyDescent="0.25">
      <c r="A2156" t="s">
        <v>2510</v>
      </c>
      <c r="B2156" t="s">
        <v>2520</v>
      </c>
      <c r="C2156" t="s">
        <v>283</v>
      </c>
      <c r="D2156" t="s">
        <v>2512</v>
      </c>
      <c r="E2156" t="s">
        <v>2725</v>
      </c>
      <c r="F2156" t="s">
        <v>2726</v>
      </c>
      <c r="G2156" t="s">
        <v>2721</v>
      </c>
      <c r="H2156" t="s">
        <v>2529</v>
      </c>
      <c r="I2156" t="s">
        <v>289</v>
      </c>
      <c r="J2156" t="s">
        <v>2558</v>
      </c>
      <c r="K2156">
        <v>16</v>
      </c>
      <c r="L2156" s="6">
        <v>4.88</v>
      </c>
      <c r="M2156" s="7">
        <v>22.2</v>
      </c>
      <c r="N2156" s="7">
        <v>22.2</v>
      </c>
      <c r="O2156" s="7">
        <v>0</v>
      </c>
      <c r="P2156" s="7">
        <v>0</v>
      </c>
      <c r="Q2156" s="7">
        <v>0</v>
      </c>
      <c r="R2156" s="6">
        <v>0</v>
      </c>
      <c r="S2156" s="6">
        <v>0</v>
      </c>
      <c r="T2156" t="str">
        <f t="shared" si="179"/>
        <v>Light Brown New York Collection Corner Trim 1x1 Long</v>
      </c>
    </row>
    <row r="2157" spans="1:20" x14ac:dyDescent="0.25">
      <c r="A2157" t="s">
        <v>2510</v>
      </c>
      <c r="B2157" t="s">
        <v>2531</v>
      </c>
      <c r="C2157" t="s">
        <v>283</v>
      </c>
      <c r="D2157" t="s">
        <v>2512</v>
      </c>
      <c r="E2157" t="s">
        <v>2727</v>
      </c>
      <c r="F2157" t="s">
        <v>2728</v>
      </c>
      <c r="G2157" t="s">
        <v>2721</v>
      </c>
      <c r="H2157" t="s">
        <v>2529</v>
      </c>
      <c r="I2157" t="s">
        <v>289</v>
      </c>
      <c r="J2157" t="s">
        <v>2534</v>
      </c>
      <c r="K2157">
        <v>16</v>
      </c>
      <c r="L2157" s="6">
        <v>4.88</v>
      </c>
      <c r="M2157" s="7">
        <v>38</v>
      </c>
      <c r="N2157" s="7">
        <v>78</v>
      </c>
      <c r="O2157" s="7">
        <v>0</v>
      </c>
      <c r="P2157" s="7">
        <v>0</v>
      </c>
      <c r="Q2157" s="7">
        <v>0</v>
      </c>
      <c r="R2157" s="6">
        <v>0</v>
      </c>
      <c r="S2157" s="6">
        <v>0</v>
      </c>
      <c r="T2157" t="str">
        <f t="shared" si="179"/>
        <v>Light Brown Rome Collection Corner Trim 1.5x3 Long</v>
      </c>
    </row>
    <row r="2158" spans="1:20" x14ac:dyDescent="0.25">
      <c r="A2158" t="s">
        <v>2510</v>
      </c>
      <c r="B2158" t="s">
        <v>2511</v>
      </c>
      <c r="C2158" t="s">
        <v>283</v>
      </c>
      <c r="D2158" t="s">
        <v>2512</v>
      </c>
      <c r="E2158" t="s">
        <v>2729</v>
      </c>
      <c r="F2158" t="s">
        <v>2730</v>
      </c>
      <c r="G2158" t="s">
        <v>2731</v>
      </c>
      <c r="H2158" t="s">
        <v>2515</v>
      </c>
      <c r="I2158" t="s">
        <v>289</v>
      </c>
      <c r="J2158" t="s">
        <v>672</v>
      </c>
      <c r="K2158">
        <v>16</v>
      </c>
      <c r="L2158" s="6">
        <v>4.88</v>
      </c>
      <c r="M2158" s="7">
        <v>26</v>
      </c>
      <c r="N2158" s="7">
        <v>219</v>
      </c>
      <c r="O2158" s="7">
        <v>0</v>
      </c>
      <c r="P2158" s="7">
        <v>0</v>
      </c>
      <c r="Q2158" s="7">
        <v>0</v>
      </c>
      <c r="R2158" s="6">
        <v>0</v>
      </c>
      <c r="S2158" s="6">
        <v>0</v>
      </c>
      <c r="T2158" t="str">
        <f t="shared" si="179"/>
        <v>Mayfair London Collection Profile 1x8 Long</v>
      </c>
    </row>
    <row r="2159" spans="1:20" x14ac:dyDescent="0.25">
      <c r="A2159" t="s">
        <v>2510</v>
      </c>
      <c r="B2159" t="s">
        <v>2531</v>
      </c>
      <c r="C2159" t="s">
        <v>283</v>
      </c>
      <c r="D2159" t="s">
        <v>2512</v>
      </c>
      <c r="E2159" t="s">
        <v>2732</v>
      </c>
      <c r="F2159" t="s">
        <v>2733</v>
      </c>
      <c r="G2159" t="s">
        <v>2734</v>
      </c>
      <c r="H2159" t="s">
        <v>2515</v>
      </c>
      <c r="I2159" t="s">
        <v>289</v>
      </c>
      <c r="J2159" t="s">
        <v>2538</v>
      </c>
      <c r="K2159">
        <v>16</v>
      </c>
      <c r="L2159" s="6">
        <v>4.88</v>
      </c>
      <c r="M2159" s="7">
        <v>26</v>
      </c>
      <c r="N2159" s="7">
        <v>176</v>
      </c>
      <c r="O2159" s="7">
        <v>0</v>
      </c>
      <c r="P2159" s="7">
        <v>0</v>
      </c>
      <c r="Q2159" s="7">
        <v>0</v>
      </c>
      <c r="R2159" s="6">
        <v>0</v>
      </c>
      <c r="S2159" s="6">
        <v>0</v>
      </c>
      <c r="T2159" t="str">
        <f t="shared" si="179"/>
        <v>Navona Rome Collection Profile 1x7 Long</v>
      </c>
    </row>
    <row r="2160" spans="1:20" x14ac:dyDescent="0.25">
      <c r="A2160" t="s">
        <v>2561</v>
      </c>
      <c r="B2160" t="s">
        <v>2562</v>
      </c>
      <c r="C2160" t="s">
        <v>283</v>
      </c>
      <c r="D2160" t="s">
        <v>2512</v>
      </c>
      <c r="E2160" t="s">
        <v>2735</v>
      </c>
      <c r="F2160" t="s">
        <v>2736</v>
      </c>
      <c r="G2160" t="s">
        <v>2737</v>
      </c>
      <c r="H2160" t="s">
        <v>2738</v>
      </c>
      <c r="I2160" t="s">
        <v>289</v>
      </c>
      <c r="J2160" t="s">
        <v>2567</v>
      </c>
      <c r="K2160">
        <v>8</v>
      </c>
      <c r="L2160" s="6">
        <v>2.44</v>
      </c>
      <c r="M2160" s="7">
        <v>0</v>
      </c>
      <c r="N2160" s="7">
        <v>0</v>
      </c>
      <c r="O2160" s="7">
        <v>0</v>
      </c>
      <c r="P2160" s="7">
        <v>0</v>
      </c>
      <c r="Q2160" s="7">
        <v>0</v>
      </c>
      <c r="R2160" s="6">
        <v>0</v>
      </c>
      <c r="S2160" s="6">
        <v>0</v>
      </c>
      <c r="T2160" t="str">
        <f t="shared" si="179"/>
        <v>Oak Board With Texture 1.25"x5.5" Long</v>
      </c>
    </row>
    <row r="2161" spans="1:20" x14ac:dyDescent="0.25">
      <c r="A2161" t="s">
        <v>2561</v>
      </c>
      <c r="B2161" t="s">
        <v>2562</v>
      </c>
      <c r="C2161" t="s">
        <v>283</v>
      </c>
      <c r="D2161" t="s">
        <v>2512</v>
      </c>
      <c r="E2161" t="s">
        <v>2739</v>
      </c>
      <c r="F2161" t="s">
        <v>2740</v>
      </c>
      <c r="G2161" t="s">
        <v>2737</v>
      </c>
      <c r="H2161" t="s">
        <v>2671</v>
      </c>
      <c r="I2161" t="s">
        <v>289</v>
      </c>
      <c r="J2161" t="s">
        <v>2672</v>
      </c>
      <c r="K2161">
        <v>8</v>
      </c>
      <c r="L2161" s="6">
        <v>2.44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6">
        <v>0</v>
      </c>
      <c r="S2161" s="6">
        <v>0</v>
      </c>
      <c r="T2161" t="str">
        <f t="shared" si="179"/>
        <v>Oak Column 5"x5" Long</v>
      </c>
    </row>
    <row r="2162" spans="1:20" x14ac:dyDescent="0.25">
      <c r="A2162" t="s">
        <v>2561</v>
      </c>
      <c r="B2162" t="s">
        <v>2562</v>
      </c>
      <c r="C2162" t="s">
        <v>283</v>
      </c>
      <c r="D2162" t="s">
        <v>2512</v>
      </c>
      <c r="E2162" t="s">
        <v>2741</v>
      </c>
      <c r="F2162" t="s">
        <v>2742</v>
      </c>
      <c r="G2162" t="s">
        <v>2737</v>
      </c>
      <c r="H2162" t="s">
        <v>2625</v>
      </c>
      <c r="I2162" t="s">
        <v>289</v>
      </c>
      <c r="J2162" t="s">
        <v>1180</v>
      </c>
      <c r="K2162">
        <v>6</v>
      </c>
      <c r="L2162" s="6">
        <v>1.83</v>
      </c>
      <c r="M2162" s="7">
        <v>0</v>
      </c>
      <c r="N2162" s="7">
        <v>0</v>
      </c>
      <c r="O2162" s="7">
        <v>0</v>
      </c>
      <c r="P2162" s="7">
        <v>0</v>
      </c>
      <c r="Q2162" s="7">
        <v>0</v>
      </c>
      <c r="R2162" s="6">
        <v>0</v>
      </c>
      <c r="S2162" s="6">
        <v>0</v>
      </c>
      <c r="T2162" t="str">
        <f t="shared" si="179"/>
        <v>Oak Edge Finishinf 6x6 Long</v>
      </c>
    </row>
    <row r="2163" spans="1:20" x14ac:dyDescent="0.25">
      <c r="A2163" t="s">
        <v>2561</v>
      </c>
      <c r="B2163" t="s">
        <v>2562</v>
      </c>
      <c r="C2163" t="s">
        <v>283</v>
      </c>
      <c r="D2163" t="s">
        <v>2512</v>
      </c>
      <c r="E2163" t="s">
        <v>2743</v>
      </c>
      <c r="F2163" t="s">
        <v>2744</v>
      </c>
      <c r="G2163" t="s">
        <v>2737</v>
      </c>
      <c r="H2163" t="s">
        <v>2678</v>
      </c>
      <c r="I2163" t="s">
        <v>289</v>
      </c>
      <c r="J2163" t="s">
        <v>2679</v>
      </c>
      <c r="K2163">
        <v>6</v>
      </c>
      <c r="L2163" s="6">
        <v>1.83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6">
        <v>0</v>
      </c>
      <c r="S2163" s="6">
        <v>0</v>
      </c>
      <c r="T2163" t="str">
        <f t="shared" si="179"/>
        <v>Oak Fence Finishing 2.5"x3.5" Long</v>
      </c>
    </row>
    <row r="2164" spans="1:20" x14ac:dyDescent="0.25">
      <c r="A2164" t="s">
        <v>2561</v>
      </c>
      <c r="B2164" t="s">
        <v>2562</v>
      </c>
      <c r="C2164" t="s">
        <v>283</v>
      </c>
      <c r="D2164" t="s">
        <v>2512</v>
      </c>
      <c r="E2164" t="s">
        <v>2745</v>
      </c>
      <c r="F2164" t="s">
        <v>2746</v>
      </c>
      <c r="G2164" t="s">
        <v>2737</v>
      </c>
      <c r="H2164" t="s">
        <v>2682</v>
      </c>
      <c r="I2164" t="s">
        <v>289</v>
      </c>
      <c r="J2164" t="s">
        <v>2683</v>
      </c>
      <c r="K2164">
        <v>6</v>
      </c>
      <c r="L2164" s="6">
        <v>1.83</v>
      </c>
      <c r="M2164" s="7">
        <v>0</v>
      </c>
      <c r="N2164" s="7">
        <v>0</v>
      </c>
      <c r="O2164" s="7">
        <v>0</v>
      </c>
      <c r="P2164" s="7">
        <v>0</v>
      </c>
      <c r="Q2164" s="7">
        <v>0</v>
      </c>
      <c r="R2164" s="6">
        <v>0</v>
      </c>
      <c r="S2164" s="6">
        <v>0</v>
      </c>
      <c r="T2164" t="str">
        <f t="shared" si="179"/>
        <v>Oak Fence Tongue and Grooved 3"x7" Long</v>
      </c>
    </row>
    <row r="2165" spans="1:20" x14ac:dyDescent="0.25">
      <c r="A2165" t="s">
        <v>2561</v>
      </c>
      <c r="B2165" t="s">
        <v>2562</v>
      </c>
      <c r="C2165" t="s">
        <v>283</v>
      </c>
      <c r="D2165" t="s">
        <v>2512</v>
      </c>
      <c r="E2165" t="s">
        <v>2747</v>
      </c>
      <c r="F2165" t="s">
        <v>2748</v>
      </c>
      <c r="G2165" t="s">
        <v>2737</v>
      </c>
      <c r="H2165" t="s">
        <v>2686</v>
      </c>
      <c r="I2165" t="s">
        <v>289</v>
      </c>
      <c r="J2165" t="s">
        <v>2687</v>
      </c>
      <c r="K2165">
        <v>5</v>
      </c>
      <c r="L2165" s="6">
        <v>1.52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6">
        <v>0</v>
      </c>
      <c r="S2165" s="6">
        <v>0</v>
      </c>
      <c r="T2165" t="str">
        <f t="shared" si="179"/>
        <v>Oak Floor Fitting 1.5"x9" Long</v>
      </c>
    </row>
    <row r="2166" spans="1:20" x14ac:dyDescent="0.25">
      <c r="A2166" t="s">
        <v>2510</v>
      </c>
      <c r="B2166" t="s">
        <v>2511</v>
      </c>
      <c r="C2166" t="s">
        <v>283</v>
      </c>
      <c r="D2166" t="s">
        <v>2512</v>
      </c>
      <c r="E2166" t="s">
        <v>2749</v>
      </c>
      <c r="F2166" t="s">
        <v>2750</v>
      </c>
      <c r="G2166" t="s">
        <v>2751</v>
      </c>
      <c r="H2166" t="s">
        <v>2515</v>
      </c>
      <c r="I2166" t="s">
        <v>289</v>
      </c>
      <c r="J2166" t="s">
        <v>672</v>
      </c>
      <c r="K2166">
        <v>16</v>
      </c>
      <c r="L2166" s="6">
        <v>4.88</v>
      </c>
      <c r="M2166" s="7">
        <v>26</v>
      </c>
      <c r="N2166" s="7">
        <v>219</v>
      </c>
      <c r="O2166" s="7">
        <v>0</v>
      </c>
      <c r="P2166" s="7">
        <v>0</v>
      </c>
      <c r="Q2166" s="7">
        <v>0</v>
      </c>
      <c r="R2166" s="6">
        <v>0</v>
      </c>
      <c r="S2166" s="6">
        <v>0</v>
      </c>
      <c r="T2166" t="str">
        <f t="shared" si="179"/>
        <v>Oxford London Collection Profile 1x8 Long</v>
      </c>
    </row>
    <row r="2167" spans="1:20" x14ac:dyDescent="0.25">
      <c r="A2167" t="s">
        <v>2510</v>
      </c>
      <c r="B2167" t="s">
        <v>2531</v>
      </c>
      <c r="C2167" t="s">
        <v>283</v>
      </c>
      <c r="D2167" t="s">
        <v>2512</v>
      </c>
      <c r="E2167" t="s">
        <v>251</v>
      </c>
      <c r="F2167" t="s">
        <v>2752</v>
      </c>
      <c r="G2167" t="s">
        <v>2753</v>
      </c>
      <c r="H2167" t="s">
        <v>2515</v>
      </c>
      <c r="I2167" t="s">
        <v>289</v>
      </c>
      <c r="J2167" t="s">
        <v>2538</v>
      </c>
      <c r="K2167">
        <v>16</v>
      </c>
      <c r="L2167" s="6">
        <v>4.88</v>
      </c>
      <c r="M2167" s="7">
        <v>26</v>
      </c>
      <c r="N2167" s="7">
        <v>176</v>
      </c>
      <c r="O2167" s="7">
        <v>0</v>
      </c>
      <c r="P2167" s="7">
        <v>0</v>
      </c>
      <c r="Q2167" s="7">
        <v>0</v>
      </c>
      <c r="R2167" s="6">
        <v>0</v>
      </c>
      <c r="S2167" s="6">
        <v>0</v>
      </c>
      <c r="T2167" t="str">
        <f t="shared" si="179"/>
        <v>Pantheon Rome Collection Profile 1x7 Long</v>
      </c>
    </row>
    <row r="2168" spans="1:20" x14ac:dyDescent="0.25">
      <c r="A2168" t="s">
        <v>2510</v>
      </c>
      <c r="B2168" t="s">
        <v>2520</v>
      </c>
      <c r="C2168" t="s">
        <v>283</v>
      </c>
      <c r="D2168" t="s">
        <v>2512</v>
      </c>
      <c r="E2168" t="s">
        <v>135</v>
      </c>
      <c r="F2168" t="s">
        <v>2754</v>
      </c>
      <c r="G2168" t="s">
        <v>2755</v>
      </c>
      <c r="H2168" t="s">
        <v>2515</v>
      </c>
      <c r="I2168" t="s">
        <v>289</v>
      </c>
      <c r="J2168" t="s">
        <v>344</v>
      </c>
      <c r="K2168">
        <v>16</v>
      </c>
      <c r="L2168" s="6">
        <v>4.88</v>
      </c>
      <c r="M2168" s="7">
        <v>21</v>
      </c>
      <c r="N2168" s="7">
        <v>156</v>
      </c>
      <c r="O2168" s="7">
        <v>0</v>
      </c>
      <c r="P2168" s="7">
        <v>0</v>
      </c>
      <c r="Q2168" s="7">
        <v>0</v>
      </c>
      <c r="R2168" s="6">
        <v>0</v>
      </c>
      <c r="S2168" s="6">
        <v>0</v>
      </c>
      <c r="T2168" t="str">
        <f t="shared" si="179"/>
        <v>Rockefeller New York Collection Profile 1x6 Long</v>
      </c>
    </row>
    <row r="2169" spans="1:20" x14ac:dyDescent="0.25">
      <c r="A2169" t="s">
        <v>2510</v>
      </c>
      <c r="B2169" t="s">
        <v>2516</v>
      </c>
      <c r="C2169" t="s">
        <v>283</v>
      </c>
      <c r="D2169" t="s">
        <v>2512</v>
      </c>
      <c r="E2169" t="s">
        <v>2756</v>
      </c>
      <c r="F2169" t="s">
        <v>2757</v>
      </c>
      <c r="G2169" t="s">
        <v>2758</v>
      </c>
      <c r="H2169" t="s">
        <v>2515</v>
      </c>
      <c r="I2169" t="s">
        <v>289</v>
      </c>
      <c r="J2169" t="s">
        <v>344</v>
      </c>
      <c r="K2169">
        <v>16</v>
      </c>
      <c r="L2169" s="6">
        <v>4.88</v>
      </c>
      <c r="M2169" s="7">
        <v>12</v>
      </c>
      <c r="N2169" s="7">
        <v>140</v>
      </c>
      <c r="O2169" s="7">
        <v>0</v>
      </c>
      <c r="P2169" s="7">
        <v>0</v>
      </c>
      <c r="Q2169" s="7">
        <v>0</v>
      </c>
      <c r="R2169" s="6">
        <v>0</v>
      </c>
      <c r="S2169" s="6">
        <v>0</v>
      </c>
      <c r="T2169" t="str">
        <f t="shared" si="179"/>
        <v>Santa Monica Los Angeles Collection Profile 1x6 Long</v>
      </c>
    </row>
    <row r="2170" spans="1:20" x14ac:dyDescent="0.25">
      <c r="A2170" t="s">
        <v>2510</v>
      </c>
      <c r="B2170" t="s">
        <v>2520</v>
      </c>
      <c r="C2170" t="s">
        <v>2759</v>
      </c>
      <c r="D2170" t="s">
        <v>2512</v>
      </c>
      <c r="E2170" t="s">
        <v>2760</v>
      </c>
      <c r="F2170" t="s">
        <v>2761</v>
      </c>
      <c r="G2170" t="s">
        <v>2762</v>
      </c>
      <c r="H2170" t="s">
        <v>2763</v>
      </c>
      <c r="I2170" t="s">
        <v>289</v>
      </c>
      <c r="J2170" t="s">
        <v>2763</v>
      </c>
      <c r="K2170">
        <v>0</v>
      </c>
      <c r="L2170" s="6">
        <v>0</v>
      </c>
      <c r="M2170" s="7">
        <v>0</v>
      </c>
      <c r="N2170" s="7">
        <v>0</v>
      </c>
      <c r="O2170" s="7">
        <v>0</v>
      </c>
      <c r="P2170" s="7">
        <v>0</v>
      </c>
      <c r="Q2170" s="7">
        <v>0</v>
      </c>
      <c r="R2170" s="6">
        <v>0</v>
      </c>
      <c r="S2170" s="6">
        <v>0</v>
      </c>
      <c r="T2170" t="str">
        <f t="shared" si="179"/>
        <v>Steel Clip and 40mm Screw Box Screws</v>
      </c>
    </row>
    <row r="2171" spans="1:20" x14ac:dyDescent="0.25">
      <c r="A2171" t="s">
        <v>2510</v>
      </c>
      <c r="B2171" t="s">
        <v>2520</v>
      </c>
      <c r="C2171" t="s">
        <v>2759</v>
      </c>
      <c r="D2171" t="s">
        <v>2512</v>
      </c>
      <c r="E2171" t="s">
        <v>2764</v>
      </c>
      <c r="F2171" t="s">
        <v>2761</v>
      </c>
      <c r="G2171" t="s">
        <v>2762</v>
      </c>
      <c r="H2171" t="s">
        <v>2763</v>
      </c>
      <c r="I2171" t="s">
        <v>289</v>
      </c>
      <c r="J2171" t="s">
        <v>2763</v>
      </c>
      <c r="K2171">
        <v>0</v>
      </c>
      <c r="L2171" s="6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6">
        <v>0</v>
      </c>
      <c r="S2171" s="6">
        <v>0</v>
      </c>
      <c r="T2171" t="str">
        <f t="shared" si="179"/>
        <v>Steel Clip and 40mm Screw Box Screws</v>
      </c>
    </row>
    <row r="2172" spans="1:20" x14ac:dyDescent="0.25">
      <c r="A2172" t="s">
        <v>2510</v>
      </c>
      <c r="B2172" t="s">
        <v>2520</v>
      </c>
      <c r="C2172" t="s">
        <v>2759</v>
      </c>
      <c r="D2172" t="s">
        <v>2512</v>
      </c>
      <c r="E2172" t="s">
        <v>2765</v>
      </c>
      <c r="F2172" t="s">
        <v>2761</v>
      </c>
      <c r="G2172" t="s">
        <v>2762</v>
      </c>
      <c r="H2172" t="s">
        <v>2763</v>
      </c>
      <c r="I2172" t="s">
        <v>289</v>
      </c>
      <c r="J2172" t="s">
        <v>2763</v>
      </c>
      <c r="K2172">
        <v>0</v>
      </c>
      <c r="L2172" s="6">
        <v>0</v>
      </c>
      <c r="M2172" s="7">
        <v>0</v>
      </c>
      <c r="N2172" s="7">
        <v>0</v>
      </c>
      <c r="O2172" s="7">
        <v>0</v>
      </c>
      <c r="P2172" s="7">
        <v>0</v>
      </c>
      <c r="Q2172" s="7">
        <v>0</v>
      </c>
      <c r="R2172" s="6">
        <v>0</v>
      </c>
      <c r="S2172" s="6">
        <v>0</v>
      </c>
      <c r="T2172" t="str">
        <f t="shared" si="179"/>
        <v>Steel Clip and 40mm Screw Box Screws</v>
      </c>
    </row>
    <row r="2173" spans="1:20" x14ac:dyDescent="0.25">
      <c r="A2173" t="s">
        <v>2510</v>
      </c>
      <c r="B2173" t="s">
        <v>2520</v>
      </c>
      <c r="C2173" t="s">
        <v>2759</v>
      </c>
      <c r="D2173" t="s">
        <v>2512</v>
      </c>
      <c r="E2173" t="s">
        <v>2766</v>
      </c>
      <c r="F2173" t="s">
        <v>2761</v>
      </c>
      <c r="G2173" t="s">
        <v>2762</v>
      </c>
      <c r="H2173" t="s">
        <v>2763</v>
      </c>
      <c r="I2173" t="s">
        <v>289</v>
      </c>
      <c r="J2173" t="s">
        <v>2763</v>
      </c>
      <c r="K2173">
        <v>0</v>
      </c>
      <c r="L2173" s="6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6">
        <v>0</v>
      </c>
      <c r="S2173" s="6">
        <v>0</v>
      </c>
      <c r="T2173" t="str">
        <f t="shared" si="179"/>
        <v>Steel Clip and 40mm Screw Box Screws</v>
      </c>
    </row>
    <row r="2174" spans="1:20" x14ac:dyDescent="0.25">
      <c r="A2174" t="s">
        <v>2510</v>
      </c>
      <c r="B2174" t="s">
        <v>2520</v>
      </c>
      <c r="C2174" t="s">
        <v>2759</v>
      </c>
      <c r="D2174" t="s">
        <v>2512</v>
      </c>
      <c r="E2174" t="s">
        <v>2767</v>
      </c>
      <c r="F2174" t="s">
        <v>2761</v>
      </c>
      <c r="G2174" t="s">
        <v>2762</v>
      </c>
      <c r="H2174" t="s">
        <v>2763</v>
      </c>
      <c r="I2174" t="s">
        <v>289</v>
      </c>
      <c r="J2174" t="s">
        <v>2763</v>
      </c>
      <c r="K2174">
        <v>0</v>
      </c>
      <c r="L2174" s="6">
        <v>0</v>
      </c>
      <c r="M2174" s="7">
        <v>0</v>
      </c>
      <c r="N2174" s="7">
        <v>0</v>
      </c>
      <c r="O2174" s="7">
        <v>0</v>
      </c>
      <c r="P2174" s="7">
        <v>0</v>
      </c>
      <c r="Q2174" s="7">
        <v>0</v>
      </c>
      <c r="R2174" s="6">
        <v>0</v>
      </c>
      <c r="S2174" s="6">
        <v>0</v>
      </c>
      <c r="T2174" t="str">
        <f t="shared" si="179"/>
        <v>Steel Clip and 40mm Screw Box Screws</v>
      </c>
    </row>
    <row r="2175" spans="1:20" x14ac:dyDescent="0.25">
      <c r="A2175" t="s">
        <v>2510</v>
      </c>
      <c r="B2175" t="s">
        <v>2516</v>
      </c>
      <c r="C2175" t="s">
        <v>2768</v>
      </c>
      <c r="D2175" t="s">
        <v>2512</v>
      </c>
      <c r="E2175" t="s">
        <v>2769</v>
      </c>
      <c r="F2175" t="s">
        <v>2770</v>
      </c>
      <c r="G2175" t="s">
        <v>2771</v>
      </c>
      <c r="H2175" t="s">
        <v>2763</v>
      </c>
      <c r="I2175" t="s">
        <v>289</v>
      </c>
      <c r="J2175" t="s">
        <v>2763</v>
      </c>
      <c r="K2175">
        <v>0</v>
      </c>
      <c r="L2175" s="6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6">
        <v>0</v>
      </c>
      <c r="S2175" s="6">
        <v>0</v>
      </c>
      <c r="T2175" t="str">
        <f t="shared" si="179"/>
        <v>Steel Starter Clip Box Clip</v>
      </c>
    </row>
    <row r="2176" spans="1:20" x14ac:dyDescent="0.25">
      <c r="A2176" t="s">
        <v>2510</v>
      </c>
      <c r="B2176" t="s">
        <v>2520</v>
      </c>
      <c r="C2176" t="s">
        <v>2768</v>
      </c>
      <c r="D2176" t="s">
        <v>2512</v>
      </c>
      <c r="E2176" t="s">
        <v>2772</v>
      </c>
      <c r="F2176" t="s">
        <v>2770</v>
      </c>
      <c r="G2176" t="s">
        <v>2771</v>
      </c>
      <c r="H2176" t="s">
        <v>2763</v>
      </c>
      <c r="I2176" t="s">
        <v>289</v>
      </c>
      <c r="J2176" t="s">
        <v>2763</v>
      </c>
      <c r="K2176">
        <v>0</v>
      </c>
      <c r="L2176" s="6">
        <v>0</v>
      </c>
      <c r="M2176" s="7">
        <v>0</v>
      </c>
      <c r="N2176" s="7">
        <v>0</v>
      </c>
      <c r="O2176" s="7">
        <v>0</v>
      </c>
      <c r="P2176" s="7">
        <v>0</v>
      </c>
      <c r="Q2176" s="7">
        <v>0</v>
      </c>
      <c r="R2176" s="6">
        <v>0</v>
      </c>
      <c r="S2176" s="6">
        <v>0</v>
      </c>
      <c r="T2176" t="str">
        <f t="shared" si="179"/>
        <v>Steel Starter Clip Box Clip</v>
      </c>
    </row>
    <row r="2177" spans="1:20" x14ac:dyDescent="0.25">
      <c r="A2177" t="s">
        <v>2510</v>
      </c>
      <c r="B2177" t="s">
        <v>2520</v>
      </c>
      <c r="C2177" t="s">
        <v>2768</v>
      </c>
      <c r="D2177" t="s">
        <v>2512</v>
      </c>
      <c r="E2177" t="s">
        <v>2773</v>
      </c>
      <c r="F2177" t="s">
        <v>2770</v>
      </c>
      <c r="G2177" t="s">
        <v>2771</v>
      </c>
      <c r="H2177" t="s">
        <v>2763</v>
      </c>
      <c r="I2177" t="s">
        <v>289</v>
      </c>
      <c r="J2177" t="s">
        <v>2763</v>
      </c>
      <c r="K2177">
        <v>0</v>
      </c>
      <c r="L2177" s="6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6">
        <v>0</v>
      </c>
      <c r="S2177" s="6">
        <v>0</v>
      </c>
      <c r="T2177" t="str">
        <f t="shared" si="179"/>
        <v>Steel Starter Clip Box Clip</v>
      </c>
    </row>
    <row r="2178" spans="1:20" x14ac:dyDescent="0.25">
      <c r="A2178" t="s">
        <v>2510</v>
      </c>
      <c r="B2178" t="s">
        <v>2520</v>
      </c>
      <c r="C2178" t="s">
        <v>2768</v>
      </c>
      <c r="D2178" t="s">
        <v>2512</v>
      </c>
      <c r="E2178" t="s">
        <v>2774</v>
      </c>
      <c r="F2178" t="s">
        <v>2770</v>
      </c>
      <c r="G2178" t="s">
        <v>2771</v>
      </c>
      <c r="H2178" t="s">
        <v>2763</v>
      </c>
      <c r="I2178" t="s">
        <v>289</v>
      </c>
      <c r="J2178" t="s">
        <v>2763</v>
      </c>
      <c r="K2178">
        <v>0</v>
      </c>
      <c r="L2178" s="6">
        <v>0</v>
      </c>
      <c r="M2178" s="7">
        <v>0</v>
      </c>
      <c r="N2178" s="7">
        <v>0</v>
      </c>
      <c r="O2178" s="7">
        <v>0</v>
      </c>
      <c r="P2178" s="7">
        <v>0</v>
      </c>
      <c r="Q2178" s="7">
        <v>0</v>
      </c>
      <c r="R2178" s="6">
        <v>0</v>
      </c>
      <c r="S2178" s="6">
        <v>0</v>
      </c>
      <c r="T2178" t="str">
        <f t="shared" ref="T2178:T2241" si="180">F2178&amp;" "&amp;C2178</f>
        <v>Steel Starter Clip Box Clip</v>
      </c>
    </row>
    <row r="2179" spans="1:20" x14ac:dyDescent="0.25">
      <c r="A2179" t="s">
        <v>2510</v>
      </c>
      <c r="B2179" t="s">
        <v>2520</v>
      </c>
      <c r="C2179" t="s">
        <v>2768</v>
      </c>
      <c r="D2179" t="s">
        <v>2512</v>
      </c>
      <c r="E2179" t="s">
        <v>2775</v>
      </c>
      <c r="F2179" t="s">
        <v>2770</v>
      </c>
      <c r="G2179" t="s">
        <v>2771</v>
      </c>
      <c r="H2179" t="s">
        <v>2763</v>
      </c>
      <c r="I2179" t="s">
        <v>289</v>
      </c>
      <c r="J2179" t="s">
        <v>2763</v>
      </c>
      <c r="K2179">
        <v>0</v>
      </c>
      <c r="L2179" s="6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6">
        <v>0</v>
      </c>
      <c r="S2179" s="6">
        <v>0</v>
      </c>
      <c r="T2179" t="str">
        <f t="shared" si="180"/>
        <v>Steel Starter Clip Box Clip</v>
      </c>
    </row>
    <row r="2180" spans="1:20" x14ac:dyDescent="0.25">
      <c r="A2180" t="s">
        <v>2576</v>
      </c>
      <c r="B2180" t="s">
        <v>2577</v>
      </c>
      <c r="C2180" t="s">
        <v>283</v>
      </c>
      <c r="D2180" t="s">
        <v>2512</v>
      </c>
      <c r="E2180" t="s">
        <v>2776</v>
      </c>
      <c r="F2180" t="s">
        <v>2777</v>
      </c>
      <c r="G2180" t="s">
        <v>2778</v>
      </c>
      <c r="H2180" t="s">
        <v>2529</v>
      </c>
      <c r="I2180" t="s">
        <v>289</v>
      </c>
      <c r="J2180" t="s">
        <v>2534</v>
      </c>
      <c r="K2180">
        <v>16</v>
      </c>
      <c r="L2180" s="6">
        <v>4.88</v>
      </c>
      <c r="M2180" s="7">
        <v>38</v>
      </c>
      <c r="N2180" s="7">
        <v>78</v>
      </c>
      <c r="O2180" s="7">
        <v>0</v>
      </c>
      <c r="P2180" s="7">
        <v>0</v>
      </c>
      <c r="Q2180" s="7">
        <v>0</v>
      </c>
      <c r="R2180" s="6">
        <v>0</v>
      </c>
      <c r="S2180" s="6">
        <v>0</v>
      </c>
      <c r="T2180" t="str">
        <f t="shared" si="180"/>
        <v>Teak Performance Corner Trim 1.5x3 Long</v>
      </c>
    </row>
    <row r="2181" spans="1:20" x14ac:dyDescent="0.25">
      <c r="A2181" t="s">
        <v>2581</v>
      </c>
      <c r="B2181" t="s">
        <v>2577</v>
      </c>
      <c r="C2181" t="s">
        <v>283</v>
      </c>
      <c r="D2181" t="s">
        <v>2512</v>
      </c>
      <c r="E2181" t="s">
        <v>2779</v>
      </c>
      <c r="F2181" t="s">
        <v>2777</v>
      </c>
      <c r="G2181" t="s">
        <v>2778</v>
      </c>
      <c r="H2181" t="s">
        <v>2529</v>
      </c>
      <c r="I2181" t="s">
        <v>289</v>
      </c>
      <c r="J2181" t="s">
        <v>2534</v>
      </c>
      <c r="K2181">
        <v>16</v>
      </c>
      <c r="L2181" s="6">
        <v>4.88</v>
      </c>
      <c r="M2181" s="7">
        <v>38</v>
      </c>
      <c r="N2181" s="7">
        <v>78</v>
      </c>
      <c r="O2181" s="7">
        <v>0</v>
      </c>
      <c r="P2181" s="7">
        <v>0</v>
      </c>
      <c r="Q2181" s="7">
        <v>0</v>
      </c>
      <c r="R2181" s="6">
        <v>0</v>
      </c>
      <c r="S2181" s="6">
        <v>0</v>
      </c>
      <c r="T2181" t="str">
        <f t="shared" si="180"/>
        <v>Teak Performance Corner Trim 1.5x3 Long</v>
      </c>
    </row>
    <row r="2182" spans="1:20" x14ac:dyDescent="0.25">
      <c r="A2182" t="s">
        <v>2576</v>
      </c>
      <c r="B2182" t="s">
        <v>2583</v>
      </c>
      <c r="C2182" t="s">
        <v>283</v>
      </c>
      <c r="D2182" t="s">
        <v>2512</v>
      </c>
      <c r="E2182" t="s">
        <v>2780</v>
      </c>
      <c r="F2182" t="s">
        <v>2781</v>
      </c>
      <c r="G2182" t="s">
        <v>2778</v>
      </c>
      <c r="H2182" t="s">
        <v>2529</v>
      </c>
      <c r="I2182" t="s">
        <v>289</v>
      </c>
      <c r="J2182" t="s">
        <v>2530</v>
      </c>
      <c r="K2182">
        <v>16</v>
      </c>
      <c r="L2182" s="6">
        <v>4.88</v>
      </c>
      <c r="M2182" s="7">
        <v>49</v>
      </c>
      <c r="N2182" s="7">
        <v>99</v>
      </c>
      <c r="O2182" s="7">
        <v>0</v>
      </c>
      <c r="P2182" s="7">
        <v>0</v>
      </c>
      <c r="Q2182" s="7">
        <v>0</v>
      </c>
      <c r="R2182" s="6">
        <v>0</v>
      </c>
      <c r="S2182" s="6">
        <v>0</v>
      </c>
      <c r="T2182" t="str">
        <f t="shared" si="180"/>
        <v>Teak Performance Corner Trim 1.5x3.9 Long</v>
      </c>
    </row>
    <row r="2183" spans="1:20" x14ac:dyDescent="0.25">
      <c r="A2183" t="s">
        <v>2581</v>
      </c>
      <c r="B2183" t="s">
        <v>2583</v>
      </c>
      <c r="C2183" t="s">
        <v>283</v>
      </c>
      <c r="D2183" t="s">
        <v>2512</v>
      </c>
      <c r="E2183" t="s">
        <v>2782</v>
      </c>
      <c r="F2183" t="s">
        <v>2781</v>
      </c>
      <c r="G2183" t="s">
        <v>2778</v>
      </c>
      <c r="H2183" t="s">
        <v>2529</v>
      </c>
      <c r="I2183" t="s">
        <v>289</v>
      </c>
      <c r="J2183" t="s">
        <v>2530</v>
      </c>
      <c r="K2183">
        <v>16</v>
      </c>
      <c r="L2183" s="6">
        <v>4.88</v>
      </c>
      <c r="M2183" s="7">
        <v>49</v>
      </c>
      <c r="N2183" s="7">
        <v>99</v>
      </c>
      <c r="O2183" s="7">
        <v>0</v>
      </c>
      <c r="P2183" s="7">
        <v>0</v>
      </c>
      <c r="Q2183" s="7">
        <v>0</v>
      </c>
      <c r="R2183" s="6">
        <v>0</v>
      </c>
      <c r="S2183" s="6">
        <v>0</v>
      </c>
      <c r="T2183" t="str">
        <f t="shared" si="180"/>
        <v>Teak Performance Corner Trim 1.5x3.9 Long</v>
      </c>
    </row>
    <row r="2184" spans="1:20" x14ac:dyDescent="0.25">
      <c r="A2184" t="s">
        <v>2576</v>
      </c>
      <c r="B2184" t="s">
        <v>2522</v>
      </c>
      <c r="C2184" t="s">
        <v>283</v>
      </c>
      <c r="D2184" t="s">
        <v>2512</v>
      </c>
      <c r="E2184" t="s">
        <v>91</v>
      </c>
      <c r="F2184" t="s">
        <v>2783</v>
      </c>
      <c r="G2184" t="s">
        <v>2778</v>
      </c>
      <c r="H2184" t="s">
        <v>2526</v>
      </c>
      <c r="I2184" t="s">
        <v>289</v>
      </c>
      <c r="J2184" t="s">
        <v>764</v>
      </c>
      <c r="K2184">
        <v>16</v>
      </c>
      <c r="L2184" s="6">
        <v>4.88</v>
      </c>
      <c r="M2184" s="7">
        <v>50</v>
      </c>
      <c r="N2184" s="7">
        <v>50</v>
      </c>
      <c r="O2184" s="7">
        <v>0</v>
      </c>
      <c r="P2184" s="7">
        <v>0</v>
      </c>
      <c r="Q2184" s="7">
        <v>0</v>
      </c>
      <c r="R2184" s="6">
        <v>0</v>
      </c>
      <c r="S2184" s="6">
        <v>0</v>
      </c>
      <c r="T2184" t="str">
        <f t="shared" si="180"/>
        <v>Teak Performance L Trim 2x2 Long</v>
      </c>
    </row>
    <row r="2185" spans="1:20" x14ac:dyDescent="0.25">
      <c r="A2185" t="s">
        <v>2581</v>
      </c>
      <c r="B2185" t="s">
        <v>2522</v>
      </c>
      <c r="C2185" t="s">
        <v>283</v>
      </c>
      <c r="D2185" t="s">
        <v>2512</v>
      </c>
      <c r="E2185" t="s">
        <v>2784</v>
      </c>
      <c r="F2185" t="s">
        <v>2783</v>
      </c>
      <c r="G2185" t="s">
        <v>2778</v>
      </c>
      <c r="H2185" t="s">
        <v>2526</v>
      </c>
      <c r="I2185" t="s">
        <v>289</v>
      </c>
      <c r="J2185" t="s">
        <v>764</v>
      </c>
      <c r="K2185">
        <v>16</v>
      </c>
      <c r="L2185" s="6">
        <v>4.88</v>
      </c>
      <c r="M2185" s="7">
        <v>50</v>
      </c>
      <c r="N2185" s="7">
        <v>50</v>
      </c>
      <c r="O2185" s="7">
        <v>0</v>
      </c>
      <c r="P2185" s="7">
        <v>0</v>
      </c>
      <c r="Q2185" s="7">
        <v>0</v>
      </c>
      <c r="R2185" s="6">
        <v>0</v>
      </c>
      <c r="S2185" s="6">
        <v>0</v>
      </c>
      <c r="T2185" t="str">
        <f t="shared" si="180"/>
        <v>Teak Performance L Trim 2x2 Long</v>
      </c>
    </row>
    <row r="2186" spans="1:20" x14ac:dyDescent="0.25">
      <c r="A2186" t="s">
        <v>2576</v>
      </c>
      <c r="B2186" t="s">
        <v>2540</v>
      </c>
      <c r="C2186" t="s">
        <v>283</v>
      </c>
      <c r="D2186" t="s">
        <v>2512</v>
      </c>
      <c r="E2186" t="s">
        <v>256</v>
      </c>
      <c r="F2186" t="s">
        <v>2785</v>
      </c>
      <c r="G2186" t="s">
        <v>2778</v>
      </c>
      <c r="H2186" t="s">
        <v>2515</v>
      </c>
      <c r="I2186" t="s">
        <v>289</v>
      </c>
      <c r="J2186" t="s">
        <v>344</v>
      </c>
      <c r="K2186">
        <v>16</v>
      </c>
      <c r="L2186" s="6">
        <v>4.88</v>
      </c>
      <c r="M2186" s="7">
        <v>25</v>
      </c>
      <c r="N2186" s="7">
        <v>142</v>
      </c>
      <c r="O2186" s="7">
        <v>0</v>
      </c>
      <c r="P2186" s="7">
        <v>0</v>
      </c>
      <c r="Q2186" s="7">
        <v>0</v>
      </c>
      <c r="R2186" s="6">
        <v>0</v>
      </c>
      <c r="S2186" s="6">
        <v>0</v>
      </c>
      <c r="T2186" t="str">
        <f t="shared" si="180"/>
        <v>Teak Performance Profile 1x6 Long</v>
      </c>
    </row>
    <row r="2187" spans="1:20" x14ac:dyDescent="0.25">
      <c r="A2187" t="s">
        <v>2576</v>
      </c>
      <c r="B2187" t="s">
        <v>2592</v>
      </c>
      <c r="C2187" t="s">
        <v>283</v>
      </c>
      <c r="D2187" t="s">
        <v>2512</v>
      </c>
      <c r="E2187" t="s">
        <v>2786</v>
      </c>
      <c r="F2187" t="s">
        <v>2787</v>
      </c>
      <c r="G2187" t="s">
        <v>2778</v>
      </c>
      <c r="H2187" t="s">
        <v>2515</v>
      </c>
      <c r="I2187" t="s">
        <v>289</v>
      </c>
      <c r="J2187" t="s">
        <v>2538</v>
      </c>
      <c r="K2187">
        <v>16</v>
      </c>
      <c r="L2187" s="6">
        <v>4.88</v>
      </c>
      <c r="M2187" s="7">
        <v>26</v>
      </c>
      <c r="N2187" s="7">
        <v>176</v>
      </c>
      <c r="O2187" s="7">
        <v>0</v>
      </c>
      <c r="P2187" s="7">
        <v>0</v>
      </c>
      <c r="Q2187" s="7">
        <v>0</v>
      </c>
      <c r="R2187" s="6">
        <v>0</v>
      </c>
      <c r="S2187" s="6">
        <v>0</v>
      </c>
      <c r="T2187" t="str">
        <f t="shared" si="180"/>
        <v>Teak Performance Profile 1x7 Long</v>
      </c>
    </row>
    <row r="2188" spans="1:20" x14ac:dyDescent="0.25">
      <c r="A2188" t="s">
        <v>2581</v>
      </c>
      <c r="B2188" t="s">
        <v>2592</v>
      </c>
      <c r="C2188" t="s">
        <v>283</v>
      </c>
      <c r="D2188" t="s">
        <v>2512</v>
      </c>
      <c r="E2188" t="s">
        <v>2788</v>
      </c>
      <c r="F2188" t="s">
        <v>2787</v>
      </c>
      <c r="G2188" t="s">
        <v>2778</v>
      </c>
      <c r="H2188" t="s">
        <v>2515</v>
      </c>
      <c r="I2188" t="s">
        <v>289</v>
      </c>
      <c r="J2188" t="s">
        <v>2538</v>
      </c>
      <c r="K2188">
        <v>16</v>
      </c>
      <c r="L2188" s="6">
        <v>4.88</v>
      </c>
      <c r="M2188" s="7">
        <v>26</v>
      </c>
      <c r="N2188" s="7">
        <v>176</v>
      </c>
      <c r="O2188" s="7">
        <v>0</v>
      </c>
      <c r="P2188" s="7">
        <v>0</v>
      </c>
      <c r="Q2188" s="7">
        <v>0</v>
      </c>
      <c r="R2188" s="6">
        <v>0</v>
      </c>
      <c r="S2188" s="6">
        <v>0</v>
      </c>
      <c r="T2188" t="str">
        <f t="shared" si="180"/>
        <v>Teak Performance Profile 1x7 Long</v>
      </c>
    </row>
    <row r="2189" spans="1:20" x14ac:dyDescent="0.25">
      <c r="A2189" t="s">
        <v>2576</v>
      </c>
      <c r="B2189" t="s">
        <v>2595</v>
      </c>
      <c r="C2189" t="s">
        <v>283</v>
      </c>
      <c r="D2189" t="s">
        <v>2512</v>
      </c>
      <c r="E2189" t="s">
        <v>2789</v>
      </c>
      <c r="F2189" t="s">
        <v>2790</v>
      </c>
      <c r="G2189" t="s">
        <v>2778</v>
      </c>
      <c r="H2189" t="s">
        <v>2515</v>
      </c>
      <c r="I2189" t="s">
        <v>289</v>
      </c>
      <c r="J2189" t="s">
        <v>672</v>
      </c>
      <c r="K2189">
        <v>16</v>
      </c>
      <c r="L2189" s="6">
        <v>4.88</v>
      </c>
      <c r="M2189" s="7">
        <v>25</v>
      </c>
      <c r="N2189" s="7">
        <v>222</v>
      </c>
      <c r="O2189" s="7">
        <v>0</v>
      </c>
      <c r="P2189" s="7">
        <v>0</v>
      </c>
      <c r="Q2189" s="7">
        <v>0</v>
      </c>
      <c r="R2189" s="6">
        <v>0</v>
      </c>
      <c r="S2189" s="6">
        <v>0</v>
      </c>
      <c r="T2189" t="str">
        <f t="shared" si="180"/>
        <v>Teak Performance Profile 1x8 Long</v>
      </c>
    </row>
    <row r="2190" spans="1:20" x14ac:dyDescent="0.25">
      <c r="A2190" t="s">
        <v>2581</v>
      </c>
      <c r="B2190" t="s">
        <v>2595</v>
      </c>
      <c r="C2190" t="s">
        <v>283</v>
      </c>
      <c r="D2190" t="s">
        <v>2512</v>
      </c>
      <c r="E2190" t="s">
        <v>2791</v>
      </c>
      <c r="F2190" t="s">
        <v>2790</v>
      </c>
      <c r="G2190" t="s">
        <v>2778</v>
      </c>
      <c r="H2190" t="s">
        <v>2515</v>
      </c>
      <c r="I2190" t="s">
        <v>289</v>
      </c>
      <c r="J2190" t="s">
        <v>672</v>
      </c>
      <c r="K2190">
        <v>16</v>
      </c>
      <c r="L2190" s="6">
        <v>4.88</v>
      </c>
      <c r="M2190" s="7">
        <v>26</v>
      </c>
      <c r="N2190" s="7">
        <v>219</v>
      </c>
      <c r="O2190" s="7">
        <v>0</v>
      </c>
      <c r="P2190" s="7">
        <v>0</v>
      </c>
      <c r="Q2190" s="7">
        <v>0</v>
      </c>
      <c r="R2190" s="6">
        <v>0</v>
      </c>
      <c r="S2190" s="6">
        <v>0</v>
      </c>
      <c r="T2190" t="str">
        <f t="shared" si="180"/>
        <v>Teak Performance Profile 1x8 Long</v>
      </c>
    </row>
    <row r="2191" spans="1:20" x14ac:dyDescent="0.25">
      <c r="A2191" t="s">
        <v>2576</v>
      </c>
      <c r="B2191" t="s">
        <v>2577</v>
      </c>
      <c r="C2191" t="s">
        <v>283</v>
      </c>
      <c r="D2191" t="s">
        <v>2512</v>
      </c>
      <c r="E2191" t="s">
        <v>2792</v>
      </c>
      <c r="F2191" t="s">
        <v>2793</v>
      </c>
      <c r="G2191" t="s">
        <v>2482</v>
      </c>
      <c r="H2191" t="s">
        <v>2529</v>
      </c>
      <c r="I2191" t="s">
        <v>289</v>
      </c>
      <c r="J2191" t="s">
        <v>2534</v>
      </c>
      <c r="K2191">
        <v>16</v>
      </c>
      <c r="L2191" s="6">
        <v>4.88</v>
      </c>
      <c r="M2191" s="7">
        <v>38</v>
      </c>
      <c r="N2191" s="7">
        <v>78</v>
      </c>
      <c r="O2191" s="7">
        <v>0</v>
      </c>
      <c r="P2191" s="7">
        <v>0</v>
      </c>
      <c r="Q2191" s="7">
        <v>0</v>
      </c>
      <c r="R2191" s="6">
        <v>0</v>
      </c>
      <c r="S2191" s="6">
        <v>0</v>
      </c>
      <c r="T2191" t="str">
        <f t="shared" si="180"/>
        <v>Tigerwood Performance Corner Trim 1.5x3 Long</v>
      </c>
    </row>
    <row r="2192" spans="1:20" x14ac:dyDescent="0.25">
      <c r="A2192" t="s">
        <v>2581</v>
      </c>
      <c r="B2192" t="s">
        <v>2577</v>
      </c>
      <c r="C2192" t="s">
        <v>283</v>
      </c>
      <c r="D2192" t="s">
        <v>2512</v>
      </c>
      <c r="E2192" t="s">
        <v>2794</v>
      </c>
      <c r="F2192" t="s">
        <v>2793</v>
      </c>
      <c r="G2192" t="s">
        <v>2482</v>
      </c>
      <c r="H2192" t="s">
        <v>2529</v>
      </c>
      <c r="I2192" t="s">
        <v>289</v>
      </c>
      <c r="J2192" t="s">
        <v>2534</v>
      </c>
      <c r="K2192">
        <v>16</v>
      </c>
      <c r="L2192" s="6">
        <v>4.88</v>
      </c>
      <c r="M2192" s="7">
        <v>38</v>
      </c>
      <c r="N2192" s="7">
        <v>78</v>
      </c>
      <c r="O2192" s="7">
        <v>0</v>
      </c>
      <c r="P2192" s="7">
        <v>0</v>
      </c>
      <c r="Q2192" s="7">
        <v>0</v>
      </c>
      <c r="R2192" s="6">
        <v>0</v>
      </c>
      <c r="S2192" s="6">
        <v>0</v>
      </c>
      <c r="T2192" t="str">
        <f t="shared" si="180"/>
        <v>Tigerwood Performance Corner Trim 1.5x3 Long</v>
      </c>
    </row>
    <row r="2193" spans="1:20" x14ac:dyDescent="0.25">
      <c r="A2193" t="s">
        <v>2576</v>
      </c>
      <c r="B2193" t="s">
        <v>2583</v>
      </c>
      <c r="C2193" t="s">
        <v>283</v>
      </c>
      <c r="D2193" t="s">
        <v>2512</v>
      </c>
      <c r="E2193" t="s">
        <v>2795</v>
      </c>
      <c r="F2193" t="s">
        <v>2796</v>
      </c>
      <c r="G2193" t="s">
        <v>2482</v>
      </c>
      <c r="H2193" t="s">
        <v>2529</v>
      </c>
      <c r="I2193" t="s">
        <v>289</v>
      </c>
      <c r="J2193" t="s">
        <v>2530</v>
      </c>
      <c r="K2193">
        <v>16</v>
      </c>
      <c r="L2193" s="6">
        <v>4.88</v>
      </c>
      <c r="M2193" s="7">
        <v>49</v>
      </c>
      <c r="N2193" s="7">
        <v>99</v>
      </c>
      <c r="O2193" s="7">
        <v>0</v>
      </c>
      <c r="P2193" s="7">
        <v>0</v>
      </c>
      <c r="Q2193" s="7">
        <v>0</v>
      </c>
      <c r="R2193" s="6">
        <v>0</v>
      </c>
      <c r="S2193" s="6">
        <v>0</v>
      </c>
      <c r="T2193" t="str">
        <f t="shared" si="180"/>
        <v>Tigerwood Performance Corner Trim 1.5x3.9 Long</v>
      </c>
    </row>
    <row r="2194" spans="1:20" x14ac:dyDescent="0.25">
      <c r="A2194" t="s">
        <v>2581</v>
      </c>
      <c r="B2194" t="s">
        <v>2583</v>
      </c>
      <c r="C2194" t="s">
        <v>283</v>
      </c>
      <c r="D2194" t="s">
        <v>2512</v>
      </c>
      <c r="E2194" t="s">
        <v>2797</v>
      </c>
      <c r="F2194" t="s">
        <v>2796</v>
      </c>
      <c r="G2194" t="s">
        <v>2482</v>
      </c>
      <c r="H2194" t="s">
        <v>2529</v>
      </c>
      <c r="I2194" t="s">
        <v>289</v>
      </c>
      <c r="J2194" t="s">
        <v>2530</v>
      </c>
      <c r="K2194">
        <v>16</v>
      </c>
      <c r="L2194" s="6">
        <v>4.88</v>
      </c>
      <c r="M2194" s="7">
        <v>49</v>
      </c>
      <c r="N2194" s="7">
        <v>99</v>
      </c>
      <c r="O2194" s="7">
        <v>0</v>
      </c>
      <c r="P2194" s="7">
        <v>0</v>
      </c>
      <c r="Q2194" s="7">
        <v>0</v>
      </c>
      <c r="R2194" s="6">
        <v>0</v>
      </c>
      <c r="S2194" s="6">
        <v>0</v>
      </c>
      <c r="T2194" t="str">
        <f t="shared" si="180"/>
        <v>Tigerwood Performance Corner Trim 1.5x3.9 Long</v>
      </c>
    </row>
    <row r="2195" spans="1:20" x14ac:dyDescent="0.25">
      <c r="A2195" t="s">
        <v>2576</v>
      </c>
      <c r="B2195" t="s">
        <v>2522</v>
      </c>
      <c r="C2195" t="s">
        <v>283</v>
      </c>
      <c r="D2195" t="s">
        <v>2512</v>
      </c>
      <c r="E2195" t="s">
        <v>2798</v>
      </c>
      <c r="F2195" t="s">
        <v>2799</v>
      </c>
      <c r="G2195" t="s">
        <v>2482</v>
      </c>
      <c r="H2195" t="s">
        <v>2526</v>
      </c>
      <c r="I2195" t="s">
        <v>289</v>
      </c>
      <c r="J2195" t="s">
        <v>764</v>
      </c>
      <c r="K2195">
        <v>16</v>
      </c>
      <c r="L2195" s="6">
        <v>4.88</v>
      </c>
      <c r="M2195" s="7">
        <v>50</v>
      </c>
      <c r="N2195" s="7">
        <v>50</v>
      </c>
      <c r="O2195" s="7">
        <v>0</v>
      </c>
      <c r="P2195" s="7">
        <v>0</v>
      </c>
      <c r="Q2195" s="7">
        <v>0</v>
      </c>
      <c r="R2195" s="6">
        <v>0</v>
      </c>
      <c r="S2195" s="6">
        <v>0</v>
      </c>
      <c r="T2195" t="str">
        <f t="shared" si="180"/>
        <v>Tigerwood Performance L Trim 2x2 Long</v>
      </c>
    </row>
    <row r="2196" spans="1:20" x14ac:dyDescent="0.25">
      <c r="A2196" t="s">
        <v>2581</v>
      </c>
      <c r="B2196" t="s">
        <v>2522</v>
      </c>
      <c r="C2196" t="s">
        <v>283</v>
      </c>
      <c r="D2196" t="s">
        <v>2512</v>
      </c>
      <c r="E2196" t="s">
        <v>2800</v>
      </c>
      <c r="F2196" t="s">
        <v>2799</v>
      </c>
      <c r="G2196" t="s">
        <v>2482</v>
      </c>
      <c r="H2196" t="s">
        <v>2526</v>
      </c>
      <c r="I2196" t="s">
        <v>289</v>
      </c>
      <c r="J2196" t="s">
        <v>764</v>
      </c>
      <c r="K2196">
        <v>16</v>
      </c>
      <c r="L2196" s="6">
        <v>4.88</v>
      </c>
      <c r="M2196" s="7">
        <v>50</v>
      </c>
      <c r="N2196" s="7">
        <v>50</v>
      </c>
      <c r="O2196" s="7">
        <v>0</v>
      </c>
      <c r="P2196" s="7">
        <v>0</v>
      </c>
      <c r="Q2196" s="7">
        <v>0</v>
      </c>
      <c r="R2196" s="6">
        <v>0</v>
      </c>
      <c r="S2196" s="6">
        <v>0</v>
      </c>
      <c r="T2196" t="str">
        <f t="shared" si="180"/>
        <v>Tigerwood Performance L Trim 2x2 Long</v>
      </c>
    </row>
    <row r="2197" spans="1:20" x14ac:dyDescent="0.25">
      <c r="A2197" t="s">
        <v>2576</v>
      </c>
      <c r="B2197" t="s">
        <v>2540</v>
      </c>
      <c r="C2197" t="s">
        <v>283</v>
      </c>
      <c r="D2197" t="s">
        <v>2512</v>
      </c>
      <c r="E2197" t="s">
        <v>2801</v>
      </c>
      <c r="F2197" t="s">
        <v>2802</v>
      </c>
      <c r="G2197" t="s">
        <v>2482</v>
      </c>
      <c r="H2197" t="s">
        <v>2515</v>
      </c>
      <c r="I2197" t="s">
        <v>289</v>
      </c>
      <c r="J2197" t="s">
        <v>344</v>
      </c>
      <c r="K2197">
        <v>16</v>
      </c>
      <c r="L2197" s="6">
        <v>4.88</v>
      </c>
      <c r="M2197" s="7">
        <v>25</v>
      </c>
      <c r="N2197" s="7">
        <v>142</v>
      </c>
      <c r="O2197" s="7">
        <v>0</v>
      </c>
      <c r="P2197" s="7">
        <v>0</v>
      </c>
      <c r="Q2197" s="7">
        <v>0</v>
      </c>
      <c r="R2197" s="6">
        <v>0</v>
      </c>
      <c r="S2197" s="6">
        <v>0</v>
      </c>
      <c r="T2197" t="str">
        <f t="shared" si="180"/>
        <v>Tigerwood Performance Profile 1x6 Long</v>
      </c>
    </row>
    <row r="2198" spans="1:20" x14ac:dyDescent="0.25">
      <c r="A2198" t="s">
        <v>2576</v>
      </c>
      <c r="B2198" t="s">
        <v>2592</v>
      </c>
      <c r="C2198" t="s">
        <v>283</v>
      </c>
      <c r="D2198" t="s">
        <v>2512</v>
      </c>
      <c r="E2198" t="s">
        <v>2803</v>
      </c>
      <c r="F2198" t="s">
        <v>2804</v>
      </c>
      <c r="G2198" t="s">
        <v>2482</v>
      </c>
      <c r="H2198" t="s">
        <v>2515</v>
      </c>
      <c r="I2198" t="s">
        <v>289</v>
      </c>
      <c r="J2198" t="s">
        <v>2538</v>
      </c>
      <c r="K2198">
        <v>16</v>
      </c>
      <c r="L2198" s="6">
        <v>4.88</v>
      </c>
      <c r="M2198" s="7">
        <v>26</v>
      </c>
      <c r="N2198" s="7">
        <v>176</v>
      </c>
      <c r="O2198" s="7">
        <v>0</v>
      </c>
      <c r="P2198" s="7">
        <v>0</v>
      </c>
      <c r="Q2198" s="7">
        <v>0</v>
      </c>
      <c r="R2198" s="6">
        <v>0</v>
      </c>
      <c r="S2198" s="6">
        <v>0</v>
      </c>
      <c r="T2198" t="str">
        <f t="shared" si="180"/>
        <v>Tigerwood Performance Profile 1x7 Long</v>
      </c>
    </row>
    <row r="2199" spans="1:20" x14ac:dyDescent="0.25">
      <c r="A2199" t="s">
        <v>2581</v>
      </c>
      <c r="B2199" t="s">
        <v>2592</v>
      </c>
      <c r="C2199" t="s">
        <v>283</v>
      </c>
      <c r="D2199" t="s">
        <v>2512</v>
      </c>
      <c r="E2199" t="s">
        <v>2805</v>
      </c>
      <c r="F2199" t="s">
        <v>2804</v>
      </c>
      <c r="G2199" t="s">
        <v>2482</v>
      </c>
      <c r="H2199" t="s">
        <v>2515</v>
      </c>
      <c r="I2199" t="s">
        <v>289</v>
      </c>
      <c r="J2199" t="s">
        <v>2538</v>
      </c>
      <c r="K2199">
        <v>16</v>
      </c>
      <c r="L2199" s="6">
        <v>4.88</v>
      </c>
      <c r="M2199" s="7">
        <v>26</v>
      </c>
      <c r="N2199" s="7">
        <v>176</v>
      </c>
      <c r="O2199" s="7">
        <v>0</v>
      </c>
      <c r="P2199" s="7">
        <v>0</v>
      </c>
      <c r="Q2199" s="7">
        <v>0</v>
      </c>
      <c r="R2199" s="6">
        <v>0</v>
      </c>
      <c r="S2199" s="6">
        <v>0</v>
      </c>
      <c r="T2199" t="str">
        <f t="shared" si="180"/>
        <v>Tigerwood Performance Profile 1x7 Long</v>
      </c>
    </row>
    <row r="2200" spans="1:20" x14ac:dyDescent="0.25">
      <c r="A2200" t="s">
        <v>2576</v>
      </c>
      <c r="B2200" t="s">
        <v>2595</v>
      </c>
      <c r="C2200" t="s">
        <v>283</v>
      </c>
      <c r="D2200" t="s">
        <v>2512</v>
      </c>
      <c r="E2200" t="s">
        <v>2806</v>
      </c>
      <c r="F2200" t="s">
        <v>2807</v>
      </c>
      <c r="G2200" t="s">
        <v>2482</v>
      </c>
      <c r="H2200" t="s">
        <v>2515</v>
      </c>
      <c r="I2200" t="s">
        <v>289</v>
      </c>
      <c r="J2200" t="s">
        <v>672</v>
      </c>
      <c r="K2200">
        <v>16</v>
      </c>
      <c r="L2200" s="6">
        <v>4.88</v>
      </c>
      <c r="M2200" s="7">
        <v>25</v>
      </c>
      <c r="N2200" s="7">
        <v>222</v>
      </c>
      <c r="O2200" s="7">
        <v>0</v>
      </c>
      <c r="P2200" s="7">
        <v>0</v>
      </c>
      <c r="Q2200" s="7">
        <v>0</v>
      </c>
      <c r="R2200" s="6">
        <v>0</v>
      </c>
      <c r="S2200" s="6">
        <v>0</v>
      </c>
      <c r="T2200" t="str">
        <f t="shared" si="180"/>
        <v>Tigerwood Performance Profile 1x8 Long</v>
      </c>
    </row>
    <row r="2201" spans="1:20" x14ac:dyDescent="0.25">
      <c r="A2201" t="s">
        <v>2581</v>
      </c>
      <c r="B2201" t="s">
        <v>2595</v>
      </c>
      <c r="C2201" t="s">
        <v>283</v>
      </c>
      <c r="D2201" t="s">
        <v>2512</v>
      </c>
      <c r="E2201" t="s">
        <v>2808</v>
      </c>
      <c r="F2201" t="s">
        <v>2807</v>
      </c>
      <c r="G2201" t="s">
        <v>2482</v>
      </c>
      <c r="H2201" t="s">
        <v>2515</v>
      </c>
      <c r="I2201" t="s">
        <v>289</v>
      </c>
      <c r="J2201" t="s">
        <v>672</v>
      </c>
      <c r="K2201">
        <v>16</v>
      </c>
      <c r="L2201" s="6">
        <v>4.88</v>
      </c>
      <c r="M2201" s="7">
        <v>26</v>
      </c>
      <c r="N2201" s="7">
        <v>219</v>
      </c>
      <c r="O2201" s="7">
        <v>0</v>
      </c>
      <c r="P2201" s="7">
        <v>0</v>
      </c>
      <c r="Q2201" s="7">
        <v>0</v>
      </c>
      <c r="R2201" s="6">
        <v>0</v>
      </c>
      <c r="S2201" s="6">
        <v>0</v>
      </c>
      <c r="T2201" t="str">
        <f t="shared" si="180"/>
        <v>Tigerwood Performance Profile 1x8 Long</v>
      </c>
    </row>
    <row r="2202" spans="1:20" x14ac:dyDescent="0.25">
      <c r="A2202" t="s">
        <v>2510</v>
      </c>
      <c r="B2202" t="s">
        <v>2531</v>
      </c>
      <c r="C2202" t="s">
        <v>283</v>
      </c>
      <c r="D2202" t="s">
        <v>2512</v>
      </c>
      <c r="E2202" t="s">
        <v>2809</v>
      </c>
      <c r="F2202" t="s">
        <v>2810</v>
      </c>
      <c r="G2202" t="s">
        <v>2811</v>
      </c>
      <c r="H2202" t="s">
        <v>2515</v>
      </c>
      <c r="I2202" t="s">
        <v>289</v>
      </c>
      <c r="J2202" t="s">
        <v>2538</v>
      </c>
      <c r="K2202">
        <v>16</v>
      </c>
      <c r="L2202" s="6">
        <v>4.88</v>
      </c>
      <c r="M2202" s="7">
        <v>26</v>
      </c>
      <c r="N2202" s="7">
        <v>176</v>
      </c>
      <c r="O2202" s="7">
        <v>0</v>
      </c>
      <c r="P2202" s="7">
        <v>0</v>
      </c>
      <c r="Q2202" s="7">
        <v>0</v>
      </c>
      <c r="R2202" s="6">
        <v>0</v>
      </c>
      <c r="S2202" s="6">
        <v>0</v>
      </c>
      <c r="T2202" t="str">
        <f t="shared" si="180"/>
        <v>Trevi Rome Collection Profile 1x7 Long</v>
      </c>
    </row>
    <row r="2203" spans="1:20" x14ac:dyDescent="0.25">
      <c r="A2203" t="s">
        <v>2561</v>
      </c>
      <c r="B2203" t="s">
        <v>2812</v>
      </c>
      <c r="C2203" t="s">
        <v>283</v>
      </c>
      <c r="D2203" t="s">
        <v>2512</v>
      </c>
      <c r="E2203" t="s">
        <v>2813</v>
      </c>
      <c r="F2203" t="s">
        <v>2814</v>
      </c>
      <c r="G2203" t="s">
        <v>2815</v>
      </c>
      <c r="H2203" t="s">
        <v>2716</v>
      </c>
      <c r="I2203" t="s">
        <v>289</v>
      </c>
      <c r="J2203" t="s">
        <v>672</v>
      </c>
      <c r="K2203">
        <v>12</v>
      </c>
      <c r="L2203" s="6">
        <v>3.66</v>
      </c>
      <c r="M2203" s="7">
        <v>14</v>
      </c>
      <c r="N2203" s="7">
        <v>185</v>
      </c>
      <c r="O2203" s="7">
        <v>0</v>
      </c>
      <c r="P2203" s="7">
        <v>0</v>
      </c>
      <c r="Q2203" s="7">
        <v>0</v>
      </c>
      <c r="R2203" s="6">
        <v>0</v>
      </c>
      <c r="S2203" s="6">
        <v>0</v>
      </c>
      <c r="T2203" t="str">
        <f t="shared" si="180"/>
        <v>Triomphe Paris Collection Riser 1x6 Long</v>
      </c>
    </row>
    <row r="2204" spans="1:20" x14ac:dyDescent="0.25">
      <c r="A2204" t="s">
        <v>2510</v>
      </c>
      <c r="B2204" t="s">
        <v>2516</v>
      </c>
      <c r="C2204" t="s">
        <v>283</v>
      </c>
      <c r="D2204" t="s">
        <v>2512</v>
      </c>
      <c r="E2204" t="s">
        <v>2816</v>
      </c>
      <c r="F2204" t="s">
        <v>2817</v>
      </c>
      <c r="G2204" t="s">
        <v>2818</v>
      </c>
      <c r="H2204" t="s">
        <v>2515</v>
      </c>
      <c r="I2204" t="s">
        <v>289</v>
      </c>
      <c r="J2204" t="s">
        <v>344</v>
      </c>
      <c r="K2204">
        <v>16</v>
      </c>
      <c r="L2204" s="6">
        <v>4.88</v>
      </c>
      <c r="M2204" s="7">
        <v>12</v>
      </c>
      <c r="N2204" s="7">
        <v>140</v>
      </c>
      <c r="O2204" s="7">
        <v>0</v>
      </c>
      <c r="P2204" s="7">
        <v>0</v>
      </c>
      <c r="Q2204" s="7">
        <v>0</v>
      </c>
      <c r="R2204" s="6">
        <v>0</v>
      </c>
      <c r="S2204" s="6">
        <v>0</v>
      </c>
      <c r="T2204" t="str">
        <f t="shared" si="180"/>
        <v>Venice Los Angeles Collection Profile 1x6 Long</v>
      </c>
    </row>
    <row r="2205" spans="1:20" x14ac:dyDescent="0.25">
      <c r="A2205" t="s">
        <v>2576</v>
      </c>
      <c r="B2205" t="s">
        <v>2819</v>
      </c>
      <c r="C2205" t="s">
        <v>283</v>
      </c>
      <c r="D2205" t="s">
        <v>2512</v>
      </c>
      <c r="E2205" t="s">
        <v>2820</v>
      </c>
      <c r="F2205" t="s">
        <v>2821</v>
      </c>
      <c r="G2205" t="s">
        <v>2822</v>
      </c>
      <c r="H2205" t="s">
        <v>2515</v>
      </c>
      <c r="I2205" t="s">
        <v>289</v>
      </c>
      <c r="J2205" t="s">
        <v>2823</v>
      </c>
      <c r="K2205">
        <v>16</v>
      </c>
      <c r="L2205" s="6">
        <v>4.88</v>
      </c>
      <c r="M2205" s="7">
        <v>23</v>
      </c>
      <c r="N2205" s="7">
        <v>140</v>
      </c>
      <c r="O2205" s="7">
        <v>0</v>
      </c>
      <c r="P2205" s="7">
        <v>0</v>
      </c>
      <c r="Q2205" s="7">
        <v>0</v>
      </c>
      <c r="R2205" s="6">
        <v>0</v>
      </c>
      <c r="S2205" s="6">
        <v>0</v>
      </c>
      <c r="T2205" t="str">
        <f t="shared" si="180"/>
        <v>White Performance Profile 23x140 Long</v>
      </c>
    </row>
    <row r="2206" spans="1:20" x14ac:dyDescent="0.25">
      <c r="A2206" t="s">
        <v>2824</v>
      </c>
      <c r="B2206" t="s">
        <v>2825</v>
      </c>
      <c r="C2206" t="s">
        <v>2824</v>
      </c>
      <c r="D2206" t="s">
        <v>2826</v>
      </c>
      <c r="E2206" t="s">
        <v>2827</v>
      </c>
      <c r="F2206" t="s">
        <v>2825</v>
      </c>
      <c r="G2206" t="s">
        <v>2825</v>
      </c>
      <c r="H2206" t="s">
        <v>289</v>
      </c>
      <c r="I2206" t="s">
        <v>289</v>
      </c>
      <c r="J2206">
        <v>0</v>
      </c>
      <c r="K2206">
        <v>0</v>
      </c>
      <c r="L2206" s="6">
        <v>0</v>
      </c>
      <c r="M2206" s="7">
        <v>0</v>
      </c>
      <c r="N2206" s="7">
        <v>0</v>
      </c>
      <c r="O2206" s="7">
        <v>0</v>
      </c>
      <c r="P2206" s="7">
        <v>0</v>
      </c>
      <c r="Q2206" s="7">
        <v>0</v>
      </c>
      <c r="R2206" s="6">
        <v>0</v>
      </c>
      <c r="S2206" s="6">
        <v>0</v>
      </c>
      <c r="T2206" t="str">
        <f t="shared" si="180"/>
        <v>Expense Recovery Services</v>
      </c>
    </row>
    <row r="2207" spans="1:20" x14ac:dyDescent="0.25">
      <c r="A2207" t="s">
        <v>2824</v>
      </c>
      <c r="B2207" t="s">
        <v>2825</v>
      </c>
      <c r="C2207" t="s">
        <v>2824</v>
      </c>
      <c r="D2207" t="s">
        <v>2826</v>
      </c>
      <c r="E2207" t="s">
        <v>2828</v>
      </c>
      <c r="F2207" t="s">
        <v>2825</v>
      </c>
      <c r="G2207" t="s">
        <v>2825</v>
      </c>
      <c r="H2207" t="s">
        <v>289</v>
      </c>
      <c r="I2207" t="s">
        <v>289</v>
      </c>
      <c r="J2207">
        <v>0</v>
      </c>
      <c r="K2207">
        <v>0</v>
      </c>
      <c r="L2207" s="6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6">
        <v>0</v>
      </c>
      <c r="S2207" s="6">
        <v>0</v>
      </c>
      <c r="T2207" t="str">
        <f t="shared" si="180"/>
        <v>Expense Recovery Services</v>
      </c>
    </row>
    <row r="2208" spans="1:20" x14ac:dyDescent="0.25">
      <c r="A2208" t="s">
        <v>2824</v>
      </c>
      <c r="B2208" t="s">
        <v>2825</v>
      </c>
      <c r="C2208" t="s">
        <v>2824</v>
      </c>
      <c r="D2208" t="s">
        <v>2826</v>
      </c>
      <c r="E2208" t="s">
        <v>2829</v>
      </c>
      <c r="F2208" t="s">
        <v>2825</v>
      </c>
      <c r="G2208" t="s">
        <v>2825</v>
      </c>
      <c r="H2208" t="s">
        <v>289</v>
      </c>
      <c r="I2208" t="s">
        <v>289</v>
      </c>
      <c r="J2208">
        <v>0</v>
      </c>
      <c r="K2208">
        <v>0</v>
      </c>
      <c r="L2208" s="6">
        <v>0</v>
      </c>
      <c r="M2208" s="7">
        <v>0</v>
      </c>
      <c r="N2208" s="7">
        <v>0</v>
      </c>
      <c r="O2208" s="7">
        <v>0</v>
      </c>
      <c r="P2208" s="7">
        <v>0</v>
      </c>
      <c r="Q2208" s="7">
        <v>0</v>
      </c>
      <c r="R2208" s="6">
        <v>0</v>
      </c>
      <c r="S2208" s="6">
        <v>0</v>
      </c>
      <c r="T2208" t="str">
        <f t="shared" si="180"/>
        <v>Expense Recovery Services</v>
      </c>
    </row>
    <row r="2209" spans="1:20" x14ac:dyDescent="0.25">
      <c r="A2209" t="s">
        <v>2824</v>
      </c>
      <c r="B2209" t="s">
        <v>2825</v>
      </c>
      <c r="C2209" t="s">
        <v>2824</v>
      </c>
      <c r="D2209" t="s">
        <v>2826</v>
      </c>
      <c r="E2209" t="s">
        <v>2830</v>
      </c>
      <c r="F2209" t="s">
        <v>2825</v>
      </c>
      <c r="G2209" t="s">
        <v>2825</v>
      </c>
      <c r="H2209" t="s">
        <v>289</v>
      </c>
      <c r="I2209" t="s">
        <v>289</v>
      </c>
      <c r="J2209">
        <v>0</v>
      </c>
      <c r="K2209">
        <v>0</v>
      </c>
      <c r="L2209" s="6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6">
        <v>0</v>
      </c>
      <c r="S2209" s="6">
        <v>0</v>
      </c>
      <c r="T2209" t="str">
        <f t="shared" si="180"/>
        <v>Expense Recovery Services</v>
      </c>
    </row>
    <row r="2210" spans="1:20" x14ac:dyDescent="0.25">
      <c r="A2210" t="s">
        <v>2824</v>
      </c>
      <c r="B2210" t="s">
        <v>2825</v>
      </c>
      <c r="C2210" t="s">
        <v>2824</v>
      </c>
      <c r="D2210" t="s">
        <v>2826</v>
      </c>
      <c r="E2210" t="s">
        <v>2831</v>
      </c>
      <c r="F2210" t="s">
        <v>2825</v>
      </c>
      <c r="G2210" t="s">
        <v>2825</v>
      </c>
      <c r="H2210" t="s">
        <v>289</v>
      </c>
      <c r="I2210" t="s">
        <v>289</v>
      </c>
      <c r="J2210">
        <v>0</v>
      </c>
      <c r="K2210">
        <v>0</v>
      </c>
      <c r="L2210" s="6">
        <v>0</v>
      </c>
      <c r="M2210" s="7">
        <v>0</v>
      </c>
      <c r="N2210" s="7">
        <v>0</v>
      </c>
      <c r="O2210" s="7">
        <v>0</v>
      </c>
      <c r="P2210" s="7">
        <v>0</v>
      </c>
      <c r="Q2210" s="7">
        <v>0</v>
      </c>
      <c r="R2210" s="6">
        <v>0</v>
      </c>
      <c r="S2210" s="6">
        <v>0</v>
      </c>
      <c r="T2210" t="str">
        <f t="shared" si="180"/>
        <v>Expense Recovery Services</v>
      </c>
    </row>
    <row r="2211" spans="1:20" x14ac:dyDescent="0.25">
      <c r="A2211" t="s">
        <v>2824</v>
      </c>
      <c r="B2211" t="s">
        <v>2825</v>
      </c>
      <c r="C2211" t="s">
        <v>2824</v>
      </c>
      <c r="D2211" t="s">
        <v>2826</v>
      </c>
      <c r="E2211" t="s">
        <v>2832</v>
      </c>
      <c r="F2211" t="s">
        <v>2825</v>
      </c>
      <c r="G2211" t="s">
        <v>2825</v>
      </c>
      <c r="H2211" t="s">
        <v>289</v>
      </c>
      <c r="I2211" t="s">
        <v>289</v>
      </c>
      <c r="J2211">
        <v>0</v>
      </c>
      <c r="K2211">
        <v>0</v>
      </c>
      <c r="L2211" s="6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6">
        <v>0</v>
      </c>
      <c r="S2211" s="6">
        <v>0</v>
      </c>
      <c r="T2211" t="str">
        <f t="shared" si="180"/>
        <v>Expense Recovery Services</v>
      </c>
    </row>
    <row r="2212" spans="1:20" x14ac:dyDescent="0.25">
      <c r="A2212" t="s">
        <v>2824</v>
      </c>
      <c r="B2212" t="s">
        <v>2825</v>
      </c>
      <c r="C2212" t="s">
        <v>2824</v>
      </c>
      <c r="D2212" t="s">
        <v>2826</v>
      </c>
      <c r="E2212" t="s">
        <v>2833</v>
      </c>
      <c r="F2212" t="s">
        <v>2825</v>
      </c>
      <c r="G2212" t="s">
        <v>2825</v>
      </c>
      <c r="H2212" t="s">
        <v>289</v>
      </c>
      <c r="I2212" t="s">
        <v>289</v>
      </c>
      <c r="J2212">
        <v>0</v>
      </c>
      <c r="K2212">
        <v>0</v>
      </c>
      <c r="L2212" s="6">
        <v>0</v>
      </c>
      <c r="M2212" s="7">
        <v>0</v>
      </c>
      <c r="N2212" s="7">
        <v>0</v>
      </c>
      <c r="O2212" s="7">
        <v>0</v>
      </c>
      <c r="P2212" s="7">
        <v>0</v>
      </c>
      <c r="Q2212" s="7">
        <v>0</v>
      </c>
      <c r="R2212" s="6">
        <v>0</v>
      </c>
      <c r="S2212" s="6">
        <v>0</v>
      </c>
      <c r="T2212" t="str">
        <f t="shared" si="180"/>
        <v>Expense Recovery Services</v>
      </c>
    </row>
    <row r="2213" spans="1:20" x14ac:dyDescent="0.25">
      <c r="A2213" t="s">
        <v>2824</v>
      </c>
      <c r="B2213" t="s">
        <v>2825</v>
      </c>
      <c r="C2213" t="s">
        <v>2824</v>
      </c>
      <c r="D2213" t="s">
        <v>2826</v>
      </c>
      <c r="E2213" t="s">
        <v>2834</v>
      </c>
      <c r="F2213" t="s">
        <v>2825</v>
      </c>
      <c r="G2213" t="s">
        <v>2825</v>
      </c>
      <c r="H2213" t="s">
        <v>289</v>
      </c>
      <c r="I2213" t="s">
        <v>289</v>
      </c>
      <c r="J2213">
        <v>0</v>
      </c>
      <c r="K2213">
        <v>0</v>
      </c>
      <c r="L2213" s="6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6">
        <v>0</v>
      </c>
      <c r="S2213" s="6">
        <v>0</v>
      </c>
      <c r="T2213" t="str">
        <f t="shared" si="180"/>
        <v>Expense Recovery Services</v>
      </c>
    </row>
    <row r="2214" spans="1:20" x14ac:dyDescent="0.25">
      <c r="A2214" t="s">
        <v>2824</v>
      </c>
      <c r="B2214" t="s">
        <v>2825</v>
      </c>
      <c r="C2214" t="s">
        <v>2824</v>
      </c>
      <c r="D2214" t="s">
        <v>2826</v>
      </c>
      <c r="E2214" t="s">
        <v>2835</v>
      </c>
      <c r="F2214" t="s">
        <v>2825</v>
      </c>
      <c r="G2214" t="s">
        <v>2825</v>
      </c>
      <c r="H2214" t="s">
        <v>289</v>
      </c>
      <c r="I2214" t="s">
        <v>289</v>
      </c>
      <c r="J2214">
        <v>0</v>
      </c>
      <c r="K2214">
        <v>0</v>
      </c>
      <c r="L2214" s="6">
        <v>0</v>
      </c>
      <c r="M2214" s="7">
        <v>0</v>
      </c>
      <c r="N2214" s="7">
        <v>0</v>
      </c>
      <c r="O2214" s="7">
        <v>0</v>
      </c>
      <c r="P2214" s="7">
        <v>0</v>
      </c>
      <c r="Q2214" s="7">
        <v>0</v>
      </c>
      <c r="R2214" s="6">
        <v>0</v>
      </c>
      <c r="S2214" s="6">
        <v>0</v>
      </c>
      <c r="T2214" t="str">
        <f t="shared" si="180"/>
        <v>Expense Recovery Services</v>
      </c>
    </row>
    <row r="2215" spans="1:20" x14ac:dyDescent="0.25">
      <c r="A2215" t="s">
        <v>2824</v>
      </c>
      <c r="B2215" t="s">
        <v>2836</v>
      </c>
      <c r="C2215" t="s">
        <v>2824</v>
      </c>
      <c r="D2215" t="s">
        <v>2826</v>
      </c>
      <c r="E2215" t="s">
        <v>2837</v>
      </c>
      <c r="F2215" t="s">
        <v>2838</v>
      </c>
      <c r="G2215" t="s">
        <v>2838</v>
      </c>
      <c r="H2215" t="s">
        <v>289</v>
      </c>
      <c r="I2215" t="s">
        <v>289</v>
      </c>
      <c r="J2215">
        <v>0</v>
      </c>
      <c r="K2215">
        <v>0</v>
      </c>
      <c r="L2215" s="6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6">
        <v>0</v>
      </c>
      <c r="S2215" s="6">
        <v>0</v>
      </c>
      <c r="T2215" t="str">
        <f t="shared" si="180"/>
        <v>Freight Services Services</v>
      </c>
    </row>
    <row r="2216" spans="1:20" x14ac:dyDescent="0.25">
      <c r="A2216" t="s">
        <v>2824</v>
      </c>
      <c r="B2216" t="s">
        <v>2836</v>
      </c>
      <c r="C2216" t="s">
        <v>2824</v>
      </c>
      <c r="D2216" t="s">
        <v>2826</v>
      </c>
      <c r="E2216" t="s">
        <v>2839</v>
      </c>
      <c r="F2216" t="s">
        <v>2838</v>
      </c>
      <c r="G2216" t="s">
        <v>2838</v>
      </c>
      <c r="H2216" t="s">
        <v>289</v>
      </c>
      <c r="I2216" t="s">
        <v>289</v>
      </c>
      <c r="J2216">
        <v>0</v>
      </c>
      <c r="K2216">
        <v>0</v>
      </c>
      <c r="L2216" s="6">
        <v>0</v>
      </c>
      <c r="M2216" s="7">
        <v>0</v>
      </c>
      <c r="N2216" s="7">
        <v>0</v>
      </c>
      <c r="O2216" s="7">
        <v>0</v>
      </c>
      <c r="P2216" s="7">
        <v>0</v>
      </c>
      <c r="Q2216" s="7">
        <v>0</v>
      </c>
      <c r="R2216" s="6">
        <v>0</v>
      </c>
      <c r="S2216" s="6">
        <v>0</v>
      </c>
      <c r="T2216" t="str">
        <f t="shared" si="180"/>
        <v>Freight Services Services</v>
      </c>
    </row>
    <row r="2217" spans="1:20" x14ac:dyDescent="0.25">
      <c r="A2217" t="s">
        <v>2824</v>
      </c>
      <c r="B2217" t="s">
        <v>2836</v>
      </c>
      <c r="C2217" t="s">
        <v>2824</v>
      </c>
      <c r="D2217" t="s">
        <v>2826</v>
      </c>
      <c r="E2217" t="s">
        <v>2840</v>
      </c>
      <c r="F2217" t="s">
        <v>2838</v>
      </c>
      <c r="G2217" t="s">
        <v>2838</v>
      </c>
      <c r="H2217" t="s">
        <v>289</v>
      </c>
      <c r="I2217" t="s">
        <v>289</v>
      </c>
      <c r="J2217">
        <v>0</v>
      </c>
      <c r="K2217">
        <v>0</v>
      </c>
      <c r="L2217" s="6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6">
        <v>0</v>
      </c>
      <c r="S2217" s="6">
        <v>0</v>
      </c>
      <c r="T2217" t="str">
        <f t="shared" si="180"/>
        <v>Freight Services Services</v>
      </c>
    </row>
    <row r="2218" spans="1:20" x14ac:dyDescent="0.25">
      <c r="A2218" t="s">
        <v>2824</v>
      </c>
      <c r="B2218" t="s">
        <v>2841</v>
      </c>
      <c r="C2218" t="s">
        <v>2824</v>
      </c>
      <c r="D2218" t="s">
        <v>2826</v>
      </c>
      <c r="E2218" t="s">
        <v>2842</v>
      </c>
      <c r="F2218" t="s">
        <v>2843</v>
      </c>
      <c r="G2218" t="s">
        <v>2843</v>
      </c>
      <c r="H2218" t="s">
        <v>289</v>
      </c>
      <c r="I2218" t="s">
        <v>289</v>
      </c>
      <c r="J2218">
        <v>0</v>
      </c>
      <c r="K2218">
        <v>0</v>
      </c>
      <c r="L2218" s="6">
        <v>0</v>
      </c>
      <c r="M2218" s="7">
        <v>0</v>
      </c>
      <c r="N2218" s="7">
        <v>0</v>
      </c>
      <c r="O2218" s="7">
        <v>0</v>
      </c>
      <c r="P2218" s="7">
        <v>0</v>
      </c>
      <c r="Q2218" s="7">
        <v>0</v>
      </c>
      <c r="R2218" s="6">
        <v>0</v>
      </c>
      <c r="S2218" s="6">
        <v>0</v>
      </c>
      <c r="T2218" t="str">
        <f t="shared" si="180"/>
        <v>Marketing Services Services</v>
      </c>
    </row>
    <row r="2219" spans="1:20" x14ac:dyDescent="0.25">
      <c r="A2219" t="s">
        <v>2824</v>
      </c>
      <c r="B2219" t="s">
        <v>2841</v>
      </c>
      <c r="C2219" t="s">
        <v>2824</v>
      </c>
      <c r="D2219" t="s">
        <v>2826</v>
      </c>
      <c r="E2219" t="s">
        <v>2844</v>
      </c>
      <c r="F2219" t="s">
        <v>2843</v>
      </c>
      <c r="G2219" t="s">
        <v>2843</v>
      </c>
      <c r="H2219" t="s">
        <v>289</v>
      </c>
      <c r="I2219" t="s">
        <v>289</v>
      </c>
      <c r="J2219">
        <v>0</v>
      </c>
      <c r="K2219">
        <v>0</v>
      </c>
      <c r="L2219" s="6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6">
        <v>0</v>
      </c>
      <c r="S2219" s="6">
        <v>0</v>
      </c>
      <c r="T2219" t="str">
        <f t="shared" si="180"/>
        <v>Marketing Services Services</v>
      </c>
    </row>
    <row r="2220" spans="1:20" x14ac:dyDescent="0.25">
      <c r="A2220" t="s">
        <v>2824</v>
      </c>
      <c r="B2220" t="s">
        <v>2841</v>
      </c>
      <c r="C2220" t="s">
        <v>2824</v>
      </c>
      <c r="D2220" t="s">
        <v>2826</v>
      </c>
      <c r="E2220" t="s">
        <v>2845</v>
      </c>
      <c r="F2220" t="s">
        <v>2843</v>
      </c>
      <c r="G2220" t="s">
        <v>2843</v>
      </c>
      <c r="H2220" t="s">
        <v>289</v>
      </c>
      <c r="I2220" t="s">
        <v>289</v>
      </c>
      <c r="J2220">
        <v>0</v>
      </c>
      <c r="K2220">
        <v>0</v>
      </c>
      <c r="L2220" s="6">
        <v>0</v>
      </c>
      <c r="M2220" s="7">
        <v>0</v>
      </c>
      <c r="N2220" s="7">
        <v>0</v>
      </c>
      <c r="O2220" s="7">
        <v>0</v>
      </c>
      <c r="P2220" s="7">
        <v>0</v>
      </c>
      <c r="Q2220" s="7">
        <v>0</v>
      </c>
      <c r="R2220" s="6">
        <v>0</v>
      </c>
      <c r="S2220" s="6">
        <v>0</v>
      </c>
      <c r="T2220" t="str">
        <f t="shared" si="180"/>
        <v>Marketing Services Services</v>
      </c>
    </row>
    <row r="2221" spans="1:20" x14ac:dyDescent="0.25">
      <c r="A2221" t="s">
        <v>2824</v>
      </c>
      <c r="B2221" t="s">
        <v>2841</v>
      </c>
      <c r="C2221" t="s">
        <v>2824</v>
      </c>
      <c r="D2221" t="s">
        <v>2826</v>
      </c>
      <c r="E2221" t="s">
        <v>2846</v>
      </c>
      <c r="F2221" t="s">
        <v>2843</v>
      </c>
      <c r="G2221" t="s">
        <v>2843</v>
      </c>
      <c r="H2221" t="s">
        <v>289</v>
      </c>
      <c r="I2221" t="s">
        <v>289</v>
      </c>
      <c r="J2221">
        <v>0</v>
      </c>
      <c r="K2221">
        <v>0</v>
      </c>
      <c r="L2221" s="6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6">
        <v>0</v>
      </c>
      <c r="S2221" s="6">
        <v>0</v>
      </c>
      <c r="T2221" t="str">
        <f t="shared" si="180"/>
        <v>Marketing Services Services</v>
      </c>
    </row>
    <row r="2222" spans="1:20" x14ac:dyDescent="0.25">
      <c r="A2222" t="s">
        <v>2824</v>
      </c>
      <c r="B2222" t="s">
        <v>2841</v>
      </c>
      <c r="C2222" t="s">
        <v>2824</v>
      </c>
      <c r="D2222" t="s">
        <v>2826</v>
      </c>
      <c r="E2222" t="s">
        <v>2847</v>
      </c>
      <c r="F2222" t="s">
        <v>2843</v>
      </c>
      <c r="G2222" t="s">
        <v>2843</v>
      </c>
      <c r="H2222" t="s">
        <v>289</v>
      </c>
      <c r="I2222" t="s">
        <v>289</v>
      </c>
      <c r="J2222">
        <v>0</v>
      </c>
      <c r="K2222">
        <v>0</v>
      </c>
      <c r="L2222" s="6">
        <v>0</v>
      </c>
      <c r="M2222" s="7">
        <v>0</v>
      </c>
      <c r="N2222" s="7">
        <v>0</v>
      </c>
      <c r="O2222" s="7">
        <v>0</v>
      </c>
      <c r="P2222" s="7">
        <v>0</v>
      </c>
      <c r="Q2222" s="7">
        <v>0</v>
      </c>
      <c r="R2222" s="6">
        <v>0</v>
      </c>
      <c r="S2222" s="6">
        <v>0</v>
      </c>
      <c r="T2222" t="str">
        <f t="shared" si="180"/>
        <v>Marketing Services Services</v>
      </c>
    </row>
    <row r="2223" spans="1:20" x14ac:dyDescent="0.25">
      <c r="A2223" t="s">
        <v>2824</v>
      </c>
      <c r="B2223" t="s">
        <v>2841</v>
      </c>
      <c r="C2223" t="s">
        <v>2824</v>
      </c>
      <c r="D2223" t="s">
        <v>2826</v>
      </c>
      <c r="E2223" t="s">
        <v>2848</v>
      </c>
      <c r="F2223" t="s">
        <v>2843</v>
      </c>
      <c r="G2223" t="s">
        <v>2843</v>
      </c>
      <c r="H2223" t="s">
        <v>289</v>
      </c>
      <c r="I2223" t="s">
        <v>289</v>
      </c>
      <c r="J2223">
        <v>0</v>
      </c>
      <c r="K2223">
        <v>0</v>
      </c>
      <c r="L2223" s="6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6">
        <v>0</v>
      </c>
      <c r="S2223" s="6">
        <v>0</v>
      </c>
      <c r="T2223" t="str">
        <f t="shared" si="180"/>
        <v>Marketing Services Services</v>
      </c>
    </row>
    <row r="2224" spans="1:20" x14ac:dyDescent="0.25">
      <c r="A2224" t="s">
        <v>2824</v>
      </c>
      <c r="B2224" t="s">
        <v>2841</v>
      </c>
      <c r="C2224" t="s">
        <v>2824</v>
      </c>
      <c r="D2224" t="s">
        <v>2826</v>
      </c>
      <c r="E2224" t="s">
        <v>2849</v>
      </c>
      <c r="F2224" t="s">
        <v>2843</v>
      </c>
      <c r="G2224" t="s">
        <v>2843</v>
      </c>
      <c r="H2224" t="s">
        <v>289</v>
      </c>
      <c r="I2224" t="s">
        <v>289</v>
      </c>
      <c r="J2224">
        <v>0</v>
      </c>
      <c r="K2224">
        <v>0</v>
      </c>
      <c r="L2224" s="6">
        <v>0</v>
      </c>
      <c r="M2224" s="7">
        <v>0</v>
      </c>
      <c r="N2224" s="7">
        <v>0</v>
      </c>
      <c r="O2224" s="7">
        <v>0</v>
      </c>
      <c r="P2224" s="7">
        <v>0</v>
      </c>
      <c r="Q2224" s="7">
        <v>0</v>
      </c>
      <c r="R2224" s="6">
        <v>0</v>
      </c>
      <c r="S2224" s="6">
        <v>0</v>
      </c>
      <c r="T2224" t="str">
        <f t="shared" si="180"/>
        <v>Marketing Services Services</v>
      </c>
    </row>
    <row r="2225" spans="1:20" x14ac:dyDescent="0.25">
      <c r="A2225" t="s">
        <v>2824</v>
      </c>
      <c r="B2225" t="s">
        <v>2841</v>
      </c>
      <c r="C2225" t="s">
        <v>2824</v>
      </c>
      <c r="D2225" t="s">
        <v>2826</v>
      </c>
      <c r="E2225" t="s">
        <v>2850</v>
      </c>
      <c r="F2225" t="s">
        <v>2843</v>
      </c>
      <c r="G2225" t="s">
        <v>2843</v>
      </c>
      <c r="H2225" t="s">
        <v>289</v>
      </c>
      <c r="I2225" t="s">
        <v>289</v>
      </c>
      <c r="J2225">
        <v>0</v>
      </c>
      <c r="K2225">
        <v>0</v>
      </c>
      <c r="L2225" s="6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6">
        <v>0</v>
      </c>
      <c r="S2225" s="6">
        <v>0</v>
      </c>
      <c r="T2225" t="str">
        <f t="shared" si="180"/>
        <v>Marketing Services Services</v>
      </c>
    </row>
    <row r="2226" spans="1:20" x14ac:dyDescent="0.25">
      <c r="A2226" t="s">
        <v>2824</v>
      </c>
      <c r="B2226" t="s">
        <v>2841</v>
      </c>
      <c r="C2226" t="s">
        <v>2824</v>
      </c>
      <c r="D2226" t="s">
        <v>2826</v>
      </c>
      <c r="E2226" t="s">
        <v>2851</v>
      </c>
      <c r="F2226" t="s">
        <v>2843</v>
      </c>
      <c r="G2226" t="s">
        <v>2843</v>
      </c>
      <c r="H2226" t="s">
        <v>289</v>
      </c>
      <c r="I2226" t="s">
        <v>289</v>
      </c>
      <c r="J2226">
        <v>0</v>
      </c>
      <c r="K2226">
        <v>0</v>
      </c>
      <c r="L2226" s="6">
        <v>0</v>
      </c>
      <c r="M2226" s="7">
        <v>0</v>
      </c>
      <c r="N2226" s="7">
        <v>0</v>
      </c>
      <c r="O2226" s="7">
        <v>0</v>
      </c>
      <c r="P2226" s="7">
        <v>0</v>
      </c>
      <c r="Q2226" s="7">
        <v>0</v>
      </c>
      <c r="R2226" s="6">
        <v>0</v>
      </c>
      <c r="S2226" s="6">
        <v>0</v>
      </c>
      <c r="T2226" t="str">
        <f t="shared" si="180"/>
        <v>Marketing Services Services</v>
      </c>
    </row>
    <row r="2227" spans="1:20" x14ac:dyDescent="0.25">
      <c r="A2227" t="s">
        <v>2824</v>
      </c>
      <c r="B2227" t="s">
        <v>2841</v>
      </c>
      <c r="C2227" t="s">
        <v>2824</v>
      </c>
      <c r="D2227" t="s">
        <v>2826</v>
      </c>
      <c r="E2227" t="s">
        <v>2852</v>
      </c>
      <c r="F2227" t="s">
        <v>2843</v>
      </c>
      <c r="G2227" t="s">
        <v>2843</v>
      </c>
      <c r="H2227" t="s">
        <v>289</v>
      </c>
      <c r="I2227" t="s">
        <v>289</v>
      </c>
      <c r="J2227">
        <v>0</v>
      </c>
      <c r="K2227">
        <v>0</v>
      </c>
      <c r="L2227" s="6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6">
        <v>0</v>
      </c>
      <c r="S2227" s="6">
        <v>0</v>
      </c>
      <c r="T2227" t="str">
        <f t="shared" si="180"/>
        <v>Marketing Services Services</v>
      </c>
    </row>
    <row r="2228" spans="1:20" x14ac:dyDescent="0.25">
      <c r="A2228" t="s">
        <v>2824</v>
      </c>
      <c r="B2228" t="s">
        <v>2841</v>
      </c>
      <c r="C2228" t="s">
        <v>2824</v>
      </c>
      <c r="D2228" t="s">
        <v>2826</v>
      </c>
      <c r="E2228" t="s">
        <v>2853</v>
      </c>
      <c r="F2228" t="s">
        <v>2843</v>
      </c>
      <c r="G2228" t="s">
        <v>2843</v>
      </c>
      <c r="H2228" t="s">
        <v>289</v>
      </c>
      <c r="I2228" t="s">
        <v>289</v>
      </c>
      <c r="J2228">
        <v>0</v>
      </c>
      <c r="K2228">
        <v>0</v>
      </c>
      <c r="L2228" s="6">
        <v>0</v>
      </c>
      <c r="M2228" s="7">
        <v>0</v>
      </c>
      <c r="N2228" s="7">
        <v>0</v>
      </c>
      <c r="O2228" s="7">
        <v>0</v>
      </c>
      <c r="P2228" s="7">
        <v>0</v>
      </c>
      <c r="Q2228" s="7">
        <v>0</v>
      </c>
      <c r="R2228" s="6">
        <v>0</v>
      </c>
      <c r="S2228" s="6">
        <v>0</v>
      </c>
      <c r="T2228" t="str">
        <f t="shared" si="180"/>
        <v>Marketing Services Services</v>
      </c>
    </row>
    <row r="2229" spans="1:20" x14ac:dyDescent="0.25">
      <c r="A2229" t="s">
        <v>2824</v>
      </c>
      <c r="B2229" t="s">
        <v>2841</v>
      </c>
      <c r="C2229" t="s">
        <v>2824</v>
      </c>
      <c r="D2229" t="s">
        <v>2826</v>
      </c>
      <c r="E2229" t="s">
        <v>2854</v>
      </c>
      <c r="F2229" t="s">
        <v>2843</v>
      </c>
      <c r="G2229" t="s">
        <v>2843</v>
      </c>
      <c r="H2229" t="s">
        <v>289</v>
      </c>
      <c r="I2229" t="s">
        <v>289</v>
      </c>
      <c r="J2229">
        <v>0</v>
      </c>
      <c r="K2229">
        <v>0</v>
      </c>
      <c r="L2229" s="6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6">
        <v>0</v>
      </c>
      <c r="S2229" s="6">
        <v>0</v>
      </c>
      <c r="T2229" t="str">
        <f t="shared" si="180"/>
        <v>Marketing Services Services</v>
      </c>
    </row>
    <row r="2230" spans="1:20" x14ac:dyDescent="0.25">
      <c r="A2230" t="s">
        <v>2824</v>
      </c>
      <c r="B2230" t="s">
        <v>2841</v>
      </c>
      <c r="C2230" t="s">
        <v>2824</v>
      </c>
      <c r="D2230" t="s">
        <v>2826</v>
      </c>
      <c r="E2230" t="s">
        <v>2855</v>
      </c>
      <c r="F2230" t="s">
        <v>2843</v>
      </c>
      <c r="G2230" t="s">
        <v>2843</v>
      </c>
      <c r="H2230" t="s">
        <v>289</v>
      </c>
      <c r="I2230" t="s">
        <v>289</v>
      </c>
      <c r="J2230">
        <v>0</v>
      </c>
      <c r="K2230">
        <v>0</v>
      </c>
      <c r="L2230" s="6">
        <v>0</v>
      </c>
      <c r="M2230" s="7">
        <v>0</v>
      </c>
      <c r="N2230" s="7">
        <v>0</v>
      </c>
      <c r="O2230" s="7">
        <v>0</v>
      </c>
      <c r="P2230" s="7">
        <v>0</v>
      </c>
      <c r="Q2230" s="7">
        <v>0</v>
      </c>
      <c r="R2230" s="6">
        <v>0</v>
      </c>
      <c r="S2230" s="6">
        <v>0</v>
      </c>
      <c r="T2230" t="str">
        <f t="shared" si="180"/>
        <v>Marketing Services Services</v>
      </c>
    </row>
    <row r="2231" spans="1:20" x14ac:dyDescent="0.25">
      <c r="A2231" t="s">
        <v>2824</v>
      </c>
      <c r="B2231" t="s">
        <v>2841</v>
      </c>
      <c r="C2231" t="s">
        <v>2824</v>
      </c>
      <c r="D2231" t="s">
        <v>2826</v>
      </c>
      <c r="E2231" t="s">
        <v>2856</v>
      </c>
      <c r="F2231" t="s">
        <v>2843</v>
      </c>
      <c r="G2231" t="s">
        <v>2843</v>
      </c>
      <c r="H2231" t="s">
        <v>289</v>
      </c>
      <c r="I2231" t="s">
        <v>289</v>
      </c>
      <c r="J2231">
        <v>0</v>
      </c>
      <c r="K2231">
        <v>0</v>
      </c>
      <c r="L2231" s="6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6">
        <v>0</v>
      </c>
      <c r="S2231" s="6">
        <v>0</v>
      </c>
      <c r="T2231" t="str">
        <f t="shared" si="180"/>
        <v>Marketing Services Services</v>
      </c>
    </row>
    <row r="2232" spans="1:20" x14ac:dyDescent="0.25">
      <c r="A2232" t="s">
        <v>2824</v>
      </c>
      <c r="B2232" t="s">
        <v>2841</v>
      </c>
      <c r="C2232" t="s">
        <v>2824</v>
      </c>
      <c r="D2232" t="s">
        <v>2826</v>
      </c>
      <c r="E2232" t="s">
        <v>2857</v>
      </c>
      <c r="F2232" t="s">
        <v>2843</v>
      </c>
      <c r="G2232" t="s">
        <v>2843</v>
      </c>
      <c r="H2232" t="s">
        <v>289</v>
      </c>
      <c r="I2232" t="s">
        <v>289</v>
      </c>
      <c r="J2232">
        <v>0</v>
      </c>
      <c r="K2232">
        <v>0</v>
      </c>
      <c r="L2232" s="6">
        <v>0</v>
      </c>
      <c r="M2232" s="7">
        <v>0</v>
      </c>
      <c r="N2232" s="7">
        <v>0</v>
      </c>
      <c r="O2232" s="7">
        <v>0</v>
      </c>
      <c r="P2232" s="7">
        <v>0</v>
      </c>
      <c r="Q2232" s="7">
        <v>0</v>
      </c>
      <c r="R2232" s="6">
        <v>0</v>
      </c>
      <c r="S2232" s="6">
        <v>0</v>
      </c>
      <c r="T2232" t="str">
        <f t="shared" si="180"/>
        <v>Marketing Services Services</v>
      </c>
    </row>
    <row r="2233" spans="1:20" x14ac:dyDescent="0.25">
      <c r="A2233" t="s">
        <v>2824</v>
      </c>
      <c r="B2233" t="s">
        <v>2841</v>
      </c>
      <c r="C2233" t="s">
        <v>2824</v>
      </c>
      <c r="D2233" t="s">
        <v>2826</v>
      </c>
      <c r="E2233" t="s">
        <v>2858</v>
      </c>
      <c r="F2233" t="s">
        <v>2843</v>
      </c>
      <c r="G2233" t="s">
        <v>2843</v>
      </c>
      <c r="H2233" t="s">
        <v>289</v>
      </c>
      <c r="I2233" t="s">
        <v>289</v>
      </c>
      <c r="J2233">
        <v>0</v>
      </c>
      <c r="K2233">
        <v>0</v>
      </c>
      <c r="L2233" s="6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6">
        <v>0</v>
      </c>
      <c r="S2233" s="6">
        <v>0</v>
      </c>
      <c r="T2233" t="str">
        <f t="shared" si="180"/>
        <v>Marketing Services Services</v>
      </c>
    </row>
    <row r="2234" spans="1:20" x14ac:dyDescent="0.25">
      <c r="A2234" t="s">
        <v>2824</v>
      </c>
      <c r="B2234" t="s">
        <v>2841</v>
      </c>
      <c r="C2234" t="s">
        <v>2824</v>
      </c>
      <c r="D2234" t="s">
        <v>2826</v>
      </c>
      <c r="E2234" t="s">
        <v>2859</v>
      </c>
      <c r="F2234" t="s">
        <v>2843</v>
      </c>
      <c r="G2234" t="s">
        <v>2843</v>
      </c>
      <c r="H2234" t="s">
        <v>289</v>
      </c>
      <c r="I2234" t="s">
        <v>289</v>
      </c>
      <c r="J2234">
        <v>0</v>
      </c>
      <c r="K2234">
        <v>0</v>
      </c>
      <c r="L2234" s="6">
        <v>0</v>
      </c>
      <c r="M2234" s="7">
        <v>0</v>
      </c>
      <c r="N2234" s="7">
        <v>0</v>
      </c>
      <c r="O2234" s="7">
        <v>0</v>
      </c>
      <c r="P2234" s="7">
        <v>0</v>
      </c>
      <c r="Q2234" s="7">
        <v>0</v>
      </c>
      <c r="R2234" s="6">
        <v>0</v>
      </c>
      <c r="S2234" s="6">
        <v>0</v>
      </c>
      <c r="T2234" t="str">
        <f t="shared" si="180"/>
        <v>Marketing Services Services</v>
      </c>
    </row>
    <row r="2235" spans="1:20" x14ac:dyDescent="0.25">
      <c r="A2235" t="s">
        <v>2824</v>
      </c>
      <c r="B2235" t="s">
        <v>2841</v>
      </c>
      <c r="C2235" t="s">
        <v>2824</v>
      </c>
      <c r="D2235" t="s">
        <v>2826</v>
      </c>
      <c r="E2235" t="s">
        <v>2860</v>
      </c>
      <c r="F2235" t="s">
        <v>2843</v>
      </c>
      <c r="G2235" t="s">
        <v>2843</v>
      </c>
      <c r="H2235" t="s">
        <v>289</v>
      </c>
      <c r="I2235" t="s">
        <v>289</v>
      </c>
      <c r="J2235">
        <v>0</v>
      </c>
      <c r="K2235">
        <v>0</v>
      </c>
      <c r="L2235" s="6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6">
        <v>0</v>
      </c>
      <c r="S2235" s="6">
        <v>0</v>
      </c>
      <c r="T2235" t="str">
        <f t="shared" si="180"/>
        <v>Marketing Services Services</v>
      </c>
    </row>
    <row r="2236" spans="1:20" x14ac:dyDescent="0.25">
      <c r="A2236" t="s">
        <v>2824</v>
      </c>
      <c r="B2236" t="s">
        <v>2841</v>
      </c>
      <c r="C2236" t="s">
        <v>2824</v>
      </c>
      <c r="D2236" t="s">
        <v>2826</v>
      </c>
      <c r="E2236" t="s">
        <v>2861</v>
      </c>
      <c r="F2236" t="s">
        <v>2843</v>
      </c>
      <c r="G2236" t="s">
        <v>2843</v>
      </c>
      <c r="H2236" t="s">
        <v>289</v>
      </c>
      <c r="I2236" t="s">
        <v>289</v>
      </c>
      <c r="J2236">
        <v>0</v>
      </c>
      <c r="K2236">
        <v>0</v>
      </c>
      <c r="L2236" s="6">
        <v>0</v>
      </c>
      <c r="M2236" s="7">
        <v>0</v>
      </c>
      <c r="N2236" s="7">
        <v>0</v>
      </c>
      <c r="O2236" s="7">
        <v>0</v>
      </c>
      <c r="P2236" s="7">
        <v>0</v>
      </c>
      <c r="Q2236" s="7">
        <v>0</v>
      </c>
      <c r="R2236" s="6">
        <v>0</v>
      </c>
      <c r="S2236" s="6">
        <v>0</v>
      </c>
      <c r="T2236" t="str">
        <f t="shared" si="180"/>
        <v>Marketing Services Services</v>
      </c>
    </row>
    <row r="2237" spans="1:20" x14ac:dyDescent="0.25">
      <c r="A2237" t="s">
        <v>2824</v>
      </c>
      <c r="B2237" t="s">
        <v>2841</v>
      </c>
      <c r="C2237" t="s">
        <v>2824</v>
      </c>
      <c r="D2237" t="s">
        <v>2826</v>
      </c>
      <c r="E2237" t="s">
        <v>2862</v>
      </c>
      <c r="F2237" t="s">
        <v>2843</v>
      </c>
      <c r="G2237" t="s">
        <v>2843</v>
      </c>
      <c r="H2237" t="s">
        <v>289</v>
      </c>
      <c r="I2237" t="s">
        <v>289</v>
      </c>
      <c r="J2237">
        <v>0</v>
      </c>
      <c r="K2237">
        <v>0</v>
      </c>
      <c r="L2237" s="6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6">
        <v>0</v>
      </c>
      <c r="S2237" s="6">
        <v>0</v>
      </c>
      <c r="T2237" t="str">
        <f t="shared" si="180"/>
        <v>Marketing Services Services</v>
      </c>
    </row>
    <row r="2238" spans="1:20" x14ac:dyDescent="0.25">
      <c r="A2238" t="s">
        <v>2824</v>
      </c>
      <c r="B2238" t="s">
        <v>2841</v>
      </c>
      <c r="C2238" t="s">
        <v>2824</v>
      </c>
      <c r="D2238" t="s">
        <v>2826</v>
      </c>
      <c r="E2238" t="s">
        <v>2863</v>
      </c>
      <c r="F2238" t="s">
        <v>2843</v>
      </c>
      <c r="G2238" t="s">
        <v>2843</v>
      </c>
      <c r="H2238" t="s">
        <v>289</v>
      </c>
      <c r="I2238" t="s">
        <v>289</v>
      </c>
      <c r="J2238">
        <v>0</v>
      </c>
      <c r="K2238">
        <v>0</v>
      </c>
      <c r="L2238" s="6">
        <v>0</v>
      </c>
      <c r="M2238" s="7">
        <v>0</v>
      </c>
      <c r="N2238" s="7">
        <v>0</v>
      </c>
      <c r="O2238" s="7">
        <v>0</v>
      </c>
      <c r="P2238" s="7">
        <v>0</v>
      </c>
      <c r="Q2238" s="7">
        <v>0</v>
      </c>
      <c r="R2238" s="6">
        <v>0</v>
      </c>
      <c r="S2238" s="6">
        <v>0</v>
      </c>
      <c r="T2238" t="str">
        <f t="shared" si="180"/>
        <v>Marketing Services Services</v>
      </c>
    </row>
    <row r="2239" spans="1:20" x14ac:dyDescent="0.25">
      <c r="A2239" t="s">
        <v>2824</v>
      </c>
      <c r="B2239" t="s">
        <v>2841</v>
      </c>
      <c r="C2239" t="s">
        <v>2824</v>
      </c>
      <c r="D2239" t="s">
        <v>2826</v>
      </c>
      <c r="E2239" t="s">
        <v>2864</v>
      </c>
      <c r="F2239" t="s">
        <v>2843</v>
      </c>
      <c r="G2239" t="s">
        <v>2843</v>
      </c>
      <c r="H2239" t="s">
        <v>289</v>
      </c>
      <c r="I2239" t="s">
        <v>289</v>
      </c>
      <c r="J2239">
        <v>0</v>
      </c>
      <c r="K2239">
        <v>0</v>
      </c>
      <c r="L2239" s="6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6">
        <v>0</v>
      </c>
      <c r="S2239" s="6">
        <v>0</v>
      </c>
      <c r="T2239" t="str">
        <f t="shared" si="180"/>
        <v>Marketing Services Services</v>
      </c>
    </row>
    <row r="2240" spans="1:20" x14ac:dyDescent="0.25">
      <c r="A2240" t="s">
        <v>2824</v>
      </c>
      <c r="B2240" t="s">
        <v>2841</v>
      </c>
      <c r="C2240" t="s">
        <v>2824</v>
      </c>
      <c r="D2240" t="s">
        <v>2826</v>
      </c>
      <c r="E2240" t="s">
        <v>2865</v>
      </c>
      <c r="F2240" t="s">
        <v>2843</v>
      </c>
      <c r="G2240" t="s">
        <v>2843</v>
      </c>
      <c r="H2240" t="s">
        <v>289</v>
      </c>
      <c r="I2240" t="s">
        <v>289</v>
      </c>
      <c r="J2240">
        <v>0</v>
      </c>
      <c r="K2240">
        <v>0</v>
      </c>
      <c r="L2240" s="6">
        <v>0</v>
      </c>
      <c r="M2240" s="7">
        <v>0</v>
      </c>
      <c r="N2240" s="7">
        <v>0</v>
      </c>
      <c r="O2240" s="7">
        <v>0</v>
      </c>
      <c r="P2240" s="7">
        <v>0</v>
      </c>
      <c r="Q2240" s="7">
        <v>0</v>
      </c>
      <c r="R2240" s="6">
        <v>0</v>
      </c>
      <c r="S2240" s="6">
        <v>0</v>
      </c>
      <c r="T2240" t="str">
        <f t="shared" si="180"/>
        <v>Marketing Services Services</v>
      </c>
    </row>
    <row r="2241" spans="1:20" x14ac:dyDescent="0.25">
      <c r="A2241" t="s">
        <v>2824</v>
      </c>
      <c r="B2241" t="s">
        <v>2866</v>
      </c>
      <c r="C2241" t="s">
        <v>2824</v>
      </c>
      <c r="D2241" t="s">
        <v>2826</v>
      </c>
      <c r="E2241" t="s">
        <v>2867</v>
      </c>
      <c r="F2241" t="s">
        <v>2866</v>
      </c>
      <c r="G2241" t="s">
        <v>289</v>
      </c>
      <c r="H2241" t="s">
        <v>289</v>
      </c>
      <c r="I2241" t="s">
        <v>289</v>
      </c>
      <c r="J2241">
        <v>0</v>
      </c>
      <c r="K2241">
        <v>0</v>
      </c>
      <c r="L2241" s="6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6">
        <v>0</v>
      </c>
      <c r="S2241" s="6">
        <v>0</v>
      </c>
      <c r="T2241" t="str">
        <f t="shared" si="180"/>
        <v>Milling Services</v>
      </c>
    </row>
    <row r="2242" spans="1:20" x14ac:dyDescent="0.25">
      <c r="A2242" t="s">
        <v>2824</v>
      </c>
      <c r="B2242" t="s">
        <v>2866</v>
      </c>
      <c r="C2242" t="s">
        <v>2824</v>
      </c>
      <c r="D2242" t="s">
        <v>2826</v>
      </c>
      <c r="E2242" t="s">
        <v>2868</v>
      </c>
      <c r="F2242" t="s">
        <v>2866</v>
      </c>
      <c r="G2242" t="s">
        <v>289</v>
      </c>
      <c r="H2242" t="s">
        <v>289</v>
      </c>
      <c r="I2242" t="s">
        <v>289</v>
      </c>
      <c r="J2242">
        <v>0</v>
      </c>
      <c r="K2242">
        <v>0</v>
      </c>
      <c r="L2242" s="6">
        <v>0</v>
      </c>
      <c r="M2242" s="7">
        <v>0</v>
      </c>
      <c r="N2242" s="7">
        <v>0</v>
      </c>
      <c r="O2242" s="7">
        <v>0</v>
      </c>
      <c r="P2242" s="7">
        <v>0</v>
      </c>
      <c r="Q2242" s="7">
        <v>0</v>
      </c>
      <c r="R2242" s="6">
        <v>0</v>
      </c>
      <c r="S2242" s="6">
        <v>0</v>
      </c>
      <c r="T2242" t="str">
        <f t="shared" ref="T2242:T2305" si="181">F2242&amp;" "&amp;C2242</f>
        <v>Milling Services</v>
      </c>
    </row>
    <row r="2243" spans="1:20" x14ac:dyDescent="0.25">
      <c r="A2243" t="s">
        <v>2824</v>
      </c>
      <c r="B2243" t="s">
        <v>2866</v>
      </c>
      <c r="C2243" t="s">
        <v>2824</v>
      </c>
      <c r="D2243" t="s">
        <v>2826</v>
      </c>
      <c r="E2243" t="s">
        <v>2869</v>
      </c>
      <c r="F2243" t="s">
        <v>2866</v>
      </c>
      <c r="G2243" t="s">
        <v>289</v>
      </c>
      <c r="H2243" t="s">
        <v>289</v>
      </c>
      <c r="I2243" t="s">
        <v>289</v>
      </c>
      <c r="J2243">
        <v>0</v>
      </c>
      <c r="K2243">
        <v>0</v>
      </c>
      <c r="L2243" s="6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6">
        <v>0</v>
      </c>
      <c r="S2243" s="6">
        <v>0</v>
      </c>
      <c r="T2243" t="str">
        <f t="shared" si="181"/>
        <v>Milling Services</v>
      </c>
    </row>
    <row r="2244" spans="1:20" x14ac:dyDescent="0.25">
      <c r="A2244" t="s">
        <v>2824</v>
      </c>
      <c r="B2244" t="s">
        <v>2866</v>
      </c>
      <c r="C2244" t="s">
        <v>2824</v>
      </c>
      <c r="D2244" t="s">
        <v>2826</v>
      </c>
      <c r="E2244" t="s">
        <v>2870</v>
      </c>
      <c r="F2244" t="s">
        <v>2866</v>
      </c>
      <c r="G2244" t="s">
        <v>289</v>
      </c>
      <c r="H2244" t="s">
        <v>289</v>
      </c>
      <c r="I2244" t="s">
        <v>289</v>
      </c>
      <c r="J2244">
        <v>0</v>
      </c>
      <c r="K2244">
        <v>0</v>
      </c>
      <c r="L2244" s="6">
        <v>0</v>
      </c>
      <c r="M2244" s="7">
        <v>0</v>
      </c>
      <c r="N2244" s="7">
        <v>0</v>
      </c>
      <c r="O2244" s="7">
        <v>0</v>
      </c>
      <c r="P2244" s="7">
        <v>0</v>
      </c>
      <c r="Q2244" s="7">
        <v>0</v>
      </c>
      <c r="R2244" s="6">
        <v>0</v>
      </c>
      <c r="S2244" s="6">
        <v>0</v>
      </c>
      <c r="T2244" t="str">
        <f t="shared" si="181"/>
        <v>Milling Services</v>
      </c>
    </row>
    <row r="2245" spans="1:20" x14ac:dyDescent="0.25">
      <c r="A2245" t="s">
        <v>2824</v>
      </c>
      <c r="B2245" t="s">
        <v>2871</v>
      </c>
      <c r="C2245" t="s">
        <v>2824</v>
      </c>
      <c r="D2245" t="s">
        <v>2826</v>
      </c>
      <c r="E2245" t="s">
        <v>2872</v>
      </c>
      <c r="F2245" t="s">
        <v>2871</v>
      </c>
      <c r="G2245" t="s">
        <v>289</v>
      </c>
      <c r="H2245" t="s">
        <v>289</v>
      </c>
      <c r="I2245" t="s">
        <v>289</v>
      </c>
      <c r="J2245">
        <v>0</v>
      </c>
      <c r="K2245">
        <v>0</v>
      </c>
      <c r="L2245" s="6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6">
        <v>0</v>
      </c>
      <c r="S2245" s="6">
        <v>0</v>
      </c>
      <c r="T2245" t="str">
        <f t="shared" si="181"/>
        <v>Painting Services</v>
      </c>
    </row>
    <row r="2246" spans="1:20" x14ac:dyDescent="0.25">
      <c r="A2246" t="s">
        <v>2824</v>
      </c>
      <c r="B2246" t="s">
        <v>2871</v>
      </c>
      <c r="C2246" t="s">
        <v>2824</v>
      </c>
      <c r="D2246" t="s">
        <v>2826</v>
      </c>
      <c r="E2246" t="s">
        <v>2873</v>
      </c>
      <c r="F2246" t="s">
        <v>2871</v>
      </c>
      <c r="G2246" t="s">
        <v>289</v>
      </c>
      <c r="H2246" t="s">
        <v>289</v>
      </c>
      <c r="I2246" t="s">
        <v>289</v>
      </c>
      <c r="J2246">
        <v>0</v>
      </c>
      <c r="K2246">
        <v>0</v>
      </c>
      <c r="L2246" s="6">
        <v>0</v>
      </c>
      <c r="M2246" s="7">
        <v>0</v>
      </c>
      <c r="N2246" s="7">
        <v>0</v>
      </c>
      <c r="O2246" s="7">
        <v>0</v>
      </c>
      <c r="P2246" s="7">
        <v>0</v>
      </c>
      <c r="Q2246" s="7">
        <v>0</v>
      </c>
      <c r="R2246" s="6">
        <v>0</v>
      </c>
      <c r="S2246" s="6">
        <v>0</v>
      </c>
      <c r="T2246" t="str">
        <f t="shared" si="181"/>
        <v>Painting Services</v>
      </c>
    </row>
    <row r="2247" spans="1:20" x14ac:dyDescent="0.25">
      <c r="A2247" t="s">
        <v>2824</v>
      </c>
      <c r="B2247" t="s">
        <v>2874</v>
      </c>
      <c r="C2247" t="s">
        <v>2824</v>
      </c>
      <c r="D2247" t="s">
        <v>2826</v>
      </c>
      <c r="E2247" t="s">
        <v>2875</v>
      </c>
      <c r="F2247" t="s">
        <v>2876</v>
      </c>
      <c r="G2247" t="s">
        <v>2876</v>
      </c>
      <c r="H2247" t="s">
        <v>289</v>
      </c>
      <c r="I2247" t="s">
        <v>289</v>
      </c>
      <c r="J2247">
        <v>0</v>
      </c>
      <c r="K2247">
        <v>0</v>
      </c>
      <c r="L2247" s="6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6">
        <v>0</v>
      </c>
      <c r="S2247" s="6">
        <v>0</v>
      </c>
      <c r="T2247" t="str">
        <f t="shared" si="181"/>
        <v>Refund Services Services</v>
      </c>
    </row>
    <row r="2248" spans="1:20" x14ac:dyDescent="0.25">
      <c r="A2248" t="s">
        <v>2824</v>
      </c>
      <c r="B2248" t="s">
        <v>2874</v>
      </c>
      <c r="C2248" t="s">
        <v>2824</v>
      </c>
      <c r="D2248" t="s">
        <v>2826</v>
      </c>
      <c r="E2248" t="s">
        <v>2877</v>
      </c>
      <c r="F2248" t="s">
        <v>2876</v>
      </c>
      <c r="G2248" t="s">
        <v>2876</v>
      </c>
      <c r="H2248" t="s">
        <v>289</v>
      </c>
      <c r="I2248" t="s">
        <v>289</v>
      </c>
      <c r="J2248">
        <v>0</v>
      </c>
      <c r="K2248">
        <v>0</v>
      </c>
      <c r="L2248" s="6">
        <v>0</v>
      </c>
      <c r="M2248" s="7">
        <v>0</v>
      </c>
      <c r="N2248" s="7">
        <v>0</v>
      </c>
      <c r="O2248" s="7">
        <v>0</v>
      </c>
      <c r="P2248" s="7">
        <v>0</v>
      </c>
      <c r="Q2248" s="7">
        <v>0</v>
      </c>
      <c r="R2248" s="6">
        <v>0</v>
      </c>
      <c r="S2248" s="6">
        <v>0</v>
      </c>
      <c r="T2248" t="str">
        <f t="shared" si="181"/>
        <v>Refund Services Services</v>
      </c>
    </row>
    <row r="2249" spans="1:20" x14ac:dyDescent="0.25">
      <c r="A2249" t="s">
        <v>2824</v>
      </c>
      <c r="B2249" t="s">
        <v>2874</v>
      </c>
      <c r="C2249" t="s">
        <v>2824</v>
      </c>
      <c r="D2249" t="s">
        <v>2826</v>
      </c>
      <c r="E2249" t="s">
        <v>2878</v>
      </c>
      <c r="F2249" t="s">
        <v>2876</v>
      </c>
      <c r="G2249" t="s">
        <v>2876</v>
      </c>
      <c r="H2249" t="s">
        <v>289</v>
      </c>
      <c r="I2249" t="s">
        <v>289</v>
      </c>
      <c r="J2249">
        <v>0</v>
      </c>
      <c r="K2249">
        <v>0</v>
      </c>
      <c r="L2249" s="6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6">
        <v>0</v>
      </c>
      <c r="S2249" s="6">
        <v>0</v>
      </c>
      <c r="T2249" t="str">
        <f t="shared" si="181"/>
        <v>Refund Services Services</v>
      </c>
    </row>
    <row r="2250" spans="1:20" x14ac:dyDescent="0.25">
      <c r="A2250" t="s">
        <v>2824</v>
      </c>
      <c r="B2250" t="s">
        <v>2874</v>
      </c>
      <c r="C2250" t="s">
        <v>2824</v>
      </c>
      <c r="D2250" t="s">
        <v>2826</v>
      </c>
      <c r="E2250" t="s">
        <v>2879</v>
      </c>
      <c r="F2250" t="s">
        <v>2876</v>
      </c>
      <c r="G2250" t="s">
        <v>2876</v>
      </c>
      <c r="H2250" t="s">
        <v>289</v>
      </c>
      <c r="I2250" t="s">
        <v>289</v>
      </c>
      <c r="J2250">
        <v>0</v>
      </c>
      <c r="K2250">
        <v>0</v>
      </c>
      <c r="L2250" s="6">
        <v>0</v>
      </c>
      <c r="M2250" s="7">
        <v>0</v>
      </c>
      <c r="N2250" s="7">
        <v>0</v>
      </c>
      <c r="O2250" s="7">
        <v>0</v>
      </c>
      <c r="P2250" s="7">
        <v>0</v>
      </c>
      <c r="Q2250" s="7">
        <v>0</v>
      </c>
      <c r="R2250" s="6">
        <v>0</v>
      </c>
      <c r="S2250" s="6">
        <v>0</v>
      </c>
      <c r="T2250" t="str">
        <f t="shared" si="181"/>
        <v>Refund Services Services</v>
      </c>
    </row>
    <row r="2251" spans="1:20" x14ac:dyDescent="0.25">
      <c r="A2251" t="s">
        <v>2880</v>
      </c>
      <c r="B2251" t="s">
        <v>2880</v>
      </c>
      <c r="C2251" t="s">
        <v>2880</v>
      </c>
      <c r="D2251" t="s">
        <v>2826</v>
      </c>
      <c r="E2251" t="s">
        <v>2881</v>
      </c>
      <c r="F2251" t="s">
        <v>2880</v>
      </c>
      <c r="G2251" t="s">
        <v>2880</v>
      </c>
      <c r="H2251" t="s">
        <v>289</v>
      </c>
      <c r="I2251" t="s">
        <v>289</v>
      </c>
      <c r="J2251">
        <v>0</v>
      </c>
      <c r="K2251">
        <v>0</v>
      </c>
      <c r="L2251" s="6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6">
        <v>0</v>
      </c>
      <c r="S2251" s="6">
        <v>0</v>
      </c>
      <c r="T2251" t="str">
        <f t="shared" si="181"/>
        <v>Samples Samples</v>
      </c>
    </row>
    <row r="2252" spans="1:20" x14ac:dyDescent="0.25">
      <c r="A2252" t="s">
        <v>2824</v>
      </c>
      <c r="B2252" t="s">
        <v>2882</v>
      </c>
      <c r="C2252" t="s">
        <v>2824</v>
      </c>
      <c r="D2252" t="s">
        <v>2826</v>
      </c>
      <c r="E2252" t="s">
        <v>2883</v>
      </c>
      <c r="F2252" t="s">
        <v>2882</v>
      </c>
      <c r="G2252" t="s">
        <v>289</v>
      </c>
      <c r="H2252" t="s">
        <v>289</v>
      </c>
      <c r="I2252" t="s">
        <v>289</v>
      </c>
      <c r="J2252">
        <v>0</v>
      </c>
      <c r="K2252">
        <v>0</v>
      </c>
      <c r="L2252" s="6">
        <v>0</v>
      </c>
      <c r="M2252" s="7">
        <v>0</v>
      </c>
      <c r="N2252" s="7">
        <v>0</v>
      </c>
      <c r="O2252" s="7">
        <v>0</v>
      </c>
      <c r="P2252" s="7">
        <v>0</v>
      </c>
      <c r="Q2252" s="7">
        <v>0</v>
      </c>
      <c r="R2252" s="6">
        <v>0</v>
      </c>
      <c r="S2252" s="6">
        <v>0</v>
      </c>
      <c r="T2252" t="str">
        <f t="shared" si="181"/>
        <v>Showroom Services</v>
      </c>
    </row>
    <row r="2253" spans="1:20" x14ac:dyDescent="0.25">
      <c r="A2253" t="s">
        <v>2884</v>
      </c>
      <c r="B2253" t="s">
        <v>2885</v>
      </c>
      <c r="C2253" t="s">
        <v>2886</v>
      </c>
      <c r="D2253" t="s">
        <v>2884</v>
      </c>
      <c r="E2253" t="s">
        <v>2887</v>
      </c>
      <c r="F2253" t="s">
        <v>2888</v>
      </c>
      <c r="G2253" t="s">
        <v>2889</v>
      </c>
      <c r="H2253" t="s">
        <v>2890</v>
      </c>
      <c r="I2253" t="s">
        <v>2891</v>
      </c>
      <c r="J2253" t="s">
        <v>2892</v>
      </c>
      <c r="K2253">
        <v>0</v>
      </c>
      <c r="L2253" s="6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6">
        <v>0</v>
      </c>
      <c r="S2253" s="6">
        <v>0</v>
      </c>
      <c r="T2253" t="str">
        <f t="shared" si="181"/>
        <v>Ash Natural Bel Air H2O Garden And Cladding Transparent Oil</v>
      </c>
    </row>
    <row r="2254" spans="1:20" x14ac:dyDescent="0.25">
      <c r="A2254" t="s">
        <v>2884</v>
      </c>
      <c r="B2254" t="s">
        <v>2893</v>
      </c>
      <c r="C2254" t="s">
        <v>2886</v>
      </c>
      <c r="D2254" t="s">
        <v>2884</v>
      </c>
      <c r="E2254" t="s">
        <v>2894</v>
      </c>
      <c r="F2254" t="s">
        <v>2888</v>
      </c>
      <c r="G2254" t="s">
        <v>2889</v>
      </c>
      <c r="H2254" t="s">
        <v>2890</v>
      </c>
      <c r="I2254" t="s">
        <v>2891</v>
      </c>
      <c r="J2254" t="s">
        <v>2895</v>
      </c>
      <c r="K2254">
        <v>0</v>
      </c>
      <c r="L2254" s="6">
        <v>0</v>
      </c>
      <c r="M2254" s="7">
        <v>0</v>
      </c>
      <c r="N2254" s="7">
        <v>0</v>
      </c>
      <c r="O2254" s="7">
        <v>0</v>
      </c>
      <c r="P2254" s="7">
        <v>0</v>
      </c>
      <c r="Q2254" s="7">
        <v>0</v>
      </c>
      <c r="R2254" s="6">
        <v>0</v>
      </c>
      <c r="S2254" s="6">
        <v>0</v>
      </c>
      <c r="T2254" t="str">
        <f t="shared" si="181"/>
        <v>Ash Natural Bel Air H2O Garden And Cladding Transparent Oil</v>
      </c>
    </row>
    <row r="2255" spans="1:20" x14ac:dyDescent="0.25">
      <c r="A2255" t="s">
        <v>2884</v>
      </c>
      <c r="B2255" t="s">
        <v>2896</v>
      </c>
      <c r="C2255" t="s">
        <v>2886</v>
      </c>
      <c r="D2255" t="s">
        <v>2884</v>
      </c>
      <c r="E2255" t="s">
        <v>2897</v>
      </c>
      <c r="F2255" t="s">
        <v>2888</v>
      </c>
      <c r="G2255" t="s">
        <v>2889</v>
      </c>
      <c r="H2255" t="s">
        <v>2890</v>
      </c>
      <c r="I2255" t="s">
        <v>2891</v>
      </c>
      <c r="J2255" t="s">
        <v>2898</v>
      </c>
      <c r="K2255">
        <v>0</v>
      </c>
      <c r="L2255" s="6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6">
        <v>0</v>
      </c>
      <c r="S2255" s="6">
        <v>0</v>
      </c>
      <c r="T2255" t="str">
        <f t="shared" si="181"/>
        <v>Ash Natural Bel Air H2O Garden And Cladding Transparent Oil</v>
      </c>
    </row>
    <row r="2256" spans="1:20" x14ac:dyDescent="0.25">
      <c r="A2256" t="s">
        <v>2884</v>
      </c>
      <c r="B2256" t="s">
        <v>2899</v>
      </c>
      <c r="C2256" t="s">
        <v>2886</v>
      </c>
      <c r="D2256" t="s">
        <v>2884</v>
      </c>
      <c r="E2256" t="s">
        <v>2900</v>
      </c>
      <c r="F2256" t="s">
        <v>2888</v>
      </c>
      <c r="G2256" t="s">
        <v>2889</v>
      </c>
      <c r="H2256" t="s">
        <v>2890</v>
      </c>
      <c r="I2256" t="s">
        <v>2891</v>
      </c>
      <c r="J2256" t="s">
        <v>2901</v>
      </c>
      <c r="K2256">
        <v>0</v>
      </c>
      <c r="L2256" s="6">
        <v>0</v>
      </c>
      <c r="M2256" s="7">
        <v>0</v>
      </c>
      <c r="N2256" s="7">
        <v>0</v>
      </c>
      <c r="O2256" s="7">
        <v>0</v>
      </c>
      <c r="P2256" s="7">
        <v>0</v>
      </c>
      <c r="Q2256" s="7">
        <v>0</v>
      </c>
      <c r="R2256" s="6">
        <v>0</v>
      </c>
      <c r="S2256" s="6">
        <v>0</v>
      </c>
      <c r="T2256" t="str">
        <f t="shared" si="181"/>
        <v>Ash Natural Bel Air H2O Garden And Cladding Transparent Oil</v>
      </c>
    </row>
    <row r="2257" spans="1:20" x14ac:dyDescent="0.25">
      <c r="A2257" t="s">
        <v>2884</v>
      </c>
      <c r="B2257" t="s">
        <v>2893</v>
      </c>
      <c r="C2257" t="s">
        <v>2886</v>
      </c>
      <c r="D2257" t="s">
        <v>2884</v>
      </c>
      <c r="E2257" t="s">
        <v>2902</v>
      </c>
      <c r="F2257" t="s">
        <v>2903</v>
      </c>
      <c r="G2257" t="s">
        <v>2904</v>
      </c>
      <c r="H2257" t="s">
        <v>2890</v>
      </c>
      <c r="I2257" t="s">
        <v>2891</v>
      </c>
      <c r="J2257" t="s">
        <v>2895</v>
      </c>
      <c r="K2257">
        <v>0</v>
      </c>
      <c r="L2257" s="6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6">
        <v>0</v>
      </c>
      <c r="S2257" s="6">
        <v>0</v>
      </c>
      <c r="T2257" t="str">
        <f t="shared" si="181"/>
        <v>Ayous Natural Bel Air H2O Garden And Cladding Transparent Oil</v>
      </c>
    </row>
    <row r="2258" spans="1:20" x14ac:dyDescent="0.25">
      <c r="A2258" t="s">
        <v>2884</v>
      </c>
      <c r="B2258" t="s">
        <v>2896</v>
      </c>
      <c r="C2258" t="s">
        <v>2886</v>
      </c>
      <c r="D2258" t="s">
        <v>2884</v>
      </c>
      <c r="E2258" t="s">
        <v>2905</v>
      </c>
      <c r="F2258" t="s">
        <v>2903</v>
      </c>
      <c r="G2258" t="s">
        <v>2904</v>
      </c>
      <c r="H2258" t="s">
        <v>2890</v>
      </c>
      <c r="I2258" t="s">
        <v>2891</v>
      </c>
      <c r="J2258" t="s">
        <v>2898</v>
      </c>
      <c r="K2258">
        <v>0</v>
      </c>
      <c r="L2258" s="6">
        <v>0</v>
      </c>
      <c r="M2258" s="7">
        <v>0</v>
      </c>
      <c r="N2258" s="7">
        <v>0</v>
      </c>
      <c r="O2258" s="7">
        <v>0</v>
      </c>
      <c r="P2258" s="7">
        <v>0</v>
      </c>
      <c r="Q2258" s="7">
        <v>0</v>
      </c>
      <c r="R2258" s="6">
        <v>0</v>
      </c>
      <c r="S2258" s="6">
        <v>0</v>
      </c>
      <c r="T2258" t="str">
        <f t="shared" si="181"/>
        <v>Ayous Natural Bel Air H2O Garden And Cladding Transparent Oil</v>
      </c>
    </row>
    <row r="2259" spans="1:20" x14ac:dyDescent="0.25">
      <c r="A2259" t="s">
        <v>2884</v>
      </c>
      <c r="B2259" t="s">
        <v>2885</v>
      </c>
      <c r="C2259" t="s">
        <v>2886</v>
      </c>
      <c r="D2259" t="s">
        <v>2884</v>
      </c>
      <c r="E2259" t="s">
        <v>2906</v>
      </c>
      <c r="F2259" t="s">
        <v>2903</v>
      </c>
      <c r="G2259" t="s">
        <v>2904</v>
      </c>
      <c r="H2259" t="s">
        <v>2890</v>
      </c>
      <c r="I2259" t="s">
        <v>2891</v>
      </c>
      <c r="J2259" t="s">
        <v>2892</v>
      </c>
      <c r="K2259">
        <v>0</v>
      </c>
      <c r="L2259" s="6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6">
        <v>0</v>
      </c>
      <c r="S2259" s="6">
        <v>0</v>
      </c>
      <c r="T2259" t="str">
        <f t="shared" si="181"/>
        <v>Ayous Natural Bel Air H2O Garden And Cladding Transparent Oil</v>
      </c>
    </row>
    <row r="2260" spans="1:20" x14ac:dyDescent="0.25">
      <c r="A2260" t="s">
        <v>2884</v>
      </c>
      <c r="B2260" t="s">
        <v>2899</v>
      </c>
      <c r="C2260" t="s">
        <v>2886</v>
      </c>
      <c r="D2260" t="s">
        <v>2884</v>
      </c>
      <c r="E2260" t="s">
        <v>2907</v>
      </c>
      <c r="F2260" t="s">
        <v>2903</v>
      </c>
      <c r="G2260" t="s">
        <v>2904</v>
      </c>
      <c r="H2260" t="s">
        <v>2890</v>
      </c>
      <c r="I2260" t="s">
        <v>2891</v>
      </c>
      <c r="J2260" t="s">
        <v>2901</v>
      </c>
      <c r="K2260">
        <v>0</v>
      </c>
      <c r="L2260" s="6">
        <v>0</v>
      </c>
      <c r="M2260" s="7">
        <v>0</v>
      </c>
      <c r="N2260" s="7">
        <v>0</v>
      </c>
      <c r="O2260" s="7">
        <v>0</v>
      </c>
      <c r="P2260" s="7">
        <v>0</v>
      </c>
      <c r="Q2260" s="7">
        <v>0</v>
      </c>
      <c r="R2260" s="6">
        <v>0</v>
      </c>
      <c r="S2260" s="6">
        <v>0</v>
      </c>
      <c r="T2260" t="str">
        <f t="shared" si="181"/>
        <v>Ayous Natural Bel Air H2O Garden And Cladding Transparent Oil</v>
      </c>
    </row>
    <row r="2261" spans="1:20" x14ac:dyDescent="0.25">
      <c r="A2261" t="s">
        <v>2884</v>
      </c>
      <c r="B2261" t="s">
        <v>2885</v>
      </c>
      <c r="C2261" t="s">
        <v>2886</v>
      </c>
      <c r="D2261" t="s">
        <v>2884</v>
      </c>
      <c r="E2261" t="s">
        <v>2908</v>
      </c>
      <c r="F2261" t="s">
        <v>2909</v>
      </c>
      <c r="G2261" t="s">
        <v>2910</v>
      </c>
      <c r="H2261" t="s">
        <v>2890</v>
      </c>
      <c r="I2261" t="s">
        <v>2891</v>
      </c>
      <c r="J2261" t="s">
        <v>2892</v>
      </c>
      <c r="K2261">
        <v>0</v>
      </c>
      <c r="L2261" s="6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6">
        <v>0</v>
      </c>
      <c r="S2261" s="6">
        <v>0</v>
      </c>
      <c r="T2261" t="str">
        <f t="shared" si="181"/>
        <v>Bangkirai Bel Air H2O Garden And Cladding Transparent Oil</v>
      </c>
    </row>
    <row r="2262" spans="1:20" x14ac:dyDescent="0.25">
      <c r="A2262" t="s">
        <v>2884</v>
      </c>
      <c r="B2262" t="s">
        <v>2899</v>
      </c>
      <c r="C2262" t="s">
        <v>2886</v>
      </c>
      <c r="D2262" t="s">
        <v>2884</v>
      </c>
      <c r="E2262" t="s">
        <v>2911</v>
      </c>
      <c r="F2262" t="s">
        <v>2909</v>
      </c>
      <c r="G2262" t="s">
        <v>2910</v>
      </c>
      <c r="H2262" t="s">
        <v>2890</v>
      </c>
      <c r="I2262" t="s">
        <v>2891</v>
      </c>
      <c r="J2262" t="s">
        <v>2901</v>
      </c>
      <c r="K2262">
        <v>0</v>
      </c>
      <c r="L2262" s="6">
        <v>0</v>
      </c>
      <c r="M2262" s="7">
        <v>0</v>
      </c>
      <c r="N2262" s="7">
        <v>0</v>
      </c>
      <c r="O2262" s="7">
        <v>0</v>
      </c>
      <c r="P2262" s="7">
        <v>0</v>
      </c>
      <c r="Q2262" s="7">
        <v>0</v>
      </c>
      <c r="R2262" s="6">
        <v>0</v>
      </c>
      <c r="S2262" s="6">
        <v>0</v>
      </c>
      <c r="T2262" t="str">
        <f t="shared" si="181"/>
        <v>Bangkirai Bel Air H2O Garden And Cladding Transparent Oil</v>
      </c>
    </row>
    <row r="2263" spans="1:20" x14ac:dyDescent="0.25">
      <c r="A2263" t="s">
        <v>2884</v>
      </c>
      <c r="B2263" t="s">
        <v>2896</v>
      </c>
      <c r="C2263" t="s">
        <v>2886</v>
      </c>
      <c r="D2263" t="s">
        <v>2884</v>
      </c>
      <c r="E2263" t="s">
        <v>2912</v>
      </c>
      <c r="F2263" t="s">
        <v>2909</v>
      </c>
      <c r="G2263" t="s">
        <v>2910</v>
      </c>
      <c r="H2263" t="s">
        <v>2890</v>
      </c>
      <c r="I2263" t="s">
        <v>2891</v>
      </c>
      <c r="J2263" t="s">
        <v>2898</v>
      </c>
      <c r="K2263">
        <v>0</v>
      </c>
      <c r="L2263" s="6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6">
        <v>0</v>
      </c>
      <c r="S2263" s="6">
        <v>0</v>
      </c>
      <c r="T2263" t="str">
        <f t="shared" si="181"/>
        <v>Bangkirai Bel Air H2O Garden And Cladding Transparent Oil</v>
      </c>
    </row>
    <row r="2264" spans="1:20" x14ac:dyDescent="0.25">
      <c r="A2264" t="s">
        <v>2884</v>
      </c>
      <c r="B2264" t="s">
        <v>2893</v>
      </c>
      <c r="C2264" t="s">
        <v>2886</v>
      </c>
      <c r="D2264" t="s">
        <v>2884</v>
      </c>
      <c r="E2264" t="s">
        <v>2913</v>
      </c>
      <c r="F2264" t="s">
        <v>2909</v>
      </c>
      <c r="G2264" t="s">
        <v>2910</v>
      </c>
      <c r="H2264" t="s">
        <v>2890</v>
      </c>
      <c r="I2264" t="s">
        <v>2891</v>
      </c>
      <c r="J2264" t="s">
        <v>2895</v>
      </c>
      <c r="K2264">
        <v>0</v>
      </c>
      <c r="L2264" s="6">
        <v>0</v>
      </c>
      <c r="M2264" s="7">
        <v>0</v>
      </c>
      <c r="N2264" s="7">
        <v>0</v>
      </c>
      <c r="O2264" s="7">
        <v>0</v>
      </c>
      <c r="P2264" s="7">
        <v>0</v>
      </c>
      <c r="Q2264" s="7">
        <v>0</v>
      </c>
      <c r="R2264" s="6">
        <v>0</v>
      </c>
      <c r="S2264" s="6">
        <v>0</v>
      </c>
      <c r="T2264" t="str">
        <f t="shared" si="181"/>
        <v>Bangkirai Bel Air H2O Garden And Cladding Transparent Oil</v>
      </c>
    </row>
    <row r="2265" spans="1:20" x14ac:dyDescent="0.25">
      <c r="A2265" t="s">
        <v>2884</v>
      </c>
      <c r="B2265" t="s">
        <v>2893</v>
      </c>
      <c r="C2265" t="s">
        <v>2886</v>
      </c>
      <c r="D2265" t="s">
        <v>2884</v>
      </c>
      <c r="E2265" t="s">
        <v>2914</v>
      </c>
      <c r="F2265" t="s">
        <v>2915</v>
      </c>
      <c r="G2265" t="s">
        <v>2910</v>
      </c>
      <c r="H2265" t="s">
        <v>2916</v>
      </c>
      <c r="I2265" t="s">
        <v>289</v>
      </c>
      <c r="J2265" t="s">
        <v>2895</v>
      </c>
      <c r="K2265">
        <v>0</v>
      </c>
      <c r="L2265" s="6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6">
        <v>0</v>
      </c>
      <c r="S2265" s="6">
        <v>0</v>
      </c>
      <c r="T2265" t="str">
        <f t="shared" si="181"/>
        <v>Bangkirai Special Wood Oil Oil</v>
      </c>
    </row>
    <row r="2266" spans="1:20" x14ac:dyDescent="0.25">
      <c r="A2266" t="s">
        <v>2884</v>
      </c>
      <c r="B2266" t="s">
        <v>2896</v>
      </c>
      <c r="C2266" t="s">
        <v>2886</v>
      </c>
      <c r="D2266" t="s">
        <v>2884</v>
      </c>
      <c r="E2266" t="s">
        <v>2917</v>
      </c>
      <c r="F2266" t="s">
        <v>2915</v>
      </c>
      <c r="G2266" t="s">
        <v>2910</v>
      </c>
      <c r="H2266" t="s">
        <v>2916</v>
      </c>
      <c r="I2266" t="s">
        <v>289</v>
      </c>
      <c r="J2266" t="s">
        <v>2898</v>
      </c>
      <c r="K2266">
        <v>0</v>
      </c>
      <c r="L2266" s="6">
        <v>0</v>
      </c>
      <c r="M2266" s="7">
        <v>0</v>
      </c>
      <c r="N2266" s="7">
        <v>0</v>
      </c>
      <c r="O2266" s="7">
        <v>0</v>
      </c>
      <c r="P2266" s="7">
        <v>0</v>
      </c>
      <c r="Q2266" s="7">
        <v>0</v>
      </c>
      <c r="R2266" s="6">
        <v>0</v>
      </c>
      <c r="S2266" s="6">
        <v>0</v>
      </c>
      <c r="T2266" t="str">
        <f t="shared" si="181"/>
        <v>Bangkirai Special Wood Oil Oil</v>
      </c>
    </row>
    <row r="2267" spans="1:20" x14ac:dyDescent="0.25">
      <c r="A2267" t="s">
        <v>2884</v>
      </c>
      <c r="B2267" t="s">
        <v>2885</v>
      </c>
      <c r="C2267" t="s">
        <v>2886</v>
      </c>
      <c r="D2267" t="s">
        <v>2884</v>
      </c>
      <c r="E2267" t="s">
        <v>2918</v>
      </c>
      <c r="F2267" t="s">
        <v>2915</v>
      </c>
      <c r="G2267" t="s">
        <v>2910</v>
      </c>
      <c r="H2267" t="s">
        <v>2916</v>
      </c>
      <c r="I2267" t="s">
        <v>289</v>
      </c>
      <c r="J2267" t="s">
        <v>2892</v>
      </c>
      <c r="K2267">
        <v>0</v>
      </c>
      <c r="L2267" s="6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6">
        <v>0</v>
      </c>
      <c r="S2267" s="6">
        <v>0</v>
      </c>
      <c r="T2267" t="str">
        <f t="shared" si="181"/>
        <v>Bangkirai Special Wood Oil Oil</v>
      </c>
    </row>
    <row r="2268" spans="1:20" x14ac:dyDescent="0.25">
      <c r="A2268" t="s">
        <v>2884</v>
      </c>
      <c r="B2268" t="s">
        <v>2899</v>
      </c>
      <c r="C2268" t="s">
        <v>2886</v>
      </c>
      <c r="D2268" t="s">
        <v>2884</v>
      </c>
      <c r="E2268" t="s">
        <v>2919</v>
      </c>
      <c r="F2268" t="s">
        <v>2915</v>
      </c>
      <c r="G2268" t="s">
        <v>2910</v>
      </c>
      <c r="H2268" t="s">
        <v>2916</v>
      </c>
      <c r="I2268" t="s">
        <v>289</v>
      </c>
      <c r="J2268" t="s">
        <v>2901</v>
      </c>
      <c r="K2268">
        <v>0</v>
      </c>
      <c r="L2268" s="6">
        <v>0</v>
      </c>
      <c r="M2268" s="7">
        <v>0</v>
      </c>
      <c r="N2268" s="7">
        <v>0</v>
      </c>
      <c r="O2268" s="7">
        <v>0</v>
      </c>
      <c r="P2268" s="7">
        <v>0</v>
      </c>
      <c r="Q2268" s="7">
        <v>0</v>
      </c>
      <c r="R2268" s="6">
        <v>0</v>
      </c>
      <c r="S2268" s="6">
        <v>0</v>
      </c>
      <c r="T2268" t="str">
        <f t="shared" si="181"/>
        <v>Bangkirai Special Wood Oil Oil</v>
      </c>
    </row>
    <row r="2269" spans="1:20" x14ac:dyDescent="0.25">
      <c r="A2269" t="s">
        <v>2884</v>
      </c>
      <c r="B2269" t="s">
        <v>2885</v>
      </c>
      <c r="C2269" t="s">
        <v>2886</v>
      </c>
      <c r="D2269" t="s">
        <v>2884</v>
      </c>
      <c r="E2269" t="s">
        <v>2920</v>
      </c>
      <c r="F2269" t="s">
        <v>2921</v>
      </c>
      <c r="G2269" t="s">
        <v>2922</v>
      </c>
      <c r="H2269" t="s">
        <v>2890</v>
      </c>
      <c r="I2269" t="s">
        <v>2891</v>
      </c>
      <c r="J2269" t="s">
        <v>2892</v>
      </c>
      <c r="K2269">
        <v>0</v>
      </c>
      <c r="L2269" s="6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6">
        <v>0</v>
      </c>
      <c r="S2269" s="6">
        <v>0</v>
      </c>
      <c r="T2269" t="str">
        <f t="shared" si="181"/>
        <v>Conditioner Bel Air H2O Garden And Cladding Transparent Oil</v>
      </c>
    </row>
    <row r="2270" spans="1:20" x14ac:dyDescent="0.25">
      <c r="A2270" t="s">
        <v>2884</v>
      </c>
      <c r="B2270" t="s">
        <v>2899</v>
      </c>
      <c r="C2270" t="s">
        <v>2886</v>
      </c>
      <c r="D2270" t="s">
        <v>2884</v>
      </c>
      <c r="E2270" t="s">
        <v>2923</v>
      </c>
      <c r="F2270" t="s">
        <v>2921</v>
      </c>
      <c r="G2270" t="s">
        <v>2922</v>
      </c>
      <c r="H2270" t="s">
        <v>2890</v>
      </c>
      <c r="I2270" t="s">
        <v>2891</v>
      </c>
      <c r="J2270" t="s">
        <v>2901</v>
      </c>
      <c r="K2270">
        <v>0</v>
      </c>
      <c r="L2270" s="6">
        <v>0</v>
      </c>
      <c r="M2270" s="7">
        <v>0</v>
      </c>
      <c r="N2270" s="7">
        <v>0</v>
      </c>
      <c r="O2270" s="7">
        <v>0</v>
      </c>
      <c r="P2270" s="7">
        <v>0</v>
      </c>
      <c r="Q2270" s="7">
        <v>0</v>
      </c>
      <c r="R2270" s="6">
        <v>0</v>
      </c>
      <c r="S2270" s="6">
        <v>0</v>
      </c>
      <c r="T2270" t="str">
        <f t="shared" si="181"/>
        <v>Conditioner Bel Air H2O Garden And Cladding Transparent Oil</v>
      </c>
    </row>
    <row r="2271" spans="1:20" x14ac:dyDescent="0.25">
      <c r="A2271" t="s">
        <v>2884</v>
      </c>
      <c r="B2271" t="s">
        <v>2893</v>
      </c>
      <c r="C2271" t="s">
        <v>2886</v>
      </c>
      <c r="D2271" t="s">
        <v>2884</v>
      </c>
      <c r="E2271" t="s">
        <v>2924</v>
      </c>
      <c r="F2271" t="s">
        <v>2921</v>
      </c>
      <c r="G2271" t="s">
        <v>2922</v>
      </c>
      <c r="H2271" t="s">
        <v>2890</v>
      </c>
      <c r="I2271" t="s">
        <v>2891</v>
      </c>
      <c r="J2271" t="s">
        <v>2895</v>
      </c>
      <c r="K2271">
        <v>0</v>
      </c>
      <c r="L2271" s="6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6">
        <v>0</v>
      </c>
      <c r="S2271" s="6">
        <v>0</v>
      </c>
      <c r="T2271" t="str">
        <f t="shared" si="181"/>
        <v>Conditioner Bel Air H2O Garden And Cladding Transparent Oil</v>
      </c>
    </row>
    <row r="2272" spans="1:20" x14ac:dyDescent="0.25">
      <c r="A2272" t="s">
        <v>2884</v>
      </c>
      <c r="B2272" t="s">
        <v>2896</v>
      </c>
      <c r="C2272" t="s">
        <v>2886</v>
      </c>
      <c r="D2272" t="s">
        <v>2884</v>
      </c>
      <c r="E2272" t="s">
        <v>2925</v>
      </c>
      <c r="F2272" t="s">
        <v>2921</v>
      </c>
      <c r="G2272" t="s">
        <v>2922</v>
      </c>
      <c r="H2272" t="s">
        <v>2890</v>
      </c>
      <c r="I2272" t="s">
        <v>2891</v>
      </c>
      <c r="J2272" t="s">
        <v>2898</v>
      </c>
      <c r="K2272">
        <v>0</v>
      </c>
      <c r="L2272" s="6">
        <v>0</v>
      </c>
      <c r="M2272" s="7">
        <v>0</v>
      </c>
      <c r="N2272" s="7">
        <v>0</v>
      </c>
      <c r="O2272" s="7">
        <v>0</v>
      </c>
      <c r="P2272" s="7">
        <v>0</v>
      </c>
      <c r="Q2272" s="7">
        <v>0</v>
      </c>
      <c r="R2272" s="6">
        <v>0</v>
      </c>
      <c r="S2272" s="6">
        <v>0</v>
      </c>
      <c r="T2272" t="str">
        <f t="shared" si="181"/>
        <v>Conditioner Bel Air H2O Garden And Cladding Transparent Oil</v>
      </c>
    </row>
    <row r="2273" spans="1:20" x14ac:dyDescent="0.25">
      <c r="A2273" t="s">
        <v>2884</v>
      </c>
      <c r="B2273" t="s">
        <v>2893</v>
      </c>
      <c r="C2273" t="s">
        <v>2886</v>
      </c>
      <c r="D2273" t="s">
        <v>2884</v>
      </c>
      <c r="E2273" t="s">
        <v>2926</v>
      </c>
      <c r="F2273" t="s">
        <v>2927</v>
      </c>
      <c r="G2273" t="s">
        <v>2922</v>
      </c>
      <c r="H2273" t="s">
        <v>2916</v>
      </c>
      <c r="I2273" t="s">
        <v>289</v>
      </c>
      <c r="J2273" t="s">
        <v>2895</v>
      </c>
      <c r="K2273">
        <v>0</v>
      </c>
      <c r="L2273" s="6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6">
        <v>0</v>
      </c>
      <c r="S2273" s="6">
        <v>0</v>
      </c>
      <c r="T2273" t="str">
        <f t="shared" si="181"/>
        <v>Conditioner Special Wood Oil Oil</v>
      </c>
    </row>
    <row r="2274" spans="1:20" x14ac:dyDescent="0.25">
      <c r="A2274" t="s">
        <v>2884</v>
      </c>
      <c r="B2274" t="s">
        <v>2896</v>
      </c>
      <c r="C2274" t="s">
        <v>2886</v>
      </c>
      <c r="D2274" t="s">
        <v>2884</v>
      </c>
      <c r="E2274" t="s">
        <v>2928</v>
      </c>
      <c r="F2274" t="s">
        <v>2927</v>
      </c>
      <c r="G2274" t="s">
        <v>2922</v>
      </c>
      <c r="H2274" t="s">
        <v>2916</v>
      </c>
      <c r="I2274" t="s">
        <v>289</v>
      </c>
      <c r="J2274" t="s">
        <v>2898</v>
      </c>
      <c r="K2274">
        <v>0</v>
      </c>
      <c r="L2274" s="6">
        <v>0</v>
      </c>
      <c r="M2274" s="7">
        <v>0</v>
      </c>
      <c r="N2274" s="7">
        <v>0</v>
      </c>
      <c r="O2274" s="7">
        <v>0</v>
      </c>
      <c r="P2274" s="7">
        <v>0</v>
      </c>
      <c r="Q2274" s="7">
        <v>0</v>
      </c>
      <c r="R2274" s="6">
        <v>0</v>
      </c>
      <c r="S2274" s="6">
        <v>0</v>
      </c>
      <c r="T2274" t="str">
        <f t="shared" si="181"/>
        <v>Conditioner Special Wood Oil Oil</v>
      </c>
    </row>
    <row r="2275" spans="1:20" x14ac:dyDescent="0.25">
      <c r="A2275" t="s">
        <v>2884</v>
      </c>
      <c r="B2275" t="s">
        <v>2885</v>
      </c>
      <c r="C2275" t="s">
        <v>2886</v>
      </c>
      <c r="D2275" t="s">
        <v>2884</v>
      </c>
      <c r="E2275" t="s">
        <v>2929</v>
      </c>
      <c r="F2275" t="s">
        <v>2927</v>
      </c>
      <c r="G2275" t="s">
        <v>2922</v>
      </c>
      <c r="H2275" t="s">
        <v>2916</v>
      </c>
      <c r="I2275" t="s">
        <v>289</v>
      </c>
      <c r="J2275" t="s">
        <v>2892</v>
      </c>
      <c r="K2275">
        <v>0</v>
      </c>
      <c r="L2275" s="6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6">
        <v>0</v>
      </c>
      <c r="S2275" s="6">
        <v>0</v>
      </c>
      <c r="T2275" t="str">
        <f t="shared" si="181"/>
        <v>Conditioner Special Wood Oil Oil</v>
      </c>
    </row>
    <row r="2276" spans="1:20" x14ac:dyDescent="0.25">
      <c r="A2276" t="s">
        <v>2884</v>
      </c>
      <c r="B2276" t="s">
        <v>2899</v>
      </c>
      <c r="C2276" t="s">
        <v>2886</v>
      </c>
      <c r="D2276" t="s">
        <v>2884</v>
      </c>
      <c r="E2276" t="s">
        <v>2930</v>
      </c>
      <c r="F2276" t="s">
        <v>2927</v>
      </c>
      <c r="G2276" t="s">
        <v>2922</v>
      </c>
      <c r="H2276" t="s">
        <v>2916</v>
      </c>
      <c r="I2276" t="s">
        <v>289</v>
      </c>
      <c r="J2276" t="s">
        <v>2901</v>
      </c>
      <c r="K2276">
        <v>0</v>
      </c>
      <c r="L2276" s="6">
        <v>0</v>
      </c>
      <c r="M2276" s="7">
        <v>0</v>
      </c>
      <c r="N2276" s="7">
        <v>0</v>
      </c>
      <c r="O2276" s="7">
        <v>0</v>
      </c>
      <c r="P2276" s="7">
        <v>0</v>
      </c>
      <c r="Q2276" s="7">
        <v>0</v>
      </c>
      <c r="R2276" s="6">
        <v>0</v>
      </c>
      <c r="S2276" s="6">
        <v>0</v>
      </c>
      <c r="T2276" t="str">
        <f t="shared" si="181"/>
        <v>Conditioner Special Wood Oil Oil</v>
      </c>
    </row>
    <row r="2277" spans="1:20" x14ac:dyDescent="0.25">
      <c r="A2277" t="s">
        <v>2884</v>
      </c>
      <c r="B2277" t="s">
        <v>2893</v>
      </c>
      <c r="C2277" t="s">
        <v>2886</v>
      </c>
      <c r="D2277" t="s">
        <v>2884</v>
      </c>
      <c r="E2277" t="s">
        <v>2931</v>
      </c>
      <c r="F2277" t="s">
        <v>2927</v>
      </c>
      <c r="G2277" t="s">
        <v>2922</v>
      </c>
      <c r="H2277" t="s">
        <v>2916</v>
      </c>
      <c r="I2277" t="s">
        <v>289</v>
      </c>
      <c r="J2277" t="s">
        <v>2895</v>
      </c>
      <c r="K2277">
        <v>0</v>
      </c>
      <c r="L2277" s="6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6">
        <v>0</v>
      </c>
      <c r="S2277" s="6">
        <v>0</v>
      </c>
      <c r="T2277" t="str">
        <f t="shared" si="181"/>
        <v>Conditioner Special Wood Oil Oil</v>
      </c>
    </row>
    <row r="2278" spans="1:20" x14ac:dyDescent="0.25">
      <c r="A2278" t="s">
        <v>2884</v>
      </c>
      <c r="B2278" t="s">
        <v>2896</v>
      </c>
      <c r="C2278" t="s">
        <v>2886</v>
      </c>
      <c r="D2278" t="s">
        <v>2884</v>
      </c>
      <c r="E2278" t="s">
        <v>2932</v>
      </c>
      <c r="F2278" t="s">
        <v>2927</v>
      </c>
      <c r="G2278" t="s">
        <v>2922</v>
      </c>
      <c r="H2278" t="s">
        <v>2916</v>
      </c>
      <c r="I2278" t="s">
        <v>289</v>
      </c>
      <c r="J2278" t="s">
        <v>2898</v>
      </c>
      <c r="K2278">
        <v>0</v>
      </c>
      <c r="L2278" s="6">
        <v>0</v>
      </c>
      <c r="M2278" s="7">
        <v>0</v>
      </c>
      <c r="N2278" s="7">
        <v>0</v>
      </c>
      <c r="O2278" s="7">
        <v>0</v>
      </c>
      <c r="P2278" s="7">
        <v>0</v>
      </c>
      <c r="Q2278" s="7">
        <v>0</v>
      </c>
      <c r="R2278" s="6">
        <v>0</v>
      </c>
      <c r="S2278" s="6">
        <v>0</v>
      </c>
      <c r="T2278" t="str">
        <f t="shared" si="181"/>
        <v>Conditioner Special Wood Oil Oil</v>
      </c>
    </row>
    <row r="2279" spans="1:20" x14ac:dyDescent="0.25">
      <c r="A2279" t="s">
        <v>2884</v>
      </c>
      <c r="B2279" t="s">
        <v>2885</v>
      </c>
      <c r="C2279" t="s">
        <v>2886</v>
      </c>
      <c r="D2279" t="s">
        <v>2884</v>
      </c>
      <c r="E2279" t="s">
        <v>2933</v>
      </c>
      <c r="F2279" t="s">
        <v>2934</v>
      </c>
      <c r="G2279" t="s">
        <v>2935</v>
      </c>
      <c r="H2279" t="s">
        <v>2890</v>
      </c>
      <c r="I2279" t="s">
        <v>2936</v>
      </c>
      <c r="J2279" t="s">
        <v>2892</v>
      </c>
      <c r="K2279">
        <v>0</v>
      </c>
      <c r="L2279" s="6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6">
        <v>0</v>
      </c>
      <c r="S2279" s="6">
        <v>0</v>
      </c>
      <c r="T2279" t="str">
        <f t="shared" si="181"/>
        <v>Deep Black Bel Air H2O Garden And Cladding Opaque Oil</v>
      </c>
    </row>
    <row r="2280" spans="1:20" x14ac:dyDescent="0.25">
      <c r="A2280" t="s">
        <v>2884</v>
      </c>
      <c r="B2280" t="s">
        <v>2899</v>
      </c>
      <c r="C2280" t="s">
        <v>2886</v>
      </c>
      <c r="D2280" t="s">
        <v>2884</v>
      </c>
      <c r="E2280" t="s">
        <v>2937</v>
      </c>
      <c r="F2280" t="s">
        <v>2934</v>
      </c>
      <c r="G2280" t="s">
        <v>2935</v>
      </c>
      <c r="H2280" t="s">
        <v>2890</v>
      </c>
      <c r="I2280" t="s">
        <v>2936</v>
      </c>
      <c r="J2280" t="s">
        <v>2901</v>
      </c>
      <c r="K2280">
        <v>0</v>
      </c>
      <c r="L2280" s="6">
        <v>0</v>
      </c>
      <c r="M2280" s="7">
        <v>0</v>
      </c>
      <c r="N2280" s="7">
        <v>0</v>
      </c>
      <c r="O2280" s="7">
        <v>0</v>
      </c>
      <c r="P2280" s="7">
        <v>0</v>
      </c>
      <c r="Q2280" s="7">
        <v>0</v>
      </c>
      <c r="R2280" s="6">
        <v>0</v>
      </c>
      <c r="S2280" s="6">
        <v>0</v>
      </c>
      <c r="T2280" t="str">
        <f t="shared" si="181"/>
        <v>Deep Black Bel Air H2O Garden And Cladding Opaque Oil</v>
      </c>
    </row>
    <row r="2281" spans="1:20" x14ac:dyDescent="0.25">
      <c r="A2281" t="s">
        <v>2884</v>
      </c>
      <c r="B2281" t="s">
        <v>2896</v>
      </c>
      <c r="C2281" t="s">
        <v>2886</v>
      </c>
      <c r="D2281" t="s">
        <v>2884</v>
      </c>
      <c r="E2281" t="s">
        <v>2938</v>
      </c>
      <c r="F2281" t="s">
        <v>2934</v>
      </c>
      <c r="G2281" t="s">
        <v>2935</v>
      </c>
      <c r="H2281" t="s">
        <v>2890</v>
      </c>
      <c r="I2281" t="s">
        <v>2936</v>
      </c>
      <c r="J2281" t="s">
        <v>2898</v>
      </c>
      <c r="K2281">
        <v>0</v>
      </c>
      <c r="L2281" s="6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6">
        <v>0</v>
      </c>
      <c r="S2281" s="6">
        <v>0</v>
      </c>
      <c r="T2281" t="str">
        <f t="shared" si="181"/>
        <v>Deep Black Bel Air H2O Garden And Cladding Opaque Oil</v>
      </c>
    </row>
    <row r="2282" spans="1:20" x14ac:dyDescent="0.25">
      <c r="A2282" t="s">
        <v>2884</v>
      </c>
      <c r="B2282" t="s">
        <v>2893</v>
      </c>
      <c r="C2282" t="s">
        <v>2886</v>
      </c>
      <c r="D2282" t="s">
        <v>2884</v>
      </c>
      <c r="E2282" t="s">
        <v>2939</v>
      </c>
      <c r="F2282" t="s">
        <v>2934</v>
      </c>
      <c r="G2282" t="s">
        <v>2935</v>
      </c>
      <c r="H2282" t="s">
        <v>2890</v>
      </c>
      <c r="I2282" t="s">
        <v>2936</v>
      </c>
      <c r="J2282" t="s">
        <v>2895</v>
      </c>
      <c r="K2282">
        <v>0</v>
      </c>
      <c r="L2282" s="6">
        <v>0</v>
      </c>
      <c r="M2282" s="7">
        <v>0</v>
      </c>
      <c r="N2282" s="7">
        <v>0</v>
      </c>
      <c r="O2282" s="7">
        <v>0</v>
      </c>
      <c r="P2282" s="7">
        <v>0</v>
      </c>
      <c r="Q2282" s="7">
        <v>0</v>
      </c>
      <c r="R2282" s="6">
        <v>0</v>
      </c>
      <c r="S2282" s="6">
        <v>0</v>
      </c>
      <c r="T2282" t="str">
        <f t="shared" si="181"/>
        <v>Deep Black Bel Air H2O Garden And Cladding Opaque Oil</v>
      </c>
    </row>
    <row r="2283" spans="1:20" x14ac:dyDescent="0.25">
      <c r="A2283" t="s">
        <v>2884</v>
      </c>
      <c r="B2283" t="s">
        <v>2885</v>
      </c>
      <c r="C2283" t="s">
        <v>2886</v>
      </c>
      <c r="D2283" t="s">
        <v>2884</v>
      </c>
      <c r="E2283" t="s">
        <v>2940</v>
      </c>
      <c r="F2283" t="s">
        <v>2941</v>
      </c>
      <c r="G2283" t="s">
        <v>2580</v>
      </c>
      <c r="H2283" t="s">
        <v>2890</v>
      </c>
      <c r="I2283" t="s">
        <v>2891</v>
      </c>
      <c r="J2283" t="s">
        <v>2892</v>
      </c>
      <c r="K2283">
        <v>0</v>
      </c>
      <c r="L2283" s="6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6">
        <v>0</v>
      </c>
      <c r="S2283" s="6">
        <v>0</v>
      </c>
      <c r="T2283" t="str">
        <f t="shared" si="181"/>
        <v>Ebony Bel Air H2O Garden And Cladding Transparent Oil</v>
      </c>
    </row>
    <row r="2284" spans="1:20" x14ac:dyDescent="0.25">
      <c r="A2284" t="s">
        <v>2884</v>
      </c>
      <c r="B2284" t="s">
        <v>2899</v>
      </c>
      <c r="C2284" t="s">
        <v>2886</v>
      </c>
      <c r="D2284" t="s">
        <v>2884</v>
      </c>
      <c r="E2284" t="s">
        <v>2942</v>
      </c>
      <c r="F2284" t="s">
        <v>2941</v>
      </c>
      <c r="G2284" t="s">
        <v>2580</v>
      </c>
      <c r="H2284" t="s">
        <v>2890</v>
      </c>
      <c r="I2284" t="s">
        <v>2891</v>
      </c>
      <c r="J2284" t="s">
        <v>2901</v>
      </c>
      <c r="K2284">
        <v>0</v>
      </c>
      <c r="L2284" s="6">
        <v>0</v>
      </c>
      <c r="M2284" s="7">
        <v>0</v>
      </c>
      <c r="N2284" s="7">
        <v>0</v>
      </c>
      <c r="O2284" s="7">
        <v>0</v>
      </c>
      <c r="P2284" s="7">
        <v>0</v>
      </c>
      <c r="Q2284" s="7">
        <v>0</v>
      </c>
      <c r="R2284" s="6">
        <v>0</v>
      </c>
      <c r="S2284" s="6">
        <v>0</v>
      </c>
      <c r="T2284" t="str">
        <f t="shared" si="181"/>
        <v>Ebony Bel Air H2O Garden And Cladding Transparent Oil</v>
      </c>
    </row>
    <row r="2285" spans="1:20" x14ac:dyDescent="0.25">
      <c r="A2285" t="s">
        <v>2884</v>
      </c>
      <c r="B2285" t="s">
        <v>2893</v>
      </c>
      <c r="C2285" t="s">
        <v>2886</v>
      </c>
      <c r="D2285" t="s">
        <v>2884</v>
      </c>
      <c r="E2285" t="s">
        <v>2943</v>
      </c>
      <c r="F2285" t="s">
        <v>2941</v>
      </c>
      <c r="G2285" t="s">
        <v>2580</v>
      </c>
      <c r="H2285" t="s">
        <v>2890</v>
      </c>
      <c r="I2285" t="s">
        <v>2891</v>
      </c>
      <c r="J2285" t="s">
        <v>2895</v>
      </c>
      <c r="K2285">
        <v>0</v>
      </c>
      <c r="L2285" s="6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6">
        <v>0</v>
      </c>
      <c r="S2285" s="6">
        <v>0</v>
      </c>
      <c r="T2285" t="str">
        <f t="shared" si="181"/>
        <v>Ebony Bel Air H2O Garden And Cladding Transparent Oil</v>
      </c>
    </row>
    <row r="2286" spans="1:20" x14ac:dyDescent="0.25">
      <c r="A2286" t="s">
        <v>2884</v>
      </c>
      <c r="B2286" t="s">
        <v>2896</v>
      </c>
      <c r="C2286" t="s">
        <v>2886</v>
      </c>
      <c r="D2286" t="s">
        <v>2884</v>
      </c>
      <c r="E2286" t="s">
        <v>2944</v>
      </c>
      <c r="F2286" t="s">
        <v>2941</v>
      </c>
      <c r="G2286" t="s">
        <v>2580</v>
      </c>
      <c r="H2286" t="s">
        <v>2890</v>
      </c>
      <c r="I2286" t="s">
        <v>2891</v>
      </c>
      <c r="J2286" t="s">
        <v>2898</v>
      </c>
      <c r="K2286">
        <v>0</v>
      </c>
      <c r="L2286" s="6">
        <v>0</v>
      </c>
      <c r="M2286" s="7">
        <v>0</v>
      </c>
      <c r="N2286" s="7">
        <v>0</v>
      </c>
      <c r="O2286" s="7">
        <v>0</v>
      </c>
      <c r="P2286" s="7">
        <v>0</v>
      </c>
      <c r="Q2286" s="7">
        <v>0</v>
      </c>
      <c r="R2286" s="6">
        <v>0</v>
      </c>
      <c r="S2286" s="6">
        <v>0</v>
      </c>
      <c r="T2286" t="str">
        <f t="shared" si="181"/>
        <v>Ebony Bel Air H2O Garden And Cladding Transparent Oil</v>
      </c>
    </row>
    <row r="2287" spans="1:20" x14ac:dyDescent="0.25">
      <c r="A2287" t="s">
        <v>2884</v>
      </c>
      <c r="B2287" t="s">
        <v>2945</v>
      </c>
      <c r="C2287" t="s">
        <v>2946</v>
      </c>
      <c r="D2287" t="s">
        <v>2884</v>
      </c>
      <c r="E2287" t="s">
        <v>2947</v>
      </c>
      <c r="F2287" t="s">
        <v>2948</v>
      </c>
      <c r="G2287" t="s">
        <v>2949</v>
      </c>
      <c r="H2287" t="s">
        <v>2950</v>
      </c>
      <c r="I2287" t="s">
        <v>2951</v>
      </c>
      <c r="J2287" t="s">
        <v>2952</v>
      </c>
      <c r="K2287">
        <v>0</v>
      </c>
      <c r="L2287" s="6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6">
        <v>0</v>
      </c>
      <c r="S2287" s="6">
        <v>0</v>
      </c>
      <c r="T2287" t="str">
        <f t="shared" si="181"/>
        <v>Ecoline MultiTop Matt Colourless Water based Sealant Sealant</v>
      </c>
    </row>
    <row r="2288" spans="1:20" x14ac:dyDescent="0.25">
      <c r="A2288" t="s">
        <v>2884</v>
      </c>
      <c r="B2288" t="s">
        <v>2953</v>
      </c>
      <c r="C2288" t="s">
        <v>2946</v>
      </c>
      <c r="D2288" t="s">
        <v>2884</v>
      </c>
      <c r="E2288" t="s">
        <v>2954</v>
      </c>
      <c r="F2288" t="s">
        <v>2955</v>
      </c>
      <c r="G2288" t="s">
        <v>2949</v>
      </c>
      <c r="H2288" t="s">
        <v>2956</v>
      </c>
      <c r="I2288" t="s">
        <v>2951</v>
      </c>
      <c r="J2288" t="s">
        <v>2957</v>
      </c>
      <c r="K2288">
        <v>0</v>
      </c>
      <c r="L2288" s="6">
        <v>0</v>
      </c>
      <c r="M2288" s="7">
        <v>0</v>
      </c>
      <c r="N2288" s="7">
        <v>0</v>
      </c>
      <c r="O2288" s="7">
        <v>0</v>
      </c>
      <c r="P2288" s="7">
        <v>0</v>
      </c>
      <c r="Q2288" s="7">
        <v>0</v>
      </c>
      <c r="R2288" s="6">
        <v>0</v>
      </c>
      <c r="S2288" s="6">
        <v>0</v>
      </c>
      <c r="T2288" t="str">
        <f t="shared" si="181"/>
        <v>Ecoline MultiTop Pitch Black Water based Sealant Sealant</v>
      </c>
    </row>
    <row r="2289" spans="1:20" x14ac:dyDescent="0.25">
      <c r="A2289" t="s">
        <v>2884</v>
      </c>
      <c r="B2289" t="s">
        <v>2885</v>
      </c>
      <c r="C2289" t="s">
        <v>2886</v>
      </c>
      <c r="D2289" t="s">
        <v>2884</v>
      </c>
      <c r="E2289" t="s">
        <v>2958</v>
      </c>
      <c r="F2289" t="s">
        <v>2959</v>
      </c>
      <c r="G2289" t="s">
        <v>2737</v>
      </c>
      <c r="H2289" t="s">
        <v>2890</v>
      </c>
      <c r="I2289" t="s">
        <v>2891</v>
      </c>
      <c r="J2289" t="s">
        <v>2892</v>
      </c>
      <c r="K2289">
        <v>0</v>
      </c>
      <c r="L2289" s="6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6">
        <v>0</v>
      </c>
      <c r="S2289" s="6">
        <v>0</v>
      </c>
      <c r="T2289" t="str">
        <f t="shared" si="181"/>
        <v>Oak Bel Air H2O Garden And Cladding Transparent Oil</v>
      </c>
    </row>
    <row r="2290" spans="1:20" x14ac:dyDescent="0.25">
      <c r="A2290" t="s">
        <v>2884</v>
      </c>
      <c r="B2290" t="s">
        <v>2899</v>
      </c>
      <c r="C2290" t="s">
        <v>2886</v>
      </c>
      <c r="D2290" t="s">
        <v>2884</v>
      </c>
      <c r="E2290" t="s">
        <v>2960</v>
      </c>
      <c r="F2290" t="s">
        <v>2959</v>
      </c>
      <c r="G2290" t="s">
        <v>2737</v>
      </c>
      <c r="H2290" t="s">
        <v>2890</v>
      </c>
      <c r="I2290" t="s">
        <v>2891</v>
      </c>
      <c r="J2290" t="s">
        <v>2901</v>
      </c>
      <c r="K2290">
        <v>0</v>
      </c>
      <c r="L2290" s="6">
        <v>0</v>
      </c>
      <c r="M2290" s="7">
        <v>0</v>
      </c>
      <c r="N2290" s="7">
        <v>0</v>
      </c>
      <c r="O2290" s="7">
        <v>0</v>
      </c>
      <c r="P2290" s="7">
        <v>0</v>
      </c>
      <c r="Q2290" s="7">
        <v>0</v>
      </c>
      <c r="R2290" s="6">
        <v>0</v>
      </c>
      <c r="S2290" s="6">
        <v>0</v>
      </c>
      <c r="T2290" t="str">
        <f t="shared" si="181"/>
        <v>Oak Bel Air H2O Garden And Cladding Transparent Oil</v>
      </c>
    </row>
    <row r="2291" spans="1:20" x14ac:dyDescent="0.25">
      <c r="A2291" t="s">
        <v>2884</v>
      </c>
      <c r="B2291" t="s">
        <v>2893</v>
      </c>
      <c r="C2291" t="s">
        <v>2886</v>
      </c>
      <c r="D2291" t="s">
        <v>2884</v>
      </c>
      <c r="E2291" t="s">
        <v>2961</v>
      </c>
      <c r="F2291" t="s">
        <v>2959</v>
      </c>
      <c r="G2291" t="s">
        <v>2737</v>
      </c>
      <c r="H2291" t="s">
        <v>2890</v>
      </c>
      <c r="I2291" t="s">
        <v>2891</v>
      </c>
      <c r="J2291" t="s">
        <v>2895</v>
      </c>
      <c r="K2291">
        <v>0</v>
      </c>
      <c r="L2291" s="6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6">
        <v>0</v>
      </c>
      <c r="S2291" s="6">
        <v>0</v>
      </c>
      <c r="T2291" t="str">
        <f t="shared" si="181"/>
        <v>Oak Bel Air H2O Garden And Cladding Transparent Oil</v>
      </c>
    </row>
    <row r="2292" spans="1:20" x14ac:dyDescent="0.25">
      <c r="A2292" t="s">
        <v>2884</v>
      </c>
      <c r="B2292" t="s">
        <v>2896</v>
      </c>
      <c r="C2292" t="s">
        <v>2886</v>
      </c>
      <c r="D2292" t="s">
        <v>2884</v>
      </c>
      <c r="E2292" t="s">
        <v>2962</v>
      </c>
      <c r="F2292" t="s">
        <v>2959</v>
      </c>
      <c r="G2292" t="s">
        <v>2737</v>
      </c>
      <c r="H2292" t="s">
        <v>2890</v>
      </c>
      <c r="I2292" t="s">
        <v>2891</v>
      </c>
      <c r="J2292" t="s">
        <v>2898</v>
      </c>
      <c r="K2292">
        <v>0</v>
      </c>
      <c r="L2292" s="6">
        <v>0</v>
      </c>
      <c r="M2292" s="7">
        <v>0</v>
      </c>
      <c r="N2292" s="7">
        <v>0</v>
      </c>
      <c r="O2292" s="7">
        <v>0</v>
      </c>
      <c r="P2292" s="7">
        <v>0</v>
      </c>
      <c r="Q2292" s="7">
        <v>0</v>
      </c>
      <c r="R2292" s="6">
        <v>0</v>
      </c>
      <c r="S2292" s="6">
        <v>0</v>
      </c>
      <c r="T2292" t="str">
        <f t="shared" si="181"/>
        <v>Oak Bel Air H2O Garden And Cladding Transparent Oil</v>
      </c>
    </row>
    <row r="2293" spans="1:20" x14ac:dyDescent="0.25">
      <c r="A2293" t="s">
        <v>2884</v>
      </c>
      <c r="B2293" t="s">
        <v>2896</v>
      </c>
      <c r="C2293" t="s">
        <v>2886</v>
      </c>
      <c r="D2293" t="s">
        <v>2884</v>
      </c>
      <c r="E2293" t="s">
        <v>2963</v>
      </c>
      <c r="F2293" t="s">
        <v>2964</v>
      </c>
      <c r="G2293" t="s">
        <v>2965</v>
      </c>
      <c r="H2293" t="s">
        <v>2890</v>
      </c>
      <c r="I2293" t="s">
        <v>2891</v>
      </c>
      <c r="J2293" t="s">
        <v>2898</v>
      </c>
      <c r="K2293">
        <v>0</v>
      </c>
      <c r="L2293" s="6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6">
        <v>0</v>
      </c>
      <c r="S2293" s="6">
        <v>0</v>
      </c>
      <c r="T2293" t="str">
        <f t="shared" si="181"/>
        <v>Pearl Grey Bel Air H2O Garden And Cladding Transparent Oil</v>
      </c>
    </row>
    <row r="2294" spans="1:20" x14ac:dyDescent="0.25">
      <c r="A2294" t="s">
        <v>2884</v>
      </c>
      <c r="B2294" t="s">
        <v>2893</v>
      </c>
      <c r="C2294" t="s">
        <v>2886</v>
      </c>
      <c r="D2294" t="s">
        <v>2884</v>
      </c>
      <c r="E2294" t="s">
        <v>2966</v>
      </c>
      <c r="F2294" t="s">
        <v>2964</v>
      </c>
      <c r="G2294" t="s">
        <v>2965</v>
      </c>
      <c r="H2294" t="s">
        <v>2890</v>
      </c>
      <c r="I2294" t="s">
        <v>2891</v>
      </c>
      <c r="J2294" t="s">
        <v>2895</v>
      </c>
      <c r="K2294">
        <v>0</v>
      </c>
      <c r="L2294" s="6">
        <v>0</v>
      </c>
      <c r="M2294" s="7">
        <v>0</v>
      </c>
      <c r="N2294" s="7">
        <v>0</v>
      </c>
      <c r="O2294" s="7">
        <v>0</v>
      </c>
      <c r="P2294" s="7">
        <v>0</v>
      </c>
      <c r="Q2294" s="7">
        <v>0</v>
      </c>
      <c r="R2294" s="6">
        <v>0</v>
      </c>
      <c r="S2294" s="6">
        <v>0</v>
      </c>
      <c r="T2294" t="str">
        <f t="shared" si="181"/>
        <v>Pearl Grey Bel Air H2O Garden And Cladding Transparent Oil</v>
      </c>
    </row>
    <row r="2295" spans="1:20" x14ac:dyDescent="0.25">
      <c r="A2295" t="s">
        <v>2884</v>
      </c>
      <c r="B2295" t="s">
        <v>2885</v>
      </c>
      <c r="C2295" t="s">
        <v>2886</v>
      </c>
      <c r="D2295" t="s">
        <v>2884</v>
      </c>
      <c r="E2295" t="s">
        <v>2967</v>
      </c>
      <c r="F2295" t="s">
        <v>2964</v>
      </c>
      <c r="G2295" t="s">
        <v>2965</v>
      </c>
      <c r="H2295" t="s">
        <v>2890</v>
      </c>
      <c r="I2295" t="s">
        <v>2891</v>
      </c>
      <c r="J2295" t="s">
        <v>2892</v>
      </c>
      <c r="K2295">
        <v>0</v>
      </c>
      <c r="L2295" s="6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6">
        <v>0</v>
      </c>
      <c r="S2295" s="6">
        <v>0</v>
      </c>
      <c r="T2295" t="str">
        <f t="shared" si="181"/>
        <v>Pearl Grey Bel Air H2O Garden And Cladding Transparent Oil</v>
      </c>
    </row>
    <row r="2296" spans="1:20" x14ac:dyDescent="0.25">
      <c r="A2296" t="s">
        <v>2884</v>
      </c>
      <c r="B2296" t="s">
        <v>2899</v>
      </c>
      <c r="C2296" t="s">
        <v>2886</v>
      </c>
      <c r="D2296" t="s">
        <v>2884</v>
      </c>
      <c r="E2296" t="s">
        <v>2968</v>
      </c>
      <c r="F2296" t="s">
        <v>2964</v>
      </c>
      <c r="G2296" t="s">
        <v>2965</v>
      </c>
      <c r="H2296" t="s">
        <v>2890</v>
      </c>
      <c r="I2296" t="s">
        <v>2891</v>
      </c>
      <c r="J2296" t="s">
        <v>2901</v>
      </c>
      <c r="K2296">
        <v>0</v>
      </c>
      <c r="L2296" s="6">
        <v>0</v>
      </c>
      <c r="M2296" s="7">
        <v>0</v>
      </c>
      <c r="N2296" s="7">
        <v>0</v>
      </c>
      <c r="O2296" s="7">
        <v>0</v>
      </c>
      <c r="P2296" s="7">
        <v>0</v>
      </c>
      <c r="Q2296" s="7">
        <v>0</v>
      </c>
      <c r="R2296" s="6">
        <v>0</v>
      </c>
      <c r="S2296" s="6">
        <v>0</v>
      </c>
      <c r="T2296" t="str">
        <f t="shared" si="181"/>
        <v>Pearl Grey Bel Air H2O Garden And Cladding Transparent Oil</v>
      </c>
    </row>
    <row r="2297" spans="1:20" x14ac:dyDescent="0.25">
      <c r="A2297" t="s">
        <v>2884</v>
      </c>
      <c r="B2297" t="s">
        <v>2893</v>
      </c>
      <c r="C2297" t="s">
        <v>2886</v>
      </c>
      <c r="D2297" t="s">
        <v>2884</v>
      </c>
      <c r="E2297" t="s">
        <v>2969</v>
      </c>
      <c r="F2297" t="s">
        <v>2970</v>
      </c>
      <c r="G2297" t="s">
        <v>2971</v>
      </c>
      <c r="H2297" t="s">
        <v>2890</v>
      </c>
      <c r="I2297" t="s">
        <v>2891</v>
      </c>
      <c r="J2297" t="s">
        <v>2895</v>
      </c>
      <c r="K2297">
        <v>0</v>
      </c>
      <c r="L2297" s="6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6">
        <v>0</v>
      </c>
      <c r="S2297" s="6">
        <v>0</v>
      </c>
      <c r="T2297" t="str">
        <f t="shared" si="181"/>
        <v>Pearl White Bel Air H2O Garden And Cladding Transparent Oil</v>
      </c>
    </row>
    <row r="2298" spans="1:20" x14ac:dyDescent="0.25">
      <c r="A2298" t="s">
        <v>2884</v>
      </c>
      <c r="B2298" t="s">
        <v>2896</v>
      </c>
      <c r="C2298" t="s">
        <v>2886</v>
      </c>
      <c r="D2298" t="s">
        <v>2884</v>
      </c>
      <c r="E2298" t="s">
        <v>2972</v>
      </c>
      <c r="F2298" t="s">
        <v>2970</v>
      </c>
      <c r="G2298" t="s">
        <v>2971</v>
      </c>
      <c r="H2298" t="s">
        <v>2890</v>
      </c>
      <c r="I2298" t="s">
        <v>2891</v>
      </c>
      <c r="J2298" t="s">
        <v>2898</v>
      </c>
      <c r="K2298">
        <v>0</v>
      </c>
      <c r="L2298" s="6">
        <v>0</v>
      </c>
      <c r="M2298" s="7">
        <v>0</v>
      </c>
      <c r="N2298" s="7">
        <v>0</v>
      </c>
      <c r="O2298" s="7">
        <v>0</v>
      </c>
      <c r="P2298" s="7">
        <v>0</v>
      </c>
      <c r="Q2298" s="7">
        <v>0</v>
      </c>
      <c r="R2298" s="6">
        <v>0</v>
      </c>
      <c r="S2298" s="6">
        <v>0</v>
      </c>
      <c r="T2298" t="str">
        <f t="shared" si="181"/>
        <v>Pearl White Bel Air H2O Garden And Cladding Transparent Oil</v>
      </c>
    </row>
    <row r="2299" spans="1:20" x14ac:dyDescent="0.25">
      <c r="A2299" t="s">
        <v>2884</v>
      </c>
      <c r="B2299" t="s">
        <v>2885</v>
      </c>
      <c r="C2299" t="s">
        <v>2886</v>
      </c>
      <c r="D2299" t="s">
        <v>2884</v>
      </c>
      <c r="E2299" t="s">
        <v>2973</v>
      </c>
      <c r="F2299" t="s">
        <v>2970</v>
      </c>
      <c r="G2299" t="s">
        <v>2971</v>
      </c>
      <c r="H2299" t="s">
        <v>2890</v>
      </c>
      <c r="I2299" t="s">
        <v>2891</v>
      </c>
      <c r="J2299" t="s">
        <v>2892</v>
      </c>
      <c r="K2299">
        <v>0</v>
      </c>
      <c r="L2299" s="6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6">
        <v>0</v>
      </c>
      <c r="S2299" s="6">
        <v>0</v>
      </c>
      <c r="T2299" t="str">
        <f t="shared" si="181"/>
        <v>Pearl White Bel Air H2O Garden And Cladding Transparent Oil</v>
      </c>
    </row>
    <row r="2300" spans="1:20" x14ac:dyDescent="0.25">
      <c r="A2300" t="s">
        <v>2884</v>
      </c>
      <c r="B2300" t="s">
        <v>2899</v>
      </c>
      <c r="C2300" t="s">
        <v>2886</v>
      </c>
      <c r="D2300" t="s">
        <v>2884</v>
      </c>
      <c r="E2300" t="s">
        <v>2974</v>
      </c>
      <c r="F2300" t="s">
        <v>2970</v>
      </c>
      <c r="G2300" t="s">
        <v>2971</v>
      </c>
      <c r="H2300" t="s">
        <v>2890</v>
      </c>
      <c r="I2300" t="s">
        <v>2891</v>
      </c>
      <c r="J2300" t="s">
        <v>2901</v>
      </c>
      <c r="K2300">
        <v>0</v>
      </c>
      <c r="L2300" s="6">
        <v>0</v>
      </c>
      <c r="M2300" s="7">
        <v>0</v>
      </c>
      <c r="N2300" s="7">
        <v>0</v>
      </c>
      <c r="O2300" s="7">
        <v>0</v>
      </c>
      <c r="P2300" s="7">
        <v>0</v>
      </c>
      <c r="Q2300" s="7">
        <v>0</v>
      </c>
      <c r="R2300" s="6">
        <v>0</v>
      </c>
      <c r="S2300" s="6">
        <v>0</v>
      </c>
      <c r="T2300" t="str">
        <f t="shared" si="181"/>
        <v>Pearl White Bel Air H2O Garden And Cladding Transparent Oil</v>
      </c>
    </row>
    <row r="2301" spans="1:20" x14ac:dyDescent="0.25">
      <c r="A2301" t="s">
        <v>2884</v>
      </c>
      <c r="B2301" t="s">
        <v>2885</v>
      </c>
      <c r="C2301" t="s">
        <v>2886</v>
      </c>
      <c r="D2301" t="s">
        <v>2884</v>
      </c>
      <c r="E2301" t="s">
        <v>2975</v>
      </c>
      <c r="F2301" t="s">
        <v>2976</v>
      </c>
      <c r="G2301" t="s">
        <v>2977</v>
      </c>
      <c r="H2301" t="s">
        <v>2890</v>
      </c>
      <c r="I2301" t="s">
        <v>2891</v>
      </c>
      <c r="J2301" t="s">
        <v>2892</v>
      </c>
      <c r="K2301">
        <v>0</v>
      </c>
      <c r="L2301" s="6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6">
        <v>0</v>
      </c>
      <c r="S2301" s="6">
        <v>0</v>
      </c>
      <c r="T2301" t="str">
        <f t="shared" si="181"/>
        <v>Radiata Natural Bel Air H2O Garden And Cladding Transparent Oil</v>
      </c>
    </row>
    <row r="2302" spans="1:20" x14ac:dyDescent="0.25">
      <c r="A2302" t="s">
        <v>2884</v>
      </c>
      <c r="B2302" t="s">
        <v>2893</v>
      </c>
      <c r="C2302" t="s">
        <v>2886</v>
      </c>
      <c r="D2302" t="s">
        <v>2884</v>
      </c>
      <c r="E2302" t="s">
        <v>2978</v>
      </c>
      <c r="F2302" t="s">
        <v>2976</v>
      </c>
      <c r="G2302" t="s">
        <v>2977</v>
      </c>
      <c r="H2302" t="s">
        <v>2890</v>
      </c>
      <c r="I2302" t="s">
        <v>2891</v>
      </c>
      <c r="J2302" t="s">
        <v>2895</v>
      </c>
      <c r="K2302">
        <v>0</v>
      </c>
      <c r="L2302" s="6">
        <v>0</v>
      </c>
      <c r="M2302" s="7">
        <v>0</v>
      </c>
      <c r="N2302" s="7">
        <v>0</v>
      </c>
      <c r="O2302" s="7">
        <v>0</v>
      </c>
      <c r="P2302" s="7">
        <v>0</v>
      </c>
      <c r="Q2302" s="7">
        <v>0</v>
      </c>
      <c r="R2302" s="6">
        <v>0</v>
      </c>
      <c r="S2302" s="6">
        <v>0</v>
      </c>
      <c r="T2302" t="str">
        <f t="shared" si="181"/>
        <v>Radiata Natural Bel Air H2O Garden And Cladding Transparent Oil</v>
      </c>
    </row>
    <row r="2303" spans="1:20" x14ac:dyDescent="0.25">
      <c r="A2303" t="s">
        <v>2884</v>
      </c>
      <c r="B2303" t="s">
        <v>2896</v>
      </c>
      <c r="C2303" t="s">
        <v>2886</v>
      </c>
      <c r="D2303" t="s">
        <v>2884</v>
      </c>
      <c r="E2303" t="s">
        <v>2979</v>
      </c>
      <c r="F2303" t="s">
        <v>2976</v>
      </c>
      <c r="G2303" t="s">
        <v>2977</v>
      </c>
      <c r="H2303" t="s">
        <v>2890</v>
      </c>
      <c r="I2303" t="s">
        <v>2891</v>
      </c>
      <c r="J2303" t="s">
        <v>2898</v>
      </c>
      <c r="K2303">
        <v>0</v>
      </c>
      <c r="L2303" s="6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6">
        <v>0</v>
      </c>
      <c r="S2303" s="6">
        <v>0</v>
      </c>
      <c r="T2303" t="str">
        <f t="shared" si="181"/>
        <v>Radiata Natural Bel Air H2O Garden And Cladding Transparent Oil</v>
      </c>
    </row>
    <row r="2304" spans="1:20" x14ac:dyDescent="0.25">
      <c r="A2304" t="s">
        <v>2884</v>
      </c>
      <c r="B2304" t="s">
        <v>2899</v>
      </c>
      <c r="C2304" t="s">
        <v>2886</v>
      </c>
      <c r="D2304" t="s">
        <v>2884</v>
      </c>
      <c r="E2304" t="s">
        <v>2980</v>
      </c>
      <c r="F2304" t="s">
        <v>2976</v>
      </c>
      <c r="G2304" t="s">
        <v>2977</v>
      </c>
      <c r="H2304" t="s">
        <v>2890</v>
      </c>
      <c r="I2304" t="s">
        <v>2891</v>
      </c>
      <c r="J2304" t="s">
        <v>2901</v>
      </c>
      <c r="K2304">
        <v>0</v>
      </c>
      <c r="L2304" s="6">
        <v>0</v>
      </c>
      <c r="M2304" s="7">
        <v>0</v>
      </c>
      <c r="N2304" s="7">
        <v>0</v>
      </c>
      <c r="O2304" s="7">
        <v>0</v>
      </c>
      <c r="P2304" s="7">
        <v>0</v>
      </c>
      <c r="Q2304" s="7">
        <v>0</v>
      </c>
      <c r="R2304" s="6">
        <v>0</v>
      </c>
      <c r="S2304" s="6">
        <v>0</v>
      </c>
      <c r="T2304" t="str">
        <f t="shared" si="181"/>
        <v>Radiata Natural Bel Air H2O Garden And Cladding Transparent Oil</v>
      </c>
    </row>
    <row r="2305" spans="1:20" x14ac:dyDescent="0.25">
      <c r="A2305" t="s">
        <v>2884</v>
      </c>
      <c r="B2305" t="s">
        <v>2981</v>
      </c>
      <c r="C2305" t="s">
        <v>2982</v>
      </c>
      <c r="D2305" t="s">
        <v>2884</v>
      </c>
      <c r="E2305" t="s">
        <v>2983</v>
      </c>
      <c r="F2305" t="s">
        <v>2984</v>
      </c>
      <c r="G2305" t="s">
        <v>2982</v>
      </c>
      <c r="H2305" t="s">
        <v>2985</v>
      </c>
      <c r="I2305" t="s">
        <v>289</v>
      </c>
      <c r="J2305" t="s">
        <v>2986</v>
      </c>
      <c r="K2305">
        <v>0</v>
      </c>
      <c r="L2305" s="6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6">
        <v>0</v>
      </c>
      <c r="S2305" s="6">
        <v>0</v>
      </c>
      <c r="T2305" t="str">
        <f t="shared" si="181"/>
        <v>Saicos 100 mm Flat Brush For Water &amp; Oil Flat Brush</v>
      </c>
    </row>
    <row r="2306" spans="1:20" x14ac:dyDescent="0.25">
      <c r="A2306" t="s">
        <v>2884</v>
      </c>
      <c r="B2306" t="s">
        <v>2987</v>
      </c>
      <c r="C2306" t="s">
        <v>2982</v>
      </c>
      <c r="D2306" t="s">
        <v>2884</v>
      </c>
      <c r="E2306" t="s">
        <v>2988</v>
      </c>
      <c r="F2306" t="s">
        <v>2989</v>
      </c>
      <c r="G2306" t="s">
        <v>2982</v>
      </c>
      <c r="H2306" t="s">
        <v>2985</v>
      </c>
      <c r="I2306" t="s">
        <v>289</v>
      </c>
      <c r="J2306" t="s">
        <v>2990</v>
      </c>
      <c r="K2306">
        <v>0</v>
      </c>
      <c r="L2306" s="6">
        <v>0</v>
      </c>
      <c r="M2306" s="7">
        <v>0</v>
      </c>
      <c r="N2306" s="7">
        <v>0</v>
      </c>
      <c r="O2306" s="7">
        <v>0</v>
      </c>
      <c r="P2306" s="7">
        <v>0</v>
      </c>
      <c r="Q2306" s="7">
        <v>0</v>
      </c>
      <c r="R2306" s="6">
        <v>0</v>
      </c>
      <c r="S2306" s="6">
        <v>0</v>
      </c>
      <c r="T2306" t="str">
        <f t="shared" ref="T2306:T2369" si="182">F2306&amp;" "&amp;C2306</f>
        <v>Saicos 150 mm Flat Brush For Water &amp; Oil Flat Brush</v>
      </c>
    </row>
    <row r="2307" spans="1:20" x14ac:dyDescent="0.25">
      <c r="A2307" t="s">
        <v>2884</v>
      </c>
      <c r="B2307" t="s">
        <v>2991</v>
      </c>
      <c r="C2307" t="s">
        <v>2982</v>
      </c>
      <c r="D2307" t="s">
        <v>2884</v>
      </c>
      <c r="E2307" t="s">
        <v>2992</v>
      </c>
      <c r="F2307" t="s">
        <v>2993</v>
      </c>
      <c r="G2307" t="s">
        <v>2982</v>
      </c>
      <c r="H2307" t="s">
        <v>2985</v>
      </c>
      <c r="I2307" t="s">
        <v>289</v>
      </c>
      <c r="J2307" t="s">
        <v>2994</v>
      </c>
      <c r="K2307">
        <v>0</v>
      </c>
      <c r="L2307" s="6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6">
        <v>0</v>
      </c>
      <c r="S2307" s="6">
        <v>0</v>
      </c>
      <c r="T2307" t="str">
        <f t="shared" si="182"/>
        <v>Saicos 210 mm Flat Brush For Water &amp; Oil Flat Brush</v>
      </c>
    </row>
    <row r="2308" spans="1:20" x14ac:dyDescent="0.25">
      <c r="A2308" t="s">
        <v>2884</v>
      </c>
      <c r="B2308" t="s">
        <v>2995</v>
      </c>
      <c r="C2308" t="s">
        <v>2982</v>
      </c>
      <c r="D2308" t="s">
        <v>2884</v>
      </c>
      <c r="E2308" t="s">
        <v>2996</v>
      </c>
      <c r="F2308" t="s">
        <v>2997</v>
      </c>
      <c r="G2308" t="s">
        <v>2982</v>
      </c>
      <c r="H2308" t="s">
        <v>2985</v>
      </c>
      <c r="I2308" t="s">
        <v>289</v>
      </c>
      <c r="J2308" t="s">
        <v>2998</v>
      </c>
      <c r="K2308">
        <v>0</v>
      </c>
      <c r="L2308" s="6">
        <v>0</v>
      </c>
      <c r="M2308" s="7">
        <v>0</v>
      </c>
      <c r="N2308" s="7">
        <v>0</v>
      </c>
      <c r="O2308" s="7">
        <v>0</v>
      </c>
      <c r="P2308" s="7">
        <v>0</v>
      </c>
      <c r="Q2308" s="7">
        <v>0</v>
      </c>
      <c r="R2308" s="6">
        <v>0</v>
      </c>
      <c r="S2308" s="6">
        <v>0</v>
      </c>
      <c r="T2308" t="str">
        <f t="shared" si="182"/>
        <v>Saicos 30 mm Flat Brush For Water &amp; Oil Flat Brush</v>
      </c>
    </row>
    <row r="2309" spans="1:20" x14ac:dyDescent="0.25">
      <c r="A2309" t="s">
        <v>2884</v>
      </c>
      <c r="B2309" t="s">
        <v>2999</v>
      </c>
      <c r="C2309" t="s">
        <v>2982</v>
      </c>
      <c r="D2309" t="s">
        <v>2884</v>
      </c>
      <c r="E2309" t="s">
        <v>3000</v>
      </c>
      <c r="F2309" t="s">
        <v>3001</v>
      </c>
      <c r="G2309" t="s">
        <v>2982</v>
      </c>
      <c r="H2309" t="s">
        <v>2985</v>
      </c>
      <c r="I2309" t="s">
        <v>289</v>
      </c>
      <c r="J2309" t="s">
        <v>3002</v>
      </c>
      <c r="K2309">
        <v>0</v>
      </c>
      <c r="L2309" s="6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6">
        <v>0</v>
      </c>
      <c r="S2309" s="6">
        <v>0</v>
      </c>
      <c r="T2309" t="str">
        <f t="shared" si="182"/>
        <v>Saicos 50 mm Flat Brush For Water &amp; Oil Flat Brush</v>
      </c>
    </row>
    <row r="2310" spans="1:20" x14ac:dyDescent="0.25">
      <c r="A2310" t="s">
        <v>2884</v>
      </c>
      <c r="B2310" t="s">
        <v>3003</v>
      </c>
      <c r="C2310" t="s">
        <v>2982</v>
      </c>
      <c r="D2310" t="s">
        <v>2884</v>
      </c>
      <c r="E2310" t="s">
        <v>3004</v>
      </c>
      <c r="F2310" t="s">
        <v>3005</v>
      </c>
      <c r="G2310" t="s">
        <v>2982</v>
      </c>
      <c r="H2310" t="s">
        <v>2985</v>
      </c>
      <c r="I2310" t="s">
        <v>289</v>
      </c>
      <c r="J2310" t="s">
        <v>3006</v>
      </c>
      <c r="K2310">
        <v>0</v>
      </c>
      <c r="L2310" s="6">
        <v>0</v>
      </c>
      <c r="M2310" s="7">
        <v>0</v>
      </c>
      <c r="N2310" s="7">
        <v>0</v>
      </c>
      <c r="O2310" s="7">
        <v>0</v>
      </c>
      <c r="P2310" s="7">
        <v>0</v>
      </c>
      <c r="Q2310" s="7">
        <v>0</v>
      </c>
      <c r="R2310" s="6">
        <v>0</v>
      </c>
      <c r="S2310" s="6">
        <v>0</v>
      </c>
      <c r="T2310" t="str">
        <f t="shared" si="182"/>
        <v>Saicos 60 mm Flat Brush For Water &amp; Oil Flat Brush</v>
      </c>
    </row>
    <row r="2311" spans="1:20" x14ac:dyDescent="0.25">
      <c r="A2311" t="s">
        <v>2884</v>
      </c>
      <c r="B2311" t="s">
        <v>2885</v>
      </c>
      <c r="C2311" t="s">
        <v>2886</v>
      </c>
      <c r="D2311" t="s">
        <v>2884</v>
      </c>
      <c r="E2311" t="s">
        <v>3007</v>
      </c>
      <c r="F2311" t="s">
        <v>3008</v>
      </c>
      <c r="G2311" t="s">
        <v>3009</v>
      </c>
      <c r="H2311" t="s">
        <v>3010</v>
      </c>
      <c r="I2311" t="s">
        <v>289</v>
      </c>
      <c r="J2311" t="s">
        <v>2892</v>
      </c>
      <c r="K2311">
        <v>0</v>
      </c>
      <c r="L2311" s="6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6">
        <v>0</v>
      </c>
      <c r="S2311" s="6">
        <v>0</v>
      </c>
      <c r="T2311" t="str">
        <f t="shared" si="182"/>
        <v>Sattin Matt Premium Hardwax Oil Oil</v>
      </c>
    </row>
    <row r="2312" spans="1:20" x14ac:dyDescent="0.25">
      <c r="A2312" t="s">
        <v>2884</v>
      </c>
      <c r="B2312" t="s">
        <v>2899</v>
      </c>
      <c r="C2312" t="s">
        <v>2886</v>
      </c>
      <c r="D2312" t="s">
        <v>2884</v>
      </c>
      <c r="E2312" t="s">
        <v>3011</v>
      </c>
      <c r="F2312" t="s">
        <v>3008</v>
      </c>
      <c r="G2312" t="s">
        <v>3009</v>
      </c>
      <c r="H2312" t="s">
        <v>3010</v>
      </c>
      <c r="I2312" t="s">
        <v>289</v>
      </c>
      <c r="J2312" t="s">
        <v>2901</v>
      </c>
      <c r="K2312">
        <v>0</v>
      </c>
      <c r="L2312" s="6">
        <v>0</v>
      </c>
      <c r="M2312" s="7">
        <v>0</v>
      </c>
      <c r="N2312" s="7">
        <v>0</v>
      </c>
      <c r="O2312" s="7">
        <v>0</v>
      </c>
      <c r="P2312" s="7">
        <v>0</v>
      </c>
      <c r="Q2312" s="7">
        <v>0</v>
      </c>
      <c r="R2312" s="6">
        <v>0</v>
      </c>
      <c r="S2312" s="6">
        <v>0</v>
      </c>
      <c r="T2312" t="str">
        <f t="shared" si="182"/>
        <v>Sattin Matt Premium Hardwax Oil Oil</v>
      </c>
    </row>
    <row r="2313" spans="1:20" x14ac:dyDescent="0.25">
      <c r="A2313" t="s">
        <v>2884</v>
      </c>
      <c r="B2313" t="s">
        <v>2893</v>
      </c>
      <c r="C2313" t="s">
        <v>2886</v>
      </c>
      <c r="D2313" t="s">
        <v>2884</v>
      </c>
      <c r="E2313" t="s">
        <v>3012</v>
      </c>
      <c r="F2313" t="s">
        <v>3008</v>
      </c>
      <c r="G2313" t="s">
        <v>3009</v>
      </c>
      <c r="H2313" t="s">
        <v>3010</v>
      </c>
      <c r="I2313" t="s">
        <v>289</v>
      </c>
      <c r="J2313" t="s">
        <v>2895</v>
      </c>
      <c r="K2313">
        <v>0</v>
      </c>
      <c r="L2313" s="6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6">
        <v>0</v>
      </c>
      <c r="S2313" s="6">
        <v>0</v>
      </c>
      <c r="T2313" t="str">
        <f t="shared" si="182"/>
        <v>Sattin Matt Premium Hardwax Oil Oil</v>
      </c>
    </row>
    <row r="2314" spans="1:20" x14ac:dyDescent="0.25">
      <c r="A2314" t="s">
        <v>2884</v>
      </c>
      <c r="B2314" t="s">
        <v>2896</v>
      </c>
      <c r="C2314" t="s">
        <v>2886</v>
      </c>
      <c r="D2314" t="s">
        <v>2884</v>
      </c>
      <c r="E2314" t="s">
        <v>3013</v>
      </c>
      <c r="F2314" t="s">
        <v>3008</v>
      </c>
      <c r="G2314" t="s">
        <v>3009</v>
      </c>
      <c r="H2314" t="s">
        <v>3010</v>
      </c>
      <c r="I2314" t="s">
        <v>289</v>
      </c>
      <c r="J2314" t="s">
        <v>2898</v>
      </c>
      <c r="K2314">
        <v>0</v>
      </c>
      <c r="L2314" s="6">
        <v>0</v>
      </c>
      <c r="M2314" s="7">
        <v>0</v>
      </c>
      <c r="N2314" s="7">
        <v>0</v>
      </c>
      <c r="O2314" s="7">
        <v>0</v>
      </c>
      <c r="P2314" s="7">
        <v>0</v>
      </c>
      <c r="Q2314" s="7">
        <v>0</v>
      </c>
      <c r="R2314" s="6">
        <v>0</v>
      </c>
      <c r="S2314" s="6">
        <v>0</v>
      </c>
      <c r="T2314" t="str">
        <f t="shared" si="182"/>
        <v>Sattin Matt Premium Hardwax Oil Oil</v>
      </c>
    </row>
    <row r="2315" spans="1:20" x14ac:dyDescent="0.25">
      <c r="A2315" t="s">
        <v>2884</v>
      </c>
      <c r="B2315" t="s">
        <v>2896</v>
      </c>
      <c r="C2315" t="s">
        <v>2886</v>
      </c>
      <c r="D2315" t="s">
        <v>2884</v>
      </c>
      <c r="E2315" t="s">
        <v>3014</v>
      </c>
      <c r="F2315" t="s">
        <v>3015</v>
      </c>
      <c r="G2315" t="s">
        <v>3016</v>
      </c>
      <c r="H2315" t="s">
        <v>2890</v>
      </c>
      <c r="I2315" t="s">
        <v>2891</v>
      </c>
      <c r="J2315" t="s">
        <v>2898</v>
      </c>
      <c r="K2315">
        <v>0</v>
      </c>
      <c r="L2315" s="6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6">
        <v>0</v>
      </c>
      <c r="S2315" s="6">
        <v>0</v>
      </c>
      <c r="T2315" t="str">
        <f t="shared" si="182"/>
        <v>Scandinavian Natural Bel Air H2O Garden And Cladding Transparent Oil</v>
      </c>
    </row>
    <row r="2316" spans="1:20" x14ac:dyDescent="0.25">
      <c r="A2316" t="s">
        <v>2884</v>
      </c>
      <c r="B2316" t="s">
        <v>2893</v>
      </c>
      <c r="C2316" t="s">
        <v>2886</v>
      </c>
      <c r="D2316" t="s">
        <v>2884</v>
      </c>
      <c r="E2316" t="s">
        <v>3017</v>
      </c>
      <c r="F2316" t="s">
        <v>3015</v>
      </c>
      <c r="G2316" t="s">
        <v>3016</v>
      </c>
      <c r="H2316" t="s">
        <v>2890</v>
      </c>
      <c r="I2316" t="s">
        <v>2891</v>
      </c>
      <c r="J2316" t="s">
        <v>2895</v>
      </c>
      <c r="K2316">
        <v>0</v>
      </c>
      <c r="L2316" s="6">
        <v>0</v>
      </c>
      <c r="M2316" s="7">
        <v>0</v>
      </c>
      <c r="N2316" s="7">
        <v>0</v>
      </c>
      <c r="O2316" s="7">
        <v>0</v>
      </c>
      <c r="P2316" s="7">
        <v>0</v>
      </c>
      <c r="Q2316" s="7">
        <v>0</v>
      </c>
      <c r="R2316" s="6">
        <v>0</v>
      </c>
      <c r="S2316" s="6">
        <v>0</v>
      </c>
      <c r="T2316" t="str">
        <f t="shared" si="182"/>
        <v>Scandinavian Natural Bel Air H2O Garden And Cladding Transparent Oil</v>
      </c>
    </row>
    <row r="2317" spans="1:20" x14ac:dyDescent="0.25">
      <c r="A2317" t="s">
        <v>2884</v>
      </c>
      <c r="B2317" t="s">
        <v>2885</v>
      </c>
      <c r="C2317" t="s">
        <v>2886</v>
      </c>
      <c r="D2317" t="s">
        <v>2884</v>
      </c>
      <c r="E2317" t="s">
        <v>3018</v>
      </c>
      <c r="F2317" t="s">
        <v>3015</v>
      </c>
      <c r="G2317" t="s">
        <v>3016</v>
      </c>
      <c r="H2317" t="s">
        <v>2890</v>
      </c>
      <c r="I2317" t="s">
        <v>2891</v>
      </c>
      <c r="J2317" t="s">
        <v>2892</v>
      </c>
      <c r="K2317">
        <v>0</v>
      </c>
      <c r="L2317" s="6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6">
        <v>0</v>
      </c>
      <c r="S2317" s="6">
        <v>0</v>
      </c>
      <c r="T2317" t="str">
        <f t="shared" si="182"/>
        <v>Scandinavian Natural Bel Air H2O Garden And Cladding Transparent Oil</v>
      </c>
    </row>
    <row r="2318" spans="1:20" x14ac:dyDescent="0.25">
      <c r="A2318" t="s">
        <v>2884</v>
      </c>
      <c r="B2318" t="s">
        <v>2899</v>
      </c>
      <c r="C2318" t="s">
        <v>2886</v>
      </c>
      <c r="D2318" t="s">
        <v>2884</v>
      </c>
      <c r="E2318" t="s">
        <v>3019</v>
      </c>
      <c r="F2318" t="s">
        <v>3015</v>
      </c>
      <c r="G2318" t="s">
        <v>3016</v>
      </c>
      <c r="H2318" t="s">
        <v>2890</v>
      </c>
      <c r="I2318" t="s">
        <v>2891</v>
      </c>
      <c r="J2318" t="s">
        <v>2901</v>
      </c>
      <c r="K2318">
        <v>0</v>
      </c>
      <c r="L2318" s="6">
        <v>0</v>
      </c>
      <c r="M2318" s="7">
        <v>0</v>
      </c>
      <c r="N2318" s="7">
        <v>0</v>
      </c>
      <c r="O2318" s="7">
        <v>0</v>
      </c>
      <c r="P2318" s="7">
        <v>0</v>
      </c>
      <c r="Q2318" s="7">
        <v>0</v>
      </c>
      <c r="R2318" s="6">
        <v>0</v>
      </c>
      <c r="S2318" s="6">
        <v>0</v>
      </c>
      <c r="T2318" t="str">
        <f t="shared" si="182"/>
        <v>Scandinavian Natural Bel Air H2O Garden And Cladding Transparent Oil</v>
      </c>
    </row>
    <row r="2319" spans="1:20" x14ac:dyDescent="0.25">
      <c r="A2319" t="s">
        <v>2884</v>
      </c>
      <c r="B2319" t="s">
        <v>2885</v>
      </c>
      <c r="C2319" t="s">
        <v>2886</v>
      </c>
      <c r="D2319" t="s">
        <v>2884</v>
      </c>
      <c r="E2319" t="s">
        <v>3020</v>
      </c>
      <c r="F2319" t="s">
        <v>3021</v>
      </c>
      <c r="G2319" t="s">
        <v>3022</v>
      </c>
      <c r="H2319" t="s">
        <v>3023</v>
      </c>
      <c r="I2319" t="s">
        <v>289</v>
      </c>
      <c r="J2319" t="s">
        <v>2892</v>
      </c>
      <c r="K2319">
        <v>0</v>
      </c>
      <c r="L2319" s="6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6">
        <v>0</v>
      </c>
      <c r="S2319" s="6">
        <v>0</v>
      </c>
      <c r="T2319" t="str">
        <f t="shared" si="182"/>
        <v>Silver Grey Ecoline Oil Ground Coat Oil</v>
      </c>
    </row>
    <row r="2320" spans="1:20" x14ac:dyDescent="0.25">
      <c r="A2320" t="s">
        <v>2884</v>
      </c>
      <c r="B2320" t="s">
        <v>2899</v>
      </c>
      <c r="C2320" t="s">
        <v>2886</v>
      </c>
      <c r="D2320" t="s">
        <v>2884</v>
      </c>
      <c r="E2320" t="s">
        <v>3024</v>
      </c>
      <c r="F2320" t="s">
        <v>3021</v>
      </c>
      <c r="G2320" t="s">
        <v>3022</v>
      </c>
      <c r="H2320" t="s">
        <v>3023</v>
      </c>
      <c r="I2320" t="s">
        <v>289</v>
      </c>
      <c r="J2320" t="s">
        <v>2901</v>
      </c>
      <c r="K2320">
        <v>0</v>
      </c>
      <c r="L2320" s="6">
        <v>0</v>
      </c>
      <c r="M2320" s="7">
        <v>0</v>
      </c>
      <c r="N2320" s="7">
        <v>0</v>
      </c>
      <c r="O2320" s="7">
        <v>0</v>
      </c>
      <c r="P2320" s="7">
        <v>0</v>
      </c>
      <c r="Q2320" s="7">
        <v>0</v>
      </c>
      <c r="R2320" s="6">
        <v>0</v>
      </c>
      <c r="S2320" s="6">
        <v>0</v>
      </c>
      <c r="T2320" t="str">
        <f t="shared" si="182"/>
        <v>Silver Grey Ecoline Oil Ground Coat Oil</v>
      </c>
    </row>
    <row r="2321" spans="1:20" x14ac:dyDescent="0.25">
      <c r="A2321" t="s">
        <v>2884</v>
      </c>
      <c r="B2321" t="s">
        <v>2893</v>
      </c>
      <c r="C2321" t="s">
        <v>2886</v>
      </c>
      <c r="D2321" t="s">
        <v>2884</v>
      </c>
      <c r="E2321" t="s">
        <v>3025</v>
      </c>
      <c r="F2321" t="s">
        <v>3021</v>
      </c>
      <c r="G2321" t="s">
        <v>3022</v>
      </c>
      <c r="H2321" t="s">
        <v>3023</v>
      </c>
      <c r="I2321" t="s">
        <v>289</v>
      </c>
      <c r="J2321" t="s">
        <v>2895</v>
      </c>
      <c r="K2321">
        <v>0</v>
      </c>
      <c r="L2321" s="6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6">
        <v>0</v>
      </c>
      <c r="S2321" s="6">
        <v>0</v>
      </c>
      <c r="T2321" t="str">
        <f t="shared" si="182"/>
        <v>Silver Grey Ecoline Oil Ground Coat Oil</v>
      </c>
    </row>
    <row r="2322" spans="1:20" x14ac:dyDescent="0.25">
      <c r="A2322" t="s">
        <v>2884</v>
      </c>
      <c r="B2322" t="s">
        <v>2896</v>
      </c>
      <c r="C2322" t="s">
        <v>2886</v>
      </c>
      <c r="D2322" t="s">
        <v>2884</v>
      </c>
      <c r="E2322" t="s">
        <v>3026</v>
      </c>
      <c r="F2322" t="s">
        <v>3021</v>
      </c>
      <c r="G2322" t="s">
        <v>3022</v>
      </c>
      <c r="H2322" t="s">
        <v>3023</v>
      </c>
      <c r="I2322" t="s">
        <v>289</v>
      </c>
      <c r="J2322" t="s">
        <v>2898</v>
      </c>
      <c r="K2322">
        <v>0</v>
      </c>
      <c r="L2322" s="6">
        <v>0</v>
      </c>
      <c r="M2322" s="7">
        <v>0</v>
      </c>
      <c r="N2322" s="7">
        <v>0</v>
      </c>
      <c r="O2322" s="7">
        <v>0</v>
      </c>
      <c r="P2322" s="7">
        <v>0</v>
      </c>
      <c r="Q2322" s="7">
        <v>0</v>
      </c>
      <c r="R2322" s="6">
        <v>0</v>
      </c>
      <c r="S2322" s="6">
        <v>0</v>
      </c>
      <c r="T2322" t="str">
        <f t="shared" si="182"/>
        <v>Silver Grey Ecoline Oil Ground Coat Oil</v>
      </c>
    </row>
    <row r="2323" spans="1:20" x14ac:dyDescent="0.25">
      <c r="A2323" t="s">
        <v>2884</v>
      </c>
      <c r="B2323" t="s">
        <v>2885</v>
      </c>
      <c r="C2323" t="s">
        <v>2886</v>
      </c>
      <c r="D2323" t="s">
        <v>2884</v>
      </c>
      <c r="E2323" t="s">
        <v>3027</v>
      </c>
      <c r="F2323" t="s">
        <v>3028</v>
      </c>
      <c r="G2323" t="s">
        <v>3029</v>
      </c>
      <c r="H2323" t="s">
        <v>2916</v>
      </c>
      <c r="I2323" t="s">
        <v>289</v>
      </c>
      <c r="J2323" t="s">
        <v>2892</v>
      </c>
      <c r="K2323">
        <v>0</v>
      </c>
      <c r="L2323" s="6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6">
        <v>0</v>
      </c>
      <c r="S2323" s="6">
        <v>0</v>
      </c>
      <c r="T2323" t="str">
        <f t="shared" si="182"/>
        <v>Taupe Special Wood Oil Oil</v>
      </c>
    </row>
    <row r="2324" spans="1:20" x14ac:dyDescent="0.25">
      <c r="A2324" t="s">
        <v>2884</v>
      </c>
      <c r="B2324" t="s">
        <v>2899</v>
      </c>
      <c r="C2324" t="s">
        <v>2886</v>
      </c>
      <c r="D2324" t="s">
        <v>2884</v>
      </c>
      <c r="E2324" t="s">
        <v>3030</v>
      </c>
      <c r="F2324" t="s">
        <v>3028</v>
      </c>
      <c r="G2324" t="s">
        <v>3029</v>
      </c>
      <c r="H2324" t="s">
        <v>2916</v>
      </c>
      <c r="I2324" t="s">
        <v>289</v>
      </c>
      <c r="J2324" t="s">
        <v>2901</v>
      </c>
      <c r="K2324">
        <v>0</v>
      </c>
      <c r="L2324" s="6">
        <v>0</v>
      </c>
      <c r="M2324" s="7">
        <v>0</v>
      </c>
      <c r="N2324" s="7">
        <v>0</v>
      </c>
      <c r="O2324" s="7">
        <v>0</v>
      </c>
      <c r="P2324" s="7">
        <v>0</v>
      </c>
      <c r="Q2324" s="7">
        <v>0</v>
      </c>
      <c r="R2324" s="6">
        <v>0</v>
      </c>
      <c r="S2324" s="6">
        <v>0</v>
      </c>
      <c r="T2324" t="str">
        <f t="shared" si="182"/>
        <v>Taupe Special Wood Oil Oil</v>
      </c>
    </row>
    <row r="2325" spans="1:20" x14ac:dyDescent="0.25">
      <c r="A2325" t="s">
        <v>2884</v>
      </c>
      <c r="B2325" t="s">
        <v>2896</v>
      </c>
      <c r="C2325" t="s">
        <v>2886</v>
      </c>
      <c r="D2325" t="s">
        <v>2884</v>
      </c>
      <c r="E2325" t="s">
        <v>3031</v>
      </c>
      <c r="F2325" t="s">
        <v>3028</v>
      </c>
      <c r="G2325" t="s">
        <v>3029</v>
      </c>
      <c r="H2325" t="s">
        <v>2916</v>
      </c>
      <c r="I2325" t="s">
        <v>289</v>
      </c>
      <c r="J2325" t="s">
        <v>2898</v>
      </c>
      <c r="K2325">
        <v>0</v>
      </c>
      <c r="L2325" s="6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6">
        <v>0</v>
      </c>
      <c r="S2325" s="6">
        <v>0</v>
      </c>
      <c r="T2325" t="str">
        <f t="shared" si="182"/>
        <v>Taupe Special Wood Oil Oil</v>
      </c>
    </row>
    <row r="2326" spans="1:20" x14ac:dyDescent="0.25">
      <c r="A2326" t="s">
        <v>2884</v>
      </c>
      <c r="B2326" t="s">
        <v>2885</v>
      </c>
      <c r="C2326" t="s">
        <v>2886</v>
      </c>
      <c r="D2326" t="s">
        <v>2884</v>
      </c>
      <c r="E2326" t="s">
        <v>3032</v>
      </c>
      <c r="F2326" t="s">
        <v>3033</v>
      </c>
      <c r="G2326" t="s">
        <v>2778</v>
      </c>
      <c r="H2326" t="s">
        <v>2890</v>
      </c>
      <c r="I2326" t="s">
        <v>2891</v>
      </c>
      <c r="J2326" t="s">
        <v>2892</v>
      </c>
      <c r="K2326">
        <v>0</v>
      </c>
      <c r="L2326" s="6">
        <v>0</v>
      </c>
      <c r="M2326" s="7">
        <v>0</v>
      </c>
      <c r="N2326" s="7">
        <v>0</v>
      </c>
      <c r="O2326" s="7">
        <v>0</v>
      </c>
      <c r="P2326" s="7">
        <v>0</v>
      </c>
      <c r="Q2326" s="7">
        <v>0</v>
      </c>
      <c r="R2326" s="6">
        <v>0</v>
      </c>
      <c r="S2326" s="6">
        <v>0</v>
      </c>
      <c r="T2326" t="str">
        <f t="shared" si="182"/>
        <v>Teak Bel Air H2O Garden And Cladding Transparent Oil</v>
      </c>
    </row>
    <row r="2327" spans="1:20" x14ac:dyDescent="0.25">
      <c r="A2327" t="s">
        <v>2884</v>
      </c>
      <c r="B2327" t="s">
        <v>2899</v>
      </c>
      <c r="C2327" t="s">
        <v>2886</v>
      </c>
      <c r="D2327" t="s">
        <v>2884</v>
      </c>
      <c r="E2327" t="s">
        <v>3034</v>
      </c>
      <c r="F2327" t="s">
        <v>3033</v>
      </c>
      <c r="G2327" t="s">
        <v>2778</v>
      </c>
      <c r="H2327" t="s">
        <v>2890</v>
      </c>
      <c r="I2327" t="s">
        <v>2891</v>
      </c>
      <c r="J2327" t="s">
        <v>2901</v>
      </c>
      <c r="K2327">
        <v>0</v>
      </c>
      <c r="L2327" s="6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6">
        <v>0</v>
      </c>
      <c r="S2327" s="6">
        <v>0</v>
      </c>
      <c r="T2327" t="str">
        <f t="shared" si="182"/>
        <v>Teak Bel Air H2O Garden And Cladding Transparent Oil</v>
      </c>
    </row>
    <row r="2328" spans="1:20" x14ac:dyDescent="0.25">
      <c r="A2328" t="s">
        <v>2884</v>
      </c>
      <c r="B2328" t="s">
        <v>2893</v>
      </c>
      <c r="C2328" t="s">
        <v>2886</v>
      </c>
      <c r="D2328" t="s">
        <v>2884</v>
      </c>
      <c r="E2328" t="s">
        <v>3035</v>
      </c>
      <c r="F2328" t="s">
        <v>3033</v>
      </c>
      <c r="G2328" t="s">
        <v>2778</v>
      </c>
      <c r="H2328" t="s">
        <v>2890</v>
      </c>
      <c r="I2328" t="s">
        <v>2891</v>
      </c>
      <c r="J2328" t="s">
        <v>2895</v>
      </c>
      <c r="K2328">
        <v>0</v>
      </c>
      <c r="L2328" s="6">
        <v>0</v>
      </c>
      <c r="M2328" s="7">
        <v>0</v>
      </c>
      <c r="N2328" s="7">
        <v>0</v>
      </c>
      <c r="O2328" s="7">
        <v>0</v>
      </c>
      <c r="P2328" s="7">
        <v>0</v>
      </c>
      <c r="Q2328" s="7">
        <v>0</v>
      </c>
      <c r="R2328" s="6">
        <v>0</v>
      </c>
      <c r="S2328" s="6">
        <v>0</v>
      </c>
      <c r="T2328" t="str">
        <f t="shared" si="182"/>
        <v>Teak Bel Air H2O Garden And Cladding Transparent Oil</v>
      </c>
    </row>
    <row r="2329" spans="1:20" x14ac:dyDescent="0.25">
      <c r="A2329" t="s">
        <v>2884</v>
      </c>
      <c r="B2329" t="s">
        <v>2896</v>
      </c>
      <c r="C2329" t="s">
        <v>2886</v>
      </c>
      <c r="D2329" t="s">
        <v>2884</v>
      </c>
      <c r="E2329" t="s">
        <v>3036</v>
      </c>
      <c r="F2329" t="s">
        <v>3033</v>
      </c>
      <c r="G2329" t="s">
        <v>2778</v>
      </c>
      <c r="H2329" t="s">
        <v>2890</v>
      </c>
      <c r="I2329" t="s">
        <v>2891</v>
      </c>
      <c r="J2329" t="s">
        <v>2898</v>
      </c>
      <c r="K2329">
        <v>0</v>
      </c>
      <c r="L2329" s="6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6">
        <v>0</v>
      </c>
      <c r="S2329" s="6">
        <v>0</v>
      </c>
      <c r="T2329" t="str">
        <f t="shared" si="182"/>
        <v>Teak Bel Air H2O Garden And Cladding Transparent Oil</v>
      </c>
    </row>
    <row r="2330" spans="1:20" x14ac:dyDescent="0.25">
      <c r="A2330" t="s">
        <v>2884</v>
      </c>
      <c r="B2330" t="s">
        <v>2885</v>
      </c>
      <c r="C2330" t="s">
        <v>2886</v>
      </c>
      <c r="D2330" t="s">
        <v>2884</v>
      </c>
      <c r="E2330" t="s">
        <v>3037</v>
      </c>
      <c r="F2330" t="s">
        <v>3038</v>
      </c>
      <c r="G2330" t="s">
        <v>2778</v>
      </c>
      <c r="H2330" t="s">
        <v>2916</v>
      </c>
      <c r="I2330" t="s">
        <v>289</v>
      </c>
      <c r="J2330" t="s">
        <v>2892</v>
      </c>
      <c r="K2330">
        <v>0</v>
      </c>
      <c r="L2330" s="6">
        <v>0</v>
      </c>
      <c r="M2330" s="7">
        <v>0</v>
      </c>
      <c r="N2330" s="7">
        <v>0</v>
      </c>
      <c r="O2330" s="7">
        <v>0</v>
      </c>
      <c r="P2330" s="7">
        <v>0</v>
      </c>
      <c r="Q2330" s="7">
        <v>0</v>
      </c>
      <c r="R2330" s="6">
        <v>0</v>
      </c>
      <c r="S2330" s="6">
        <v>0</v>
      </c>
      <c r="T2330" t="str">
        <f t="shared" si="182"/>
        <v>Teak Special Wood Oil Oil</v>
      </c>
    </row>
    <row r="2331" spans="1:20" x14ac:dyDescent="0.25">
      <c r="A2331" t="s">
        <v>2884</v>
      </c>
      <c r="B2331" t="s">
        <v>2899</v>
      </c>
      <c r="C2331" t="s">
        <v>2886</v>
      </c>
      <c r="D2331" t="s">
        <v>2884</v>
      </c>
      <c r="E2331" t="s">
        <v>3039</v>
      </c>
      <c r="F2331" t="s">
        <v>3038</v>
      </c>
      <c r="G2331" t="s">
        <v>2778</v>
      </c>
      <c r="H2331" t="s">
        <v>2916</v>
      </c>
      <c r="I2331" t="s">
        <v>289</v>
      </c>
      <c r="J2331" t="s">
        <v>2901</v>
      </c>
      <c r="K2331">
        <v>0</v>
      </c>
      <c r="L2331" s="6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6">
        <v>0</v>
      </c>
      <c r="S2331" s="6">
        <v>0</v>
      </c>
      <c r="T2331" t="str">
        <f t="shared" si="182"/>
        <v>Teak Special Wood Oil Oil</v>
      </c>
    </row>
    <row r="2332" spans="1:20" x14ac:dyDescent="0.25">
      <c r="A2332" t="s">
        <v>2884</v>
      </c>
      <c r="B2332" t="s">
        <v>2893</v>
      </c>
      <c r="C2332" t="s">
        <v>2886</v>
      </c>
      <c r="D2332" t="s">
        <v>2884</v>
      </c>
      <c r="E2332" t="s">
        <v>3040</v>
      </c>
      <c r="F2332" t="s">
        <v>3038</v>
      </c>
      <c r="G2332" t="s">
        <v>2778</v>
      </c>
      <c r="H2332" t="s">
        <v>2916</v>
      </c>
      <c r="I2332" t="s">
        <v>289</v>
      </c>
      <c r="J2332" t="s">
        <v>2895</v>
      </c>
      <c r="K2332">
        <v>0</v>
      </c>
      <c r="L2332" s="6">
        <v>0</v>
      </c>
      <c r="M2332" s="7">
        <v>0</v>
      </c>
      <c r="N2332" s="7">
        <v>0</v>
      </c>
      <c r="O2332" s="7">
        <v>0</v>
      </c>
      <c r="P2332" s="7">
        <v>0</v>
      </c>
      <c r="Q2332" s="7">
        <v>0</v>
      </c>
      <c r="R2332" s="6">
        <v>0</v>
      </c>
      <c r="S2332" s="6">
        <v>0</v>
      </c>
      <c r="T2332" t="str">
        <f t="shared" si="182"/>
        <v>Teak Special Wood Oil Oil</v>
      </c>
    </row>
    <row r="2333" spans="1:20" x14ac:dyDescent="0.25">
      <c r="A2333" t="s">
        <v>2884</v>
      </c>
      <c r="B2333" t="s">
        <v>2896</v>
      </c>
      <c r="C2333" t="s">
        <v>2886</v>
      </c>
      <c r="D2333" t="s">
        <v>2884</v>
      </c>
      <c r="E2333" t="s">
        <v>3041</v>
      </c>
      <c r="F2333" t="s">
        <v>3038</v>
      </c>
      <c r="G2333" t="s">
        <v>2778</v>
      </c>
      <c r="H2333" t="s">
        <v>2916</v>
      </c>
      <c r="I2333" t="s">
        <v>289</v>
      </c>
      <c r="J2333" t="s">
        <v>2898</v>
      </c>
      <c r="K2333">
        <v>0</v>
      </c>
      <c r="L2333" s="6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6">
        <v>0</v>
      </c>
      <c r="S2333" s="6">
        <v>0</v>
      </c>
      <c r="T2333" t="str">
        <f t="shared" si="182"/>
        <v>Teak Special Wood Oil Oil</v>
      </c>
    </row>
    <row r="2334" spans="1:20" x14ac:dyDescent="0.25">
      <c r="A2334" t="s">
        <v>2884</v>
      </c>
      <c r="B2334" t="s">
        <v>2893</v>
      </c>
      <c r="C2334" t="s">
        <v>2886</v>
      </c>
      <c r="D2334" t="s">
        <v>2884</v>
      </c>
      <c r="E2334" t="s">
        <v>3042</v>
      </c>
      <c r="F2334" t="s">
        <v>3043</v>
      </c>
      <c r="G2334" t="s">
        <v>3044</v>
      </c>
      <c r="H2334" t="s">
        <v>2916</v>
      </c>
      <c r="I2334" t="s">
        <v>289</v>
      </c>
      <c r="J2334" t="s">
        <v>2895</v>
      </c>
      <c r="K2334">
        <v>0</v>
      </c>
      <c r="L2334" s="6">
        <v>0</v>
      </c>
      <c r="M2334" s="7">
        <v>0</v>
      </c>
      <c r="N2334" s="7">
        <v>0</v>
      </c>
      <c r="O2334" s="7">
        <v>0</v>
      </c>
      <c r="P2334" s="7">
        <v>0</v>
      </c>
      <c r="Q2334" s="7">
        <v>0</v>
      </c>
      <c r="R2334" s="6">
        <v>0</v>
      </c>
      <c r="S2334" s="6">
        <v>0</v>
      </c>
      <c r="T2334" t="str">
        <f t="shared" si="182"/>
        <v>Thermowood Special Wood Oil Oil</v>
      </c>
    </row>
    <row r="2335" spans="1:20" x14ac:dyDescent="0.25">
      <c r="A2335" t="s">
        <v>2884</v>
      </c>
      <c r="B2335" t="s">
        <v>2885</v>
      </c>
      <c r="C2335" t="s">
        <v>2886</v>
      </c>
      <c r="D2335" t="s">
        <v>2884</v>
      </c>
      <c r="E2335" t="s">
        <v>3045</v>
      </c>
      <c r="F2335" t="s">
        <v>3046</v>
      </c>
      <c r="G2335" t="s">
        <v>3047</v>
      </c>
      <c r="H2335" t="s">
        <v>2890</v>
      </c>
      <c r="I2335" t="s">
        <v>2891</v>
      </c>
      <c r="J2335" t="s">
        <v>2892</v>
      </c>
      <c r="K2335">
        <v>0</v>
      </c>
      <c r="L2335" s="6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6">
        <v>0</v>
      </c>
      <c r="S2335" s="6">
        <v>0</v>
      </c>
      <c r="T2335" t="str">
        <f t="shared" si="182"/>
        <v>Walnut Bel Air H2O Garden And Cladding Transparent Oil</v>
      </c>
    </row>
    <row r="2336" spans="1:20" x14ac:dyDescent="0.25">
      <c r="A2336" t="s">
        <v>2884</v>
      </c>
      <c r="B2336" t="s">
        <v>2899</v>
      </c>
      <c r="C2336" t="s">
        <v>2886</v>
      </c>
      <c r="D2336" t="s">
        <v>2884</v>
      </c>
      <c r="E2336" t="s">
        <v>3048</v>
      </c>
      <c r="F2336" t="s">
        <v>3046</v>
      </c>
      <c r="G2336" t="s">
        <v>3047</v>
      </c>
      <c r="H2336" t="s">
        <v>2890</v>
      </c>
      <c r="I2336" t="s">
        <v>2891</v>
      </c>
      <c r="J2336" t="s">
        <v>2901</v>
      </c>
      <c r="K2336">
        <v>0</v>
      </c>
      <c r="L2336" s="6">
        <v>0</v>
      </c>
      <c r="M2336" s="7">
        <v>0</v>
      </c>
      <c r="N2336" s="7">
        <v>0</v>
      </c>
      <c r="O2336" s="7">
        <v>0</v>
      </c>
      <c r="P2336" s="7">
        <v>0</v>
      </c>
      <c r="Q2336" s="7">
        <v>0</v>
      </c>
      <c r="R2336" s="6">
        <v>0</v>
      </c>
      <c r="S2336" s="6">
        <v>0</v>
      </c>
      <c r="T2336" t="str">
        <f t="shared" si="182"/>
        <v>Walnut Bel Air H2O Garden And Cladding Transparent Oil</v>
      </c>
    </row>
    <row r="2337" spans="1:20" x14ac:dyDescent="0.25">
      <c r="A2337" t="s">
        <v>2884</v>
      </c>
      <c r="B2337" t="s">
        <v>2893</v>
      </c>
      <c r="C2337" t="s">
        <v>2886</v>
      </c>
      <c r="D2337" t="s">
        <v>2884</v>
      </c>
      <c r="E2337" t="s">
        <v>3049</v>
      </c>
      <c r="F2337" t="s">
        <v>3046</v>
      </c>
      <c r="G2337" t="s">
        <v>3047</v>
      </c>
      <c r="H2337" t="s">
        <v>2890</v>
      </c>
      <c r="I2337" t="s">
        <v>2891</v>
      </c>
      <c r="J2337" t="s">
        <v>2895</v>
      </c>
      <c r="K2337">
        <v>0</v>
      </c>
      <c r="L2337" s="6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6">
        <v>0</v>
      </c>
      <c r="S2337" s="6">
        <v>0</v>
      </c>
      <c r="T2337" t="str">
        <f t="shared" si="182"/>
        <v>Walnut Bel Air H2O Garden And Cladding Transparent Oil</v>
      </c>
    </row>
    <row r="2338" spans="1:20" x14ac:dyDescent="0.25">
      <c r="A2338" t="s">
        <v>2884</v>
      </c>
      <c r="B2338" t="s">
        <v>2896</v>
      </c>
      <c r="C2338" t="s">
        <v>2886</v>
      </c>
      <c r="D2338" t="s">
        <v>2884</v>
      </c>
      <c r="E2338" t="s">
        <v>3050</v>
      </c>
      <c r="F2338" t="s">
        <v>3046</v>
      </c>
      <c r="G2338" t="s">
        <v>3047</v>
      </c>
      <c r="H2338" t="s">
        <v>2890</v>
      </c>
      <c r="I2338" t="s">
        <v>2891</v>
      </c>
      <c r="J2338" t="s">
        <v>2898</v>
      </c>
      <c r="K2338">
        <v>0</v>
      </c>
      <c r="L2338" s="6">
        <v>0</v>
      </c>
      <c r="M2338" s="7">
        <v>0</v>
      </c>
      <c r="N2338" s="7">
        <v>0</v>
      </c>
      <c r="O2338" s="7">
        <v>0</v>
      </c>
      <c r="P2338" s="7">
        <v>0</v>
      </c>
      <c r="Q2338" s="7">
        <v>0</v>
      </c>
      <c r="R2338" s="6">
        <v>0</v>
      </c>
      <c r="S2338" s="6">
        <v>0</v>
      </c>
      <c r="T2338" t="str">
        <f t="shared" si="182"/>
        <v>Walnut Bel Air H2O Garden And Cladding Transparent Oil</v>
      </c>
    </row>
    <row r="2339" spans="1:20" x14ac:dyDescent="0.25">
      <c r="A2339" t="s">
        <v>2884</v>
      </c>
      <c r="B2339" t="s">
        <v>2885</v>
      </c>
      <c r="C2339" t="s">
        <v>2886</v>
      </c>
      <c r="D2339" t="s">
        <v>2884</v>
      </c>
      <c r="E2339" t="s">
        <v>3051</v>
      </c>
      <c r="F2339" t="s">
        <v>3052</v>
      </c>
      <c r="G2339" t="s">
        <v>3053</v>
      </c>
      <c r="H2339" t="s">
        <v>2890</v>
      </c>
      <c r="I2339" t="s">
        <v>2891</v>
      </c>
      <c r="J2339" t="s">
        <v>2892</v>
      </c>
      <c r="K2339">
        <v>0</v>
      </c>
      <c r="L2339" s="6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6">
        <v>0</v>
      </c>
      <c r="S2339" s="6">
        <v>0</v>
      </c>
      <c r="T2339" t="str">
        <f t="shared" si="182"/>
        <v>White Oak Bel Air H2O Garden And Cladding Transparent Oil</v>
      </c>
    </row>
    <row r="2340" spans="1:20" x14ac:dyDescent="0.25">
      <c r="A2340" t="s">
        <v>2884</v>
      </c>
      <c r="B2340" t="s">
        <v>2899</v>
      </c>
      <c r="C2340" t="s">
        <v>2886</v>
      </c>
      <c r="D2340" t="s">
        <v>2884</v>
      </c>
      <c r="E2340" t="s">
        <v>3054</v>
      </c>
      <c r="F2340" t="s">
        <v>3052</v>
      </c>
      <c r="G2340" t="s">
        <v>3053</v>
      </c>
      <c r="H2340" t="s">
        <v>2890</v>
      </c>
      <c r="I2340" t="s">
        <v>2891</v>
      </c>
      <c r="J2340" t="s">
        <v>2901</v>
      </c>
      <c r="K2340">
        <v>0</v>
      </c>
      <c r="L2340" s="6">
        <v>0</v>
      </c>
      <c r="M2340" s="7">
        <v>0</v>
      </c>
      <c r="N2340" s="7">
        <v>0</v>
      </c>
      <c r="O2340" s="7">
        <v>0</v>
      </c>
      <c r="P2340" s="7">
        <v>0</v>
      </c>
      <c r="Q2340" s="7">
        <v>0</v>
      </c>
      <c r="R2340" s="6">
        <v>0</v>
      </c>
      <c r="S2340" s="6">
        <v>0</v>
      </c>
      <c r="T2340" t="str">
        <f t="shared" si="182"/>
        <v>White Oak Bel Air H2O Garden And Cladding Transparent Oil</v>
      </c>
    </row>
    <row r="2341" spans="1:20" x14ac:dyDescent="0.25">
      <c r="A2341" t="s">
        <v>2884</v>
      </c>
      <c r="B2341" t="s">
        <v>2893</v>
      </c>
      <c r="C2341" t="s">
        <v>2886</v>
      </c>
      <c r="D2341" t="s">
        <v>2884</v>
      </c>
      <c r="E2341" t="s">
        <v>3055</v>
      </c>
      <c r="F2341" t="s">
        <v>3052</v>
      </c>
      <c r="G2341" t="s">
        <v>3053</v>
      </c>
      <c r="H2341" t="s">
        <v>2890</v>
      </c>
      <c r="I2341" t="s">
        <v>2891</v>
      </c>
      <c r="J2341" t="s">
        <v>2895</v>
      </c>
      <c r="K2341">
        <v>0</v>
      </c>
      <c r="L2341" s="6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6">
        <v>0</v>
      </c>
      <c r="S2341" s="6">
        <v>0</v>
      </c>
      <c r="T2341" t="str">
        <f t="shared" si="182"/>
        <v>White Oak Bel Air H2O Garden And Cladding Transparent Oil</v>
      </c>
    </row>
    <row r="2342" spans="1:20" x14ac:dyDescent="0.25">
      <c r="A2342" t="s">
        <v>2884</v>
      </c>
      <c r="B2342" t="s">
        <v>2896</v>
      </c>
      <c r="C2342" t="s">
        <v>2886</v>
      </c>
      <c r="D2342" t="s">
        <v>2884</v>
      </c>
      <c r="E2342" t="s">
        <v>3056</v>
      </c>
      <c r="F2342" t="s">
        <v>3052</v>
      </c>
      <c r="G2342" t="s">
        <v>3053</v>
      </c>
      <c r="H2342" t="s">
        <v>2890</v>
      </c>
      <c r="I2342" t="s">
        <v>2891</v>
      </c>
      <c r="J2342" t="s">
        <v>2898</v>
      </c>
      <c r="K2342">
        <v>0</v>
      </c>
      <c r="L2342" s="6">
        <v>0</v>
      </c>
      <c r="M2342" s="7">
        <v>0</v>
      </c>
      <c r="N2342" s="7">
        <v>0</v>
      </c>
      <c r="O2342" s="7">
        <v>0</v>
      </c>
      <c r="P2342" s="7">
        <v>0</v>
      </c>
      <c r="Q2342" s="7">
        <v>0</v>
      </c>
      <c r="R2342" s="6">
        <v>0</v>
      </c>
      <c r="S2342" s="6">
        <v>0</v>
      </c>
      <c r="T2342" t="str">
        <f t="shared" si="182"/>
        <v>White Oak Bel Air H2O Garden And Cladding Transparent Oil</v>
      </c>
    </row>
    <row r="2343" spans="1:20" x14ac:dyDescent="0.25">
      <c r="A2343" t="s">
        <v>2884</v>
      </c>
      <c r="B2343" t="s">
        <v>2885</v>
      </c>
      <c r="C2343" t="s">
        <v>2886</v>
      </c>
      <c r="D2343" t="s">
        <v>2884</v>
      </c>
      <c r="E2343" t="s">
        <v>3057</v>
      </c>
      <c r="F2343" t="s">
        <v>3058</v>
      </c>
      <c r="G2343" t="s">
        <v>3059</v>
      </c>
      <c r="H2343" t="s">
        <v>2890</v>
      </c>
      <c r="I2343" t="s">
        <v>2891</v>
      </c>
      <c r="J2343" t="s">
        <v>2892</v>
      </c>
      <c r="K2343">
        <v>0</v>
      </c>
      <c r="L2343" s="6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6">
        <v>0</v>
      </c>
      <c r="S2343" s="6">
        <v>0</v>
      </c>
      <c r="T2343" t="str">
        <f t="shared" si="182"/>
        <v>White Opaque Bel Air H2O Garden And Cladding Transparent Oil</v>
      </c>
    </row>
    <row r="2344" spans="1:20" x14ac:dyDescent="0.25">
      <c r="A2344" t="s">
        <v>2884</v>
      </c>
      <c r="B2344" t="s">
        <v>2899</v>
      </c>
      <c r="C2344" t="s">
        <v>2886</v>
      </c>
      <c r="D2344" t="s">
        <v>2884</v>
      </c>
      <c r="E2344" t="s">
        <v>3060</v>
      </c>
      <c r="F2344" t="s">
        <v>3058</v>
      </c>
      <c r="G2344" t="s">
        <v>3059</v>
      </c>
      <c r="H2344" t="s">
        <v>2890</v>
      </c>
      <c r="I2344" t="s">
        <v>2891</v>
      </c>
      <c r="J2344" t="s">
        <v>2901</v>
      </c>
      <c r="K2344">
        <v>0</v>
      </c>
      <c r="L2344" s="6">
        <v>0</v>
      </c>
      <c r="M2344" s="7">
        <v>0</v>
      </c>
      <c r="N2344" s="7">
        <v>0</v>
      </c>
      <c r="O2344" s="7">
        <v>0</v>
      </c>
      <c r="P2344" s="7">
        <v>0</v>
      </c>
      <c r="Q2344" s="7">
        <v>0</v>
      </c>
      <c r="R2344" s="6">
        <v>0</v>
      </c>
      <c r="S2344" s="6">
        <v>0</v>
      </c>
      <c r="T2344" t="str">
        <f t="shared" si="182"/>
        <v>White Opaque Bel Air H2O Garden And Cladding Transparent Oil</v>
      </c>
    </row>
    <row r="2345" spans="1:20" x14ac:dyDescent="0.25">
      <c r="A2345" t="s">
        <v>2884</v>
      </c>
      <c r="B2345" t="s">
        <v>2893</v>
      </c>
      <c r="C2345" t="s">
        <v>2886</v>
      </c>
      <c r="D2345" t="s">
        <v>2884</v>
      </c>
      <c r="E2345" t="s">
        <v>3061</v>
      </c>
      <c r="F2345" t="s">
        <v>3058</v>
      </c>
      <c r="G2345" t="s">
        <v>3059</v>
      </c>
      <c r="H2345" t="s">
        <v>2890</v>
      </c>
      <c r="I2345" t="s">
        <v>2891</v>
      </c>
      <c r="J2345" t="s">
        <v>2895</v>
      </c>
      <c r="K2345">
        <v>0</v>
      </c>
      <c r="L2345" s="6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6">
        <v>0</v>
      </c>
      <c r="S2345" s="6">
        <v>0</v>
      </c>
      <c r="T2345" t="str">
        <f t="shared" si="182"/>
        <v>White Opaque Bel Air H2O Garden And Cladding Transparent Oil</v>
      </c>
    </row>
    <row r="2346" spans="1:20" x14ac:dyDescent="0.25">
      <c r="A2346" t="s">
        <v>2884</v>
      </c>
      <c r="B2346" t="s">
        <v>2896</v>
      </c>
      <c r="C2346" t="s">
        <v>2886</v>
      </c>
      <c r="D2346" t="s">
        <v>2884</v>
      </c>
      <c r="E2346" t="s">
        <v>3062</v>
      </c>
      <c r="F2346" t="s">
        <v>3058</v>
      </c>
      <c r="G2346" t="s">
        <v>3059</v>
      </c>
      <c r="H2346" t="s">
        <v>2890</v>
      </c>
      <c r="I2346" t="s">
        <v>2891</v>
      </c>
      <c r="J2346" t="s">
        <v>2898</v>
      </c>
      <c r="K2346">
        <v>0</v>
      </c>
      <c r="L2346" s="6">
        <v>0</v>
      </c>
      <c r="M2346" s="7">
        <v>0</v>
      </c>
      <c r="N2346" s="7">
        <v>0</v>
      </c>
      <c r="O2346" s="7">
        <v>0</v>
      </c>
      <c r="P2346" s="7">
        <v>0</v>
      </c>
      <c r="Q2346" s="7">
        <v>0</v>
      </c>
      <c r="R2346" s="6">
        <v>0</v>
      </c>
      <c r="S2346" s="6">
        <v>0</v>
      </c>
      <c r="T2346" t="str">
        <f t="shared" si="182"/>
        <v>White Opaque Bel Air H2O Garden And Cladding Transparent Oil</v>
      </c>
    </row>
    <row r="2347" spans="1:20" x14ac:dyDescent="0.25">
      <c r="A2347" t="s">
        <v>3063</v>
      </c>
      <c r="B2347" t="s">
        <v>3064</v>
      </c>
      <c r="C2347" t="s">
        <v>1353</v>
      </c>
      <c r="D2347" t="s">
        <v>3065</v>
      </c>
      <c r="E2347" t="s">
        <v>3066</v>
      </c>
      <c r="F2347" t="s">
        <v>3067</v>
      </c>
      <c r="G2347" t="s">
        <v>3068</v>
      </c>
      <c r="H2347" t="s">
        <v>3069</v>
      </c>
      <c r="I2347" t="s">
        <v>1353</v>
      </c>
      <c r="J2347" t="s">
        <v>637</v>
      </c>
      <c r="K2347">
        <v>0</v>
      </c>
      <c r="L2347" s="6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6">
        <v>0</v>
      </c>
      <c r="S2347" s="6">
        <v>0</v>
      </c>
      <c r="T2347" t="str">
        <f t="shared" si="182"/>
        <v>Maximo Thermo Ash Profile #2 Random Lenght 1x6 Plus Random Lenght</v>
      </c>
    </row>
    <row r="2348" spans="1:20" x14ac:dyDescent="0.25">
      <c r="A2348" t="s">
        <v>3063</v>
      </c>
      <c r="B2348" t="s">
        <v>3064</v>
      </c>
      <c r="C2348" t="s">
        <v>1353</v>
      </c>
      <c r="D2348" t="s">
        <v>3065</v>
      </c>
      <c r="E2348" t="s">
        <v>3070</v>
      </c>
      <c r="F2348" t="s">
        <v>3071</v>
      </c>
      <c r="G2348" t="s">
        <v>3068</v>
      </c>
      <c r="H2348" t="s">
        <v>3072</v>
      </c>
      <c r="I2348" t="s">
        <v>1353</v>
      </c>
      <c r="J2348" t="s">
        <v>637</v>
      </c>
      <c r="K2348">
        <v>0</v>
      </c>
      <c r="L2348" s="6">
        <v>0</v>
      </c>
      <c r="M2348" s="7">
        <v>0</v>
      </c>
      <c r="N2348" s="7">
        <v>0</v>
      </c>
      <c r="O2348" s="7">
        <v>0</v>
      </c>
      <c r="P2348" s="7">
        <v>0</v>
      </c>
      <c r="Q2348" s="7">
        <v>0</v>
      </c>
      <c r="R2348" s="6">
        <v>0</v>
      </c>
      <c r="S2348" s="6">
        <v>0</v>
      </c>
      <c r="T2348" t="str">
        <f t="shared" si="182"/>
        <v>Maximo Thermo Ash Rondo Random Lenght 1x6 Plus Random Lenght</v>
      </c>
    </row>
    <row r="2349" spans="1:20" x14ac:dyDescent="0.25">
      <c r="A2349" t="s">
        <v>3073</v>
      </c>
      <c r="B2349" t="s">
        <v>3074</v>
      </c>
      <c r="C2349" t="s">
        <v>1353</v>
      </c>
      <c r="D2349" t="s">
        <v>3065</v>
      </c>
      <c r="E2349" t="s">
        <v>3075</v>
      </c>
      <c r="F2349" t="s">
        <v>3076</v>
      </c>
      <c r="G2349" t="s">
        <v>3077</v>
      </c>
      <c r="H2349" t="s">
        <v>3078</v>
      </c>
      <c r="I2349" t="s">
        <v>1353</v>
      </c>
      <c r="J2349" t="s">
        <v>821</v>
      </c>
      <c r="K2349">
        <v>0</v>
      </c>
      <c r="L2349" s="6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6">
        <v>0</v>
      </c>
      <c r="S2349" s="6">
        <v>0</v>
      </c>
      <c r="T2349" t="str">
        <f t="shared" si="182"/>
        <v>Maximo Thermo Ayous Elevato Trio Random Lenght 2x6 Random Lenght</v>
      </c>
    </row>
    <row r="2350" spans="1:20" x14ac:dyDescent="0.25">
      <c r="A2350" t="s">
        <v>3073</v>
      </c>
      <c r="B2350" t="s">
        <v>3074</v>
      </c>
      <c r="C2350" t="s">
        <v>1353</v>
      </c>
      <c r="D2350" t="s">
        <v>3065</v>
      </c>
      <c r="E2350" t="s">
        <v>3079</v>
      </c>
      <c r="F2350" t="s">
        <v>3076</v>
      </c>
      <c r="G2350" t="s">
        <v>3077</v>
      </c>
      <c r="H2350" t="s">
        <v>3078</v>
      </c>
      <c r="I2350" t="s">
        <v>1353</v>
      </c>
      <c r="J2350" t="s">
        <v>821</v>
      </c>
      <c r="K2350">
        <v>0</v>
      </c>
      <c r="L2350" s="6">
        <v>0</v>
      </c>
      <c r="M2350" s="7">
        <v>0</v>
      </c>
      <c r="N2350" s="7">
        <v>0</v>
      </c>
      <c r="O2350" s="7">
        <v>0</v>
      </c>
      <c r="P2350" s="7">
        <v>0</v>
      </c>
      <c r="Q2350" s="7">
        <v>0</v>
      </c>
      <c r="R2350" s="6">
        <v>0</v>
      </c>
      <c r="S2350" s="6">
        <v>0</v>
      </c>
      <c r="T2350" t="str">
        <f t="shared" si="182"/>
        <v>Maximo Thermo Ayous Elevato Trio Random Lenght 2x6 Random Lenght</v>
      </c>
    </row>
    <row r="2351" spans="1:20" x14ac:dyDescent="0.25">
      <c r="A2351" t="s">
        <v>3073</v>
      </c>
      <c r="B2351" t="s">
        <v>3080</v>
      </c>
      <c r="C2351" t="s">
        <v>1353</v>
      </c>
      <c r="D2351" t="s">
        <v>3065</v>
      </c>
      <c r="E2351" t="s">
        <v>3081</v>
      </c>
      <c r="F2351" t="s">
        <v>3082</v>
      </c>
      <c r="G2351" t="s">
        <v>3077</v>
      </c>
      <c r="H2351" t="s">
        <v>3072</v>
      </c>
      <c r="I2351" t="s">
        <v>1353</v>
      </c>
      <c r="J2351" t="s">
        <v>344</v>
      </c>
      <c r="K2351">
        <v>0</v>
      </c>
      <c r="L2351" s="6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6">
        <v>0</v>
      </c>
      <c r="S2351" s="6">
        <v>0</v>
      </c>
      <c r="T2351" t="str">
        <f t="shared" si="182"/>
        <v>Maximo Thermo Ayous Rondo Random Lenght 1x6 Random Lenght</v>
      </c>
    </row>
    <row r="2352" spans="1:20" x14ac:dyDescent="0.25">
      <c r="A2352" t="s">
        <v>3083</v>
      </c>
      <c r="B2352" t="s">
        <v>3084</v>
      </c>
      <c r="C2352" t="s">
        <v>283</v>
      </c>
      <c r="D2352" t="s">
        <v>3044</v>
      </c>
      <c r="E2352" t="s">
        <v>3085</v>
      </c>
      <c r="F2352" t="s">
        <v>3086</v>
      </c>
      <c r="G2352" t="s">
        <v>3083</v>
      </c>
      <c r="H2352" t="s">
        <v>373</v>
      </c>
      <c r="I2352" t="s">
        <v>289</v>
      </c>
      <c r="J2352" t="s">
        <v>344</v>
      </c>
      <c r="K2352">
        <v>10</v>
      </c>
      <c r="L2352" s="6">
        <v>3</v>
      </c>
      <c r="M2352" s="7">
        <v>19.049999999999997</v>
      </c>
      <c r="N2352" s="7">
        <v>139.69999999999999</v>
      </c>
      <c r="O2352" s="7">
        <f t="shared" ref="O2352:O2415" si="183">L2352/0.0254</f>
        <v>118.11023622047244</v>
      </c>
      <c r="P2352" s="7">
        <f t="shared" ref="P2352:Q2415" si="184">M2352/25.4</f>
        <v>0.74999999999999989</v>
      </c>
      <c r="Q2352" s="7">
        <f t="shared" si="184"/>
        <v>5.5</v>
      </c>
      <c r="R2352" s="6">
        <f t="shared" ref="R2352:R2415" si="185">ROUND(IFERROR(1/((M2352*N2352*0.3048)/1000000),0),3)</f>
        <v>1232.8030000000001</v>
      </c>
      <c r="S2352" s="6">
        <f t="shared" ref="S2352:S2415" si="186">L2352*M2352/1000*N2352/1000</f>
        <v>7.983854999999998E-3</v>
      </c>
      <c r="T2352" t="str">
        <f t="shared" si="182"/>
        <v>Ironthermo S4S E4E 1x6 Long</v>
      </c>
    </row>
    <row r="2353" spans="1:20" x14ac:dyDescent="0.25">
      <c r="A2353" t="s">
        <v>3083</v>
      </c>
      <c r="B2353" t="s">
        <v>3084</v>
      </c>
      <c r="C2353" t="s">
        <v>283</v>
      </c>
      <c r="D2353" t="s">
        <v>3044</v>
      </c>
      <c r="E2353" t="s">
        <v>3087</v>
      </c>
      <c r="F2353" t="s">
        <v>3086</v>
      </c>
      <c r="G2353" t="s">
        <v>3083</v>
      </c>
      <c r="H2353" t="s">
        <v>373</v>
      </c>
      <c r="I2353" t="s">
        <v>289</v>
      </c>
      <c r="J2353" t="s">
        <v>344</v>
      </c>
      <c r="K2353">
        <v>11</v>
      </c>
      <c r="L2353" s="6">
        <v>3.3</v>
      </c>
      <c r="M2353" s="7">
        <v>19.049999999999997</v>
      </c>
      <c r="N2353" s="7">
        <v>139.69999999999999</v>
      </c>
      <c r="O2353" s="7">
        <f t="shared" si="183"/>
        <v>129.92125984251967</v>
      </c>
      <c r="P2353" s="7">
        <f t="shared" si="184"/>
        <v>0.74999999999999989</v>
      </c>
      <c r="Q2353" s="7">
        <f t="shared" si="184"/>
        <v>5.5</v>
      </c>
      <c r="R2353" s="6">
        <f t="shared" si="185"/>
        <v>1232.8030000000001</v>
      </c>
      <c r="S2353" s="6">
        <f t="shared" si="186"/>
        <v>8.7822404999999982E-3</v>
      </c>
      <c r="T2353" t="str">
        <f t="shared" si="182"/>
        <v>Ironthermo S4S E4E 1x6 Long</v>
      </c>
    </row>
    <row r="2354" spans="1:20" x14ac:dyDescent="0.25">
      <c r="A2354" t="s">
        <v>3083</v>
      </c>
      <c r="B2354" t="s">
        <v>3084</v>
      </c>
      <c r="C2354" t="s">
        <v>283</v>
      </c>
      <c r="D2354" t="s">
        <v>3044</v>
      </c>
      <c r="E2354" t="s">
        <v>3088</v>
      </c>
      <c r="F2354" t="s">
        <v>3086</v>
      </c>
      <c r="G2354" t="s">
        <v>3083</v>
      </c>
      <c r="H2354" t="s">
        <v>373</v>
      </c>
      <c r="I2354" t="s">
        <v>289</v>
      </c>
      <c r="J2354" t="s">
        <v>344</v>
      </c>
      <c r="K2354">
        <v>12</v>
      </c>
      <c r="L2354" s="6">
        <v>3.6</v>
      </c>
      <c r="M2354" s="7">
        <v>19.049999999999997</v>
      </c>
      <c r="N2354" s="7">
        <v>139.69999999999999</v>
      </c>
      <c r="O2354" s="7">
        <f t="shared" si="183"/>
        <v>141.73228346456693</v>
      </c>
      <c r="P2354" s="7">
        <f t="shared" si="184"/>
        <v>0.74999999999999989</v>
      </c>
      <c r="Q2354" s="7">
        <f t="shared" si="184"/>
        <v>5.5</v>
      </c>
      <c r="R2354" s="6">
        <f t="shared" si="185"/>
        <v>1232.8030000000001</v>
      </c>
      <c r="S2354" s="6">
        <f t="shared" si="186"/>
        <v>9.5806259999999983E-3</v>
      </c>
      <c r="T2354" t="str">
        <f t="shared" si="182"/>
        <v>Ironthermo S4S E4E 1x6 Long</v>
      </c>
    </row>
    <row r="2355" spans="1:20" x14ac:dyDescent="0.25">
      <c r="A2355" t="s">
        <v>3083</v>
      </c>
      <c r="B2355" t="s">
        <v>3084</v>
      </c>
      <c r="C2355" t="s">
        <v>283</v>
      </c>
      <c r="D2355" t="s">
        <v>3044</v>
      </c>
      <c r="E2355" t="s">
        <v>3089</v>
      </c>
      <c r="F2355" t="s">
        <v>3086</v>
      </c>
      <c r="G2355" t="s">
        <v>3083</v>
      </c>
      <c r="H2355" t="s">
        <v>373</v>
      </c>
      <c r="I2355" t="s">
        <v>289</v>
      </c>
      <c r="J2355" t="s">
        <v>344</v>
      </c>
      <c r="K2355">
        <v>13</v>
      </c>
      <c r="L2355" s="6">
        <v>3.9</v>
      </c>
      <c r="M2355" s="7">
        <v>19.049999999999997</v>
      </c>
      <c r="N2355" s="7">
        <v>139.69999999999999</v>
      </c>
      <c r="O2355" s="7">
        <f t="shared" si="183"/>
        <v>153.54330708661416</v>
      </c>
      <c r="P2355" s="7">
        <f t="shared" si="184"/>
        <v>0.74999999999999989</v>
      </c>
      <c r="Q2355" s="7">
        <f t="shared" si="184"/>
        <v>5.5</v>
      </c>
      <c r="R2355" s="6">
        <f t="shared" si="185"/>
        <v>1232.8030000000001</v>
      </c>
      <c r="S2355" s="6">
        <f t="shared" si="186"/>
        <v>1.0379011499999997E-2</v>
      </c>
      <c r="T2355" t="str">
        <f t="shared" si="182"/>
        <v>Ironthermo S4S E4E 1x6 Long</v>
      </c>
    </row>
    <row r="2356" spans="1:20" x14ac:dyDescent="0.25">
      <c r="A2356" t="s">
        <v>3083</v>
      </c>
      <c r="B2356" t="s">
        <v>3084</v>
      </c>
      <c r="C2356" t="s">
        <v>283</v>
      </c>
      <c r="D2356" t="s">
        <v>3044</v>
      </c>
      <c r="E2356" t="s">
        <v>3090</v>
      </c>
      <c r="F2356" t="s">
        <v>3086</v>
      </c>
      <c r="G2356" t="s">
        <v>3083</v>
      </c>
      <c r="H2356" t="s">
        <v>373</v>
      </c>
      <c r="I2356" t="s">
        <v>289</v>
      </c>
      <c r="J2356" t="s">
        <v>344</v>
      </c>
      <c r="K2356">
        <v>14</v>
      </c>
      <c r="L2356" s="6">
        <v>4.2</v>
      </c>
      <c r="M2356" s="7">
        <v>19.049999999999997</v>
      </c>
      <c r="N2356" s="7">
        <v>139.69999999999999</v>
      </c>
      <c r="O2356" s="7">
        <f t="shared" si="183"/>
        <v>165.35433070866142</v>
      </c>
      <c r="P2356" s="7">
        <f t="shared" si="184"/>
        <v>0.74999999999999989</v>
      </c>
      <c r="Q2356" s="7">
        <f t="shared" si="184"/>
        <v>5.5</v>
      </c>
      <c r="R2356" s="6">
        <f t="shared" si="185"/>
        <v>1232.8030000000001</v>
      </c>
      <c r="S2356" s="6">
        <f t="shared" si="186"/>
        <v>1.1177396999999999E-2</v>
      </c>
      <c r="T2356" t="str">
        <f t="shared" si="182"/>
        <v>Ironthermo S4S E4E 1x6 Long</v>
      </c>
    </row>
    <row r="2357" spans="1:20" x14ac:dyDescent="0.25">
      <c r="A2357" t="s">
        <v>3083</v>
      </c>
      <c r="B2357" t="s">
        <v>3084</v>
      </c>
      <c r="C2357" t="s">
        <v>283</v>
      </c>
      <c r="D2357" t="s">
        <v>3044</v>
      </c>
      <c r="E2357" t="s">
        <v>3091</v>
      </c>
      <c r="F2357" t="s">
        <v>3086</v>
      </c>
      <c r="G2357" t="s">
        <v>3083</v>
      </c>
      <c r="H2357" t="s">
        <v>373</v>
      </c>
      <c r="I2357" t="s">
        <v>289</v>
      </c>
      <c r="J2357" t="s">
        <v>344</v>
      </c>
      <c r="K2357">
        <v>15</v>
      </c>
      <c r="L2357" s="6">
        <v>4.5</v>
      </c>
      <c r="M2357" s="7">
        <v>19.049999999999997</v>
      </c>
      <c r="N2357" s="7">
        <v>139.69999999999999</v>
      </c>
      <c r="O2357" s="7">
        <f t="shared" si="183"/>
        <v>177.16535433070868</v>
      </c>
      <c r="P2357" s="7">
        <f t="shared" si="184"/>
        <v>0.74999999999999989</v>
      </c>
      <c r="Q2357" s="7">
        <f t="shared" si="184"/>
        <v>5.5</v>
      </c>
      <c r="R2357" s="6">
        <f t="shared" si="185"/>
        <v>1232.8030000000001</v>
      </c>
      <c r="S2357" s="6">
        <f t="shared" si="186"/>
        <v>1.1975782499999997E-2</v>
      </c>
      <c r="T2357" t="str">
        <f t="shared" si="182"/>
        <v>Ironthermo S4S E4E 1x6 Long</v>
      </c>
    </row>
    <row r="2358" spans="1:20" x14ac:dyDescent="0.25">
      <c r="A2358" t="s">
        <v>3083</v>
      </c>
      <c r="B2358" t="s">
        <v>3084</v>
      </c>
      <c r="C2358" t="s">
        <v>283</v>
      </c>
      <c r="D2358" t="s">
        <v>3044</v>
      </c>
      <c r="E2358" t="s">
        <v>3092</v>
      </c>
      <c r="F2358" t="s">
        <v>3086</v>
      </c>
      <c r="G2358" t="s">
        <v>3083</v>
      </c>
      <c r="H2358" t="s">
        <v>373</v>
      </c>
      <c r="I2358" t="s">
        <v>289</v>
      </c>
      <c r="J2358" t="s">
        <v>344</v>
      </c>
      <c r="K2358">
        <v>16</v>
      </c>
      <c r="L2358" s="6">
        <v>4.8</v>
      </c>
      <c r="M2358" s="7">
        <v>19.049999999999997</v>
      </c>
      <c r="N2358" s="7">
        <v>139.69999999999999</v>
      </c>
      <c r="O2358" s="7">
        <f t="shared" si="183"/>
        <v>188.97637795275591</v>
      </c>
      <c r="P2358" s="7">
        <f t="shared" si="184"/>
        <v>0.74999999999999989</v>
      </c>
      <c r="Q2358" s="7">
        <f t="shared" si="184"/>
        <v>5.5</v>
      </c>
      <c r="R2358" s="6">
        <f t="shared" si="185"/>
        <v>1232.8030000000001</v>
      </c>
      <c r="S2358" s="6">
        <f t="shared" si="186"/>
        <v>1.2774167999999995E-2</v>
      </c>
      <c r="T2358" t="str">
        <f t="shared" si="182"/>
        <v>Ironthermo S4S E4E 1x6 Long</v>
      </c>
    </row>
    <row r="2359" spans="1:20" x14ac:dyDescent="0.25">
      <c r="A2359" t="s">
        <v>3083</v>
      </c>
      <c r="B2359" t="s">
        <v>3084</v>
      </c>
      <c r="C2359" t="s">
        <v>283</v>
      </c>
      <c r="D2359" t="s">
        <v>3044</v>
      </c>
      <c r="E2359" t="s">
        <v>3093</v>
      </c>
      <c r="F2359" t="s">
        <v>3086</v>
      </c>
      <c r="G2359" t="s">
        <v>3083</v>
      </c>
      <c r="H2359" t="s">
        <v>373</v>
      </c>
      <c r="I2359" t="s">
        <v>289</v>
      </c>
      <c r="J2359" t="s">
        <v>344</v>
      </c>
      <c r="K2359">
        <v>17</v>
      </c>
      <c r="L2359" s="6">
        <v>5.0999999999999996</v>
      </c>
      <c r="M2359" s="7">
        <v>19.049999999999997</v>
      </c>
      <c r="N2359" s="7">
        <v>139.69999999999999</v>
      </c>
      <c r="O2359" s="7">
        <f t="shared" si="183"/>
        <v>200.78740157480314</v>
      </c>
      <c r="P2359" s="7">
        <f t="shared" si="184"/>
        <v>0.74999999999999989</v>
      </c>
      <c r="Q2359" s="7">
        <f t="shared" si="184"/>
        <v>5.5</v>
      </c>
      <c r="R2359" s="6">
        <f t="shared" si="185"/>
        <v>1232.8030000000001</v>
      </c>
      <c r="S2359" s="6">
        <f t="shared" si="186"/>
        <v>1.3572553499999996E-2</v>
      </c>
      <c r="T2359" t="str">
        <f t="shared" si="182"/>
        <v>Ironthermo S4S E4E 1x6 Long</v>
      </c>
    </row>
    <row r="2360" spans="1:20" x14ac:dyDescent="0.25">
      <c r="A2360" t="s">
        <v>3083</v>
      </c>
      <c r="B2360" t="s">
        <v>3084</v>
      </c>
      <c r="C2360" t="s">
        <v>283</v>
      </c>
      <c r="D2360" t="s">
        <v>3044</v>
      </c>
      <c r="E2360" t="s">
        <v>3094</v>
      </c>
      <c r="F2360" t="s">
        <v>3086</v>
      </c>
      <c r="G2360" t="s">
        <v>3083</v>
      </c>
      <c r="H2360" t="s">
        <v>373</v>
      </c>
      <c r="I2360" t="s">
        <v>289</v>
      </c>
      <c r="J2360" t="s">
        <v>344</v>
      </c>
      <c r="K2360">
        <v>18</v>
      </c>
      <c r="L2360" s="6">
        <v>5.4</v>
      </c>
      <c r="M2360" s="7">
        <v>19.049999999999997</v>
      </c>
      <c r="N2360" s="7">
        <v>139.69999999999999</v>
      </c>
      <c r="O2360" s="7">
        <f t="shared" si="183"/>
        <v>212.59842519685043</v>
      </c>
      <c r="P2360" s="7">
        <f t="shared" si="184"/>
        <v>0.74999999999999989</v>
      </c>
      <c r="Q2360" s="7">
        <f t="shared" si="184"/>
        <v>5.5</v>
      </c>
      <c r="R2360" s="6">
        <f t="shared" si="185"/>
        <v>1232.8030000000001</v>
      </c>
      <c r="S2360" s="6">
        <f t="shared" si="186"/>
        <v>1.4370938999999998E-2</v>
      </c>
      <c r="T2360" t="str">
        <f t="shared" si="182"/>
        <v>Ironthermo S4S E4E 1x6 Long</v>
      </c>
    </row>
    <row r="2361" spans="1:20" x14ac:dyDescent="0.25">
      <c r="A2361" t="s">
        <v>3083</v>
      </c>
      <c r="B2361" t="s">
        <v>3084</v>
      </c>
      <c r="C2361" t="s">
        <v>283</v>
      </c>
      <c r="D2361" t="s">
        <v>3044</v>
      </c>
      <c r="E2361" t="s">
        <v>3095</v>
      </c>
      <c r="F2361" t="s">
        <v>3086</v>
      </c>
      <c r="G2361" t="s">
        <v>3083</v>
      </c>
      <c r="H2361" t="s">
        <v>373</v>
      </c>
      <c r="I2361" t="s">
        <v>289</v>
      </c>
      <c r="J2361" t="s">
        <v>344</v>
      </c>
      <c r="K2361">
        <v>19</v>
      </c>
      <c r="L2361" s="6">
        <v>5.7</v>
      </c>
      <c r="M2361" s="7">
        <v>19.049999999999997</v>
      </c>
      <c r="N2361" s="7">
        <v>139.69999999999999</v>
      </c>
      <c r="O2361" s="7">
        <f t="shared" si="183"/>
        <v>224.40944881889766</v>
      </c>
      <c r="P2361" s="7">
        <f t="shared" si="184"/>
        <v>0.74999999999999989</v>
      </c>
      <c r="Q2361" s="7">
        <f t="shared" si="184"/>
        <v>5.5</v>
      </c>
      <c r="R2361" s="6">
        <f t="shared" si="185"/>
        <v>1232.8030000000001</v>
      </c>
      <c r="S2361" s="6">
        <f t="shared" si="186"/>
        <v>1.5169324499999996E-2</v>
      </c>
      <c r="T2361" t="str">
        <f t="shared" si="182"/>
        <v>Ironthermo S4S E4E 1x6 Long</v>
      </c>
    </row>
    <row r="2362" spans="1:20" x14ac:dyDescent="0.25">
      <c r="A2362" t="s">
        <v>3083</v>
      </c>
      <c r="B2362" t="s">
        <v>3084</v>
      </c>
      <c r="C2362" t="s">
        <v>283</v>
      </c>
      <c r="D2362" t="s">
        <v>3044</v>
      </c>
      <c r="E2362" t="s">
        <v>3096</v>
      </c>
      <c r="F2362" t="s">
        <v>3086</v>
      </c>
      <c r="G2362" t="s">
        <v>3083</v>
      </c>
      <c r="H2362" t="s">
        <v>373</v>
      </c>
      <c r="I2362" t="s">
        <v>289</v>
      </c>
      <c r="J2362" t="s">
        <v>344</v>
      </c>
      <c r="K2362">
        <v>20</v>
      </c>
      <c r="L2362" s="6">
        <v>6</v>
      </c>
      <c r="M2362" s="7">
        <v>19.049999999999997</v>
      </c>
      <c r="N2362" s="7">
        <v>139.69999999999999</v>
      </c>
      <c r="O2362" s="7">
        <f t="shared" si="183"/>
        <v>236.22047244094489</v>
      </c>
      <c r="P2362" s="7">
        <f t="shared" si="184"/>
        <v>0.74999999999999989</v>
      </c>
      <c r="Q2362" s="7">
        <f t="shared" si="184"/>
        <v>5.5</v>
      </c>
      <c r="R2362" s="6">
        <f t="shared" si="185"/>
        <v>1232.8030000000001</v>
      </c>
      <c r="S2362" s="6">
        <f t="shared" si="186"/>
        <v>1.5967709999999996E-2</v>
      </c>
      <c r="T2362" t="str">
        <f t="shared" si="182"/>
        <v>Ironthermo S4S E4E 1x6 Long</v>
      </c>
    </row>
    <row r="2363" spans="1:20" x14ac:dyDescent="0.25">
      <c r="A2363" t="s">
        <v>3083</v>
      </c>
      <c r="B2363" t="s">
        <v>3084</v>
      </c>
      <c r="C2363" t="s">
        <v>524</v>
      </c>
      <c r="D2363" t="s">
        <v>3044</v>
      </c>
      <c r="E2363" t="s">
        <v>3097</v>
      </c>
      <c r="F2363" t="s">
        <v>3086</v>
      </c>
      <c r="G2363" t="s">
        <v>3083</v>
      </c>
      <c r="H2363" t="s">
        <v>373</v>
      </c>
      <c r="I2363" t="s">
        <v>289</v>
      </c>
      <c r="J2363" t="s">
        <v>344</v>
      </c>
      <c r="K2363">
        <v>4</v>
      </c>
      <c r="L2363" s="6">
        <v>1.2</v>
      </c>
      <c r="M2363" s="7">
        <v>19.049999999999997</v>
      </c>
      <c r="N2363" s="7">
        <v>139.69999999999999</v>
      </c>
      <c r="O2363" s="7">
        <f t="shared" si="183"/>
        <v>47.244094488188978</v>
      </c>
      <c r="P2363" s="7">
        <f t="shared" si="184"/>
        <v>0.74999999999999989</v>
      </c>
      <c r="Q2363" s="7">
        <f t="shared" si="184"/>
        <v>5.5</v>
      </c>
      <c r="R2363" s="6">
        <f t="shared" si="185"/>
        <v>1232.8030000000001</v>
      </c>
      <c r="S2363" s="6">
        <f t="shared" si="186"/>
        <v>3.1935419999999989E-3</v>
      </c>
      <c r="T2363" t="str">
        <f t="shared" si="182"/>
        <v>Ironthermo S4S E4E 1x6 Short</v>
      </c>
    </row>
    <row r="2364" spans="1:20" x14ac:dyDescent="0.25">
      <c r="A2364" t="s">
        <v>3083</v>
      </c>
      <c r="B2364" t="s">
        <v>3084</v>
      </c>
      <c r="C2364" t="s">
        <v>524</v>
      </c>
      <c r="D2364" t="s">
        <v>3044</v>
      </c>
      <c r="E2364" t="s">
        <v>3098</v>
      </c>
      <c r="F2364" t="s">
        <v>3086</v>
      </c>
      <c r="G2364" t="s">
        <v>3083</v>
      </c>
      <c r="H2364" t="s">
        <v>373</v>
      </c>
      <c r="I2364" t="s">
        <v>289</v>
      </c>
      <c r="J2364" t="s">
        <v>344</v>
      </c>
      <c r="K2364">
        <v>5</v>
      </c>
      <c r="L2364" s="6">
        <v>1.5</v>
      </c>
      <c r="M2364" s="7">
        <v>19.049999999999997</v>
      </c>
      <c r="N2364" s="7">
        <v>139.69999999999999</v>
      </c>
      <c r="O2364" s="7">
        <f t="shared" si="183"/>
        <v>59.055118110236222</v>
      </c>
      <c r="P2364" s="7">
        <f t="shared" si="184"/>
        <v>0.74999999999999989</v>
      </c>
      <c r="Q2364" s="7">
        <f t="shared" si="184"/>
        <v>5.5</v>
      </c>
      <c r="R2364" s="6">
        <f t="shared" si="185"/>
        <v>1232.8030000000001</v>
      </c>
      <c r="S2364" s="6">
        <f t="shared" si="186"/>
        <v>3.991927499999999E-3</v>
      </c>
      <c r="T2364" t="str">
        <f t="shared" si="182"/>
        <v>Ironthermo S4S E4E 1x6 Short</v>
      </c>
    </row>
    <row r="2365" spans="1:20" x14ac:dyDescent="0.25">
      <c r="A2365" t="s">
        <v>3083</v>
      </c>
      <c r="B2365" t="s">
        <v>3084</v>
      </c>
      <c r="C2365" t="s">
        <v>524</v>
      </c>
      <c r="D2365" t="s">
        <v>3044</v>
      </c>
      <c r="E2365" t="s">
        <v>3099</v>
      </c>
      <c r="F2365" t="s">
        <v>3086</v>
      </c>
      <c r="G2365" t="s">
        <v>3083</v>
      </c>
      <c r="H2365" t="s">
        <v>373</v>
      </c>
      <c r="I2365" t="s">
        <v>289</v>
      </c>
      <c r="J2365" t="s">
        <v>344</v>
      </c>
      <c r="K2365">
        <v>6</v>
      </c>
      <c r="L2365" s="6">
        <v>1.8</v>
      </c>
      <c r="M2365" s="7">
        <v>19.049999999999997</v>
      </c>
      <c r="N2365" s="7">
        <v>139.69999999999999</v>
      </c>
      <c r="O2365" s="7">
        <f t="shared" si="183"/>
        <v>70.866141732283467</v>
      </c>
      <c r="P2365" s="7">
        <f t="shared" si="184"/>
        <v>0.74999999999999989</v>
      </c>
      <c r="Q2365" s="7">
        <f t="shared" si="184"/>
        <v>5.5</v>
      </c>
      <c r="R2365" s="6">
        <f t="shared" si="185"/>
        <v>1232.8030000000001</v>
      </c>
      <c r="S2365" s="6">
        <f t="shared" si="186"/>
        <v>4.7903129999999992E-3</v>
      </c>
      <c r="T2365" t="str">
        <f t="shared" si="182"/>
        <v>Ironthermo S4S E4E 1x6 Short</v>
      </c>
    </row>
    <row r="2366" spans="1:20" x14ac:dyDescent="0.25">
      <c r="A2366" t="s">
        <v>3083</v>
      </c>
      <c r="B2366" t="s">
        <v>3084</v>
      </c>
      <c r="C2366" t="s">
        <v>524</v>
      </c>
      <c r="D2366" t="s">
        <v>3044</v>
      </c>
      <c r="E2366" t="s">
        <v>3100</v>
      </c>
      <c r="F2366" t="s">
        <v>3086</v>
      </c>
      <c r="G2366" t="s">
        <v>3083</v>
      </c>
      <c r="H2366" t="s">
        <v>373</v>
      </c>
      <c r="I2366" t="s">
        <v>289</v>
      </c>
      <c r="J2366" t="s">
        <v>344</v>
      </c>
      <c r="K2366">
        <v>7</v>
      </c>
      <c r="L2366" s="6">
        <v>2.1</v>
      </c>
      <c r="M2366" s="7">
        <v>19.049999999999997</v>
      </c>
      <c r="N2366" s="7">
        <v>139.69999999999999</v>
      </c>
      <c r="O2366" s="7">
        <f t="shared" si="183"/>
        <v>82.677165354330711</v>
      </c>
      <c r="P2366" s="7">
        <f t="shared" si="184"/>
        <v>0.74999999999999989</v>
      </c>
      <c r="Q2366" s="7">
        <f t="shared" si="184"/>
        <v>5.5</v>
      </c>
      <c r="R2366" s="6">
        <f t="shared" si="185"/>
        <v>1232.8030000000001</v>
      </c>
      <c r="S2366" s="6">
        <f t="shared" si="186"/>
        <v>5.5886984999999993E-3</v>
      </c>
      <c r="T2366" t="str">
        <f t="shared" si="182"/>
        <v>Ironthermo S4S E4E 1x6 Short</v>
      </c>
    </row>
    <row r="2367" spans="1:20" x14ac:dyDescent="0.25">
      <c r="A2367" t="s">
        <v>3083</v>
      </c>
      <c r="B2367" t="s">
        <v>3084</v>
      </c>
      <c r="C2367" t="s">
        <v>283</v>
      </c>
      <c r="D2367" t="s">
        <v>3044</v>
      </c>
      <c r="E2367" t="s">
        <v>3101</v>
      </c>
      <c r="F2367" t="s">
        <v>3086</v>
      </c>
      <c r="G2367" t="s">
        <v>3083</v>
      </c>
      <c r="H2367" t="s">
        <v>373</v>
      </c>
      <c r="I2367" t="s">
        <v>289</v>
      </c>
      <c r="J2367" t="s">
        <v>344</v>
      </c>
      <c r="K2367">
        <v>8</v>
      </c>
      <c r="L2367" s="6">
        <v>2.4</v>
      </c>
      <c r="M2367" s="7">
        <v>19.049999999999997</v>
      </c>
      <c r="N2367" s="7">
        <v>139.69999999999999</v>
      </c>
      <c r="O2367" s="7">
        <f t="shared" si="183"/>
        <v>94.488188976377955</v>
      </c>
      <c r="P2367" s="7">
        <f t="shared" si="184"/>
        <v>0.74999999999999989</v>
      </c>
      <c r="Q2367" s="7">
        <f t="shared" si="184"/>
        <v>5.5</v>
      </c>
      <c r="R2367" s="6">
        <f t="shared" si="185"/>
        <v>1232.8030000000001</v>
      </c>
      <c r="S2367" s="6">
        <f t="shared" si="186"/>
        <v>6.3870839999999977E-3</v>
      </c>
      <c r="T2367" t="str">
        <f t="shared" si="182"/>
        <v>Ironthermo S4S E4E 1x6 Long</v>
      </c>
    </row>
    <row r="2368" spans="1:20" x14ac:dyDescent="0.25">
      <c r="A2368" t="s">
        <v>3083</v>
      </c>
      <c r="B2368" t="s">
        <v>3084</v>
      </c>
      <c r="C2368" t="s">
        <v>283</v>
      </c>
      <c r="D2368" t="s">
        <v>3044</v>
      </c>
      <c r="E2368" t="s">
        <v>3102</v>
      </c>
      <c r="F2368" t="s">
        <v>3086</v>
      </c>
      <c r="G2368" t="s">
        <v>3083</v>
      </c>
      <c r="H2368" t="s">
        <v>373</v>
      </c>
      <c r="I2368" t="s">
        <v>289</v>
      </c>
      <c r="J2368" t="s">
        <v>344</v>
      </c>
      <c r="K2368">
        <v>9</v>
      </c>
      <c r="L2368" s="6">
        <v>2.7</v>
      </c>
      <c r="M2368" s="7">
        <v>19.049999999999997</v>
      </c>
      <c r="N2368" s="7">
        <v>139.69999999999999</v>
      </c>
      <c r="O2368" s="7">
        <f t="shared" si="183"/>
        <v>106.29921259842521</v>
      </c>
      <c r="P2368" s="7">
        <f t="shared" si="184"/>
        <v>0.74999999999999989</v>
      </c>
      <c r="Q2368" s="7">
        <f t="shared" si="184"/>
        <v>5.5</v>
      </c>
      <c r="R2368" s="6">
        <f t="shared" si="185"/>
        <v>1232.8030000000001</v>
      </c>
      <c r="S2368" s="6">
        <f t="shared" si="186"/>
        <v>7.1854694999999988E-3</v>
      </c>
      <c r="T2368" t="str">
        <f t="shared" si="182"/>
        <v>Ironthermo S4S E4E 1x6 Long</v>
      </c>
    </row>
    <row r="2369" spans="1:20" x14ac:dyDescent="0.25">
      <c r="A2369" t="s">
        <v>3063</v>
      </c>
      <c r="B2369" t="s">
        <v>3103</v>
      </c>
      <c r="C2369" t="s">
        <v>283</v>
      </c>
      <c r="D2369" t="s">
        <v>3044</v>
      </c>
      <c r="E2369" t="s">
        <v>3104</v>
      </c>
      <c r="F2369" t="s">
        <v>3105</v>
      </c>
      <c r="G2369" t="s">
        <v>3068</v>
      </c>
      <c r="H2369" t="s">
        <v>3106</v>
      </c>
      <c r="I2369" t="s">
        <v>289</v>
      </c>
      <c r="J2369" t="s">
        <v>3107</v>
      </c>
      <c r="K2369">
        <v>10</v>
      </c>
      <c r="L2369" s="6">
        <v>3</v>
      </c>
      <c r="M2369" s="7">
        <v>21</v>
      </c>
      <c r="N2369" s="7">
        <v>130</v>
      </c>
      <c r="O2369" s="7">
        <f t="shared" si="183"/>
        <v>118.11023622047244</v>
      </c>
      <c r="P2369" s="7">
        <f t="shared" si="184"/>
        <v>0.82677165354330717</v>
      </c>
      <c r="Q2369" s="7">
        <f t="shared" si="184"/>
        <v>5.1181102362204731</v>
      </c>
      <c r="R2369" s="6">
        <f t="shared" si="185"/>
        <v>1201.7729999999999</v>
      </c>
      <c r="S2369" s="6">
        <f t="shared" si="186"/>
        <v>8.1899999999999994E-3</v>
      </c>
      <c r="T2369" t="str">
        <f t="shared" si="182"/>
        <v>Maximo Thermo Ash S4S E4E End Match 1x5 1/4 Long</v>
      </c>
    </row>
    <row r="2370" spans="1:20" x14ac:dyDescent="0.25">
      <c r="A2370" t="s">
        <v>3063</v>
      </c>
      <c r="B2370" t="s">
        <v>3103</v>
      </c>
      <c r="C2370" t="s">
        <v>283</v>
      </c>
      <c r="D2370" t="s">
        <v>3044</v>
      </c>
      <c r="E2370" t="s">
        <v>3108</v>
      </c>
      <c r="F2370" t="s">
        <v>3105</v>
      </c>
      <c r="G2370" t="s">
        <v>3068</v>
      </c>
      <c r="H2370" t="s">
        <v>3106</v>
      </c>
      <c r="I2370" t="s">
        <v>289</v>
      </c>
      <c r="J2370" t="s">
        <v>3107</v>
      </c>
      <c r="K2370">
        <v>11</v>
      </c>
      <c r="L2370" s="6">
        <v>3.3</v>
      </c>
      <c r="M2370" s="7">
        <v>21</v>
      </c>
      <c r="N2370" s="7">
        <v>130</v>
      </c>
      <c r="O2370" s="7">
        <f t="shared" si="183"/>
        <v>129.92125984251967</v>
      </c>
      <c r="P2370" s="7">
        <f t="shared" si="184"/>
        <v>0.82677165354330717</v>
      </c>
      <c r="Q2370" s="7">
        <f t="shared" si="184"/>
        <v>5.1181102362204731</v>
      </c>
      <c r="R2370" s="6">
        <f t="shared" si="185"/>
        <v>1201.7729999999999</v>
      </c>
      <c r="S2370" s="6">
        <f t="shared" si="186"/>
        <v>9.0089999999999996E-3</v>
      </c>
      <c r="T2370" t="str">
        <f t="shared" ref="T2370:T2433" si="187">F2370&amp;" "&amp;C2370</f>
        <v>Maximo Thermo Ash S4S E4E End Match 1x5 1/4 Long</v>
      </c>
    </row>
    <row r="2371" spans="1:20" x14ac:dyDescent="0.25">
      <c r="A2371" t="s">
        <v>3063</v>
      </c>
      <c r="B2371" t="s">
        <v>3103</v>
      </c>
      <c r="C2371" t="s">
        <v>283</v>
      </c>
      <c r="D2371" t="s">
        <v>3044</v>
      </c>
      <c r="E2371" t="s">
        <v>3109</v>
      </c>
      <c r="F2371" t="s">
        <v>3105</v>
      </c>
      <c r="G2371" t="s">
        <v>3068</v>
      </c>
      <c r="H2371" t="s">
        <v>3106</v>
      </c>
      <c r="I2371" t="s">
        <v>289</v>
      </c>
      <c r="J2371" t="s">
        <v>3107</v>
      </c>
      <c r="K2371">
        <v>12</v>
      </c>
      <c r="L2371" s="6">
        <v>3.6</v>
      </c>
      <c r="M2371" s="7">
        <v>21</v>
      </c>
      <c r="N2371" s="7">
        <v>130</v>
      </c>
      <c r="O2371" s="7">
        <f t="shared" si="183"/>
        <v>141.73228346456693</v>
      </c>
      <c r="P2371" s="7">
        <f t="shared" si="184"/>
        <v>0.82677165354330717</v>
      </c>
      <c r="Q2371" s="7">
        <f t="shared" si="184"/>
        <v>5.1181102362204731</v>
      </c>
      <c r="R2371" s="6">
        <f t="shared" si="185"/>
        <v>1201.7729999999999</v>
      </c>
      <c r="S2371" s="6">
        <f t="shared" si="186"/>
        <v>9.8280000000000017E-3</v>
      </c>
      <c r="T2371" t="str">
        <f t="shared" si="187"/>
        <v>Maximo Thermo Ash S4S E4E End Match 1x5 1/4 Long</v>
      </c>
    </row>
    <row r="2372" spans="1:20" x14ac:dyDescent="0.25">
      <c r="A2372" t="s">
        <v>3063</v>
      </c>
      <c r="B2372" t="s">
        <v>3103</v>
      </c>
      <c r="C2372" t="s">
        <v>283</v>
      </c>
      <c r="D2372" t="s">
        <v>3044</v>
      </c>
      <c r="E2372" t="s">
        <v>3110</v>
      </c>
      <c r="F2372" t="s">
        <v>3105</v>
      </c>
      <c r="G2372" t="s">
        <v>3068</v>
      </c>
      <c r="H2372" t="s">
        <v>3106</v>
      </c>
      <c r="I2372" t="s">
        <v>289</v>
      </c>
      <c r="J2372" t="s">
        <v>3107</v>
      </c>
      <c r="K2372">
        <v>13</v>
      </c>
      <c r="L2372" s="6">
        <v>3.9</v>
      </c>
      <c r="M2372" s="7">
        <v>21</v>
      </c>
      <c r="N2372" s="7">
        <v>130</v>
      </c>
      <c r="O2372" s="7">
        <f t="shared" si="183"/>
        <v>153.54330708661416</v>
      </c>
      <c r="P2372" s="7">
        <f t="shared" si="184"/>
        <v>0.82677165354330717</v>
      </c>
      <c r="Q2372" s="7">
        <f t="shared" si="184"/>
        <v>5.1181102362204731</v>
      </c>
      <c r="R2372" s="6">
        <f t="shared" si="185"/>
        <v>1201.7729999999999</v>
      </c>
      <c r="S2372" s="6">
        <f t="shared" si="186"/>
        <v>1.0646999999999998E-2</v>
      </c>
      <c r="T2372" t="str">
        <f t="shared" si="187"/>
        <v>Maximo Thermo Ash S4S E4E End Match 1x5 1/4 Long</v>
      </c>
    </row>
    <row r="2373" spans="1:20" x14ac:dyDescent="0.25">
      <c r="A2373" t="s">
        <v>3063</v>
      </c>
      <c r="B2373" t="s">
        <v>3103</v>
      </c>
      <c r="C2373" t="s">
        <v>283</v>
      </c>
      <c r="D2373" t="s">
        <v>3044</v>
      </c>
      <c r="E2373" t="s">
        <v>3111</v>
      </c>
      <c r="F2373" t="s">
        <v>3105</v>
      </c>
      <c r="G2373" t="s">
        <v>3068</v>
      </c>
      <c r="H2373" t="s">
        <v>3106</v>
      </c>
      <c r="I2373" t="s">
        <v>289</v>
      </c>
      <c r="J2373" t="s">
        <v>3107</v>
      </c>
      <c r="K2373">
        <v>14</v>
      </c>
      <c r="L2373" s="6">
        <v>4.2</v>
      </c>
      <c r="M2373" s="7">
        <v>21</v>
      </c>
      <c r="N2373" s="7">
        <v>130</v>
      </c>
      <c r="O2373" s="7">
        <f t="shared" si="183"/>
        <v>165.35433070866142</v>
      </c>
      <c r="P2373" s="7">
        <f t="shared" si="184"/>
        <v>0.82677165354330717</v>
      </c>
      <c r="Q2373" s="7">
        <f t="shared" si="184"/>
        <v>5.1181102362204731</v>
      </c>
      <c r="R2373" s="6">
        <f t="shared" si="185"/>
        <v>1201.7729999999999</v>
      </c>
      <c r="S2373" s="6">
        <f t="shared" si="186"/>
        <v>1.1465999999999999E-2</v>
      </c>
      <c r="T2373" t="str">
        <f t="shared" si="187"/>
        <v>Maximo Thermo Ash S4S E4E End Match 1x5 1/4 Long</v>
      </c>
    </row>
    <row r="2374" spans="1:20" x14ac:dyDescent="0.25">
      <c r="A2374" t="s">
        <v>3063</v>
      </c>
      <c r="B2374" t="s">
        <v>3103</v>
      </c>
      <c r="C2374" t="s">
        <v>283</v>
      </c>
      <c r="D2374" t="s">
        <v>3044</v>
      </c>
      <c r="E2374" t="s">
        <v>3112</v>
      </c>
      <c r="F2374" t="s">
        <v>3105</v>
      </c>
      <c r="G2374" t="s">
        <v>3068</v>
      </c>
      <c r="H2374" t="s">
        <v>3106</v>
      </c>
      <c r="I2374" t="s">
        <v>289</v>
      </c>
      <c r="J2374" t="s">
        <v>3107</v>
      </c>
      <c r="K2374">
        <v>15</v>
      </c>
      <c r="L2374" s="6">
        <v>4.5</v>
      </c>
      <c r="M2374" s="7">
        <v>21</v>
      </c>
      <c r="N2374" s="7">
        <v>130</v>
      </c>
      <c r="O2374" s="7">
        <f t="shared" si="183"/>
        <v>177.16535433070868</v>
      </c>
      <c r="P2374" s="7">
        <f t="shared" si="184"/>
        <v>0.82677165354330717</v>
      </c>
      <c r="Q2374" s="7">
        <f t="shared" si="184"/>
        <v>5.1181102362204731</v>
      </c>
      <c r="R2374" s="6">
        <f t="shared" si="185"/>
        <v>1201.7729999999999</v>
      </c>
      <c r="S2374" s="6">
        <f t="shared" si="186"/>
        <v>1.2285000000000001E-2</v>
      </c>
      <c r="T2374" t="str">
        <f t="shared" si="187"/>
        <v>Maximo Thermo Ash S4S E4E End Match 1x5 1/4 Long</v>
      </c>
    </row>
    <row r="2375" spans="1:20" x14ac:dyDescent="0.25">
      <c r="A2375" t="s">
        <v>3063</v>
      </c>
      <c r="B2375" t="s">
        <v>3103</v>
      </c>
      <c r="C2375" t="s">
        <v>283</v>
      </c>
      <c r="D2375" t="s">
        <v>3044</v>
      </c>
      <c r="E2375" t="s">
        <v>3113</v>
      </c>
      <c r="F2375" t="s">
        <v>3105</v>
      </c>
      <c r="G2375" t="s">
        <v>3068</v>
      </c>
      <c r="H2375" t="s">
        <v>3106</v>
      </c>
      <c r="I2375" t="s">
        <v>289</v>
      </c>
      <c r="J2375" t="s">
        <v>3107</v>
      </c>
      <c r="K2375">
        <v>16</v>
      </c>
      <c r="L2375" s="6">
        <v>4.8</v>
      </c>
      <c r="M2375" s="7">
        <v>21</v>
      </c>
      <c r="N2375" s="7">
        <v>130</v>
      </c>
      <c r="O2375" s="7">
        <f t="shared" si="183"/>
        <v>188.97637795275591</v>
      </c>
      <c r="P2375" s="7">
        <f t="shared" si="184"/>
        <v>0.82677165354330717</v>
      </c>
      <c r="Q2375" s="7">
        <f t="shared" si="184"/>
        <v>5.1181102362204731</v>
      </c>
      <c r="R2375" s="6">
        <f t="shared" si="185"/>
        <v>1201.7729999999999</v>
      </c>
      <c r="S2375" s="6">
        <f t="shared" si="186"/>
        <v>1.3103999999999999E-2</v>
      </c>
      <c r="T2375" t="str">
        <f t="shared" si="187"/>
        <v>Maximo Thermo Ash S4S E4E End Match 1x5 1/4 Long</v>
      </c>
    </row>
    <row r="2376" spans="1:20" x14ac:dyDescent="0.25">
      <c r="A2376" t="s">
        <v>3063</v>
      </c>
      <c r="B2376" t="s">
        <v>3103</v>
      </c>
      <c r="C2376" t="s">
        <v>283</v>
      </c>
      <c r="D2376" t="s">
        <v>3044</v>
      </c>
      <c r="E2376" t="s">
        <v>3114</v>
      </c>
      <c r="F2376" t="s">
        <v>3105</v>
      </c>
      <c r="G2376" t="s">
        <v>3068</v>
      </c>
      <c r="H2376" t="s">
        <v>3106</v>
      </c>
      <c r="I2376" t="s">
        <v>289</v>
      </c>
      <c r="J2376" t="s">
        <v>3107</v>
      </c>
      <c r="K2376">
        <v>17</v>
      </c>
      <c r="L2376" s="6">
        <v>5.0999999999999996</v>
      </c>
      <c r="M2376" s="7">
        <v>21</v>
      </c>
      <c r="N2376" s="7">
        <v>130</v>
      </c>
      <c r="O2376" s="7">
        <f t="shared" si="183"/>
        <v>200.78740157480314</v>
      </c>
      <c r="P2376" s="7">
        <f t="shared" si="184"/>
        <v>0.82677165354330717</v>
      </c>
      <c r="Q2376" s="7">
        <f t="shared" si="184"/>
        <v>5.1181102362204731</v>
      </c>
      <c r="R2376" s="6">
        <f t="shared" si="185"/>
        <v>1201.7729999999999</v>
      </c>
      <c r="S2376" s="6">
        <f t="shared" si="186"/>
        <v>1.3923E-2</v>
      </c>
      <c r="T2376" t="str">
        <f t="shared" si="187"/>
        <v>Maximo Thermo Ash S4S E4E End Match 1x5 1/4 Long</v>
      </c>
    </row>
    <row r="2377" spans="1:20" x14ac:dyDescent="0.25">
      <c r="A2377" t="s">
        <v>3063</v>
      </c>
      <c r="B2377" t="s">
        <v>3103</v>
      </c>
      <c r="C2377" t="s">
        <v>283</v>
      </c>
      <c r="D2377" t="s">
        <v>3044</v>
      </c>
      <c r="E2377" t="s">
        <v>3115</v>
      </c>
      <c r="F2377" t="s">
        <v>3105</v>
      </c>
      <c r="G2377" t="s">
        <v>3068</v>
      </c>
      <c r="H2377" t="s">
        <v>3106</v>
      </c>
      <c r="I2377" t="s">
        <v>289</v>
      </c>
      <c r="J2377" t="s">
        <v>3107</v>
      </c>
      <c r="K2377">
        <v>18</v>
      </c>
      <c r="L2377" s="6">
        <v>5.4</v>
      </c>
      <c r="M2377" s="7">
        <v>21</v>
      </c>
      <c r="N2377" s="7">
        <v>130</v>
      </c>
      <c r="O2377" s="7">
        <f t="shared" si="183"/>
        <v>212.59842519685043</v>
      </c>
      <c r="P2377" s="7">
        <f t="shared" si="184"/>
        <v>0.82677165354330717</v>
      </c>
      <c r="Q2377" s="7">
        <f t="shared" si="184"/>
        <v>5.1181102362204731</v>
      </c>
      <c r="R2377" s="6">
        <f t="shared" si="185"/>
        <v>1201.7729999999999</v>
      </c>
      <c r="S2377" s="6">
        <f t="shared" si="186"/>
        <v>1.4742000000000002E-2</v>
      </c>
      <c r="T2377" t="str">
        <f t="shared" si="187"/>
        <v>Maximo Thermo Ash S4S E4E End Match 1x5 1/4 Long</v>
      </c>
    </row>
    <row r="2378" spans="1:20" x14ac:dyDescent="0.25">
      <c r="A2378" t="s">
        <v>3063</v>
      </c>
      <c r="B2378" t="s">
        <v>3103</v>
      </c>
      <c r="C2378" t="s">
        <v>524</v>
      </c>
      <c r="D2378" t="s">
        <v>3044</v>
      </c>
      <c r="E2378" t="s">
        <v>3116</v>
      </c>
      <c r="F2378" t="s">
        <v>3105</v>
      </c>
      <c r="G2378" t="s">
        <v>3068</v>
      </c>
      <c r="H2378" t="s">
        <v>3106</v>
      </c>
      <c r="I2378" t="s">
        <v>289</v>
      </c>
      <c r="J2378" t="s">
        <v>3107</v>
      </c>
      <c r="K2378">
        <v>4</v>
      </c>
      <c r="L2378" s="6">
        <v>1.2</v>
      </c>
      <c r="M2378" s="7">
        <v>21</v>
      </c>
      <c r="N2378" s="7">
        <v>130</v>
      </c>
      <c r="O2378" s="7">
        <f t="shared" si="183"/>
        <v>47.244094488188978</v>
      </c>
      <c r="P2378" s="7">
        <f t="shared" si="184"/>
        <v>0.82677165354330717</v>
      </c>
      <c r="Q2378" s="7">
        <f t="shared" si="184"/>
        <v>5.1181102362204731</v>
      </c>
      <c r="R2378" s="6">
        <f t="shared" si="185"/>
        <v>1201.7729999999999</v>
      </c>
      <c r="S2378" s="6">
        <f t="shared" si="186"/>
        <v>3.2759999999999998E-3</v>
      </c>
      <c r="T2378" t="str">
        <f t="shared" si="187"/>
        <v>Maximo Thermo Ash S4S E4E End Match 1x5 1/4 Short</v>
      </c>
    </row>
    <row r="2379" spans="1:20" x14ac:dyDescent="0.25">
      <c r="A2379" t="s">
        <v>3063</v>
      </c>
      <c r="B2379" t="s">
        <v>3103</v>
      </c>
      <c r="C2379" t="s">
        <v>524</v>
      </c>
      <c r="D2379" t="s">
        <v>3044</v>
      </c>
      <c r="E2379" t="s">
        <v>3117</v>
      </c>
      <c r="F2379" t="s">
        <v>3105</v>
      </c>
      <c r="G2379" t="s">
        <v>3068</v>
      </c>
      <c r="H2379" t="s">
        <v>3106</v>
      </c>
      <c r="I2379" t="s">
        <v>289</v>
      </c>
      <c r="J2379" t="s">
        <v>3107</v>
      </c>
      <c r="K2379">
        <v>5</v>
      </c>
      <c r="L2379" s="6">
        <v>1.5</v>
      </c>
      <c r="M2379" s="7">
        <v>21</v>
      </c>
      <c r="N2379" s="7">
        <v>130</v>
      </c>
      <c r="O2379" s="7">
        <f t="shared" si="183"/>
        <v>59.055118110236222</v>
      </c>
      <c r="P2379" s="7">
        <f t="shared" si="184"/>
        <v>0.82677165354330717</v>
      </c>
      <c r="Q2379" s="7">
        <f t="shared" si="184"/>
        <v>5.1181102362204731</v>
      </c>
      <c r="R2379" s="6">
        <f t="shared" si="185"/>
        <v>1201.7729999999999</v>
      </c>
      <c r="S2379" s="6">
        <f t="shared" si="186"/>
        <v>4.0949999999999997E-3</v>
      </c>
      <c r="T2379" t="str">
        <f t="shared" si="187"/>
        <v>Maximo Thermo Ash S4S E4E End Match 1x5 1/4 Short</v>
      </c>
    </row>
    <row r="2380" spans="1:20" x14ac:dyDescent="0.25">
      <c r="A2380" t="s">
        <v>3063</v>
      </c>
      <c r="B2380" t="s">
        <v>3103</v>
      </c>
      <c r="C2380" t="s">
        <v>524</v>
      </c>
      <c r="D2380" t="s">
        <v>3044</v>
      </c>
      <c r="E2380" t="s">
        <v>3118</v>
      </c>
      <c r="F2380" t="s">
        <v>3105</v>
      </c>
      <c r="G2380" t="s">
        <v>3068</v>
      </c>
      <c r="H2380" t="s">
        <v>3106</v>
      </c>
      <c r="I2380" t="s">
        <v>289</v>
      </c>
      <c r="J2380" t="s">
        <v>3107</v>
      </c>
      <c r="K2380">
        <v>6</v>
      </c>
      <c r="L2380" s="6">
        <v>1.8</v>
      </c>
      <c r="M2380" s="7">
        <v>21</v>
      </c>
      <c r="N2380" s="7">
        <v>130</v>
      </c>
      <c r="O2380" s="7">
        <f t="shared" si="183"/>
        <v>70.866141732283467</v>
      </c>
      <c r="P2380" s="7">
        <f t="shared" si="184"/>
        <v>0.82677165354330717</v>
      </c>
      <c r="Q2380" s="7">
        <f t="shared" si="184"/>
        <v>5.1181102362204731</v>
      </c>
      <c r="R2380" s="6">
        <f t="shared" si="185"/>
        <v>1201.7729999999999</v>
      </c>
      <c r="S2380" s="6">
        <f t="shared" si="186"/>
        <v>4.9140000000000008E-3</v>
      </c>
      <c r="T2380" t="str">
        <f t="shared" si="187"/>
        <v>Maximo Thermo Ash S4S E4E End Match 1x5 1/4 Short</v>
      </c>
    </row>
    <row r="2381" spans="1:20" x14ac:dyDescent="0.25">
      <c r="A2381" t="s">
        <v>3063</v>
      </c>
      <c r="B2381" t="s">
        <v>3103</v>
      </c>
      <c r="C2381" t="s">
        <v>524</v>
      </c>
      <c r="D2381" t="s">
        <v>3044</v>
      </c>
      <c r="E2381" t="s">
        <v>3119</v>
      </c>
      <c r="F2381" t="s">
        <v>3105</v>
      </c>
      <c r="G2381" t="s">
        <v>3068</v>
      </c>
      <c r="H2381" t="s">
        <v>3106</v>
      </c>
      <c r="I2381" t="s">
        <v>289</v>
      </c>
      <c r="J2381" t="s">
        <v>3107</v>
      </c>
      <c r="K2381">
        <v>7</v>
      </c>
      <c r="L2381" s="6">
        <v>2.1</v>
      </c>
      <c r="M2381" s="7">
        <v>21</v>
      </c>
      <c r="N2381" s="7">
        <v>130</v>
      </c>
      <c r="O2381" s="7">
        <f t="shared" si="183"/>
        <v>82.677165354330711</v>
      </c>
      <c r="P2381" s="7">
        <f t="shared" si="184"/>
        <v>0.82677165354330717</v>
      </c>
      <c r="Q2381" s="7">
        <f t="shared" si="184"/>
        <v>5.1181102362204731</v>
      </c>
      <c r="R2381" s="6">
        <f t="shared" si="185"/>
        <v>1201.7729999999999</v>
      </c>
      <c r="S2381" s="6">
        <f t="shared" si="186"/>
        <v>5.7329999999999994E-3</v>
      </c>
      <c r="T2381" t="str">
        <f t="shared" si="187"/>
        <v>Maximo Thermo Ash S4S E4E End Match 1x5 1/4 Short</v>
      </c>
    </row>
    <row r="2382" spans="1:20" x14ac:dyDescent="0.25">
      <c r="A2382" t="s">
        <v>3063</v>
      </c>
      <c r="B2382" t="s">
        <v>3103</v>
      </c>
      <c r="C2382" t="s">
        <v>283</v>
      </c>
      <c r="D2382" t="s">
        <v>3044</v>
      </c>
      <c r="E2382" t="s">
        <v>3120</v>
      </c>
      <c r="F2382" t="s">
        <v>3105</v>
      </c>
      <c r="G2382" t="s">
        <v>3068</v>
      </c>
      <c r="H2382" t="s">
        <v>3106</v>
      </c>
      <c r="I2382" t="s">
        <v>289</v>
      </c>
      <c r="J2382" t="s">
        <v>3107</v>
      </c>
      <c r="K2382">
        <v>8</v>
      </c>
      <c r="L2382" s="6">
        <v>2.4</v>
      </c>
      <c r="M2382" s="7">
        <v>21</v>
      </c>
      <c r="N2382" s="7">
        <v>130</v>
      </c>
      <c r="O2382" s="7">
        <f t="shared" si="183"/>
        <v>94.488188976377955</v>
      </c>
      <c r="P2382" s="7">
        <f t="shared" si="184"/>
        <v>0.82677165354330717</v>
      </c>
      <c r="Q2382" s="7">
        <f t="shared" si="184"/>
        <v>5.1181102362204731</v>
      </c>
      <c r="R2382" s="6">
        <f t="shared" si="185"/>
        <v>1201.7729999999999</v>
      </c>
      <c r="S2382" s="6">
        <f t="shared" si="186"/>
        <v>6.5519999999999997E-3</v>
      </c>
      <c r="T2382" t="str">
        <f t="shared" si="187"/>
        <v>Maximo Thermo Ash S4S E4E End Match 1x5 1/4 Long</v>
      </c>
    </row>
    <row r="2383" spans="1:20" x14ac:dyDescent="0.25">
      <c r="A2383" t="s">
        <v>3063</v>
      </c>
      <c r="B2383" t="s">
        <v>3103</v>
      </c>
      <c r="C2383" t="s">
        <v>283</v>
      </c>
      <c r="D2383" t="s">
        <v>3044</v>
      </c>
      <c r="E2383" t="s">
        <v>3121</v>
      </c>
      <c r="F2383" t="s">
        <v>3105</v>
      </c>
      <c r="G2383" t="s">
        <v>3068</v>
      </c>
      <c r="H2383" t="s">
        <v>3106</v>
      </c>
      <c r="I2383" t="s">
        <v>289</v>
      </c>
      <c r="J2383" t="s">
        <v>3107</v>
      </c>
      <c r="K2383">
        <v>9</v>
      </c>
      <c r="L2383" s="6">
        <v>2.7</v>
      </c>
      <c r="M2383" s="7">
        <v>21</v>
      </c>
      <c r="N2383" s="7">
        <v>130</v>
      </c>
      <c r="O2383" s="7">
        <f t="shared" si="183"/>
        <v>106.29921259842521</v>
      </c>
      <c r="P2383" s="7">
        <f t="shared" si="184"/>
        <v>0.82677165354330717</v>
      </c>
      <c r="Q2383" s="7">
        <f t="shared" si="184"/>
        <v>5.1181102362204731</v>
      </c>
      <c r="R2383" s="6">
        <f t="shared" si="185"/>
        <v>1201.7729999999999</v>
      </c>
      <c r="S2383" s="6">
        <f t="shared" si="186"/>
        <v>7.3710000000000008E-3</v>
      </c>
      <c r="T2383" t="str">
        <f t="shared" si="187"/>
        <v>Maximo Thermo Ash S4S E4E End Match 1x5 1/4 Long</v>
      </c>
    </row>
    <row r="2384" spans="1:20" x14ac:dyDescent="0.25">
      <c r="A2384" t="s">
        <v>3063</v>
      </c>
      <c r="B2384" t="s">
        <v>3064</v>
      </c>
      <c r="C2384" t="s">
        <v>283</v>
      </c>
      <c r="D2384" t="s">
        <v>3044</v>
      </c>
      <c r="E2384" t="s">
        <v>226</v>
      </c>
      <c r="F2384" t="s">
        <v>3122</v>
      </c>
      <c r="G2384" t="s">
        <v>3068</v>
      </c>
      <c r="H2384" t="s">
        <v>3106</v>
      </c>
      <c r="I2384" t="s">
        <v>289</v>
      </c>
      <c r="J2384" t="s">
        <v>637</v>
      </c>
      <c r="K2384">
        <v>10</v>
      </c>
      <c r="L2384" s="6">
        <v>3</v>
      </c>
      <c r="M2384" s="7">
        <v>21</v>
      </c>
      <c r="N2384" s="7">
        <v>140</v>
      </c>
      <c r="O2384" s="7">
        <f t="shared" si="183"/>
        <v>118.11023622047244</v>
      </c>
      <c r="P2384" s="7">
        <f t="shared" si="184"/>
        <v>0.82677165354330717</v>
      </c>
      <c r="Q2384" s="7">
        <f t="shared" si="184"/>
        <v>5.5118110236220472</v>
      </c>
      <c r="R2384" s="6">
        <f t="shared" si="185"/>
        <v>1115.932</v>
      </c>
      <c r="S2384" s="6">
        <f t="shared" si="186"/>
        <v>8.8199999999999997E-3</v>
      </c>
      <c r="T2384" t="str">
        <f t="shared" si="187"/>
        <v>Maximo Thermo Ash S4S E4E End Match 1x6 Plus Long</v>
      </c>
    </row>
    <row r="2385" spans="1:20" x14ac:dyDescent="0.25">
      <c r="A2385" t="s">
        <v>3063</v>
      </c>
      <c r="B2385" t="s">
        <v>3064</v>
      </c>
      <c r="C2385" t="s">
        <v>283</v>
      </c>
      <c r="D2385" t="s">
        <v>3044</v>
      </c>
      <c r="E2385" t="s">
        <v>227</v>
      </c>
      <c r="F2385" t="s">
        <v>3122</v>
      </c>
      <c r="G2385" t="s">
        <v>3068</v>
      </c>
      <c r="H2385" t="s">
        <v>3106</v>
      </c>
      <c r="I2385" t="s">
        <v>289</v>
      </c>
      <c r="J2385" t="s">
        <v>637</v>
      </c>
      <c r="K2385">
        <v>11</v>
      </c>
      <c r="L2385" s="6">
        <v>3.3</v>
      </c>
      <c r="M2385" s="7">
        <v>21</v>
      </c>
      <c r="N2385" s="7">
        <v>140</v>
      </c>
      <c r="O2385" s="7">
        <f t="shared" si="183"/>
        <v>129.92125984251967</v>
      </c>
      <c r="P2385" s="7">
        <f t="shared" si="184"/>
        <v>0.82677165354330717</v>
      </c>
      <c r="Q2385" s="7">
        <f t="shared" si="184"/>
        <v>5.5118110236220472</v>
      </c>
      <c r="R2385" s="6">
        <f t="shared" si="185"/>
        <v>1115.932</v>
      </c>
      <c r="S2385" s="6">
        <f t="shared" si="186"/>
        <v>9.7020000000000006E-3</v>
      </c>
      <c r="T2385" t="str">
        <f t="shared" si="187"/>
        <v>Maximo Thermo Ash S4S E4E End Match 1x6 Plus Long</v>
      </c>
    </row>
    <row r="2386" spans="1:20" x14ac:dyDescent="0.25">
      <c r="A2386" t="s">
        <v>3063</v>
      </c>
      <c r="B2386" t="s">
        <v>3064</v>
      </c>
      <c r="C2386" t="s">
        <v>283</v>
      </c>
      <c r="D2386" t="s">
        <v>3044</v>
      </c>
      <c r="E2386" t="s">
        <v>3123</v>
      </c>
      <c r="F2386" t="s">
        <v>3122</v>
      </c>
      <c r="G2386" t="s">
        <v>3068</v>
      </c>
      <c r="H2386" t="s">
        <v>3106</v>
      </c>
      <c r="I2386" t="s">
        <v>289</v>
      </c>
      <c r="J2386" t="s">
        <v>637</v>
      </c>
      <c r="K2386">
        <v>12</v>
      </c>
      <c r="L2386" s="6">
        <v>3.6</v>
      </c>
      <c r="M2386" s="7">
        <v>21</v>
      </c>
      <c r="N2386" s="7">
        <v>140</v>
      </c>
      <c r="O2386" s="7">
        <f t="shared" si="183"/>
        <v>141.73228346456693</v>
      </c>
      <c r="P2386" s="7">
        <f t="shared" si="184"/>
        <v>0.82677165354330717</v>
      </c>
      <c r="Q2386" s="7">
        <f t="shared" si="184"/>
        <v>5.5118110236220472</v>
      </c>
      <c r="R2386" s="6">
        <f t="shared" si="185"/>
        <v>1115.932</v>
      </c>
      <c r="S2386" s="6">
        <f t="shared" si="186"/>
        <v>1.0584000000000001E-2</v>
      </c>
      <c r="T2386" t="str">
        <f t="shared" si="187"/>
        <v>Maximo Thermo Ash S4S E4E End Match 1x6 Plus Long</v>
      </c>
    </row>
    <row r="2387" spans="1:20" x14ac:dyDescent="0.25">
      <c r="A2387" t="s">
        <v>3063</v>
      </c>
      <c r="B2387" t="s">
        <v>3064</v>
      </c>
      <c r="C2387" t="s">
        <v>283</v>
      </c>
      <c r="D2387" t="s">
        <v>3044</v>
      </c>
      <c r="E2387" t="s">
        <v>228</v>
      </c>
      <c r="F2387" t="s">
        <v>3122</v>
      </c>
      <c r="G2387" t="s">
        <v>3068</v>
      </c>
      <c r="H2387" t="s">
        <v>3106</v>
      </c>
      <c r="I2387" t="s">
        <v>289</v>
      </c>
      <c r="J2387" t="s">
        <v>637</v>
      </c>
      <c r="K2387">
        <v>13</v>
      </c>
      <c r="L2387" s="6">
        <v>3.9</v>
      </c>
      <c r="M2387" s="7">
        <v>21</v>
      </c>
      <c r="N2387" s="7">
        <v>140</v>
      </c>
      <c r="O2387" s="7">
        <f t="shared" si="183"/>
        <v>153.54330708661416</v>
      </c>
      <c r="P2387" s="7">
        <f t="shared" si="184"/>
        <v>0.82677165354330717</v>
      </c>
      <c r="Q2387" s="7">
        <f t="shared" si="184"/>
        <v>5.5118110236220472</v>
      </c>
      <c r="R2387" s="6">
        <f t="shared" si="185"/>
        <v>1115.932</v>
      </c>
      <c r="S2387" s="6">
        <f t="shared" si="186"/>
        <v>1.1465999999999997E-2</v>
      </c>
      <c r="T2387" t="str">
        <f t="shared" si="187"/>
        <v>Maximo Thermo Ash S4S E4E End Match 1x6 Plus Long</v>
      </c>
    </row>
    <row r="2388" spans="1:20" x14ac:dyDescent="0.25">
      <c r="A2388" t="s">
        <v>3063</v>
      </c>
      <c r="B2388" t="s">
        <v>3064</v>
      </c>
      <c r="C2388" t="s">
        <v>283</v>
      </c>
      <c r="D2388" t="s">
        <v>3044</v>
      </c>
      <c r="E2388" t="s">
        <v>3124</v>
      </c>
      <c r="F2388" t="s">
        <v>3122</v>
      </c>
      <c r="G2388" t="s">
        <v>3068</v>
      </c>
      <c r="H2388" t="s">
        <v>3106</v>
      </c>
      <c r="I2388" t="s">
        <v>289</v>
      </c>
      <c r="J2388" t="s">
        <v>637</v>
      </c>
      <c r="K2388">
        <v>14</v>
      </c>
      <c r="L2388" s="6">
        <v>4.2</v>
      </c>
      <c r="M2388" s="7">
        <v>21</v>
      </c>
      <c r="N2388" s="7">
        <v>140</v>
      </c>
      <c r="O2388" s="7">
        <f t="shared" si="183"/>
        <v>165.35433070866142</v>
      </c>
      <c r="P2388" s="7">
        <f t="shared" si="184"/>
        <v>0.82677165354330717</v>
      </c>
      <c r="Q2388" s="7">
        <f t="shared" si="184"/>
        <v>5.5118110236220472</v>
      </c>
      <c r="R2388" s="6">
        <f t="shared" si="185"/>
        <v>1115.932</v>
      </c>
      <c r="S2388" s="6">
        <f t="shared" si="186"/>
        <v>1.2348000000000001E-2</v>
      </c>
      <c r="T2388" t="str">
        <f t="shared" si="187"/>
        <v>Maximo Thermo Ash S4S E4E End Match 1x6 Plus Long</v>
      </c>
    </row>
    <row r="2389" spans="1:20" x14ac:dyDescent="0.25">
      <c r="A2389" t="s">
        <v>3063</v>
      </c>
      <c r="B2389" t="s">
        <v>3064</v>
      </c>
      <c r="C2389" t="s">
        <v>283</v>
      </c>
      <c r="D2389" t="s">
        <v>3044</v>
      </c>
      <c r="E2389" t="s">
        <v>3125</v>
      </c>
      <c r="F2389" t="s">
        <v>3122</v>
      </c>
      <c r="G2389" t="s">
        <v>3068</v>
      </c>
      <c r="H2389" t="s">
        <v>3106</v>
      </c>
      <c r="I2389" t="s">
        <v>289</v>
      </c>
      <c r="J2389" t="s">
        <v>637</v>
      </c>
      <c r="K2389">
        <v>15</v>
      </c>
      <c r="L2389" s="6">
        <v>4.5</v>
      </c>
      <c r="M2389" s="7">
        <v>21</v>
      </c>
      <c r="N2389" s="7">
        <v>140</v>
      </c>
      <c r="O2389" s="7">
        <f t="shared" si="183"/>
        <v>177.16535433070868</v>
      </c>
      <c r="P2389" s="7">
        <f t="shared" si="184"/>
        <v>0.82677165354330717</v>
      </c>
      <c r="Q2389" s="7">
        <f t="shared" si="184"/>
        <v>5.5118110236220472</v>
      </c>
      <c r="R2389" s="6">
        <f t="shared" si="185"/>
        <v>1115.932</v>
      </c>
      <c r="S2389" s="6">
        <f t="shared" si="186"/>
        <v>1.323E-2</v>
      </c>
      <c r="T2389" t="str">
        <f t="shared" si="187"/>
        <v>Maximo Thermo Ash S4S E4E End Match 1x6 Plus Long</v>
      </c>
    </row>
    <row r="2390" spans="1:20" x14ac:dyDescent="0.25">
      <c r="A2390" t="s">
        <v>3063</v>
      </c>
      <c r="B2390" t="s">
        <v>3064</v>
      </c>
      <c r="C2390" t="s">
        <v>283</v>
      </c>
      <c r="D2390" t="s">
        <v>3044</v>
      </c>
      <c r="E2390" t="s">
        <v>3126</v>
      </c>
      <c r="F2390" t="s">
        <v>3122</v>
      </c>
      <c r="G2390" t="s">
        <v>3068</v>
      </c>
      <c r="H2390" t="s">
        <v>3106</v>
      </c>
      <c r="I2390" t="s">
        <v>289</v>
      </c>
      <c r="J2390" t="s">
        <v>637</v>
      </c>
      <c r="K2390">
        <v>16</v>
      </c>
      <c r="L2390" s="6">
        <v>4.8</v>
      </c>
      <c r="M2390" s="7">
        <v>21</v>
      </c>
      <c r="N2390" s="7">
        <v>140</v>
      </c>
      <c r="O2390" s="7">
        <f t="shared" si="183"/>
        <v>188.97637795275591</v>
      </c>
      <c r="P2390" s="7">
        <f t="shared" si="184"/>
        <v>0.82677165354330717</v>
      </c>
      <c r="Q2390" s="7">
        <f t="shared" si="184"/>
        <v>5.5118110236220472</v>
      </c>
      <c r="R2390" s="6">
        <f t="shared" si="185"/>
        <v>1115.932</v>
      </c>
      <c r="S2390" s="6">
        <f t="shared" si="186"/>
        <v>1.4112E-2</v>
      </c>
      <c r="T2390" t="str">
        <f t="shared" si="187"/>
        <v>Maximo Thermo Ash S4S E4E End Match 1x6 Plus Long</v>
      </c>
    </row>
    <row r="2391" spans="1:20" x14ac:dyDescent="0.25">
      <c r="A2391" t="s">
        <v>3063</v>
      </c>
      <c r="B2391" t="s">
        <v>3064</v>
      </c>
      <c r="C2391" t="s">
        <v>283</v>
      </c>
      <c r="D2391" t="s">
        <v>3044</v>
      </c>
      <c r="E2391" t="s">
        <v>3127</v>
      </c>
      <c r="F2391" t="s">
        <v>3122</v>
      </c>
      <c r="G2391" t="s">
        <v>3068</v>
      </c>
      <c r="H2391" t="s">
        <v>3106</v>
      </c>
      <c r="I2391" t="s">
        <v>289</v>
      </c>
      <c r="J2391" t="s">
        <v>637</v>
      </c>
      <c r="K2391">
        <v>17</v>
      </c>
      <c r="L2391" s="6">
        <v>5.0999999999999996</v>
      </c>
      <c r="M2391" s="7">
        <v>21</v>
      </c>
      <c r="N2391" s="7">
        <v>140</v>
      </c>
      <c r="O2391" s="7">
        <f t="shared" si="183"/>
        <v>200.78740157480314</v>
      </c>
      <c r="P2391" s="7">
        <f t="shared" si="184"/>
        <v>0.82677165354330717</v>
      </c>
      <c r="Q2391" s="7">
        <f t="shared" si="184"/>
        <v>5.5118110236220472</v>
      </c>
      <c r="R2391" s="6">
        <f t="shared" si="185"/>
        <v>1115.932</v>
      </c>
      <c r="S2391" s="6">
        <f t="shared" si="186"/>
        <v>1.4994E-2</v>
      </c>
      <c r="T2391" t="str">
        <f t="shared" si="187"/>
        <v>Maximo Thermo Ash S4S E4E End Match 1x6 Plus Long</v>
      </c>
    </row>
    <row r="2392" spans="1:20" x14ac:dyDescent="0.25">
      <c r="A2392" t="s">
        <v>3063</v>
      </c>
      <c r="B2392" t="s">
        <v>3064</v>
      </c>
      <c r="C2392" t="s">
        <v>283</v>
      </c>
      <c r="D2392" t="s">
        <v>3044</v>
      </c>
      <c r="E2392" t="s">
        <v>3128</v>
      </c>
      <c r="F2392" t="s">
        <v>3122</v>
      </c>
      <c r="G2392" t="s">
        <v>3068</v>
      </c>
      <c r="H2392" t="s">
        <v>3106</v>
      </c>
      <c r="I2392" t="s">
        <v>289</v>
      </c>
      <c r="J2392" t="s">
        <v>637</v>
      </c>
      <c r="K2392">
        <v>18</v>
      </c>
      <c r="L2392" s="6">
        <v>5.4</v>
      </c>
      <c r="M2392" s="7">
        <v>21</v>
      </c>
      <c r="N2392" s="7">
        <v>140</v>
      </c>
      <c r="O2392" s="7">
        <f t="shared" si="183"/>
        <v>212.59842519685043</v>
      </c>
      <c r="P2392" s="7">
        <f t="shared" si="184"/>
        <v>0.82677165354330717</v>
      </c>
      <c r="Q2392" s="7">
        <f t="shared" si="184"/>
        <v>5.5118110236220472</v>
      </c>
      <c r="R2392" s="6">
        <f t="shared" si="185"/>
        <v>1115.932</v>
      </c>
      <c r="S2392" s="6">
        <f t="shared" si="186"/>
        <v>1.5875999999999998E-2</v>
      </c>
      <c r="T2392" t="str">
        <f t="shared" si="187"/>
        <v>Maximo Thermo Ash S4S E4E End Match 1x6 Plus Long</v>
      </c>
    </row>
    <row r="2393" spans="1:20" x14ac:dyDescent="0.25">
      <c r="A2393" t="s">
        <v>3063</v>
      </c>
      <c r="B2393" t="s">
        <v>3064</v>
      </c>
      <c r="C2393" t="s">
        <v>524</v>
      </c>
      <c r="D2393" t="s">
        <v>3044</v>
      </c>
      <c r="E2393" t="s">
        <v>3129</v>
      </c>
      <c r="F2393" t="s">
        <v>3122</v>
      </c>
      <c r="G2393" t="s">
        <v>3068</v>
      </c>
      <c r="H2393" t="s">
        <v>3106</v>
      </c>
      <c r="I2393" t="s">
        <v>289</v>
      </c>
      <c r="J2393" t="s">
        <v>637</v>
      </c>
      <c r="K2393">
        <v>4</v>
      </c>
      <c r="L2393" s="6">
        <v>1.2</v>
      </c>
      <c r="M2393" s="7">
        <v>21</v>
      </c>
      <c r="N2393" s="7">
        <v>140</v>
      </c>
      <c r="O2393" s="7">
        <f t="shared" si="183"/>
        <v>47.244094488188978</v>
      </c>
      <c r="P2393" s="7">
        <f t="shared" si="184"/>
        <v>0.82677165354330717</v>
      </c>
      <c r="Q2393" s="7">
        <f t="shared" si="184"/>
        <v>5.5118110236220472</v>
      </c>
      <c r="R2393" s="6">
        <f t="shared" si="185"/>
        <v>1115.932</v>
      </c>
      <c r="S2393" s="6">
        <f t="shared" si="186"/>
        <v>3.5279999999999999E-3</v>
      </c>
      <c r="T2393" t="str">
        <f t="shared" si="187"/>
        <v>Maximo Thermo Ash S4S E4E End Match 1x6 Plus Short</v>
      </c>
    </row>
    <row r="2394" spans="1:20" x14ac:dyDescent="0.25">
      <c r="A2394" t="s">
        <v>3063</v>
      </c>
      <c r="B2394" t="s">
        <v>3064</v>
      </c>
      <c r="C2394" t="s">
        <v>524</v>
      </c>
      <c r="D2394" t="s">
        <v>3044</v>
      </c>
      <c r="E2394" t="s">
        <v>3130</v>
      </c>
      <c r="F2394" t="s">
        <v>3122</v>
      </c>
      <c r="G2394" t="s">
        <v>3068</v>
      </c>
      <c r="H2394" t="s">
        <v>3106</v>
      </c>
      <c r="I2394" t="s">
        <v>289</v>
      </c>
      <c r="J2394" t="s">
        <v>637</v>
      </c>
      <c r="K2394">
        <v>5</v>
      </c>
      <c r="L2394" s="6">
        <v>1.5</v>
      </c>
      <c r="M2394" s="7">
        <v>21</v>
      </c>
      <c r="N2394" s="7">
        <v>140</v>
      </c>
      <c r="O2394" s="7">
        <f t="shared" si="183"/>
        <v>59.055118110236222</v>
      </c>
      <c r="P2394" s="7">
        <f t="shared" si="184"/>
        <v>0.82677165354330717</v>
      </c>
      <c r="Q2394" s="7">
        <f t="shared" si="184"/>
        <v>5.5118110236220472</v>
      </c>
      <c r="R2394" s="6">
        <f t="shared" si="185"/>
        <v>1115.932</v>
      </c>
      <c r="S2394" s="6">
        <f t="shared" si="186"/>
        <v>4.4099999999999999E-3</v>
      </c>
      <c r="T2394" t="str">
        <f t="shared" si="187"/>
        <v>Maximo Thermo Ash S4S E4E End Match 1x6 Plus Short</v>
      </c>
    </row>
    <row r="2395" spans="1:20" x14ac:dyDescent="0.25">
      <c r="A2395" t="s">
        <v>3063</v>
      </c>
      <c r="B2395" t="s">
        <v>3064</v>
      </c>
      <c r="C2395" t="s">
        <v>524</v>
      </c>
      <c r="D2395" t="s">
        <v>3044</v>
      </c>
      <c r="E2395" t="s">
        <v>222</v>
      </c>
      <c r="F2395" t="s">
        <v>3122</v>
      </c>
      <c r="G2395" t="s">
        <v>3068</v>
      </c>
      <c r="H2395" t="s">
        <v>3106</v>
      </c>
      <c r="I2395" t="s">
        <v>289</v>
      </c>
      <c r="J2395" t="s">
        <v>637</v>
      </c>
      <c r="K2395">
        <v>6</v>
      </c>
      <c r="L2395" s="6">
        <v>1.8</v>
      </c>
      <c r="M2395" s="7">
        <v>21</v>
      </c>
      <c r="N2395" s="7">
        <v>140</v>
      </c>
      <c r="O2395" s="7">
        <f t="shared" si="183"/>
        <v>70.866141732283467</v>
      </c>
      <c r="P2395" s="7">
        <f t="shared" si="184"/>
        <v>0.82677165354330717</v>
      </c>
      <c r="Q2395" s="7">
        <f t="shared" si="184"/>
        <v>5.5118110236220472</v>
      </c>
      <c r="R2395" s="6">
        <f t="shared" si="185"/>
        <v>1115.932</v>
      </c>
      <c r="S2395" s="6">
        <f t="shared" si="186"/>
        <v>5.2920000000000007E-3</v>
      </c>
      <c r="T2395" t="str">
        <f t="shared" si="187"/>
        <v>Maximo Thermo Ash S4S E4E End Match 1x6 Plus Short</v>
      </c>
    </row>
    <row r="2396" spans="1:20" x14ac:dyDescent="0.25">
      <c r="A2396" t="s">
        <v>3063</v>
      </c>
      <c r="B2396" t="s">
        <v>3064</v>
      </c>
      <c r="C2396" t="s">
        <v>524</v>
      </c>
      <c r="D2396" t="s">
        <v>3044</v>
      </c>
      <c r="E2396" t="s">
        <v>223</v>
      </c>
      <c r="F2396" t="s">
        <v>3122</v>
      </c>
      <c r="G2396" t="s">
        <v>3068</v>
      </c>
      <c r="H2396" t="s">
        <v>3106</v>
      </c>
      <c r="I2396" t="s">
        <v>289</v>
      </c>
      <c r="J2396" t="s">
        <v>637</v>
      </c>
      <c r="K2396">
        <v>7</v>
      </c>
      <c r="L2396" s="6">
        <v>2.1</v>
      </c>
      <c r="M2396" s="7">
        <v>21</v>
      </c>
      <c r="N2396" s="7">
        <v>140</v>
      </c>
      <c r="O2396" s="7">
        <f t="shared" si="183"/>
        <v>82.677165354330711</v>
      </c>
      <c r="P2396" s="7">
        <f t="shared" si="184"/>
        <v>0.82677165354330717</v>
      </c>
      <c r="Q2396" s="7">
        <f t="shared" si="184"/>
        <v>5.5118110236220472</v>
      </c>
      <c r="R2396" s="6">
        <f t="shared" si="185"/>
        <v>1115.932</v>
      </c>
      <c r="S2396" s="6">
        <f t="shared" si="186"/>
        <v>6.1740000000000007E-3</v>
      </c>
      <c r="T2396" t="str">
        <f t="shared" si="187"/>
        <v>Maximo Thermo Ash S4S E4E End Match 1x6 Plus Short</v>
      </c>
    </row>
    <row r="2397" spans="1:20" x14ac:dyDescent="0.25">
      <c r="A2397" t="s">
        <v>3063</v>
      </c>
      <c r="B2397" t="s">
        <v>3064</v>
      </c>
      <c r="C2397" t="s">
        <v>283</v>
      </c>
      <c r="D2397" t="s">
        <v>3044</v>
      </c>
      <c r="E2397" t="s">
        <v>224</v>
      </c>
      <c r="F2397" t="s">
        <v>3122</v>
      </c>
      <c r="G2397" t="s">
        <v>3068</v>
      </c>
      <c r="H2397" t="s">
        <v>3106</v>
      </c>
      <c r="I2397" t="s">
        <v>289</v>
      </c>
      <c r="J2397" t="s">
        <v>637</v>
      </c>
      <c r="K2397">
        <v>8</v>
      </c>
      <c r="L2397" s="6">
        <v>2.4</v>
      </c>
      <c r="M2397" s="7">
        <v>21</v>
      </c>
      <c r="N2397" s="7">
        <v>140</v>
      </c>
      <c r="O2397" s="7">
        <f t="shared" si="183"/>
        <v>94.488188976377955</v>
      </c>
      <c r="P2397" s="7">
        <f t="shared" si="184"/>
        <v>0.82677165354330717</v>
      </c>
      <c r="Q2397" s="7">
        <f t="shared" si="184"/>
        <v>5.5118110236220472</v>
      </c>
      <c r="R2397" s="6">
        <f t="shared" si="185"/>
        <v>1115.932</v>
      </c>
      <c r="S2397" s="6">
        <f t="shared" si="186"/>
        <v>7.0559999999999998E-3</v>
      </c>
      <c r="T2397" t="str">
        <f t="shared" si="187"/>
        <v>Maximo Thermo Ash S4S E4E End Match 1x6 Plus Long</v>
      </c>
    </row>
    <row r="2398" spans="1:20" x14ac:dyDescent="0.25">
      <c r="A2398" t="s">
        <v>3063</v>
      </c>
      <c r="B2398" t="s">
        <v>3064</v>
      </c>
      <c r="C2398" t="s">
        <v>283</v>
      </c>
      <c r="D2398" t="s">
        <v>3044</v>
      </c>
      <c r="E2398" t="s">
        <v>225</v>
      </c>
      <c r="F2398" t="s">
        <v>3122</v>
      </c>
      <c r="G2398" t="s">
        <v>3068</v>
      </c>
      <c r="H2398" t="s">
        <v>3106</v>
      </c>
      <c r="I2398" t="s">
        <v>289</v>
      </c>
      <c r="J2398" t="s">
        <v>637</v>
      </c>
      <c r="K2398">
        <v>9</v>
      </c>
      <c r="L2398" s="6">
        <v>2.7</v>
      </c>
      <c r="M2398" s="7">
        <v>21</v>
      </c>
      <c r="N2398" s="7">
        <v>140</v>
      </c>
      <c r="O2398" s="7">
        <f t="shared" si="183"/>
        <v>106.29921259842521</v>
      </c>
      <c r="P2398" s="7">
        <f t="shared" si="184"/>
        <v>0.82677165354330717</v>
      </c>
      <c r="Q2398" s="7">
        <f t="shared" si="184"/>
        <v>5.5118110236220472</v>
      </c>
      <c r="R2398" s="6">
        <f t="shared" si="185"/>
        <v>1115.932</v>
      </c>
      <c r="S2398" s="6">
        <f t="shared" si="186"/>
        <v>7.9379999999999989E-3</v>
      </c>
      <c r="T2398" t="str">
        <f t="shared" si="187"/>
        <v>Maximo Thermo Ash S4S E4E End Match 1x6 Plus Long</v>
      </c>
    </row>
    <row r="2399" spans="1:20" x14ac:dyDescent="0.25">
      <c r="A2399" t="s">
        <v>3063</v>
      </c>
      <c r="B2399" t="s">
        <v>3131</v>
      </c>
      <c r="C2399" t="s">
        <v>283</v>
      </c>
      <c r="D2399" t="s">
        <v>3044</v>
      </c>
      <c r="E2399" t="s">
        <v>3132</v>
      </c>
      <c r="F2399" t="s">
        <v>3133</v>
      </c>
      <c r="G2399" t="s">
        <v>3068</v>
      </c>
      <c r="H2399" t="s">
        <v>3106</v>
      </c>
      <c r="I2399" t="s">
        <v>289</v>
      </c>
      <c r="J2399" t="s">
        <v>3134</v>
      </c>
      <c r="K2399">
        <v>10</v>
      </c>
      <c r="L2399" s="6">
        <v>3</v>
      </c>
      <c r="M2399" s="7">
        <v>25</v>
      </c>
      <c r="N2399" s="7">
        <v>130</v>
      </c>
      <c r="O2399" s="7">
        <f t="shared" si="183"/>
        <v>118.11023622047244</v>
      </c>
      <c r="P2399" s="7">
        <f t="shared" si="184"/>
        <v>0.98425196850393704</v>
      </c>
      <c r="Q2399" s="7">
        <f t="shared" si="184"/>
        <v>5.1181102362204731</v>
      </c>
      <c r="R2399" s="6">
        <f t="shared" si="185"/>
        <v>1009.489</v>
      </c>
      <c r="S2399" s="6">
        <f t="shared" si="186"/>
        <v>9.75E-3</v>
      </c>
      <c r="T2399" t="str">
        <f t="shared" si="187"/>
        <v>Maximo Thermo Ash S4S E4E End Match 5/4x5 1/4 Long</v>
      </c>
    </row>
    <row r="2400" spans="1:20" x14ac:dyDescent="0.25">
      <c r="A2400" t="s">
        <v>3063</v>
      </c>
      <c r="B2400" t="s">
        <v>3131</v>
      </c>
      <c r="C2400" t="s">
        <v>283</v>
      </c>
      <c r="D2400" t="s">
        <v>3044</v>
      </c>
      <c r="E2400" t="s">
        <v>3135</v>
      </c>
      <c r="F2400" t="s">
        <v>3133</v>
      </c>
      <c r="G2400" t="s">
        <v>3068</v>
      </c>
      <c r="H2400" t="s">
        <v>3106</v>
      </c>
      <c r="I2400" t="s">
        <v>289</v>
      </c>
      <c r="J2400" t="s">
        <v>3134</v>
      </c>
      <c r="K2400">
        <v>11</v>
      </c>
      <c r="L2400" s="6">
        <v>3.3</v>
      </c>
      <c r="M2400" s="7">
        <v>25</v>
      </c>
      <c r="N2400" s="7">
        <v>130</v>
      </c>
      <c r="O2400" s="7">
        <f t="shared" si="183"/>
        <v>129.92125984251967</v>
      </c>
      <c r="P2400" s="7">
        <f t="shared" si="184"/>
        <v>0.98425196850393704</v>
      </c>
      <c r="Q2400" s="7">
        <f t="shared" si="184"/>
        <v>5.1181102362204731</v>
      </c>
      <c r="R2400" s="6">
        <f t="shared" si="185"/>
        <v>1009.489</v>
      </c>
      <c r="S2400" s="6">
        <f t="shared" si="186"/>
        <v>1.0725E-2</v>
      </c>
      <c r="T2400" t="str">
        <f t="shared" si="187"/>
        <v>Maximo Thermo Ash S4S E4E End Match 5/4x5 1/4 Long</v>
      </c>
    </row>
    <row r="2401" spans="1:20" x14ac:dyDescent="0.25">
      <c r="A2401" t="s">
        <v>3063</v>
      </c>
      <c r="B2401" t="s">
        <v>3131</v>
      </c>
      <c r="C2401" t="s">
        <v>283</v>
      </c>
      <c r="D2401" t="s">
        <v>3044</v>
      </c>
      <c r="E2401" t="s">
        <v>3136</v>
      </c>
      <c r="F2401" t="s">
        <v>3133</v>
      </c>
      <c r="G2401" t="s">
        <v>3068</v>
      </c>
      <c r="H2401" t="s">
        <v>3106</v>
      </c>
      <c r="I2401" t="s">
        <v>289</v>
      </c>
      <c r="J2401" t="s">
        <v>3134</v>
      </c>
      <c r="K2401">
        <v>12</v>
      </c>
      <c r="L2401" s="6">
        <v>3.6</v>
      </c>
      <c r="M2401" s="7">
        <v>25</v>
      </c>
      <c r="N2401" s="7">
        <v>130</v>
      </c>
      <c r="O2401" s="7">
        <f t="shared" si="183"/>
        <v>141.73228346456693</v>
      </c>
      <c r="P2401" s="7">
        <f t="shared" si="184"/>
        <v>0.98425196850393704</v>
      </c>
      <c r="Q2401" s="7">
        <f t="shared" si="184"/>
        <v>5.1181102362204731</v>
      </c>
      <c r="R2401" s="6">
        <f t="shared" si="185"/>
        <v>1009.489</v>
      </c>
      <c r="S2401" s="6">
        <f t="shared" si="186"/>
        <v>1.1699999999999999E-2</v>
      </c>
      <c r="T2401" t="str">
        <f t="shared" si="187"/>
        <v>Maximo Thermo Ash S4S E4E End Match 5/4x5 1/4 Long</v>
      </c>
    </row>
    <row r="2402" spans="1:20" x14ac:dyDescent="0.25">
      <c r="A2402" t="s">
        <v>3063</v>
      </c>
      <c r="B2402" t="s">
        <v>3131</v>
      </c>
      <c r="C2402" t="s">
        <v>283</v>
      </c>
      <c r="D2402" t="s">
        <v>3044</v>
      </c>
      <c r="E2402" t="s">
        <v>3137</v>
      </c>
      <c r="F2402" t="s">
        <v>3133</v>
      </c>
      <c r="G2402" t="s">
        <v>3068</v>
      </c>
      <c r="H2402" t="s">
        <v>3106</v>
      </c>
      <c r="I2402" t="s">
        <v>289</v>
      </c>
      <c r="J2402" t="s">
        <v>3134</v>
      </c>
      <c r="K2402">
        <v>13</v>
      </c>
      <c r="L2402" s="6">
        <v>3.9</v>
      </c>
      <c r="M2402" s="7">
        <v>25</v>
      </c>
      <c r="N2402" s="7">
        <v>130</v>
      </c>
      <c r="O2402" s="7">
        <f t="shared" si="183"/>
        <v>153.54330708661416</v>
      </c>
      <c r="P2402" s="7">
        <f t="shared" si="184"/>
        <v>0.98425196850393704</v>
      </c>
      <c r="Q2402" s="7">
        <f t="shared" si="184"/>
        <v>5.1181102362204731</v>
      </c>
      <c r="R2402" s="6">
        <f t="shared" si="185"/>
        <v>1009.489</v>
      </c>
      <c r="S2402" s="6">
        <f t="shared" si="186"/>
        <v>1.2675000000000001E-2</v>
      </c>
      <c r="T2402" t="str">
        <f t="shared" si="187"/>
        <v>Maximo Thermo Ash S4S E4E End Match 5/4x5 1/4 Long</v>
      </c>
    </row>
    <row r="2403" spans="1:20" x14ac:dyDescent="0.25">
      <c r="A2403" t="s">
        <v>3063</v>
      </c>
      <c r="B2403" t="s">
        <v>3131</v>
      </c>
      <c r="C2403" t="s">
        <v>283</v>
      </c>
      <c r="D2403" t="s">
        <v>3044</v>
      </c>
      <c r="E2403" t="s">
        <v>3138</v>
      </c>
      <c r="F2403" t="s">
        <v>3133</v>
      </c>
      <c r="G2403" t="s">
        <v>3068</v>
      </c>
      <c r="H2403" t="s">
        <v>3106</v>
      </c>
      <c r="I2403" t="s">
        <v>289</v>
      </c>
      <c r="J2403" t="s">
        <v>3134</v>
      </c>
      <c r="K2403">
        <v>14</v>
      </c>
      <c r="L2403" s="6">
        <v>4.2</v>
      </c>
      <c r="M2403" s="7">
        <v>25</v>
      </c>
      <c r="N2403" s="7">
        <v>130</v>
      </c>
      <c r="O2403" s="7">
        <f t="shared" si="183"/>
        <v>165.35433070866142</v>
      </c>
      <c r="P2403" s="7">
        <f t="shared" si="184"/>
        <v>0.98425196850393704</v>
      </c>
      <c r="Q2403" s="7">
        <f t="shared" si="184"/>
        <v>5.1181102362204731</v>
      </c>
      <c r="R2403" s="6">
        <f t="shared" si="185"/>
        <v>1009.489</v>
      </c>
      <c r="S2403" s="6">
        <f t="shared" si="186"/>
        <v>1.3650000000000001E-2</v>
      </c>
      <c r="T2403" t="str">
        <f t="shared" si="187"/>
        <v>Maximo Thermo Ash S4S E4E End Match 5/4x5 1/4 Long</v>
      </c>
    </row>
    <row r="2404" spans="1:20" x14ac:dyDescent="0.25">
      <c r="A2404" t="s">
        <v>3063</v>
      </c>
      <c r="B2404" t="s">
        <v>3131</v>
      </c>
      <c r="C2404" t="s">
        <v>283</v>
      </c>
      <c r="D2404" t="s">
        <v>3044</v>
      </c>
      <c r="E2404" t="s">
        <v>3139</v>
      </c>
      <c r="F2404" t="s">
        <v>3133</v>
      </c>
      <c r="G2404" t="s">
        <v>3068</v>
      </c>
      <c r="H2404" t="s">
        <v>3106</v>
      </c>
      <c r="I2404" t="s">
        <v>289</v>
      </c>
      <c r="J2404" t="s">
        <v>3134</v>
      </c>
      <c r="K2404">
        <v>15</v>
      </c>
      <c r="L2404" s="6">
        <v>4.5</v>
      </c>
      <c r="M2404" s="7">
        <v>25</v>
      </c>
      <c r="N2404" s="7">
        <v>130</v>
      </c>
      <c r="O2404" s="7">
        <f t="shared" si="183"/>
        <v>177.16535433070868</v>
      </c>
      <c r="P2404" s="7">
        <f t="shared" si="184"/>
        <v>0.98425196850393704</v>
      </c>
      <c r="Q2404" s="7">
        <f t="shared" si="184"/>
        <v>5.1181102362204731</v>
      </c>
      <c r="R2404" s="6">
        <f t="shared" si="185"/>
        <v>1009.489</v>
      </c>
      <c r="S2404" s="6">
        <f t="shared" si="186"/>
        <v>1.4625000000000001E-2</v>
      </c>
      <c r="T2404" t="str">
        <f t="shared" si="187"/>
        <v>Maximo Thermo Ash S4S E4E End Match 5/4x5 1/4 Long</v>
      </c>
    </row>
    <row r="2405" spans="1:20" x14ac:dyDescent="0.25">
      <c r="A2405" t="s">
        <v>3063</v>
      </c>
      <c r="B2405" t="s">
        <v>3131</v>
      </c>
      <c r="C2405" t="s">
        <v>283</v>
      </c>
      <c r="D2405" t="s">
        <v>3044</v>
      </c>
      <c r="E2405" t="s">
        <v>3140</v>
      </c>
      <c r="F2405" t="s">
        <v>3133</v>
      </c>
      <c r="G2405" t="s">
        <v>3068</v>
      </c>
      <c r="H2405" t="s">
        <v>3106</v>
      </c>
      <c r="I2405" t="s">
        <v>289</v>
      </c>
      <c r="J2405" t="s">
        <v>3134</v>
      </c>
      <c r="K2405">
        <v>16</v>
      </c>
      <c r="L2405" s="6">
        <v>4.8</v>
      </c>
      <c r="M2405" s="7">
        <v>25</v>
      </c>
      <c r="N2405" s="7">
        <v>130</v>
      </c>
      <c r="O2405" s="7">
        <f t="shared" si="183"/>
        <v>188.97637795275591</v>
      </c>
      <c r="P2405" s="7">
        <f t="shared" si="184"/>
        <v>0.98425196850393704</v>
      </c>
      <c r="Q2405" s="7">
        <f t="shared" si="184"/>
        <v>5.1181102362204731</v>
      </c>
      <c r="R2405" s="6">
        <f t="shared" si="185"/>
        <v>1009.489</v>
      </c>
      <c r="S2405" s="6">
        <f t="shared" si="186"/>
        <v>1.5599999999999999E-2</v>
      </c>
      <c r="T2405" t="str">
        <f t="shared" si="187"/>
        <v>Maximo Thermo Ash S4S E4E End Match 5/4x5 1/4 Long</v>
      </c>
    </row>
    <row r="2406" spans="1:20" x14ac:dyDescent="0.25">
      <c r="A2406" t="s">
        <v>3063</v>
      </c>
      <c r="B2406" t="s">
        <v>3131</v>
      </c>
      <c r="C2406" t="s">
        <v>283</v>
      </c>
      <c r="D2406" t="s">
        <v>3044</v>
      </c>
      <c r="E2406" t="s">
        <v>3141</v>
      </c>
      <c r="F2406" t="s">
        <v>3133</v>
      </c>
      <c r="G2406" t="s">
        <v>3068</v>
      </c>
      <c r="H2406" t="s">
        <v>3106</v>
      </c>
      <c r="I2406" t="s">
        <v>289</v>
      </c>
      <c r="J2406" t="s">
        <v>3134</v>
      </c>
      <c r="K2406">
        <v>17</v>
      </c>
      <c r="L2406" s="6">
        <v>5.0999999999999996</v>
      </c>
      <c r="M2406" s="7">
        <v>25</v>
      </c>
      <c r="N2406" s="7">
        <v>130</v>
      </c>
      <c r="O2406" s="7">
        <f t="shared" si="183"/>
        <v>200.78740157480314</v>
      </c>
      <c r="P2406" s="7">
        <f t="shared" si="184"/>
        <v>0.98425196850393704</v>
      </c>
      <c r="Q2406" s="7">
        <f t="shared" si="184"/>
        <v>5.1181102362204731</v>
      </c>
      <c r="R2406" s="6">
        <f t="shared" si="185"/>
        <v>1009.489</v>
      </c>
      <c r="S2406" s="6">
        <f t="shared" si="186"/>
        <v>1.6574999999999996E-2</v>
      </c>
      <c r="T2406" t="str">
        <f t="shared" si="187"/>
        <v>Maximo Thermo Ash S4S E4E End Match 5/4x5 1/4 Long</v>
      </c>
    </row>
    <row r="2407" spans="1:20" x14ac:dyDescent="0.25">
      <c r="A2407" t="s">
        <v>3063</v>
      </c>
      <c r="B2407" t="s">
        <v>3131</v>
      </c>
      <c r="C2407" t="s">
        <v>283</v>
      </c>
      <c r="D2407" t="s">
        <v>3044</v>
      </c>
      <c r="E2407" t="s">
        <v>3142</v>
      </c>
      <c r="F2407" t="s">
        <v>3133</v>
      </c>
      <c r="G2407" t="s">
        <v>3068</v>
      </c>
      <c r="H2407" t="s">
        <v>3106</v>
      </c>
      <c r="I2407" t="s">
        <v>289</v>
      </c>
      <c r="J2407" t="s">
        <v>3134</v>
      </c>
      <c r="K2407">
        <v>18</v>
      </c>
      <c r="L2407" s="6">
        <v>5.4</v>
      </c>
      <c r="M2407" s="7">
        <v>25</v>
      </c>
      <c r="N2407" s="7">
        <v>130</v>
      </c>
      <c r="O2407" s="7">
        <f t="shared" si="183"/>
        <v>212.59842519685043</v>
      </c>
      <c r="P2407" s="7">
        <f t="shared" si="184"/>
        <v>0.98425196850393704</v>
      </c>
      <c r="Q2407" s="7">
        <f t="shared" si="184"/>
        <v>5.1181102362204731</v>
      </c>
      <c r="R2407" s="6">
        <f t="shared" si="185"/>
        <v>1009.489</v>
      </c>
      <c r="S2407" s="6">
        <f t="shared" si="186"/>
        <v>1.755E-2</v>
      </c>
      <c r="T2407" t="str">
        <f t="shared" si="187"/>
        <v>Maximo Thermo Ash S4S E4E End Match 5/4x5 1/4 Long</v>
      </c>
    </row>
    <row r="2408" spans="1:20" x14ac:dyDescent="0.25">
      <c r="A2408" t="s">
        <v>3063</v>
      </c>
      <c r="B2408" t="s">
        <v>3131</v>
      </c>
      <c r="C2408" t="s">
        <v>524</v>
      </c>
      <c r="D2408" t="s">
        <v>3044</v>
      </c>
      <c r="E2408" t="s">
        <v>3143</v>
      </c>
      <c r="F2408" t="s">
        <v>3133</v>
      </c>
      <c r="G2408" t="s">
        <v>3068</v>
      </c>
      <c r="H2408" t="s">
        <v>3106</v>
      </c>
      <c r="I2408" t="s">
        <v>289</v>
      </c>
      <c r="J2408" t="s">
        <v>3134</v>
      </c>
      <c r="K2408">
        <v>4</v>
      </c>
      <c r="L2408" s="6">
        <v>1.2</v>
      </c>
      <c r="M2408" s="7">
        <v>25</v>
      </c>
      <c r="N2408" s="7">
        <v>130</v>
      </c>
      <c r="O2408" s="7">
        <f t="shared" si="183"/>
        <v>47.244094488188978</v>
      </c>
      <c r="P2408" s="7">
        <f t="shared" si="184"/>
        <v>0.98425196850393704</v>
      </c>
      <c r="Q2408" s="7">
        <f t="shared" si="184"/>
        <v>5.1181102362204731</v>
      </c>
      <c r="R2408" s="6">
        <f t="shared" si="185"/>
        <v>1009.489</v>
      </c>
      <c r="S2408" s="6">
        <f t="shared" si="186"/>
        <v>3.8999999999999998E-3</v>
      </c>
      <c r="T2408" t="str">
        <f t="shared" si="187"/>
        <v>Maximo Thermo Ash S4S E4E End Match 5/4x5 1/4 Short</v>
      </c>
    </row>
    <row r="2409" spans="1:20" x14ac:dyDescent="0.25">
      <c r="A2409" t="s">
        <v>3063</v>
      </c>
      <c r="B2409" t="s">
        <v>3131</v>
      </c>
      <c r="C2409" t="s">
        <v>524</v>
      </c>
      <c r="D2409" t="s">
        <v>3044</v>
      </c>
      <c r="E2409" t="s">
        <v>3144</v>
      </c>
      <c r="F2409" t="s">
        <v>3133</v>
      </c>
      <c r="G2409" t="s">
        <v>3068</v>
      </c>
      <c r="H2409" t="s">
        <v>3106</v>
      </c>
      <c r="I2409" t="s">
        <v>289</v>
      </c>
      <c r="J2409" t="s">
        <v>3134</v>
      </c>
      <c r="K2409">
        <v>5</v>
      </c>
      <c r="L2409" s="6">
        <v>1.5</v>
      </c>
      <c r="M2409" s="7">
        <v>25</v>
      </c>
      <c r="N2409" s="7">
        <v>130</v>
      </c>
      <c r="O2409" s="7">
        <f t="shared" si="183"/>
        <v>59.055118110236222</v>
      </c>
      <c r="P2409" s="7">
        <f t="shared" si="184"/>
        <v>0.98425196850393704</v>
      </c>
      <c r="Q2409" s="7">
        <f t="shared" si="184"/>
        <v>5.1181102362204731</v>
      </c>
      <c r="R2409" s="6">
        <f t="shared" si="185"/>
        <v>1009.489</v>
      </c>
      <c r="S2409" s="6">
        <f t="shared" si="186"/>
        <v>4.875E-3</v>
      </c>
      <c r="T2409" t="str">
        <f t="shared" si="187"/>
        <v>Maximo Thermo Ash S4S E4E End Match 5/4x5 1/4 Short</v>
      </c>
    </row>
    <row r="2410" spans="1:20" x14ac:dyDescent="0.25">
      <c r="A2410" t="s">
        <v>3063</v>
      </c>
      <c r="B2410" t="s">
        <v>3131</v>
      </c>
      <c r="C2410" t="s">
        <v>524</v>
      </c>
      <c r="D2410" t="s">
        <v>3044</v>
      </c>
      <c r="E2410" t="s">
        <v>3145</v>
      </c>
      <c r="F2410" t="s">
        <v>3133</v>
      </c>
      <c r="G2410" t="s">
        <v>3068</v>
      </c>
      <c r="H2410" t="s">
        <v>3106</v>
      </c>
      <c r="I2410" t="s">
        <v>289</v>
      </c>
      <c r="J2410" t="s">
        <v>3134</v>
      </c>
      <c r="K2410">
        <v>6</v>
      </c>
      <c r="L2410" s="6">
        <v>1.8</v>
      </c>
      <c r="M2410" s="7">
        <v>25</v>
      </c>
      <c r="N2410" s="7">
        <v>130</v>
      </c>
      <c r="O2410" s="7">
        <f t="shared" si="183"/>
        <v>70.866141732283467</v>
      </c>
      <c r="P2410" s="7">
        <f t="shared" si="184"/>
        <v>0.98425196850393704</v>
      </c>
      <c r="Q2410" s="7">
        <f t="shared" si="184"/>
        <v>5.1181102362204731</v>
      </c>
      <c r="R2410" s="6">
        <f t="shared" si="185"/>
        <v>1009.489</v>
      </c>
      <c r="S2410" s="6">
        <f t="shared" si="186"/>
        <v>5.8499999999999993E-3</v>
      </c>
      <c r="T2410" t="str">
        <f t="shared" si="187"/>
        <v>Maximo Thermo Ash S4S E4E End Match 5/4x5 1/4 Short</v>
      </c>
    </row>
    <row r="2411" spans="1:20" x14ac:dyDescent="0.25">
      <c r="A2411" t="s">
        <v>3063</v>
      </c>
      <c r="B2411" t="s">
        <v>3131</v>
      </c>
      <c r="C2411" t="s">
        <v>524</v>
      </c>
      <c r="D2411" t="s">
        <v>3044</v>
      </c>
      <c r="E2411" t="s">
        <v>3146</v>
      </c>
      <c r="F2411" t="s">
        <v>3133</v>
      </c>
      <c r="G2411" t="s">
        <v>3068</v>
      </c>
      <c r="H2411" t="s">
        <v>3106</v>
      </c>
      <c r="I2411" t="s">
        <v>289</v>
      </c>
      <c r="J2411" t="s">
        <v>3134</v>
      </c>
      <c r="K2411">
        <v>7</v>
      </c>
      <c r="L2411" s="6">
        <v>2.1</v>
      </c>
      <c r="M2411" s="7">
        <v>25</v>
      </c>
      <c r="N2411" s="7">
        <v>130</v>
      </c>
      <c r="O2411" s="7">
        <f t="shared" si="183"/>
        <v>82.677165354330711</v>
      </c>
      <c r="P2411" s="7">
        <f t="shared" si="184"/>
        <v>0.98425196850393704</v>
      </c>
      <c r="Q2411" s="7">
        <f t="shared" si="184"/>
        <v>5.1181102362204731</v>
      </c>
      <c r="R2411" s="6">
        <f t="shared" si="185"/>
        <v>1009.489</v>
      </c>
      <c r="S2411" s="6">
        <f t="shared" si="186"/>
        <v>6.8250000000000003E-3</v>
      </c>
      <c r="T2411" t="str">
        <f t="shared" si="187"/>
        <v>Maximo Thermo Ash S4S E4E End Match 5/4x5 1/4 Short</v>
      </c>
    </row>
    <row r="2412" spans="1:20" x14ac:dyDescent="0.25">
      <c r="A2412" t="s">
        <v>3063</v>
      </c>
      <c r="B2412" t="s">
        <v>3131</v>
      </c>
      <c r="C2412" t="s">
        <v>283</v>
      </c>
      <c r="D2412" t="s">
        <v>3044</v>
      </c>
      <c r="E2412" t="s">
        <v>3147</v>
      </c>
      <c r="F2412" t="s">
        <v>3133</v>
      </c>
      <c r="G2412" t="s">
        <v>3068</v>
      </c>
      <c r="H2412" t="s">
        <v>3106</v>
      </c>
      <c r="I2412" t="s">
        <v>289</v>
      </c>
      <c r="J2412" t="s">
        <v>3134</v>
      </c>
      <c r="K2412">
        <v>8</v>
      </c>
      <c r="L2412" s="6">
        <v>2.4</v>
      </c>
      <c r="M2412" s="7">
        <v>25</v>
      </c>
      <c r="N2412" s="7">
        <v>130</v>
      </c>
      <c r="O2412" s="7">
        <f t="shared" si="183"/>
        <v>94.488188976377955</v>
      </c>
      <c r="P2412" s="7">
        <f t="shared" si="184"/>
        <v>0.98425196850393704</v>
      </c>
      <c r="Q2412" s="7">
        <f t="shared" si="184"/>
        <v>5.1181102362204731</v>
      </c>
      <c r="R2412" s="6">
        <f t="shared" si="185"/>
        <v>1009.489</v>
      </c>
      <c r="S2412" s="6">
        <f t="shared" si="186"/>
        <v>7.7999999999999996E-3</v>
      </c>
      <c r="T2412" t="str">
        <f t="shared" si="187"/>
        <v>Maximo Thermo Ash S4S E4E End Match 5/4x5 1/4 Long</v>
      </c>
    </row>
    <row r="2413" spans="1:20" x14ac:dyDescent="0.25">
      <c r="A2413" t="s">
        <v>3063</v>
      </c>
      <c r="B2413" t="s">
        <v>3131</v>
      </c>
      <c r="C2413" t="s">
        <v>283</v>
      </c>
      <c r="D2413" t="s">
        <v>3044</v>
      </c>
      <c r="E2413" t="s">
        <v>3148</v>
      </c>
      <c r="F2413" t="s">
        <v>3133</v>
      </c>
      <c r="G2413" t="s">
        <v>3068</v>
      </c>
      <c r="H2413" t="s">
        <v>3106</v>
      </c>
      <c r="I2413" t="s">
        <v>289</v>
      </c>
      <c r="J2413" t="s">
        <v>3134</v>
      </c>
      <c r="K2413">
        <v>9</v>
      </c>
      <c r="L2413" s="6">
        <v>2.7</v>
      </c>
      <c r="M2413" s="7">
        <v>25</v>
      </c>
      <c r="N2413" s="7">
        <v>130</v>
      </c>
      <c r="O2413" s="7">
        <f t="shared" si="183"/>
        <v>106.29921259842521</v>
      </c>
      <c r="P2413" s="7">
        <f t="shared" si="184"/>
        <v>0.98425196850393704</v>
      </c>
      <c r="Q2413" s="7">
        <f t="shared" si="184"/>
        <v>5.1181102362204731</v>
      </c>
      <c r="R2413" s="6">
        <f t="shared" si="185"/>
        <v>1009.489</v>
      </c>
      <c r="S2413" s="6">
        <f t="shared" si="186"/>
        <v>8.7749999999999998E-3</v>
      </c>
      <c r="T2413" t="str">
        <f t="shared" si="187"/>
        <v>Maximo Thermo Ash S4S E4E End Match 5/4x5 1/4 Long</v>
      </c>
    </row>
    <row r="2414" spans="1:20" x14ac:dyDescent="0.25">
      <c r="A2414" t="s">
        <v>3063</v>
      </c>
      <c r="B2414" t="s">
        <v>3149</v>
      </c>
      <c r="C2414" t="s">
        <v>283</v>
      </c>
      <c r="D2414" t="s">
        <v>3044</v>
      </c>
      <c r="E2414" t="s">
        <v>39</v>
      </c>
      <c r="F2414" t="s">
        <v>3150</v>
      </c>
      <c r="G2414" t="s">
        <v>3068</v>
      </c>
      <c r="H2414" t="s">
        <v>3106</v>
      </c>
      <c r="I2414" t="s">
        <v>289</v>
      </c>
      <c r="J2414" t="s">
        <v>301</v>
      </c>
      <c r="K2414">
        <v>10</v>
      </c>
      <c r="L2414" s="6">
        <v>3</v>
      </c>
      <c r="M2414" s="7">
        <v>25</v>
      </c>
      <c r="N2414" s="7">
        <v>140</v>
      </c>
      <c r="O2414" s="7">
        <f t="shared" si="183"/>
        <v>118.11023622047244</v>
      </c>
      <c r="P2414" s="7">
        <f t="shared" si="184"/>
        <v>0.98425196850393704</v>
      </c>
      <c r="Q2414" s="7">
        <f t="shared" si="184"/>
        <v>5.5118110236220472</v>
      </c>
      <c r="R2414" s="6">
        <f t="shared" si="185"/>
        <v>937.38300000000004</v>
      </c>
      <c r="S2414" s="6">
        <f t="shared" si="186"/>
        <v>1.0500000000000001E-2</v>
      </c>
      <c r="T2414" t="str">
        <f t="shared" si="187"/>
        <v>Maximo Thermo Ash S4S E4E End Match 5/4x6 Long</v>
      </c>
    </row>
    <row r="2415" spans="1:20" x14ac:dyDescent="0.25">
      <c r="A2415" t="s">
        <v>3063</v>
      </c>
      <c r="B2415" t="s">
        <v>3149</v>
      </c>
      <c r="C2415" t="s">
        <v>283</v>
      </c>
      <c r="D2415" t="s">
        <v>3044</v>
      </c>
      <c r="E2415" t="s">
        <v>3151</v>
      </c>
      <c r="F2415" t="s">
        <v>3150</v>
      </c>
      <c r="G2415" t="s">
        <v>3068</v>
      </c>
      <c r="H2415" t="s">
        <v>3106</v>
      </c>
      <c r="I2415" t="s">
        <v>289</v>
      </c>
      <c r="J2415" t="s">
        <v>301</v>
      </c>
      <c r="K2415">
        <v>11</v>
      </c>
      <c r="L2415" s="6">
        <v>3.3</v>
      </c>
      <c r="M2415" s="7">
        <v>25</v>
      </c>
      <c r="N2415" s="7">
        <v>140</v>
      </c>
      <c r="O2415" s="7">
        <f t="shared" si="183"/>
        <v>129.92125984251967</v>
      </c>
      <c r="P2415" s="7">
        <f t="shared" si="184"/>
        <v>0.98425196850393704</v>
      </c>
      <c r="Q2415" s="7">
        <f t="shared" si="184"/>
        <v>5.5118110236220472</v>
      </c>
      <c r="R2415" s="6">
        <f t="shared" si="185"/>
        <v>937.38300000000004</v>
      </c>
      <c r="S2415" s="6">
        <f t="shared" si="186"/>
        <v>1.1550000000000001E-2</v>
      </c>
      <c r="T2415" t="str">
        <f t="shared" si="187"/>
        <v>Maximo Thermo Ash S4S E4E End Match 5/4x6 Long</v>
      </c>
    </row>
    <row r="2416" spans="1:20" x14ac:dyDescent="0.25">
      <c r="A2416" t="s">
        <v>3063</v>
      </c>
      <c r="B2416" t="s">
        <v>3149</v>
      </c>
      <c r="C2416" t="s">
        <v>283</v>
      </c>
      <c r="D2416" t="s">
        <v>3044</v>
      </c>
      <c r="E2416" t="s">
        <v>3152</v>
      </c>
      <c r="F2416" t="s">
        <v>3150</v>
      </c>
      <c r="G2416" t="s">
        <v>3068</v>
      </c>
      <c r="H2416" t="s">
        <v>3106</v>
      </c>
      <c r="I2416" t="s">
        <v>289</v>
      </c>
      <c r="J2416" t="s">
        <v>301</v>
      </c>
      <c r="K2416">
        <v>12</v>
      </c>
      <c r="L2416" s="6">
        <v>3.6</v>
      </c>
      <c r="M2416" s="7">
        <v>25</v>
      </c>
      <c r="N2416" s="7">
        <v>140</v>
      </c>
      <c r="O2416" s="7">
        <f t="shared" ref="O2416:O2479" si="188">L2416/0.0254</f>
        <v>141.73228346456693</v>
      </c>
      <c r="P2416" s="7">
        <f t="shared" ref="P2416:Q2479" si="189">M2416/25.4</f>
        <v>0.98425196850393704</v>
      </c>
      <c r="Q2416" s="7">
        <f t="shared" si="189"/>
        <v>5.5118110236220472</v>
      </c>
      <c r="R2416" s="6">
        <f t="shared" ref="R2416:R2479" si="190">ROUND(IFERROR(1/((M2416*N2416*0.3048)/1000000),0),3)</f>
        <v>937.38300000000004</v>
      </c>
      <c r="S2416" s="6">
        <f t="shared" ref="S2416:S2479" si="191">L2416*M2416/1000*N2416/1000</f>
        <v>1.26E-2</v>
      </c>
      <c r="T2416" t="str">
        <f t="shared" si="187"/>
        <v>Maximo Thermo Ash S4S E4E End Match 5/4x6 Long</v>
      </c>
    </row>
    <row r="2417" spans="1:20" x14ac:dyDescent="0.25">
      <c r="A2417" t="s">
        <v>3063</v>
      </c>
      <c r="B2417" t="s">
        <v>3149</v>
      </c>
      <c r="C2417" t="s">
        <v>283</v>
      </c>
      <c r="D2417" t="s">
        <v>3044</v>
      </c>
      <c r="E2417" t="s">
        <v>3153</v>
      </c>
      <c r="F2417" t="s">
        <v>3150</v>
      </c>
      <c r="G2417" t="s">
        <v>3068</v>
      </c>
      <c r="H2417" t="s">
        <v>3106</v>
      </c>
      <c r="I2417" t="s">
        <v>289</v>
      </c>
      <c r="J2417" t="s">
        <v>301</v>
      </c>
      <c r="K2417">
        <v>13</v>
      </c>
      <c r="L2417" s="6">
        <v>3.9</v>
      </c>
      <c r="M2417" s="7">
        <v>25</v>
      </c>
      <c r="N2417" s="7">
        <v>140</v>
      </c>
      <c r="O2417" s="7">
        <f t="shared" si="188"/>
        <v>153.54330708661416</v>
      </c>
      <c r="P2417" s="7">
        <f t="shared" si="189"/>
        <v>0.98425196850393704</v>
      </c>
      <c r="Q2417" s="7">
        <f t="shared" si="189"/>
        <v>5.5118110236220472</v>
      </c>
      <c r="R2417" s="6">
        <f t="shared" si="190"/>
        <v>937.38300000000004</v>
      </c>
      <c r="S2417" s="6">
        <f t="shared" si="191"/>
        <v>1.3650000000000001E-2</v>
      </c>
      <c r="T2417" t="str">
        <f t="shared" si="187"/>
        <v>Maximo Thermo Ash S4S E4E End Match 5/4x6 Long</v>
      </c>
    </row>
    <row r="2418" spans="1:20" x14ac:dyDescent="0.25">
      <c r="A2418" t="s">
        <v>3063</v>
      </c>
      <c r="B2418" t="s">
        <v>3149</v>
      </c>
      <c r="C2418" t="s">
        <v>283</v>
      </c>
      <c r="D2418" t="s">
        <v>3044</v>
      </c>
      <c r="E2418" t="s">
        <v>3154</v>
      </c>
      <c r="F2418" t="s">
        <v>3150</v>
      </c>
      <c r="G2418" t="s">
        <v>3068</v>
      </c>
      <c r="H2418" t="s">
        <v>3106</v>
      </c>
      <c r="I2418" t="s">
        <v>289</v>
      </c>
      <c r="J2418" t="s">
        <v>301</v>
      </c>
      <c r="K2418">
        <v>14</v>
      </c>
      <c r="L2418" s="6">
        <v>4.2</v>
      </c>
      <c r="M2418" s="7">
        <v>25</v>
      </c>
      <c r="N2418" s="7">
        <v>140</v>
      </c>
      <c r="O2418" s="7">
        <f t="shared" si="188"/>
        <v>165.35433070866142</v>
      </c>
      <c r="P2418" s="7">
        <f t="shared" si="189"/>
        <v>0.98425196850393704</v>
      </c>
      <c r="Q2418" s="7">
        <f t="shared" si="189"/>
        <v>5.5118110236220472</v>
      </c>
      <c r="R2418" s="6">
        <f t="shared" si="190"/>
        <v>937.38300000000004</v>
      </c>
      <c r="S2418" s="6">
        <f t="shared" si="191"/>
        <v>1.47E-2</v>
      </c>
      <c r="T2418" t="str">
        <f t="shared" si="187"/>
        <v>Maximo Thermo Ash S4S E4E End Match 5/4x6 Long</v>
      </c>
    </row>
    <row r="2419" spans="1:20" x14ac:dyDescent="0.25">
      <c r="A2419" t="s">
        <v>3063</v>
      </c>
      <c r="B2419" t="s">
        <v>3149</v>
      </c>
      <c r="C2419" t="s">
        <v>283</v>
      </c>
      <c r="D2419" t="s">
        <v>3044</v>
      </c>
      <c r="E2419" t="s">
        <v>3155</v>
      </c>
      <c r="F2419" t="s">
        <v>3150</v>
      </c>
      <c r="G2419" t="s">
        <v>3068</v>
      </c>
      <c r="H2419" t="s">
        <v>3106</v>
      </c>
      <c r="I2419" t="s">
        <v>289</v>
      </c>
      <c r="J2419" t="s">
        <v>301</v>
      </c>
      <c r="K2419">
        <v>15</v>
      </c>
      <c r="L2419" s="6">
        <v>4.5</v>
      </c>
      <c r="M2419" s="7">
        <v>25</v>
      </c>
      <c r="N2419" s="7">
        <v>140</v>
      </c>
      <c r="O2419" s="7">
        <f t="shared" si="188"/>
        <v>177.16535433070868</v>
      </c>
      <c r="P2419" s="7">
        <f t="shared" si="189"/>
        <v>0.98425196850393704</v>
      </c>
      <c r="Q2419" s="7">
        <f t="shared" si="189"/>
        <v>5.5118110236220472</v>
      </c>
      <c r="R2419" s="6">
        <f t="shared" si="190"/>
        <v>937.38300000000004</v>
      </c>
      <c r="S2419" s="6">
        <f t="shared" si="191"/>
        <v>1.575E-2</v>
      </c>
      <c r="T2419" t="str">
        <f t="shared" si="187"/>
        <v>Maximo Thermo Ash S4S E4E End Match 5/4x6 Long</v>
      </c>
    </row>
    <row r="2420" spans="1:20" x14ac:dyDescent="0.25">
      <c r="A2420" t="s">
        <v>3063</v>
      </c>
      <c r="B2420" t="s">
        <v>3149</v>
      </c>
      <c r="C2420" t="s">
        <v>283</v>
      </c>
      <c r="D2420" t="s">
        <v>3044</v>
      </c>
      <c r="E2420" t="s">
        <v>3156</v>
      </c>
      <c r="F2420" t="s">
        <v>3150</v>
      </c>
      <c r="G2420" t="s">
        <v>3068</v>
      </c>
      <c r="H2420" t="s">
        <v>3106</v>
      </c>
      <c r="I2420" t="s">
        <v>289</v>
      </c>
      <c r="J2420" t="s">
        <v>301</v>
      </c>
      <c r="K2420">
        <v>16</v>
      </c>
      <c r="L2420" s="6">
        <v>4.8</v>
      </c>
      <c r="M2420" s="7">
        <v>25</v>
      </c>
      <c r="N2420" s="7">
        <v>140</v>
      </c>
      <c r="O2420" s="7">
        <f t="shared" si="188"/>
        <v>188.97637795275591</v>
      </c>
      <c r="P2420" s="7">
        <f t="shared" si="189"/>
        <v>0.98425196850393704</v>
      </c>
      <c r="Q2420" s="7">
        <f t="shared" si="189"/>
        <v>5.5118110236220472</v>
      </c>
      <c r="R2420" s="6">
        <f t="shared" si="190"/>
        <v>937.38300000000004</v>
      </c>
      <c r="S2420" s="6">
        <f t="shared" si="191"/>
        <v>1.6800000000000002E-2</v>
      </c>
      <c r="T2420" t="str">
        <f t="shared" si="187"/>
        <v>Maximo Thermo Ash S4S E4E End Match 5/4x6 Long</v>
      </c>
    </row>
    <row r="2421" spans="1:20" x14ac:dyDescent="0.25">
      <c r="A2421" t="s">
        <v>3063</v>
      </c>
      <c r="B2421" t="s">
        <v>3149</v>
      </c>
      <c r="C2421" t="s">
        <v>283</v>
      </c>
      <c r="D2421" t="s">
        <v>3044</v>
      </c>
      <c r="E2421" t="s">
        <v>3157</v>
      </c>
      <c r="F2421" t="s">
        <v>3150</v>
      </c>
      <c r="G2421" t="s">
        <v>3068</v>
      </c>
      <c r="H2421" t="s">
        <v>3106</v>
      </c>
      <c r="I2421" t="s">
        <v>289</v>
      </c>
      <c r="J2421" t="s">
        <v>301</v>
      </c>
      <c r="K2421">
        <v>17</v>
      </c>
      <c r="L2421" s="6">
        <v>5.0999999999999996</v>
      </c>
      <c r="M2421" s="7">
        <v>25</v>
      </c>
      <c r="N2421" s="7">
        <v>140</v>
      </c>
      <c r="O2421" s="7">
        <f t="shared" si="188"/>
        <v>200.78740157480314</v>
      </c>
      <c r="P2421" s="7">
        <f t="shared" si="189"/>
        <v>0.98425196850393704</v>
      </c>
      <c r="Q2421" s="7">
        <f t="shared" si="189"/>
        <v>5.5118110236220472</v>
      </c>
      <c r="R2421" s="6">
        <f t="shared" si="190"/>
        <v>937.38300000000004</v>
      </c>
      <c r="S2421" s="6">
        <f t="shared" si="191"/>
        <v>1.7849999999999998E-2</v>
      </c>
      <c r="T2421" t="str">
        <f t="shared" si="187"/>
        <v>Maximo Thermo Ash S4S E4E End Match 5/4x6 Long</v>
      </c>
    </row>
    <row r="2422" spans="1:20" x14ac:dyDescent="0.25">
      <c r="A2422" t="s">
        <v>3063</v>
      </c>
      <c r="B2422" t="s">
        <v>3149</v>
      </c>
      <c r="C2422" t="s">
        <v>283</v>
      </c>
      <c r="D2422" t="s">
        <v>3044</v>
      </c>
      <c r="E2422" t="s">
        <v>3158</v>
      </c>
      <c r="F2422" t="s">
        <v>3150</v>
      </c>
      <c r="G2422" t="s">
        <v>3068</v>
      </c>
      <c r="H2422" t="s">
        <v>3106</v>
      </c>
      <c r="I2422" t="s">
        <v>289</v>
      </c>
      <c r="J2422" t="s">
        <v>301</v>
      </c>
      <c r="K2422">
        <v>18</v>
      </c>
      <c r="L2422" s="6">
        <v>5.4</v>
      </c>
      <c r="M2422" s="7">
        <v>25</v>
      </c>
      <c r="N2422" s="7">
        <v>140</v>
      </c>
      <c r="O2422" s="7">
        <f t="shared" si="188"/>
        <v>212.59842519685043</v>
      </c>
      <c r="P2422" s="7">
        <f t="shared" si="189"/>
        <v>0.98425196850393704</v>
      </c>
      <c r="Q2422" s="7">
        <f t="shared" si="189"/>
        <v>5.5118110236220472</v>
      </c>
      <c r="R2422" s="6">
        <f t="shared" si="190"/>
        <v>937.38300000000004</v>
      </c>
      <c r="S2422" s="6">
        <f t="shared" si="191"/>
        <v>1.8900000000000004E-2</v>
      </c>
      <c r="T2422" t="str">
        <f t="shared" si="187"/>
        <v>Maximo Thermo Ash S4S E4E End Match 5/4x6 Long</v>
      </c>
    </row>
    <row r="2423" spans="1:20" x14ac:dyDescent="0.25">
      <c r="A2423" t="s">
        <v>3063</v>
      </c>
      <c r="B2423" t="s">
        <v>3149</v>
      </c>
      <c r="C2423" t="s">
        <v>524</v>
      </c>
      <c r="D2423" t="s">
        <v>3044</v>
      </c>
      <c r="E2423" t="s">
        <v>3159</v>
      </c>
      <c r="F2423" t="s">
        <v>3150</v>
      </c>
      <c r="G2423" t="s">
        <v>3068</v>
      </c>
      <c r="H2423" t="s">
        <v>3106</v>
      </c>
      <c r="I2423" t="s">
        <v>289</v>
      </c>
      <c r="J2423" t="s">
        <v>301</v>
      </c>
      <c r="K2423">
        <v>4</v>
      </c>
      <c r="L2423" s="6">
        <v>1.2</v>
      </c>
      <c r="M2423" s="7">
        <v>25</v>
      </c>
      <c r="N2423" s="7">
        <v>140</v>
      </c>
      <c r="O2423" s="7">
        <f t="shared" si="188"/>
        <v>47.244094488188978</v>
      </c>
      <c r="P2423" s="7">
        <f t="shared" si="189"/>
        <v>0.98425196850393704</v>
      </c>
      <c r="Q2423" s="7">
        <f t="shared" si="189"/>
        <v>5.5118110236220472</v>
      </c>
      <c r="R2423" s="6">
        <f t="shared" si="190"/>
        <v>937.38300000000004</v>
      </c>
      <c r="S2423" s="6">
        <f t="shared" si="191"/>
        <v>4.2000000000000006E-3</v>
      </c>
      <c r="T2423" t="str">
        <f t="shared" si="187"/>
        <v>Maximo Thermo Ash S4S E4E End Match 5/4x6 Short</v>
      </c>
    </row>
    <row r="2424" spans="1:20" x14ac:dyDescent="0.25">
      <c r="A2424" t="s">
        <v>3063</v>
      </c>
      <c r="B2424" t="s">
        <v>3149</v>
      </c>
      <c r="C2424" t="s">
        <v>524</v>
      </c>
      <c r="D2424" t="s">
        <v>3044</v>
      </c>
      <c r="E2424" t="s">
        <v>3160</v>
      </c>
      <c r="F2424" t="s">
        <v>3150</v>
      </c>
      <c r="G2424" t="s">
        <v>3068</v>
      </c>
      <c r="H2424" t="s">
        <v>3106</v>
      </c>
      <c r="I2424" t="s">
        <v>289</v>
      </c>
      <c r="J2424" t="s">
        <v>301</v>
      </c>
      <c r="K2424">
        <v>5</v>
      </c>
      <c r="L2424" s="6">
        <v>1.5</v>
      </c>
      <c r="M2424" s="7">
        <v>25</v>
      </c>
      <c r="N2424" s="7">
        <v>140</v>
      </c>
      <c r="O2424" s="7">
        <f t="shared" si="188"/>
        <v>59.055118110236222</v>
      </c>
      <c r="P2424" s="7">
        <f t="shared" si="189"/>
        <v>0.98425196850393704</v>
      </c>
      <c r="Q2424" s="7">
        <f t="shared" si="189"/>
        <v>5.5118110236220472</v>
      </c>
      <c r="R2424" s="6">
        <f t="shared" si="190"/>
        <v>937.38300000000004</v>
      </c>
      <c r="S2424" s="6">
        <f t="shared" si="191"/>
        <v>5.2500000000000003E-3</v>
      </c>
      <c r="T2424" t="str">
        <f t="shared" si="187"/>
        <v>Maximo Thermo Ash S4S E4E End Match 5/4x6 Short</v>
      </c>
    </row>
    <row r="2425" spans="1:20" x14ac:dyDescent="0.25">
      <c r="A2425" t="s">
        <v>3063</v>
      </c>
      <c r="B2425" t="s">
        <v>3149</v>
      </c>
      <c r="C2425" t="s">
        <v>524</v>
      </c>
      <c r="D2425" t="s">
        <v>3044</v>
      </c>
      <c r="E2425" t="s">
        <v>79</v>
      </c>
      <c r="F2425" t="s">
        <v>3150</v>
      </c>
      <c r="G2425" t="s">
        <v>3068</v>
      </c>
      <c r="H2425" t="s">
        <v>3106</v>
      </c>
      <c r="I2425" t="s">
        <v>289</v>
      </c>
      <c r="J2425" t="s">
        <v>301</v>
      </c>
      <c r="K2425">
        <v>6</v>
      </c>
      <c r="L2425" s="6">
        <v>1.8</v>
      </c>
      <c r="M2425" s="7">
        <v>25</v>
      </c>
      <c r="N2425" s="7">
        <v>140</v>
      </c>
      <c r="O2425" s="7">
        <f t="shared" si="188"/>
        <v>70.866141732283467</v>
      </c>
      <c r="P2425" s="7">
        <f t="shared" si="189"/>
        <v>0.98425196850393704</v>
      </c>
      <c r="Q2425" s="7">
        <f t="shared" si="189"/>
        <v>5.5118110236220472</v>
      </c>
      <c r="R2425" s="6">
        <f t="shared" si="190"/>
        <v>937.38300000000004</v>
      </c>
      <c r="S2425" s="6">
        <f t="shared" si="191"/>
        <v>6.3E-3</v>
      </c>
      <c r="T2425" t="str">
        <f t="shared" si="187"/>
        <v>Maximo Thermo Ash S4S E4E End Match 5/4x6 Short</v>
      </c>
    </row>
    <row r="2426" spans="1:20" x14ac:dyDescent="0.25">
      <c r="A2426" t="s">
        <v>3063</v>
      </c>
      <c r="B2426" t="s">
        <v>3149</v>
      </c>
      <c r="C2426" t="s">
        <v>524</v>
      </c>
      <c r="D2426" t="s">
        <v>3044</v>
      </c>
      <c r="E2426" t="s">
        <v>80</v>
      </c>
      <c r="F2426" t="s">
        <v>3150</v>
      </c>
      <c r="G2426" t="s">
        <v>3068</v>
      </c>
      <c r="H2426" t="s">
        <v>3106</v>
      </c>
      <c r="I2426" t="s">
        <v>289</v>
      </c>
      <c r="J2426" t="s">
        <v>301</v>
      </c>
      <c r="K2426">
        <v>7</v>
      </c>
      <c r="L2426" s="6">
        <v>2.1</v>
      </c>
      <c r="M2426" s="7">
        <v>25</v>
      </c>
      <c r="N2426" s="7">
        <v>140</v>
      </c>
      <c r="O2426" s="7">
        <f t="shared" si="188"/>
        <v>82.677165354330711</v>
      </c>
      <c r="P2426" s="7">
        <f t="shared" si="189"/>
        <v>0.98425196850393704</v>
      </c>
      <c r="Q2426" s="7">
        <f t="shared" si="189"/>
        <v>5.5118110236220472</v>
      </c>
      <c r="R2426" s="6">
        <f t="shared" si="190"/>
        <v>937.38300000000004</v>
      </c>
      <c r="S2426" s="6">
        <f t="shared" si="191"/>
        <v>7.3499999999999998E-3</v>
      </c>
      <c r="T2426" t="str">
        <f t="shared" si="187"/>
        <v>Maximo Thermo Ash S4S E4E End Match 5/4x6 Short</v>
      </c>
    </row>
    <row r="2427" spans="1:20" x14ac:dyDescent="0.25">
      <c r="A2427" t="s">
        <v>3063</v>
      </c>
      <c r="B2427" t="s">
        <v>3149</v>
      </c>
      <c r="C2427" t="s">
        <v>283</v>
      </c>
      <c r="D2427" t="s">
        <v>3044</v>
      </c>
      <c r="E2427" t="s">
        <v>37</v>
      </c>
      <c r="F2427" t="s">
        <v>3150</v>
      </c>
      <c r="G2427" t="s">
        <v>3068</v>
      </c>
      <c r="H2427" t="s">
        <v>3106</v>
      </c>
      <c r="I2427" t="s">
        <v>289</v>
      </c>
      <c r="J2427" t="s">
        <v>301</v>
      </c>
      <c r="K2427">
        <v>8</v>
      </c>
      <c r="L2427" s="6">
        <v>2.4</v>
      </c>
      <c r="M2427" s="7">
        <v>25</v>
      </c>
      <c r="N2427" s="7">
        <v>140</v>
      </c>
      <c r="O2427" s="7">
        <f t="shared" si="188"/>
        <v>94.488188976377955</v>
      </c>
      <c r="P2427" s="7">
        <f t="shared" si="189"/>
        <v>0.98425196850393704</v>
      </c>
      <c r="Q2427" s="7">
        <f t="shared" si="189"/>
        <v>5.5118110236220472</v>
      </c>
      <c r="R2427" s="6">
        <f t="shared" si="190"/>
        <v>937.38300000000004</v>
      </c>
      <c r="S2427" s="6">
        <f t="shared" si="191"/>
        <v>8.4000000000000012E-3</v>
      </c>
      <c r="T2427" t="str">
        <f t="shared" si="187"/>
        <v>Maximo Thermo Ash S4S E4E End Match 5/4x6 Long</v>
      </c>
    </row>
    <row r="2428" spans="1:20" x14ac:dyDescent="0.25">
      <c r="A2428" t="s">
        <v>3063</v>
      </c>
      <c r="B2428" t="s">
        <v>3149</v>
      </c>
      <c r="C2428" t="s">
        <v>283</v>
      </c>
      <c r="D2428" t="s">
        <v>3044</v>
      </c>
      <c r="E2428" t="s">
        <v>38</v>
      </c>
      <c r="F2428" t="s">
        <v>3150</v>
      </c>
      <c r="G2428" t="s">
        <v>3068</v>
      </c>
      <c r="H2428" t="s">
        <v>3106</v>
      </c>
      <c r="I2428" t="s">
        <v>289</v>
      </c>
      <c r="J2428" t="s">
        <v>301</v>
      </c>
      <c r="K2428">
        <v>9</v>
      </c>
      <c r="L2428" s="6">
        <v>2.7</v>
      </c>
      <c r="M2428" s="7">
        <v>25</v>
      </c>
      <c r="N2428" s="7">
        <v>140</v>
      </c>
      <c r="O2428" s="7">
        <f t="shared" si="188"/>
        <v>106.29921259842521</v>
      </c>
      <c r="P2428" s="7">
        <f t="shared" si="189"/>
        <v>0.98425196850393704</v>
      </c>
      <c r="Q2428" s="7">
        <f t="shared" si="189"/>
        <v>5.5118110236220472</v>
      </c>
      <c r="R2428" s="6">
        <f t="shared" si="190"/>
        <v>937.38300000000004</v>
      </c>
      <c r="S2428" s="6">
        <f t="shared" si="191"/>
        <v>9.4500000000000018E-3</v>
      </c>
      <c r="T2428" t="str">
        <f t="shared" si="187"/>
        <v>Maximo Thermo Ash S4S E4E End Match 5/4x6 Long</v>
      </c>
    </row>
    <row r="2429" spans="1:20" x14ac:dyDescent="0.25">
      <c r="A2429" t="s">
        <v>3063</v>
      </c>
      <c r="B2429" t="s">
        <v>3161</v>
      </c>
      <c r="C2429" t="s">
        <v>283</v>
      </c>
      <c r="D2429" t="s">
        <v>3044</v>
      </c>
      <c r="E2429" t="s">
        <v>3162</v>
      </c>
      <c r="F2429" t="s">
        <v>3163</v>
      </c>
      <c r="G2429" t="s">
        <v>3068</v>
      </c>
      <c r="H2429" t="s">
        <v>373</v>
      </c>
      <c r="I2429" t="s">
        <v>289</v>
      </c>
      <c r="J2429" t="s">
        <v>1359</v>
      </c>
      <c r="K2429">
        <v>10</v>
      </c>
      <c r="L2429" s="6">
        <v>3</v>
      </c>
      <c r="M2429" s="7">
        <v>20</v>
      </c>
      <c r="N2429" s="7">
        <v>250</v>
      </c>
      <c r="O2429" s="7">
        <f t="shared" si="188"/>
        <v>118.11023622047244</v>
      </c>
      <c r="P2429" s="7">
        <f t="shared" si="189"/>
        <v>0.78740157480314965</v>
      </c>
      <c r="Q2429" s="7">
        <f t="shared" si="189"/>
        <v>9.8425196850393704</v>
      </c>
      <c r="R2429" s="6">
        <f t="shared" si="190"/>
        <v>656.16800000000001</v>
      </c>
      <c r="S2429" s="6">
        <f t="shared" si="191"/>
        <v>1.4999999999999999E-2</v>
      </c>
      <c r="T2429" t="str">
        <f t="shared" si="187"/>
        <v>Maximo Thermo Ash S4S E4E 1x10 Long</v>
      </c>
    </row>
    <row r="2430" spans="1:20" x14ac:dyDescent="0.25">
      <c r="A2430" t="s">
        <v>3063</v>
      </c>
      <c r="B2430" t="s">
        <v>3161</v>
      </c>
      <c r="C2430" t="s">
        <v>283</v>
      </c>
      <c r="D2430" t="s">
        <v>3044</v>
      </c>
      <c r="E2430" t="s">
        <v>3164</v>
      </c>
      <c r="F2430" t="s">
        <v>3163</v>
      </c>
      <c r="G2430" t="s">
        <v>3068</v>
      </c>
      <c r="H2430" t="s">
        <v>373</v>
      </c>
      <c r="I2430" t="s">
        <v>289</v>
      </c>
      <c r="J2430" t="s">
        <v>1359</v>
      </c>
      <c r="K2430">
        <v>11</v>
      </c>
      <c r="L2430" s="6">
        <v>3.3</v>
      </c>
      <c r="M2430" s="7">
        <v>20</v>
      </c>
      <c r="N2430" s="7">
        <v>250</v>
      </c>
      <c r="O2430" s="7">
        <f t="shared" si="188"/>
        <v>129.92125984251967</v>
      </c>
      <c r="P2430" s="7">
        <f t="shared" si="189"/>
        <v>0.78740157480314965</v>
      </c>
      <c r="Q2430" s="7">
        <f t="shared" si="189"/>
        <v>9.8425196850393704</v>
      </c>
      <c r="R2430" s="6">
        <f t="shared" si="190"/>
        <v>656.16800000000001</v>
      </c>
      <c r="S2430" s="6">
        <f t="shared" si="191"/>
        <v>1.6500000000000001E-2</v>
      </c>
      <c r="T2430" t="str">
        <f t="shared" si="187"/>
        <v>Maximo Thermo Ash S4S E4E 1x10 Long</v>
      </c>
    </row>
    <row r="2431" spans="1:20" x14ac:dyDescent="0.25">
      <c r="A2431" t="s">
        <v>3063</v>
      </c>
      <c r="B2431" t="s">
        <v>3161</v>
      </c>
      <c r="C2431" t="s">
        <v>283</v>
      </c>
      <c r="D2431" t="s">
        <v>3044</v>
      </c>
      <c r="E2431" t="s">
        <v>3165</v>
      </c>
      <c r="F2431" t="s">
        <v>3163</v>
      </c>
      <c r="G2431" t="s">
        <v>3068</v>
      </c>
      <c r="H2431" t="s">
        <v>373</v>
      </c>
      <c r="I2431" t="s">
        <v>289</v>
      </c>
      <c r="J2431" t="s">
        <v>1359</v>
      </c>
      <c r="K2431">
        <v>12</v>
      </c>
      <c r="L2431" s="6">
        <v>3.6</v>
      </c>
      <c r="M2431" s="7">
        <v>20</v>
      </c>
      <c r="N2431" s="7">
        <v>250</v>
      </c>
      <c r="O2431" s="7">
        <f t="shared" si="188"/>
        <v>141.73228346456693</v>
      </c>
      <c r="P2431" s="7">
        <f t="shared" si="189"/>
        <v>0.78740157480314965</v>
      </c>
      <c r="Q2431" s="7">
        <f t="shared" si="189"/>
        <v>9.8425196850393704</v>
      </c>
      <c r="R2431" s="6">
        <f t="shared" si="190"/>
        <v>656.16800000000001</v>
      </c>
      <c r="S2431" s="6">
        <f t="shared" si="191"/>
        <v>1.7999999999999999E-2</v>
      </c>
      <c r="T2431" t="str">
        <f t="shared" si="187"/>
        <v>Maximo Thermo Ash S4S E4E 1x10 Long</v>
      </c>
    </row>
    <row r="2432" spans="1:20" x14ac:dyDescent="0.25">
      <c r="A2432" t="s">
        <v>3063</v>
      </c>
      <c r="B2432" t="s">
        <v>3161</v>
      </c>
      <c r="C2432" t="s">
        <v>283</v>
      </c>
      <c r="D2432" t="s">
        <v>3044</v>
      </c>
      <c r="E2432" t="s">
        <v>3166</v>
      </c>
      <c r="F2432" t="s">
        <v>3163</v>
      </c>
      <c r="G2432" t="s">
        <v>3068</v>
      </c>
      <c r="H2432" t="s">
        <v>373</v>
      </c>
      <c r="I2432" t="s">
        <v>289</v>
      </c>
      <c r="J2432" t="s">
        <v>1359</v>
      </c>
      <c r="K2432">
        <v>13</v>
      </c>
      <c r="L2432" s="6">
        <v>3.9</v>
      </c>
      <c r="M2432" s="7">
        <v>20</v>
      </c>
      <c r="N2432" s="7">
        <v>250</v>
      </c>
      <c r="O2432" s="7">
        <f t="shared" si="188"/>
        <v>153.54330708661416</v>
      </c>
      <c r="P2432" s="7">
        <f t="shared" si="189"/>
        <v>0.78740157480314965</v>
      </c>
      <c r="Q2432" s="7">
        <f t="shared" si="189"/>
        <v>9.8425196850393704</v>
      </c>
      <c r="R2432" s="6">
        <f t="shared" si="190"/>
        <v>656.16800000000001</v>
      </c>
      <c r="S2432" s="6">
        <f t="shared" si="191"/>
        <v>1.95E-2</v>
      </c>
      <c r="T2432" t="str">
        <f t="shared" si="187"/>
        <v>Maximo Thermo Ash S4S E4E 1x10 Long</v>
      </c>
    </row>
    <row r="2433" spans="1:20" x14ac:dyDescent="0.25">
      <c r="A2433" t="s">
        <v>3063</v>
      </c>
      <c r="B2433" t="s">
        <v>3161</v>
      </c>
      <c r="C2433" t="s">
        <v>283</v>
      </c>
      <c r="D2433" t="s">
        <v>3044</v>
      </c>
      <c r="E2433" t="s">
        <v>3167</v>
      </c>
      <c r="F2433" t="s">
        <v>3163</v>
      </c>
      <c r="G2433" t="s">
        <v>3068</v>
      </c>
      <c r="H2433" t="s">
        <v>373</v>
      </c>
      <c r="I2433" t="s">
        <v>289</v>
      </c>
      <c r="J2433" t="s">
        <v>1359</v>
      </c>
      <c r="K2433">
        <v>14</v>
      </c>
      <c r="L2433" s="6">
        <v>4.2</v>
      </c>
      <c r="M2433" s="7">
        <v>20</v>
      </c>
      <c r="N2433" s="7">
        <v>250</v>
      </c>
      <c r="O2433" s="7">
        <f t="shared" si="188"/>
        <v>165.35433070866142</v>
      </c>
      <c r="P2433" s="7">
        <f t="shared" si="189"/>
        <v>0.78740157480314965</v>
      </c>
      <c r="Q2433" s="7">
        <f t="shared" si="189"/>
        <v>9.8425196850393704</v>
      </c>
      <c r="R2433" s="6">
        <f t="shared" si="190"/>
        <v>656.16800000000001</v>
      </c>
      <c r="S2433" s="6">
        <f t="shared" si="191"/>
        <v>2.1000000000000001E-2</v>
      </c>
      <c r="T2433" t="str">
        <f t="shared" si="187"/>
        <v>Maximo Thermo Ash S4S E4E 1x10 Long</v>
      </c>
    </row>
    <row r="2434" spans="1:20" x14ac:dyDescent="0.25">
      <c r="A2434" t="s">
        <v>3063</v>
      </c>
      <c r="B2434" t="s">
        <v>3161</v>
      </c>
      <c r="C2434" t="s">
        <v>283</v>
      </c>
      <c r="D2434" t="s">
        <v>3044</v>
      </c>
      <c r="E2434" t="s">
        <v>3168</v>
      </c>
      <c r="F2434" t="s">
        <v>3163</v>
      </c>
      <c r="G2434" t="s">
        <v>3068</v>
      </c>
      <c r="H2434" t="s">
        <v>373</v>
      </c>
      <c r="I2434" t="s">
        <v>289</v>
      </c>
      <c r="J2434" t="s">
        <v>1359</v>
      </c>
      <c r="K2434">
        <v>15</v>
      </c>
      <c r="L2434" s="6">
        <v>4.5</v>
      </c>
      <c r="M2434" s="7">
        <v>20</v>
      </c>
      <c r="N2434" s="7">
        <v>250</v>
      </c>
      <c r="O2434" s="7">
        <f t="shared" si="188"/>
        <v>177.16535433070868</v>
      </c>
      <c r="P2434" s="7">
        <f t="shared" si="189"/>
        <v>0.78740157480314965</v>
      </c>
      <c r="Q2434" s="7">
        <f t="shared" si="189"/>
        <v>9.8425196850393704</v>
      </c>
      <c r="R2434" s="6">
        <f t="shared" si="190"/>
        <v>656.16800000000001</v>
      </c>
      <c r="S2434" s="6">
        <f t="shared" si="191"/>
        <v>2.2499999999999999E-2</v>
      </c>
      <c r="T2434" t="str">
        <f t="shared" ref="T2434:T2497" si="192">F2434&amp;" "&amp;C2434</f>
        <v>Maximo Thermo Ash S4S E4E 1x10 Long</v>
      </c>
    </row>
    <row r="2435" spans="1:20" x14ac:dyDescent="0.25">
      <c r="A2435" t="s">
        <v>3063</v>
      </c>
      <c r="B2435" t="s">
        <v>3161</v>
      </c>
      <c r="C2435" t="s">
        <v>283</v>
      </c>
      <c r="D2435" t="s">
        <v>3044</v>
      </c>
      <c r="E2435" t="s">
        <v>3169</v>
      </c>
      <c r="F2435" t="s">
        <v>3163</v>
      </c>
      <c r="G2435" t="s">
        <v>3068</v>
      </c>
      <c r="H2435" t="s">
        <v>373</v>
      </c>
      <c r="I2435" t="s">
        <v>289</v>
      </c>
      <c r="J2435" t="s">
        <v>1359</v>
      </c>
      <c r="K2435">
        <v>16</v>
      </c>
      <c r="L2435" s="6">
        <v>4.8</v>
      </c>
      <c r="M2435" s="7">
        <v>20</v>
      </c>
      <c r="N2435" s="7">
        <v>250</v>
      </c>
      <c r="O2435" s="7">
        <f t="shared" si="188"/>
        <v>188.97637795275591</v>
      </c>
      <c r="P2435" s="7">
        <f t="shared" si="189"/>
        <v>0.78740157480314965</v>
      </c>
      <c r="Q2435" s="7">
        <f t="shared" si="189"/>
        <v>9.8425196850393704</v>
      </c>
      <c r="R2435" s="6">
        <f t="shared" si="190"/>
        <v>656.16800000000001</v>
      </c>
      <c r="S2435" s="6">
        <f t="shared" si="191"/>
        <v>2.4E-2</v>
      </c>
      <c r="T2435" t="str">
        <f t="shared" si="192"/>
        <v>Maximo Thermo Ash S4S E4E 1x10 Long</v>
      </c>
    </row>
    <row r="2436" spans="1:20" x14ac:dyDescent="0.25">
      <c r="A2436" t="s">
        <v>3063</v>
      </c>
      <c r="B2436" t="s">
        <v>3161</v>
      </c>
      <c r="C2436" t="s">
        <v>283</v>
      </c>
      <c r="D2436" t="s">
        <v>3044</v>
      </c>
      <c r="E2436" t="s">
        <v>3170</v>
      </c>
      <c r="F2436" t="s">
        <v>3163</v>
      </c>
      <c r="G2436" t="s">
        <v>3068</v>
      </c>
      <c r="H2436" t="s">
        <v>373</v>
      </c>
      <c r="I2436" t="s">
        <v>289</v>
      </c>
      <c r="J2436" t="s">
        <v>1359</v>
      </c>
      <c r="K2436">
        <v>17</v>
      </c>
      <c r="L2436" s="6">
        <v>5.0999999999999996</v>
      </c>
      <c r="M2436" s="7">
        <v>20</v>
      </c>
      <c r="N2436" s="7">
        <v>250</v>
      </c>
      <c r="O2436" s="7">
        <f t="shared" si="188"/>
        <v>200.78740157480314</v>
      </c>
      <c r="P2436" s="7">
        <f t="shared" si="189"/>
        <v>0.78740157480314965</v>
      </c>
      <c r="Q2436" s="7">
        <f t="shared" si="189"/>
        <v>9.8425196850393704</v>
      </c>
      <c r="R2436" s="6">
        <f t="shared" si="190"/>
        <v>656.16800000000001</v>
      </c>
      <c r="S2436" s="6">
        <f t="shared" si="191"/>
        <v>2.5499999999999998E-2</v>
      </c>
      <c r="T2436" t="str">
        <f t="shared" si="192"/>
        <v>Maximo Thermo Ash S4S E4E 1x10 Long</v>
      </c>
    </row>
    <row r="2437" spans="1:20" x14ac:dyDescent="0.25">
      <c r="A2437" t="s">
        <v>3063</v>
      </c>
      <c r="B2437" t="s">
        <v>3161</v>
      </c>
      <c r="C2437" t="s">
        <v>283</v>
      </c>
      <c r="D2437" t="s">
        <v>3044</v>
      </c>
      <c r="E2437" t="s">
        <v>3171</v>
      </c>
      <c r="F2437" t="s">
        <v>3163</v>
      </c>
      <c r="G2437" t="s">
        <v>3068</v>
      </c>
      <c r="H2437" t="s">
        <v>373</v>
      </c>
      <c r="I2437" t="s">
        <v>289</v>
      </c>
      <c r="J2437" t="s">
        <v>1359</v>
      </c>
      <c r="K2437">
        <v>18</v>
      </c>
      <c r="L2437" s="6">
        <v>5.4</v>
      </c>
      <c r="M2437" s="7">
        <v>20</v>
      </c>
      <c r="N2437" s="7">
        <v>250</v>
      </c>
      <c r="O2437" s="7">
        <f t="shared" si="188"/>
        <v>212.59842519685043</v>
      </c>
      <c r="P2437" s="7">
        <f t="shared" si="189"/>
        <v>0.78740157480314965</v>
      </c>
      <c r="Q2437" s="7">
        <f t="shared" si="189"/>
        <v>9.8425196850393704</v>
      </c>
      <c r="R2437" s="6">
        <f t="shared" si="190"/>
        <v>656.16800000000001</v>
      </c>
      <c r="S2437" s="6">
        <f t="shared" si="191"/>
        <v>2.7E-2</v>
      </c>
      <c r="T2437" t="str">
        <f t="shared" si="192"/>
        <v>Maximo Thermo Ash S4S E4E 1x10 Long</v>
      </c>
    </row>
    <row r="2438" spans="1:20" x14ac:dyDescent="0.25">
      <c r="A2438" t="s">
        <v>3063</v>
      </c>
      <c r="B2438" t="s">
        <v>3161</v>
      </c>
      <c r="C2438" t="s">
        <v>524</v>
      </c>
      <c r="D2438" t="s">
        <v>3044</v>
      </c>
      <c r="E2438" t="s">
        <v>3172</v>
      </c>
      <c r="F2438" t="s">
        <v>3163</v>
      </c>
      <c r="G2438" t="s">
        <v>3068</v>
      </c>
      <c r="H2438" t="s">
        <v>373</v>
      </c>
      <c r="I2438" t="s">
        <v>289</v>
      </c>
      <c r="J2438" t="s">
        <v>1359</v>
      </c>
      <c r="K2438">
        <v>4</v>
      </c>
      <c r="L2438" s="6">
        <v>1.2</v>
      </c>
      <c r="M2438" s="7">
        <v>20</v>
      </c>
      <c r="N2438" s="7">
        <v>250</v>
      </c>
      <c r="O2438" s="7">
        <f t="shared" si="188"/>
        <v>47.244094488188978</v>
      </c>
      <c r="P2438" s="7">
        <f t="shared" si="189"/>
        <v>0.78740157480314965</v>
      </c>
      <c r="Q2438" s="7">
        <f t="shared" si="189"/>
        <v>9.8425196850393704</v>
      </c>
      <c r="R2438" s="6">
        <f t="shared" si="190"/>
        <v>656.16800000000001</v>
      </c>
      <c r="S2438" s="6">
        <f t="shared" si="191"/>
        <v>6.0000000000000001E-3</v>
      </c>
      <c r="T2438" t="str">
        <f t="shared" si="192"/>
        <v>Maximo Thermo Ash S4S E4E 1x10 Short</v>
      </c>
    </row>
    <row r="2439" spans="1:20" x14ac:dyDescent="0.25">
      <c r="A2439" t="s">
        <v>3063</v>
      </c>
      <c r="B2439" t="s">
        <v>3161</v>
      </c>
      <c r="C2439" t="s">
        <v>524</v>
      </c>
      <c r="D2439" t="s">
        <v>3044</v>
      </c>
      <c r="E2439" t="s">
        <v>3173</v>
      </c>
      <c r="F2439" t="s">
        <v>3163</v>
      </c>
      <c r="G2439" t="s">
        <v>3068</v>
      </c>
      <c r="H2439" t="s">
        <v>373</v>
      </c>
      <c r="I2439" t="s">
        <v>289</v>
      </c>
      <c r="J2439" t="s">
        <v>1359</v>
      </c>
      <c r="K2439">
        <v>5</v>
      </c>
      <c r="L2439" s="6">
        <v>1.5</v>
      </c>
      <c r="M2439" s="7">
        <v>20</v>
      </c>
      <c r="N2439" s="7">
        <v>250</v>
      </c>
      <c r="O2439" s="7">
        <f t="shared" si="188"/>
        <v>59.055118110236222</v>
      </c>
      <c r="P2439" s="7">
        <f t="shared" si="189"/>
        <v>0.78740157480314965</v>
      </c>
      <c r="Q2439" s="7">
        <f t="shared" si="189"/>
        <v>9.8425196850393704</v>
      </c>
      <c r="R2439" s="6">
        <f t="shared" si="190"/>
        <v>656.16800000000001</v>
      </c>
      <c r="S2439" s="6">
        <f t="shared" si="191"/>
        <v>7.4999999999999997E-3</v>
      </c>
      <c r="T2439" t="str">
        <f t="shared" si="192"/>
        <v>Maximo Thermo Ash S4S E4E 1x10 Short</v>
      </c>
    </row>
    <row r="2440" spans="1:20" x14ac:dyDescent="0.25">
      <c r="A2440" t="s">
        <v>3063</v>
      </c>
      <c r="B2440" t="s">
        <v>3161</v>
      </c>
      <c r="C2440" t="s">
        <v>524</v>
      </c>
      <c r="D2440" t="s">
        <v>3044</v>
      </c>
      <c r="E2440" t="s">
        <v>3174</v>
      </c>
      <c r="F2440" t="s">
        <v>3163</v>
      </c>
      <c r="G2440" t="s">
        <v>3068</v>
      </c>
      <c r="H2440" t="s">
        <v>373</v>
      </c>
      <c r="I2440" t="s">
        <v>289</v>
      </c>
      <c r="J2440" t="s">
        <v>1359</v>
      </c>
      <c r="K2440">
        <v>6</v>
      </c>
      <c r="L2440" s="6">
        <v>1.8</v>
      </c>
      <c r="M2440" s="7">
        <v>20</v>
      </c>
      <c r="N2440" s="7">
        <v>250</v>
      </c>
      <c r="O2440" s="7">
        <f t="shared" si="188"/>
        <v>70.866141732283467</v>
      </c>
      <c r="P2440" s="7">
        <f t="shared" si="189"/>
        <v>0.78740157480314965</v>
      </c>
      <c r="Q2440" s="7">
        <f t="shared" si="189"/>
        <v>9.8425196850393704</v>
      </c>
      <c r="R2440" s="6">
        <f t="shared" si="190"/>
        <v>656.16800000000001</v>
      </c>
      <c r="S2440" s="6">
        <f t="shared" si="191"/>
        <v>8.9999999999999993E-3</v>
      </c>
      <c r="T2440" t="str">
        <f t="shared" si="192"/>
        <v>Maximo Thermo Ash S4S E4E 1x10 Short</v>
      </c>
    </row>
    <row r="2441" spans="1:20" x14ac:dyDescent="0.25">
      <c r="A2441" t="s">
        <v>3063</v>
      </c>
      <c r="B2441" t="s">
        <v>3161</v>
      </c>
      <c r="C2441" t="s">
        <v>524</v>
      </c>
      <c r="D2441" t="s">
        <v>3044</v>
      </c>
      <c r="E2441" t="s">
        <v>3175</v>
      </c>
      <c r="F2441" t="s">
        <v>3163</v>
      </c>
      <c r="G2441" t="s">
        <v>3068</v>
      </c>
      <c r="H2441" t="s">
        <v>373</v>
      </c>
      <c r="I2441" t="s">
        <v>289</v>
      </c>
      <c r="J2441" t="s">
        <v>1359</v>
      </c>
      <c r="K2441">
        <v>7</v>
      </c>
      <c r="L2441" s="6">
        <v>2.1</v>
      </c>
      <c r="M2441" s="7">
        <v>20</v>
      </c>
      <c r="N2441" s="7">
        <v>250</v>
      </c>
      <c r="O2441" s="7">
        <f t="shared" si="188"/>
        <v>82.677165354330711</v>
      </c>
      <c r="P2441" s="7">
        <f t="shared" si="189"/>
        <v>0.78740157480314965</v>
      </c>
      <c r="Q2441" s="7">
        <f t="shared" si="189"/>
        <v>9.8425196850393704</v>
      </c>
      <c r="R2441" s="6">
        <f t="shared" si="190"/>
        <v>656.16800000000001</v>
      </c>
      <c r="S2441" s="6">
        <f t="shared" si="191"/>
        <v>1.0500000000000001E-2</v>
      </c>
      <c r="T2441" t="str">
        <f t="shared" si="192"/>
        <v>Maximo Thermo Ash S4S E4E 1x10 Short</v>
      </c>
    </row>
    <row r="2442" spans="1:20" x14ac:dyDescent="0.25">
      <c r="A2442" t="s">
        <v>3063</v>
      </c>
      <c r="B2442" t="s">
        <v>3161</v>
      </c>
      <c r="C2442" t="s">
        <v>283</v>
      </c>
      <c r="D2442" t="s">
        <v>3044</v>
      </c>
      <c r="E2442" t="s">
        <v>3176</v>
      </c>
      <c r="F2442" t="s">
        <v>3163</v>
      </c>
      <c r="G2442" t="s">
        <v>3068</v>
      </c>
      <c r="H2442" t="s">
        <v>373</v>
      </c>
      <c r="I2442" t="s">
        <v>289</v>
      </c>
      <c r="J2442" t="s">
        <v>1359</v>
      </c>
      <c r="K2442">
        <v>8</v>
      </c>
      <c r="L2442" s="6">
        <v>2.4</v>
      </c>
      <c r="M2442" s="7">
        <v>20</v>
      </c>
      <c r="N2442" s="7">
        <v>250</v>
      </c>
      <c r="O2442" s="7">
        <f t="shared" si="188"/>
        <v>94.488188976377955</v>
      </c>
      <c r="P2442" s="7">
        <f t="shared" si="189"/>
        <v>0.78740157480314965</v>
      </c>
      <c r="Q2442" s="7">
        <f t="shared" si="189"/>
        <v>9.8425196850393704</v>
      </c>
      <c r="R2442" s="6">
        <f t="shared" si="190"/>
        <v>656.16800000000001</v>
      </c>
      <c r="S2442" s="6">
        <f t="shared" si="191"/>
        <v>1.2E-2</v>
      </c>
      <c r="T2442" t="str">
        <f t="shared" si="192"/>
        <v>Maximo Thermo Ash S4S E4E 1x10 Long</v>
      </c>
    </row>
    <row r="2443" spans="1:20" x14ac:dyDescent="0.25">
      <c r="A2443" t="s">
        <v>3063</v>
      </c>
      <c r="B2443" t="s">
        <v>3161</v>
      </c>
      <c r="C2443" t="s">
        <v>283</v>
      </c>
      <c r="D2443" t="s">
        <v>3044</v>
      </c>
      <c r="E2443" t="s">
        <v>3177</v>
      </c>
      <c r="F2443" t="s">
        <v>3163</v>
      </c>
      <c r="G2443" t="s">
        <v>3068</v>
      </c>
      <c r="H2443" t="s">
        <v>373</v>
      </c>
      <c r="I2443" t="s">
        <v>289</v>
      </c>
      <c r="J2443" t="s">
        <v>1359</v>
      </c>
      <c r="K2443">
        <v>9</v>
      </c>
      <c r="L2443" s="6">
        <v>2.7</v>
      </c>
      <c r="M2443" s="7">
        <v>20</v>
      </c>
      <c r="N2443" s="7">
        <v>250</v>
      </c>
      <c r="O2443" s="7">
        <f t="shared" si="188"/>
        <v>106.29921259842521</v>
      </c>
      <c r="P2443" s="7">
        <f t="shared" si="189"/>
        <v>0.78740157480314965</v>
      </c>
      <c r="Q2443" s="7">
        <f t="shared" si="189"/>
        <v>9.8425196850393704</v>
      </c>
      <c r="R2443" s="6">
        <f t="shared" si="190"/>
        <v>656.16800000000001</v>
      </c>
      <c r="S2443" s="6">
        <f t="shared" si="191"/>
        <v>1.35E-2</v>
      </c>
      <c r="T2443" t="str">
        <f t="shared" si="192"/>
        <v>Maximo Thermo Ash S4S E4E 1x10 Long</v>
      </c>
    </row>
    <row r="2444" spans="1:20" x14ac:dyDescent="0.25">
      <c r="A2444" t="s">
        <v>3063</v>
      </c>
      <c r="B2444" t="s">
        <v>3178</v>
      </c>
      <c r="C2444" t="s">
        <v>283</v>
      </c>
      <c r="D2444" t="s">
        <v>3044</v>
      </c>
      <c r="E2444" t="s">
        <v>3179</v>
      </c>
      <c r="F2444" t="s">
        <v>3180</v>
      </c>
      <c r="G2444" t="s">
        <v>3068</v>
      </c>
      <c r="H2444" t="s">
        <v>373</v>
      </c>
      <c r="I2444" t="s">
        <v>289</v>
      </c>
      <c r="J2444" t="s">
        <v>344</v>
      </c>
      <c r="K2444">
        <v>10</v>
      </c>
      <c r="L2444" s="6">
        <v>3</v>
      </c>
      <c r="M2444" s="7">
        <v>21</v>
      </c>
      <c r="N2444" s="7">
        <v>140</v>
      </c>
      <c r="O2444" s="7">
        <f t="shared" si="188"/>
        <v>118.11023622047244</v>
      </c>
      <c r="P2444" s="7">
        <f t="shared" si="189"/>
        <v>0.82677165354330717</v>
      </c>
      <c r="Q2444" s="7">
        <f t="shared" si="189"/>
        <v>5.5118110236220472</v>
      </c>
      <c r="R2444" s="6">
        <f t="shared" si="190"/>
        <v>1115.932</v>
      </c>
      <c r="S2444" s="6">
        <f t="shared" si="191"/>
        <v>8.8199999999999997E-3</v>
      </c>
      <c r="T2444" t="str">
        <f t="shared" si="192"/>
        <v>Maximo Thermo Ash S4S E4E 1x6 Long</v>
      </c>
    </row>
    <row r="2445" spans="1:20" x14ac:dyDescent="0.25">
      <c r="A2445" t="s">
        <v>3063</v>
      </c>
      <c r="B2445" t="s">
        <v>3178</v>
      </c>
      <c r="C2445" t="s">
        <v>283</v>
      </c>
      <c r="D2445" t="s">
        <v>3044</v>
      </c>
      <c r="E2445" t="s">
        <v>3181</v>
      </c>
      <c r="F2445" t="s">
        <v>3180</v>
      </c>
      <c r="G2445" t="s">
        <v>3068</v>
      </c>
      <c r="H2445" t="s">
        <v>373</v>
      </c>
      <c r="I2445" t="s">
        <v>289</v>
      </c>
      <c r="J2445" t="s">
        <v>344</v>
      </c>
      <c r="K2445">
        <v>11</v>
      </c>
      <c r="L2445" s="6">
        <v>3.3</v>
      </c>
      <c r="M2445" s="7">
        <v>21</v>
      </c>
      <c r="N2445" s="7">
        <v>140</v>
      </c>
      <c r="O2445" s="7">
        <f t="shared" si="188"/>
        <v>129.92125984251967</v>
      </c>
      <c r="P2445" s="7">
        <f t="shared" si="189"/>
        <v>0.82677165354330717</v>
      </c>
      <c r="Q2445" s="7">
        <f t="shared" si="189"/>
        <v>5.5118110236220472</v>
      </c>
      <c r="R2445" s="6">
        <f t="shared" si="190"/>
        <v>1115.932</v>
      </c>
      <c r="S2445" s="6">
        <f t="shared" si="191"/>
        <v>9.7020000000000006E-3</v>
      </c>
      <c r="T2445" t="str">
        <f t="shared" si="192"/>
        <v>Maximo Thermo Ash S4S E4E 1x6 Long</v>
      </c>
    </row>
    <row r="2446" spans="1:20" x14ac:dyDescent="0.25">
      <c r="A2446" t="s">
        <v>3063</v>
      </c>
      <c r="B2446" t="s">
        <v>3178</v>
      </c>
      <c r="C2446" t="s">
        <v>283</v>
      </c>
      <c r="D2446" t="s">
        <v>3044</v>
      </c>
      <c r="E2446" t="s">
        <v>3182</v>
      </c>
      <c r="F2446" t="s">
        <v>3180</v>
      </c>
      <c r="G2446" t="s">
        <v>3068</v>
      </c>
      <c r="H2446" t="s">
        <v>373</v>
      </c>
      <c r="I2446" t="s">
        <v>289</v>
      </c>
      <c r="J2446" t="s">
        <v>344</v>
      </c>
      <c r="K2446">
        <v>12</v>
      </c>
      <c r="L2446" s="6">
        <v>3.6</v>
      </c>
      <c r="M2446" s="7">
        <v>21</v>
      </c>
      <c r="N2446" s="7">
        <v>140</v>
      </c>
      <c r="O2446" s="7">
        <f t="shared" si="188"/>
        <v>141.73228346456693</v>
      </c>
      <c r="P2446" s="7">
        <f t="shared" si="189"/>
        <v>0.82677165354330717</v>
      </c>
      <c r="Q2446" s="7">
        <f t="shared" si="189"/>
        <v>5.5118110236220472</v>
      </c>
      <c r="R2446" s="6">
        <f t="shared" si="190"/>
        <v>1115.932</v>
      </c>
      <c r="S2446" s="6">
        <f t="shared" si="191"/>
        <v>1.0584000000000001E-2</v>
      </c>
      <c r="T2446" t="str">
        <f t="shared" si="192"/>
        <v>Maximo Thermo Ash S4S E4E 1x6 Long</v>
      </c>
    </row>
    <row r="2447" spans="1:20" x14ac:dyDescent="0.25">
      <c r="A2447" t="s">
        <v>3063</v>
      </c>
      <c r="B2447" t="s">
        <v>3178</v>
      </c>
      <c r="C2447" t="s">
        <v>283</v>
      </c>
      <c r="D2447" t="s">
        <v>3044</v>
      </c>
      <c r="E2447" t="s">
        <v>3183</v>
      </c>
      <c r="F2447" t="s">
        <v>3180</v>
      </c>
      <c r="G2447" t="s">
        <v>3068</v>
      </c>
      <c r="H2447" t="s">
        <v>373</v>
      </c>
      <c r="I2447" t="s">
        <v>289</v>
      </c>
      <c r="J2447" t="s">
        <v>344</v>
      </c>
      <c r="K2447">
        <v>13</v>
      </c>
      <c r="L2447" s="6">
        <v>3.9</v>
      </c>
      <c r="M2447" s="7">
        <v>21</v>
      </c>
      <c r="N2447" s="7">
        <v>140</v>
      </c>
      <c r="O2447" s="7">
        <f t="shared" si="188"/>
        <v>153.54330708661416</v>
      </c>
      <c r="P2447" s="7">
        <f t="shared" si="189"/>
        <v>0.82677165354330717</v>
      </c>
      <c r="Q2447" s="7">
        <f t="shared" si="189"/>
        <v>5.5118110236220472</v>
      </c>
      <c r="R2447" s="6">
        <f t="shared" si="190"/>
        <v>1115.932</v>
      </c>
      <c r="S2447" s="6">
        <f t="shared" si="191"/>
        <v>1.1465999999999997E-2</v>
      </c>
      <c r="T2447" t="str">
        <f t="shared" si="192"/>
        <v>Maximo Thermo Ash S4S E4E 1x6 Long</v>
      </c>
    </row>
    <row r="2448" spans="1:20" x14ac:dyDescent="0.25">
      <c r="A2448" t="s">
        <v>3063</v>
      </c>
      <c r="B2448" t="s">
        <v>3178</v>
      </c>
      <c r="C2448" t="s">
        <v>283</v>
      </c>
      <c r="D2448" t="s">
        <v>3044</v>
      </c>
      <c r="E2448" t="s">
        <v>3184</v>
      </c>
      <c r="F2448" t="s">
        <v>3180</v>
      </c>
      <c r="G2448" t="s">
        <v>3068</v>
      </c>
      <c r="H2448" t="s">
        <v>373</v>
      </c>
      <c r="I2448" t="s">
        <v>289</v>
      </c>
      <c r="J2448" t="s">
        <v>344</v>
      </c>
      <c r="K2448">
        <v>14</v>
      </c>
      <c r="L2448" s="6">
        <v>4.2</v>
      </c>
      <c r="M2448" s="7">
        <v>21</v>
      </c>
      <c r="N2448" s="7">
        <v>140</v>
      </c>
      <c r="O2448" s="7">
        <f t="shared" si="188"/>
        <v>165.35433070866142</v>
      </c>
      <c r="P2448" s="7">
        <f t="shared" si="189"/>
        <v>0.82677165354330717</v>
      </c>
      <c r="Q2448" s="7">
        <f t="shared" si="189"/>
        <v>5.5118110236220472</v>
      </c>
      <c r="R2448" s="6">
        <f t="shared" si="190"/>
        <v>1115.932</v>
      </c>
      <c r="S2448" s="6">
        <f t="shared" si="191"/>
        <v>1.2348000000000001E-2</v>
      </c>
      <c r="T2448" t="str">
        <f t="shared" si="192"/>
        <v>Maximo Thermo Ash S4S E4E 1x6 Long</v>
      </c>
    </row>
    <row r="2449" spans="1:20" x14ac:dyDescent="0.25">
      <c r="A2449" t="s">
        <v>3063</v>
      </c>
      <c r="B2449" t="s">
        <v>3178</v>
      </c>
      <c r="C2449" t="s">
        <v>283</v>
      </c>
      <c r="D2449" t="s">
        <v>3044</v>
      </c>
      <c r="E2449" t="s">
        <v>3185</v>
      </c>
      <c r="F2449" t="s">
        <v>3180</v>
      </c>
      <c r="G2449" t="s">
        <v>3068</v>
      </c>
      <c r="H2449" t="s">
        <v>373</v>
      </c>
      <c r="I2449" t="s">
        <v>289</v>
      </c>
      <c r="J2449" t="s">
        <v>344</v>
      </c>
      <c r="K2449">
        <v>15</v>
      </c>
      <c r="L2449" s="6">
        <v>4.5</v>
      </c>
      <c r="M2449" s="7">
        <v>21</v>
      </c>
      <c r="N2449" s="7">
        <v>140</v>
      </c>
      <c r="O2449" s="7">
        <f t="shared" si="188"/>
        <v>177.16535433070868</v>
      </c>
      <c r="P2449" s="7">
        <f t="shared" si="189"/>
        <v>0.82677165354330717</v>
      </c>
      <c r="Q2449" s="7">
        <f t="shared" si="189"/>
        <v>5.5118110236220472</v>
      </c>
      <c r="R2449" s="6">
        <f t="shared" si="190"/>
        <v>1115.932</v>
      </c>
      <c r="S2449" s="6">
        <f t="shared" si="191"/>
        <v>1.323E-2</v>
      </c>
      <c r="T2449" t="str">
        <f t="shared" si="192"/>
        <v>Maximo Thermo Ash S4S E4E 1x6 Long</v>
      </c>
    </row>
    <row r="2450" spans="1:20" x14ac:dyDescent="0.25">
      <c r="A2450" t="s">
        <v>3063</v>
      </c>
      <c r="B2450" t="s">
        <v>3178</v>
      </c>
      <c r="C2450" t="s">
        <v>283</v>
      </c>
      <c r="D2450" t="s">
        <v>3044</v>
      </c>
      <c r="E2450" t="s">
        <v>3186</v>
      </c>
      <c r="F2450" t="s">
        <v>3180</v>
      </c>
      <c r="G2450" t="s">
        <v>3068</v>
      </c>
      <c r="H2450" t="s">
        <v>373</v>
      </c>
      <c r="I2450" t="s">
        <v>289</v>
      </c>
      <c r="J2450" t="s">
        <v>344</v>
      </c>
      <c r="K2450">
        <v>16</v>
      </c>
      <c r="L2450" s="6">
        <v>4.8</v>
      </c>
      <c r="M2450" s="7">
        <v>21</v>
      </c>
      <c r="N2450" s="7">
        <v>140</v>
      </c>
      <c r="O2450" s="7">
        <f t="shared" si="188"/>
        <v>188.97637795275591</v>
      </c>
      <c r="P2450" s="7">
        <f t="shared" si="189"/>
        <v>0.82677165354330717</v>
      </c>
      <c r="Q2450" s="7">
        <f t="shared" si="189"/>
        <v>5.5118110236220472</v>
      </c>
      <c r="R2450" s="6">
        <f t="shared" si="190"/>
        <v>1115.932</v>
      </c>
      <c r="S2450" s="6">
        <f t="shared" si="191"/>
        <v>1.4112E-2</v>
      </c>
      <c r="T2450" t="str">
        <f t="shared" si="192"/>
        <v>Maximo Thermo Ash S4S E4E 1x6 Long</v>
      </c>
    </row>
    <row r="2451" spans="1:20" x14ac:dyDescent="0.25">
      <c r="A2451" t="s">
        <v>3063</v>
      </c>
      <c r="B2451" t="s">
        <v>3178</v>
      </c>
      <c r="C2451" t="s">
        <v>283</v>
      </c>
      <c r="D2451" t="s">
        <v>3044</v>
      </c>
      <c r="E2451" t="s">
        <v>3187</v>
      </c>
      <c r="F2451" t="s">
        <v>3180</v>
      </c>
      <c r="G2451" t="s">
        <v>3068</v>
      </c>
      <c r="H2451" t="s">
        <v>373</v>
      </c>
      <c r="I2451" t="s">
        <v>289</v>
      </c>
      <c r="J2451" t="s">
        <v>344</v>
      </c>
      <c r="K2451">
        <v>17</v>
      </c>
      <c r="L2451" s="6">
        <v>5.0999999999999996</v>
      </c>
      <c r="M2451" s="7">
        <v>21</v>
      </c>
      <c r="N2451" s="7">
        <v>140</v>
      </c>
      <c r="O2451" s="7">
        <f t="shared" si="188"/>
        <v>200.78740157480314</v>
      </c>
      <c r="P2451" s="7">
        <f t="shared" si="189"/>
        <v>0.82677165354330717</v>
      </c>
      <c r="Q2451" s="7">
        <f t="shared" si="189"/>
        <v>5.5118110236220472</v>
      </c>
      <c r="R2451" s="6">
        <f t="shared" si="190"/>
        <v>1115.932</v>
      </c>
      <c r="S2451" s="6">
        <f t="shared" si="191"/>
        <v>1.4994E-2</v>
      </c>
      <c r="T2451" t="str">
        <f t="shared" si="192"/>
        <v>Maximo Thermo Ash S4S E4E 1x6 Long</v>
      </c>
    </row>
    <row r="2452" spans="1:20" x14ac:dyDescent="0.25">
      <c r="A2452" t="s">
        <v>3063</v>
      </c>
      <c r="B2452" t="s">
        <v>3178</v>
      </c>
      <c r="C2452" t="s">
        <v>283</v>
      </c>
      <c r="D2452" t="s">
        <v>3044</v>
      </c>
      <c r="E2452" t="s">
        <v>3188</v>
      </c>
      <c r="F2452" t="s">
        <v>3180</v>
      </c>
      <c r="G2452" t="s">
        <v>3068</v>
      </c>
      <c r="H2452" t="s">
        <v>373</v>
      </c>
      <c r="I2452" t="s">
        <v>289</v>
      </c>
      <c r="J2452" t="s">
        <v>344</v>
      </c>
      <c r="K2452">
        <v>18</v>
      </c>
      <c r="L2452" s="6">
        <v>5.4</v>
      </c>
      <c r="M2452" s="7">
        <v>21</v>
      </c>
      <c r="N2452" s="7">
        <v>140</v>
      </c>
      <c r="O2452" s="7">
        <f t="shared" si="188"/>
        <v>212.59842519685043</v>
      </c>
      <c r="P2452" s="7">
        <f t="shared" si="189"/>
        <v>0.82677165354330717</v>
      </c>
      <c r="Q2452" s="7">
        <f t="shared" si="189"/>
        <v>5.5118110236220472</v>
      </c>
      <c r="R2452" s="6">
        <f t="shared" si="190"/>
        <v>1115.932</v>
      </c>
      <c r="S2452" s="6">
        <f t="shared" si="191"/>
        <v>1.5875999999999998E-2</v>
      </c>
      <c r="T2452" t="str">
        <f t="shared" si="192"/>
        <v>Maximo Thermo Ash S4S E4E 1x6 Long</v>
      </c>
    </row>
    <row r="2453" spans="1:20" x14ac:dyDescent="0.25">
      <c r="A2453" t="s">
        <v>3063</v>
      </c>
      <c r="B2453" t="s">
        <v>3178</v>
      </c>
      <c r="C2453" t="s">
        <v>524</v>
      </c>
      <c r="D2453" t="s">
        <v>3044</v>
      </c>
      <c r="E2453" t="s">
        <v>3189</v>
      </c>
      <c r="F2453" t="s">
        <v>3180</v>
      </c>
      <c r="G2453" t="s">
        <v>3068</v>
      </c>
      <c r="H2453" t="s">
        <v>373</v>
      </c>
      <c r="I2453" t="s">
        <v>289</v>
      </c>
      <c r="J2453" t="s">
        <v>344</v>
      </c>
      <c r="K2453">
        <v>4</v>
      </c>
      <c r="L2453" s="6">
        <v>1.2</v>
      </c>
      <c r="M2453" s="7">
        <v>21</v>
      </c>
      <c r="N2453" s="7">
        <v>140</v>
      </c>
      <c r="O2453" s="7">
        <f t="shared" si="188"/>
        <v>47.244094488188978</v>
      </c>
      <c r="P2453" s="7">
        <f t="shared" si="189"/>
        <v>0.82677165354330717</v>
      </c>
      <c r="Q2453" s="7">
        <f t="shared" si="189"/>
        <v>5.5118110236220472</v>
      </c>
      <c r="R2453" s="6">
        <f t="shared" si="190"/>
        <v>1115.932</v>
      </c>
      <c r="S2453" s="6">
        <f t="shared" si="191"/>
        <v>3.5279999999999999E-3</v>
      </c>
      <c r="T2453" t="str">
        <f t="shared" si="192"/>
        <v>Maximo Thermo Ash S4S E4E 1x6 Short</v>
      </c>
    </row>
    <row r="2454" spans="1:20" x14ac:dyDescent="0.25">
      <c r="A2454" t="s">
        <v>3063</v>
      </c>
      <c r="B2454" t="s">
        <v>3178</v>
      </c>
      <c r="C2454" t="s">
        <v>524</v>
      </c>
      <c r="D2454" t="s">
        <v>3044</v>
      </c>
      <c r="E2454" t="s">
        <v>3190</v>
      </c>
      <c r="F2454" t="s">
        <v>3180</v>
      </c>
      <c r="G2454" t="s">
        <v>3068</v>
      </c>
      <c r="H2454" t="s">
        <v>373</v>
      </c>
      <c r="I2454" t="s">
        <v>289</v>
      </c>
      <c r="J2454" t="s">
        <v>344</v>
      </c>
      <c r="K2454">
        <v>5</v>
      </c>
      <c r="L2454" s="6">
        <v>1.5</v>
      </c>
      <c r="M2454" s="7">
        <v>21</v>
      </c>
      <c r="N2454" s="7">
        <v>140</v>
      </c>
      <c r="O2454" s="7">
        <f t="shared" si="188"/>
        <v>59.055118110236222</v>
      </c>
      <c r="P2454" s="7">
        <f t="shared" si="189"/>
        <v>0.82677165354330717</v>
      </c>
      <c r="Q2454" s="7">
        <f t="shared" si="189"/>
        <v>5.5118110236220472</v>
      </c>
      <c r="R2454" s="6">
        <f t="shared" si="190"/>
        <v>1115.932</v>
      </c>
      <c r="S2454" s="6">
        <f t="shared" si="191"/>
        <v>4.4099999999999999E-3</v>
      </c>
      <c r="T2454" t="str">
        <f t="shared" si="192"/>
        <v>Maximo Thermo Ash S4S E4E 1x6 Short</v>
      </c>
    </row>
    <row r="2455" spans="1:20" x14ac:dyDescent="0.25">
      <c r="A2455" t="s">
        <v>3063</v>
      </c>
      <c r="B2455" t="s">
        <v>3178</v>
      </c>
      <c r="C2455" t="s">
        <v>524</v>
      </c>
      <c r="D2455" t="s">
        <v>3044</v>
      </c>
      <c r="E2455" t="s">
        <v>3191</v>
      </c>
      <c r="F2455" t="s">
        <v>3180</v>
      </c>
      <c r="G2455" t="s">
        <v>3068</v>
      </c>
      <c r="H2455" t="s">
        <v>373</v>
      </c>
      <c r="I2455" t="s">
        <v>289</v>
      </c>
      <c r="J2455" t="s">
        <v>344</v>
      </c>
      <c r="K2455">
        <v>6</v>
      </c>
      <c r="L2455" s="6">
        <v>1.8</v>
      </c>
      <c r="M2455" s="7">
        <v>21</v>
      </c>
      <c r="N2455" s="7">
        <v>140</v>
      </c>
      <c r="O2455" s="7">
        <f t="shared" si="188"/>
        <v>70.866141732283467</v>
      </c>
      <c r="P2455" s="7">
        <f t="shared" si="189"/>
        <v>0.82677165354330717</v>
      </c>
      <c r="Q2455" s="7">
        <f t="shared" si="189"/>
        <v>5.5118110236220472</v>
      </c>
      <c r="R2455" s="6">
        <f t="shared" si="190"/>
        <v>1115.932</v>
      </c>
      <c r="S2455" s="6">
        <f t="shared" si="191"/>
        <v>5.2920000000000007E-3</v>
      </c>
      <c r="T2455" t="str">
        <f t="shared" si="192"/>
        <v>Maximo Thermo Ash S4S E4E 1x6 Short</v>
      </c>
    </row>
    <row r="2456" spans="1:20" x14ac:dyDescent="0.25">
      <c r="A2456" t="s">
        <v>3063</v>
      </c>
      <c r="B2456" t="s">
        <v>3178</v>
      </c>
      <c r="C2456" t="s">
        <v>524</v>
      </c>
      <c r="D2456" t="s">
        <v>3044</v>
      </c>
      <c r="E2456" t="s">
        <v>3192</v>
      </c>
      <c r="F2456" t="s">
        <v>3180</v>
      </c>
      <c r="G2456" t="s">
        <v>3068</v>
      </c>
      <c r="H2456" t="s">
        <v>373</v>
      </c>
      <c r="I2456" t="s">
        <v>289</v>
      </c>
      <c r="J2456" t="s">
        <v>344</v>
      </c>
      <c r="K2456">
        <v>7</v>
      </c>
      <c r="L2456" s="6">
        <v>2.1</v>
      </c>
      <c r="M2456" s="7">
        <v>21</v>
      </c>
      <c r="N2456" s="7">
        <v>140</v>
      </c>
      <c r="O2456" s="7">
        <f t="shared" si="188"/>
        <v>82.677165354330711</v>
      </c>
      <c r="P2456" s="7">
        <f t="shared" si="189"/>
        <v>0.82677165354330717</v>
      </c>
      <c r="Q2456" s="7">
        <f t="shared" si="189"/>
        <v>5.5118110236220472</v>
      </c>
      <c r="R2456" s="6">
        <f t="shared" si="190"/>
        <v>1115.932</v>
      </c>
      <c r="S2456" s="6">
        <f t="shared" si="191"/>
        <v>6.1740000000000007E-3</v>
      </c>
      <c r="T2456" t="str">
        <f t="shared" si="192"/>
        <v>Maximo Thermo Ash S4S E4E 1x6 Short</v>
      </c>
    </row>
    <row r="2457" spans="1:20" x14ac:dyDescent="0.25">
      <c r="A2457" t="s">
        <v>3063</v>
      </c>
      <c r="B2457" t="s">
        <v>3178</v>
      </c>
      <c r="C2457" t="s">
        <v>283</v>
      </c>
      <c r="D2457" t="s">
        <v>3044</v>
      </c>
      <c r="E2457" t="s">
        <v>3193</v>
      </c>
      <c r="F2457" t="s">
        <v>3180</v>
      </c>
      <c r="G2457" t="s">
        <v>3068</v>
      </c>
      <c r="H2457" t="s">
        <v>373</v>
      </c>
      <c r="I2457" t="s">
        <v>289</v>
      </c>
      <c r="J2457" t="s">
        <v>344</v>
      </c>
      <c r="K2457">
        <v>8</v>
      </c>
      <c r="L2457" s="6">
        <v>2.4</v>
      </c>
      <c r="M2457" s="7">
        <v>21</v>
      </c>
      <c r="N2457" s="7">
        <v>140</v>
      </c>
      <c r="O2457" s="7">
        <f t="shared" si="188"/>
        <v>94.488188976377955</v>
      </c>
      <c r="P2457" s="7">
        <f t="shared" si="189"/>
        <v>0.82677165354330717</v>
      </c>
      <c r="Q2457" s="7">
        <f t="shared" si="189"/>
        <v>5.5118110236220472</v>
      </c>
      <c r="R2457" s="6">
        <f t="shared" si="190"/>
        <v>1115.932</v>
      </c>
      <c r="S2457" s="6">
        <f t="shared" si="191"/>
        <v>7.0559999999999998E-3</v>
      </c>
      <c r="T2457" t="str">
        <f t="shared" si="192"/>
        <v>Maximo Thermo Ash S4S E4E 1x6 Long</v>
      </c>
    </row>
    <row r="2458" spans="1:20" x14ac:dyDescent="0.25">
      <c r="A2458" t="s">
        <v>3063</v>
      </c>
      <c r="B2458" t="s">
        <v>3178</v>
      </c>
      <c r="C2458" t="s">
        <v>283</v>
      </c>
      <c r="D2458" t="s">
        <v>3044</v>
      </c>
      <c r="E2458" t="s">
        <v>3194</v>
      </c>
      <c r="F2458" t="s">
        <v>3180</v>
      </c>
      <c r="G2458" t="s">
        <v>3068</v>
      </c>
      <c r="H2458" t="s">
        <v>373</v>
      </c>
      <c r="I2458" t="s">
        <v>289</v>
      </c>
      <c r="J2458" t="s">
        <v>344</v>
      </c>
      <c r="K2458">
        <v>9</v>
      </c>
      <c r="L2458" s="6">
        <v>2.7</v>
      </c>
      <c r="M2458" s="7">
        <v>21</v>
      </c>
      <c r="N2458" s="7">
        <v>140</v>
      </c>
      <c r="O2458" s="7">
        <f t="shared" si="188"/>
        <v>106.29921259842521</v>
      </c>
      <c r="P2458" s="7">
        <f t="shared" si="189"/>
        <v>0.82677165354330717</v>
      </c>
      <c r="Q2458" s="7">
        <f t="shared" si="189"/>
        <v>5.5118110236220472</v>
      </c>
      <c r="R2458" s="6">
        <f t="shared" si="190"/>
        <v>1115.932</v>
      </c>
      <c r="S2458" s="6">
        <f t="shared" si="191"/>
        <v>7.9379999999999989E-3</v>
      </c>
      <c r="T2458" t="str">
        <f t="shared" si="192"/>
        <v>Maximo Thermo Ash S4S E4E 1x6 Long</v>
      </c>
    </row>
    <row r="2459" spans="1:20" x14ac:dyDescent="0.25">
      <c r="A2459" t="s">
        <v>3063</v>
      </c>
      <c r="B2459" t="s">
        <v>3195</v>
      </c>
      <c r="C2459" t="s">
        <v>283</v>
      </c>
      <c r="D2459" t="s">
        <v>3044</v>
      </c>
      <c r="E2459" t="s">
        <v>3196</v>
      </c>
      <c r="F2459" t="s">
        <v>3197</v>
      </c>
      <c r="G2459" t="s">
        <v>3068</v>
      </c>
      <c r="H2459" t="s">
        <v>373</v>
      </c>
      <c r="I2459" t="s">
        <v>289</v>
      </c>
      <c r="J2459" t="s">
        <v>672</v>
      </c>
      <c r="K2459">
        <v>10</v>
      </c>
      <c r="L2459" s="6">
        <v>3</v>
      </c>
      <c r="M2459" s="7">
        <v>20</v>
      </c>
      <c r="N2459" s="7">
        <v>180</v>
      </c>
      <c r="O2459" s="7">
        <f t="shared" si="188"/>
        <v>118.11023622047244</v>
      </c>
      <c r="P2459" s="7">
        <f t="shared" si="189"/>
        <v>0.78740157480314965</v>
      </c>
      <c r="Q2459" s="7">
        <f t="shared" si="189"/>
        <v>7.0866141732283472</v>
      </c>
      <c r="R2459" s="6">
        <f t="shared" si="190"/>
        <v>911.34400000000005</v>
      </c>
      <c r="S2459" s="6">
        <f t="shared" si="191"/>
        <v>1.0799999999999999E-2</v>
      </c>
      <c r="T2459" t="str">
        <f t="shared" si="192"/>
        <v>Maximo Thermo Ash S4S E4E 1x8 Long</v>
      </c>
    </row>
    <row r="2460" spans="1:20" x14ac:dyDescent="0.25">
      <c r="A2460" t="s">
        <v>3063</v>
      </c>
      <c r="B2460" t="s">
        <v>3195</v>
      </c>
      <c r="C2460" t="s">
        <v>283</v>
      </c>
      <c r="D2460" t="s">
        <v>3044</v>
      </c>
      <c r="E2460" t="s">
        <v>3198</v>
      </c>
      <c r="F2460" t="s">
        <v>3197</v>
      </c>
      <c r="G2460" t="s">
        <v>3068</v>
      </c>
      <c r="H2460" t="s">
        <v>373</v>
      </c>
      <c r="I2460" t="s">
        <v>289</v>
      </c>
      <c r="J2460" t="s">
        <v>672</v>
      </c>
      <c r="K2460">
        <v>11</v>
      </c>
      <c r="L2460" s="6">
        <v>3.3</v>
      </c>
      <c r="M2460" s="7">
        <v>20</v>
      </c>
      <c r="N2460" s="7">
        <v>180</v>
      </c>
      <c r="O2460" s="7">
        <f t="shared" si="188"/>
        <v>129.92125984251967</v>
      </c>
      <c r="P2460" s="7">
        <f t="shared" si="189"/>
        <v>0.78740157480314965</v>
      </c>
      <c r="Q2460" s="7">
        <f t="shared" si="189"/>
        <v>7.0866141732283472</v>
      </c>
      <c r="R2460" s="6">
        <f t="shared" si="190"/>
        <v>911.34400000000005</v>
      </c>
      <c r="S2460" s="6">
        <f t="shared" si="191"/>
        <v>1.188E-2</v>
      </c>
      <c r="T2460" t="str">
        <f t="shared" si="192"/>
        <v>Maximo Thermo Ash S4S E4E 1x8 Long</v>
      </c>
    </row>
    <row r="2461" spans="1:20" x14ac:dyDescent="0.25">
      <c r="A2461" t="s">
        <v>3063</v>
      </c>
      <c r="B2461" t="s">
        <v>3195</v>
      </c>
      <c r="C2461" t="s">
        <v>283</v>
      </c>
      <c r="D2461" t="s">
        <v>3044</v>
      </c>
      <c r="E2461" t="s">
        <v>3199</v>
      </c>
      <c r="F2461" t="s">
        <v>3197</v>
      </c>
      <c r="G2461" t="s">
        <v>3068</v>
      </c>
      <c r="H2461" t="s">
        <v>373</v>
      </c>
      <c r="I2461" t="s">
        <v>289</v>
      </c>
      <c r="J2461" t="s">
        <v>672</v>
      </c>
      <c r="K2461">
        <v>12</v>
      </c>
      <c r="L2461" s="6">
        <v>3.6</v>
      </c>
      <c r="M2461" s="7">
        <v>20</v>
      </c>
      <c r="N2461" s="7">
        <v>180</v>
      </c>
      <c r="O2461" s="7">
        <f t="shared" si="188"/>
        <v>141.73228346456693</v>
      </c>
      <c r="P2461" s="7">
        <f t="shared" si="189"/>
        <v>0.78740157480314965</v>
      </c>
      <c r="Q2461" s="7">
        <f t="shared" si="189"/>
        <v>7.0866141732283472</v>
      </c>
      <c r="R2461" s="6">
        <f t="shared" si="190"/>
        <v>911.34400000000005</v>
      </c>
      <c r="S2461" s="6">
        <f t="shared" si="191"/>
        <v>1.2959999999999999E-2</v>
      </c>
      <c r="T2461" t="str">
        <f t="shared" si="192"/>
        <v>Maximo Thermo Ash S4S E4E 1x8 Long</v>
      </c>
    </row>
    <row r="2462" spans="1:20" x14ac:dyDescent="0.25">
      <c r="A2462" t="s">
        <v>3063</v>
      </c>
      <c r="B2462" t="s">
        <v>3195</v>
      </c>
      <c r="C2462" t="s">
        <v>283</v>
      </c>
      <c r="D2462" t="s">
        <v>3044</v>
      </c>
      <c r="E2462" t="s">
        <v>3200</v>
      </c>
      <c r="F2462" t="s">
        <v>3197</v>
      </c>
      <c r="G2462" t="s">
        <v>3068</v>
      </c>
      <c r="H2462" t="s">
        <v>373</v>
      </c>
      <c r="I2462" t="s">
        <v>289</v>
      </c>
      <c r="J2462" t="s">
        <v>672</v>
      </c>
      <c r="K2462">
        <v>13</v>
      </c>
      <c r="L2462" s="6">
        <v>3.9</v>
      </c>
      <c r="M2462" s="7">
        <v>20</v>
      </c>
      <c r="N2462" s="7">
        <v>180</v>
      </c>
      <c r="O2462" s="7">
        <f t="shared" si="188"/>
        <v>153.54330708661416</v>
      </c>
      <c r="P2462" s="7">
        <f t="shared" si="189"/>
        <v>0.78740157480314965</v>
      </c>
      <c r="Q2462" s="7">
        <f t="shared" si="189"/>
        <v>7.0866141732283472</v>
      </c>
      <c r="R2462" s="6">
        <f t="shared" si="190"/>
        <v>911.34400000000005</v>
      </c>
      <c r="S2462" s="6">
        <f t="shared" si="191"/>
        <v>1.4039999999999999E-2</v>
      </c>
      <c r="T2462" t="str">
        <f t="shared" si="192"/>
        <v>Maximo Thermo Ash S4S E4E 1x8 Long</v>
      </c>
    </row>
    <row r="2463" spans="1:20" x14ac:dyDescent="0.25">
      <c r="A2463" t="s">
        <v>3063</v>
      </c>
      <c r="B2463" t="s">
        <v>3195</v>
      </c>
      <c r="C2463" t="s">
        <v>283</v>
      </c>
      <c r="D2463" t="s">
        <v>3044</v>
      </c>
      <c r="E2463" t="s">
        <v>3201</v>
      </c>
      <c r="F2463" t="s">
        <v>3197</v>
      </c>
      <c r="G2463" t="s">
        <v>3068</v>
      </c>
      <c r="H2463" t="s">
        <v>373</v>
      </c>
      <c r="I2463" t="s">
        <v>289</v>
      </c>
      <c r="J2463" t="s">
        <v>672</v>
      </c>
      <c r="K2463">
        <v>14</v>
      </c>
      <c r="L2463" s="6">
        <v>4.2</v>
      </c>
      <c r="M2463" s="7">
        <v>20</v>
      </c>
      <c r="N2463" s="7">
        <v>180</v>
      </c>
      <c r="O2463" s="7">
        <f t="shared" si="188"/>
        <v>165.35433070866142</v>
      </c>
      <c r="P2463" s="7">
        <f t="shared" si="189"/>
        <v>0.78740157480314965</v>
      </c>
      <c r="Q2463" s="7">
        <f t="shared" si="189"/>
        <v>7.0866141732283472</v>
      </c>
      <c r="R2463" s="6">
        <f t="shared" si="190"/>
        <v>911.34400000000005</v>
      </c>
      <c r="S2463" s="6">
        <f t="shared" si="191"/>
        <v>1.5120000000000001E-2</v>
      </c>
      <c r="T2463" t="str">
        <f t="shared" si="192"/>
        <v>Maximo Thermo Ash S4S E4E 1x8 Long</v>
      </c>
    </row>
    <row r="2464" spans="1:20" x14ac:dyDescent="0.25">
      <c r="A2464" t="s">
        <v>3063</v>
      </c>
      <c r="B2464" t="s">
        <v>3195</v>
      </c>
      <c r="C2464" t="s">
        <v>283</v>
      </c>
      <c r="D2464" t="s">
        <v>3044</v>
      </c>
      <c r="E2464" t="s">
        <v>3202</v>
      </c>
      <c r="F2464" t="s">
        <v>3197</v>
      </c>
      <c r="G2464" t="s">
        <v>3068</v>
      </c>
      <c r="H2464" t="s">
        <v>373</v>
      </c>
      <c r="I2464" t="s">
        <v>289</v>
      </c>
      <c r="J2464" t="s">
        <v>672</v>
      </c>
      <c r="K2464">
        <v>15</v>
      </c>
      <c r="L2464" s="6">
        <v>4.5</v>
      </c>
      <c r="M2464" s="7">
        <v>20</v>
      </c>
      <c r="N2464" s="7">
        <v>180</v>
      </c>
      <c r="O2464" s="7">
        <f t="shared" si="188"/>
        <v>177.16535433070868</v>
      </c>
      <c r="P2464" s="7">
        <f t="shared" si="189"/>
        <v>0.78740157480314965</v>
      </c>
      <c r="Q2464" s="7">
        <f t="shared" si="189"/>
        <v>7.0866141732283472</v>
      </c>
      <c r="R2464" s="6">
        <f t="shared" si="190"/>
        <v>911.34400000000005</v>
      </c>
      <c r="S2464" s="6">
        <f t="shared" si="191"/>
        <v>1.6199999999999999E-2</v>
      </c>
      <c r="T2464" t="str">
        <f t="shared" si="192"/>
        <v>Maximo Thermo Ash S4S E4E 1x8 Long</v>
      </c>
    </row>
    <row r="2465" spans="1:20" x14ac:dyDescent="0.25">
      <c r="A2465" t="s">
        <v>3063</v>
      </c>
      <c r="B2465" t="s">
        <v>3195</v>
      </c>
      <c r="C2465" t="s">
        <v>283</v>
      </c>
      <c r="D2465" t="s">
        <v>3044</v>
      </c>
      <c r="E2465" t="s">
        <v>3203</v>
      </c>
      <c r="F2465" t="s">
        <v>3197</v>
      </c>
      <c r="G2465" t="s">
        <v>3068</v>
      </c>
      <c r="H2465" t="s">
        <v>373</v>
      </c>
      <c r="I2465" t="s">
        <v>289</v>
      </c>
      <c r="J2465" t="s">
        <v>672</v>
      </c>
      <c r="K2465">
        <v>16</v>
      </c>
      <c r="L2465" s="6">
        <v>4.8</v>
      </c>
      <c r="M2465" s="7">
        <v>20</v>
      </c>
      <c r="N2465" s="7">
        <v>180</v>
      </c>
      <c r="O2465" s="7">
        <f t="shared" si="188"/>
        <v>188.97637795275591</v>
      </c>
      <c r="P2465" s="7">
        <f t="shared" si="189"/>
        <v>0.78740157480314965</v>
      </c>
      <c r="Q2465" s="7">
        <f t="shared" si="189"/>
        <v>7.0866141732283472</v>
      </c>
      <c r="R2465" s="6">
        <f t="shared" si="190"/>
        <v>911.34400000000005</v>
      </c>
      <c r="S2465" s="6">
        <f t="shared" si="191"/>
        <v>1.728E-2</v>
      </c>
      <c r="T2465" t="str">
        <f t="shared" si="192"/>
        <v>Maximo Thermo Ash S4S E4E 1x8 Long</v>
      </c>
    </row>
    <row r="2466" spans="1:20" x14ac:dyDescent="0.25">
      <c r="A2466" t="s">
        <v>3063</v>
      </c>
      <c r="B2466" t="s">
        <v>3195</v>
      </c>
      <c r="C2466" t="s">
        <v>283</v>
      </c>
      <c r="D2466" t="s">
        <v>3044</v>
      </c>
      <c r="E2466" t="s">
        <v>3204</v>
      </c>
      <c r="F2466" t="s">
        <v>3197</v>
      </c>
      <c r="G2466" t="s">
        <v>3068</v>
      </c>
      <c r="H2466" t="s">
        <v>373</v>
      </c>
      <c r="I2466" t="s">
        <v>289</v>
      </c>
      <c r="J2466" t="s">
        <v>672</v>
      </c>
      <c r="K2466">
        <v>17</v>
      </c>
      <c r="L2466" s="6">
        <v>5.0999999999999996</v>
      </c>
      <c r="M2466" s="7">
        <v>20</v>
      </c>
      <c r="N2466" s="7">
        <v>180</v>
      </c>
      <c r="O2466" s="7">
        <f t="shared" si="188"/>
        <v>200.78740157480314</v>
      </c>
      <c r="P2466" s="7">
        <f t="shared" si="189"/>
        <v>0.78740157480314965</v>
      </c>
      <c r="Q2466" s="7">
        <f t="shared" si="189"/>
        <v>7.0866141732283472</v>
      </c>
      <c r="R2466" s="6">
        <f t="shared" si="190"/>
        <v>911.34400000000005</v>
      </c>
      <c r="S2466" s="6">
        <f t="shared" si="191"/>
        <v>1.8359999999999998E-2</v>
      </c>
      <c r="T2466" t="str">
        <f t="shared" si="192"/>
        <v>Maximo Thermo Ash S4S E4E 1x8 Long</v>
      </c>
    </row>
    <row r="2467" spans="1:20" x14ac:dyDescent="0.25">
      <c r="A2467" t="s">
        <v>3063</v>
      </c>
      <c r="B2467" t="s">
        <v>3195</v>
      </c>
      <c r="C2467" t="s">
        <v>283</v>
      </c>
      <c r="D2467" t="s">
        <v>3044</v>
      </c>
      <c r="E2467" t="s">
        <v>3205</v>
      </c>
      <c r="F2467" t="s">
        <v>3197</v>
      </c>
      <c r="G2467" t="s">
        <v>3068</v>
      </c>
      <c r="H2467" t="s">
        <v>373</v>
      </c>
      <c r="I2467" t="s">
        <v>289</v>
      </c>
      <c r="J2467" t="s">
        <v>672</v>
      </c>
      <c r="K2467">
        <v>18</v>
      </c>
      <c r="L2467" s="6">
        <v>5.4</v>
      </c>
      <c r="M2467" s="7">
        <v>20</v>
      </c>
      <c r="N2467" s="7">
        <v>180</v>
      </c>
      <c r="O2467" s="7">
        <f t="shared" si="188"/>
        <v>212.59842519685043</v>
      </c>
      <c r="P2467" s="7">
        <f t="shared" si="189"/>
        <v>0.78740157480314965</v>
      </c>
      <c r="Q2467" s="7">
        <f t="shared" si="189"/>
        <v>7.0866141732283472</v>
      </c>
      <c r="R2467" s="6">
        <f t="shared" si="190"/>
        <v>911.34400000000005</v>
      </c>
      <c r="S2467" s="6">
        <f t="shared" si="191"/>
        <v>1.9440000000000002E-2</v>
      </c>
      <c r="T2467" t="str">
        <f t="shared" si="192"/>
        <v>Maximo Thermo Ash S4S E4E 1x8 Long</v>
      </c>
    </row>
    <row r="2468" spans="1:20" x14ac:dyDescent="0.25">
      <c r="A2468" t="s">
        <v>3063</v>
      </c>
      <c r="B2468" t="s">
        <v>3195</v>
      </c>
      <c r="C2468" t="s">
        <v>524</v>
      </c>
      <c r="D2468" t="s">
        <v>3044</v>
      </c>
      <c r="E2468" t="s">
        <v>3206</v>
      </c>
      <c r="F2468" t="s">
        <v>3197</v>
      </c>
      <c r="G2468" t="s">
        <v>3068</v>
      </c>
      <c r="H2468" t="s">
        <v>373</v>
      </c>
      <c r="I2468" t="s">
        <v>289</v>
      </c>
      <c r="J2468" t="s">
        <v>672</v>
      </c>
      <c r="K2468">
        <v>4</v>
      </c>
      <c r="L2468" s="6">
        <v>1.2</v>
      </c>
      <c r="M2468" s="7">
        <v>20</v>
      </c>
      <c r="N2468" s="7">
        <v>180</v>
      </c>
      <c r="O2468" s="7">
        <f t="shared" si="188"/>
        <v>47.244094488188978</v>
      </c>
      <c r="P2468" s="7">
        <f t="shared" si="189"/>
        <v>0.78740157480314965</v>
      </c>
      <c r="Q2468" s="7">
        <f t="shared" si="189"/>
        <v>7.0866141732283472</v>
      </c>
      <c r="R2468" s="6">
        <f t="shared" si="190"/>
        <v>911.34400000000005</v>
      </c>
      <c r="S2468" s="6">
        <f t="shared" si="191"/>
        <v>4.3200000000000001E-3</v>
      </c>
      <c r="T2468" t="str">
        <f t="shared" si="192"/>
        <v>Maximo Thermo Ash S4S E4E 1x8 Short</v>
      </c>
    </row>
    <row r="2469" spans="1:20" x14ac:dyDescent="0.25">
      <c r="A2469" t="s">
        <v>3063</v>
      </c>
      <c r="B2469" t="s">
        <v>3195</v>
      </c>
      <c r="C2469" t="s">
        <v>524</v>
      </c>
      <c r="D2469" t="s">
        <v>3044</v>
      </c>
      <c r="E2469" t="s">
        <v>3207</v>
      </c>
      <c r="F2469" t="s">
        <v>3197</v>
      </c>
      <c r="G2469" t="s">
        <v>3068</v>
      </c>
      <c r="H2469" t="s">
        <v>373</v>
      </c>
      <c r="I2469" t="s">
        <v>289</v>
      </c>
      <c r="J2469" t="s">
        <v>672</v>
      </c>
      <c r="K2469">
        <v>5</v>
      </c>
      <c r="L2469" s="6">
        <v>1.5</v>
      </c>
      <c r="M2469" s="7">
        <v>20</v>
      </c>
      <c r="N2469" s="7">
        <v>180</v>
      </c>
      <c r="O2469" s="7">
        <f t="shared" si="188"/>
        <v>59.055118110236222</v>
      </c>
      <c r="P2469" s="7">
        <f t="shared" si="189"/>
        <v>0.78740157480314965</v>
      </c>
      <c r="Q2469" s="7">
        <f t="shared" si="189"/>
        <v>7.0866141732283472</v>
      </c>
      <c r="R2469" s="6">
        <f t="shared" si="190"/>
        <v>911.34400000000005</v>
      </c>
      <c r="S2469" s="6">
        <f t="shared" si="191"/>
        <v>5.3999999999999994E-3</v>
      </c>
      <c r="T2469" t="str">
        <f t="shared" si="192"/>
        <v>Maximo Thermo Ash S4S E4E 1x8 Short</v>
      </c>
    </row>
    <row r="2470" spans="1:20" x14ac:dyDescent="0.25">
      <c r="A2470" t="s">
        <v>3063</v>
      </c>
      <c r="B2470" t="s">
        <v>3195</v>
      </c>
      <c r="C2470" t="s">
        <v>524</v>
      </c>
      <c r="D2470" t="s">
        <v>3044</v>
      </c>
      <c r="E2470" t="s">
        <v>3208</v>
      </c>
      <c r="F2470" t="s">
        <v>3197</v>
      </c>
      <c r="G2470" t="s">
        <v>3068</v>
      </c>
      <c r="H2470" t="s">
        <v>373</v>
      </c>
      <c r="I2470" t="s">
        <v>289</v>
      </c>
      <c r="J2470" t="s">
        <v>672</v>
      </c>
      <c r="K2470">
        <v>6</v>
      </c>
      <c r="L2470" s="6">
        <v>1.8</v>
      </c>
      <c r="M2470" s="7">
        <v>20</v>
      </c>
      <c r="N2470" s="7">
        <v>180</v>
      </c>
      <c r="O2470" s="7">
        <f t="shared" si="188"/>
        <v>70.866141732283467</v>
      </c>
      <c r="P2470" s="7">
        <f t="shared" si="189"/>
        <v>0.78740157480314965</v>
      </c>
      <c r="Q2470" s="7">
        <f t="shared" si="189"/>
        <v>7.0866141732283472</v>
      </c>
      <c r="R2470" s="6">
        <f t="shared" si="190"/>
        <v>911.34400000000005</v>
      </c>
      <c r="S2470" s="6">
        <f t="shared" si="191"/>
        <v>6.4799999999999996E-3</v>
      </c>
      <c r="T2470" t="str">
        <f t="shared" si="192"/>
        <v>Maximo Thermo Ash S4S E4E 1x8 Short</v>
      </c>
    </row>
    <row r="2471" spans="1:20" x14ac:dyDescent="0.25">
      <c r="A2471" t="s">
        <v>3063</v>
      </c>
      <c r="B2471" t="s">
        <v>3195</v>
      </c>
      <c r="C2471" t="s">
        <v>524</v>
      </c>
      <c r="D2471" t="s">
        <v>3044</v>
      </c>
      <c r="E2471" t="s">
        <v>3209</v>
      </c>
      <c r="F2471" t="s">
        <v>3197</v>
      </c>
      <c r="G2471" t="s">
        <v>3068</v>
      </c>
      <c r="H2471" t="s">
        <v>373</v>
      </c>
      <c r="I2471" t="s">
        <v>289</v>
      </c>
      <c r="J2471" t="s">
        <v>672</v>
      </c>
      <c r="K2471">
        <v>7</v>
      </c>
      <c r="L2471" s="6">
        <v>2.1</v>
      </c>
      <c r="M2471" s="7">
        <v>20</v>
      </c>
      <c r="N2471" s="7">
        <v>180</v>
      </c>
      <c r="O2471" s="7">
        <f t="shared" si="188"/>
        <v>82.677165354330711</v>
      </c>
      <c r="P2471" s="7">
        <f t="shared" si="189"/>
        <v>0.78740157480314965</v>
      </c>
      <c r="Q2471" s="7">
        <f t="shared" si="189"/>
        <v>7.0866141732283472</v>
      </c>
      <c r="R2471" s="6">
        <f t="shared" si="190"/>
        <v>911.34400000000005</v>
      </c>
      <c r="S2471" s="6">
        <f t="shared" si="191"/>
        <v>7.5600000000000007E-3</v>
      </c>
      <c r="T2471" t="str">
        <f t="shared" si="192"/>
        <v>Maximo Thermo Ash S4S E4E 1x8 Short</v>
      </c>
    </row>
    <row r="2472" spans="1:20" x14ac:dyDescent="0.25">
      <c r="A2472" t="s">
        <v>3063</v>
      </c>
      <c r="B2472" t="s">
        <v>3195</v>
      </c>
      <c r="C2472" t="s">
        <v>283</v>
      </c>
      <c r="D2472" t="s">
        <v>3044</v>
      </c>
      <c r="E2472" t="s">
        <v>3210</v>
      </c>
      <c r="F2472" t="s">
        <v>3197</v>
      </c>
      <c r="G2472" t="s">
        <v>3068</v>
      </c>
      <c r="H2472" t="s">
        <v>373</v>
      </c>
      <c r="I2472" t="s">
        <v>289</v>
      </c>
      <c r="J2472" t="s">
        <v>672</v>
      </c>
      <c r="K2472">
        <v>8</v>
      </c>
      <c r="L2472" s="6">
        <v>2.4</v>
      </c>
      <c r="M2472" s="7">
        <v>20</v>
      </c>
      <c r="N2472" s="7">
        <v>180</v>
      </c>
      <c r="O2472" s="7">
        <f t="shared" si="188"/>
        <v>94.488188976377955</v>
      </c>
      <c r="P2472" s="7">
        <f t="shared" si="189"/>
        <v>0.78740157480314965</v>
      </c>
      <c r="Q2472" s="7">
        <f t="shared" si="189"/>
        <v>7.0866141732283472</v>
      </c>
      <c r="R2472" s="6">
        <f t="shared" si="190"/>
        <v>911.34400000000005</v>
      </c>
      <c r="S2472" s="6">
        <f t="shared" si="191"/>
        <v>8.6400000000000001E-3</v>
      </c>
      <c r="T2472" t="str">
        <f t="shared" si="192"/>
        <v>Maximo Thermo Ash S4S E4E 1x8 Long</v>
      </c>
    </row>
    <row r="2473" spans="1:20" x14ac:dyDescent="0.25">
      <c r="A2473" t="s">
        <v>3063</v>
      </c>
      <c r="B2473" t="s">
        <v>3195</v>
      </c>
      <c r="C2473" t="s">
        <v>283</v>
      </c>
      <c r="D2473" t="s">
        <v>3044</v>
      </c>
      <c r="E2473" t="s">
        <v>3211</v>
      </c>
      <c r="F2473" t="s">
        <v>3197</v>
      </c>
      <c r="G2473" t="s">
        <v>3068</v>
      </c>
      <c r="H2473" t="s">
        <v>373</v>
      </c>
      <c r="I2473" t="s">
        <v>289</v>
      </c>
      <c r="J2473" t="s">
        <v>672</v>
      </c>
      <c r="K2473">
        <v>9</v>
      </c>
      <c r="L2473" s="6">
        <v>2.7</v>
      </c>
      <c r="M2473" s="7">
        <v>20</v>
      </c>
      <c r="N2473" s="7">
        <v>180</v>
      </c>
      <c r="O2473" s="7">
        <f t="shared" si="188"/>
        <v>106.29921259842521</v>
      </c>
      <c r="P2473" s="7">
        <f t="shared" si="189"/>
        <v>0.78740157480314965</v>
      </c>
      <c r="Q2473" s="7">
        <f t="shared" si="189"/>
        <v>7.0866141732283472</v>
      </c>
      <c r="R2473" s="6">
        <f t="shared" si="190"/>
        <v>911.34400000000005</v>
      </c>
      <c r="S2473" s="6">
        <f t="shared" si="191"/>
        <v>9.7200000000000012E-3</v>
      </c>
      <c r="T2473" t="str">
        <f t="shared" si="192"/>
        <v>Maximo Thermo Ash S4S E4E 1x8 Long</v>
      </c>
    </row>
    <row r="2474" spans="1:20" x14ac:dyDescent="0.25">
      <c r="A2474" t="s">
        <v>3063</v>
      </c>
      <c r="B2474" t="s">
        <v>3212</v>
      </c>
      <c r="C2474" t="s">
        <v>283</v>
      </c>
      <c r="D2474" t="s">
        <v>3044</v>
      </c>
      <c r="E2474" t="s">
        <v>3213</v>
      </c>
      <c r="F2474" t="s">
        <v>3214</v>
      </c>
      <c r="G2474" t="s">
        <v>3068</v>
      </c>
      <c r="H2474" t="s">
        <v>373</v>
      </c>
      <c r="I2474" t="s">
        <v>289</v>
      </c>
      <c r="J2474" t="s">
        <v>764</v>
      </c>
      <c r="K2474">
        <v>10</v>
      </c>
      <c r="L2474" s="6">
        <v>3</v>
      </c>
      <c r="M2474" s="7">
        <v>40</v>
      </c>
      <c r="N2474" s="7">
        <v>40</v>
      </c>
      <c r="O2474" s="7">
        <f t="shared" si="188"/>
        <v>118.11023622047244</v>
      </c>
      <c r="P2474" s="7">
        <f t="shared" si="189"/>
        <v>1.5748031496062993</v>
      </c>
      <c r="Q2474" s="7">
        <f t="shared" si="189"/>
        <v>1.5748031496062993</v>
      </c>
      <c r="R2474" s="6">
        <f t="shared" si="190"/>
        <v>2050.5250000000001</v>
      </c>
      <c r="S2474" s="6">
        <f t="shared" si="191"/>
        <v>4.7999999999999996E-3</v>
      </c>
      <c r="T2474" t="str">
        <f t="shared" si="192"/>
        <v>Maximo Thermo Ash S4S E4E 2x2 Long</v>
      </c>
    </row>
    <row r="2475" spans="1:20" x14ac:dyDescent="0.25">
      <c r="A2475" t="s">
        <v>3063</v>
      </c>
      <c r="B2475" t="s">
        <v>3212</v>
      </c>
      <c r="C2475" t="s">
        <v>283</v>
      </c>
      <c r="D2475" t="s">
        <v>3044</v>
      </c>
      <c r="E2475" t="s">
        <v>3215</v>
      </c>
      <c r="F2475" t="s">
        <v>3214</v>
      </c>
      <c r="G2475" t="s">
        <v>3068</v>
      </c>
      <c r="H2475" t="s">
        <v>373</v>
      </c>
      <c r="I2475" t="s">
        <v>289</v>
      </c>
      <c r="J2475" t="s">
        <v>764</v>
      </c>
      <c r="K2475">
        <v>11</v>
      </c>
      <c r="L2475" s="6">
        <v>3.3</v>
      </c>
      <c r="M2475" s="7">
        <v>40</v>
      </c>
      <c r="N2475" s="7">
        <v>40</v>
      </c>
      <c r="O2475" s="7">
        <f t="shared" si="188"/>
        <v>129.92125984251967</v>
      </c>
      <c r="P2475" s="7">
        <f t="shared" si="189"/>
        <v>1.5748031496062993</v>
      </c>
      <c r="Q2475" s="7">
        <f t="shared" si="189"/>
        <v>1.5748031496062993</v>
      </c>
      <c r="R2475" s="6">
        <f t="shared" si="190"/>
        <v>2050.5250000000001</v>
      </c>
      <c r="S2475" s="6">
        <f t="shared" si="191"/>
        <v>5.28E-3</v>
      </c>
      <c r="T2475" t="str">
        <f t="shared" si="192"/>
        <v>Maximo Thermo Ash S4S E4E 2x2 Long</v>
      </c>
    </row>
    <row r="2476" spans="1:20" x14ac:dyDescent="0.25">
      <c r="A2476" t="s">
        <v>3063</v>
      </c>
      <c r="B2476" t="s">
        <v>3212</v>
      </c>
      <c r="C2476" t="s">
        <v>283</v>
      </c>
      <c r="D2476" t="s">
        <v>3044</v>
      </c>
      <c r="E2476" t="s">
        <v>3216</v>
      </c>
      <c r="F2476" t="s">
        <v>3214</v>
      </c>
      <c r="G2476" t="s">
        <v>3068</v>
      </c>
      <c r="H2476" t="s">
        <v>373</v>
      </c>
      <c r="I2476" t="s">
        <v>289</v>
      </c>
      <c r="J2476" t="s">
        <v>764</v>
      </c>
      <c r="K2476">
        <v>12</v>
      </c>
      <c r="L2476" s="6">
        <v>3.6</v>
      </c>
      <c r="M2476" s="7">
        <v>40</v>
      </c>
      <c r="N2476" s="7">
        <v>40</v>
      </c>
      <c r="O2476" s="7">
        <f t="shared" si="188"/>
        <v>141.73228346456693</v>
      </c>
      <c r="P2476" s="7">
        <f t="shared" si="189"/>
        <v>1.5748031496062993</v>
      </c>
      <c r="Q2476" s="7">
        <f t="shared" si="189"/>
        <v>1.5748031496062993</v>
      </c>
      <c r="R2476" s="6">
        <f t="shared" si="190"/>
        <v>2050.5250000000001</v>
      </c>
      <c r="S2476" s="6">
        <f t="shared" si="191"/>
        <v>5.7599999999999995E-3</v>
      </c>
      <c r="T2476" t="str">
        <f t="shared" si="192"/>
        <v>Maximo Thermo Ash S4S E4E 2x2 Long</v>
      </c>
    </row>
    <row r="2477" spans="1:20" x14ac:dyDescent="0.25">
      <c r="A2477" t="s">
        <v>3063</v>
      </c>
      <c r="B2477" t="s">
        <v>3212</v>
      </c>
      <c r="C2477" t="s">
        <v>283</v>
      </c>
      <c r="D2477" t="s">
        <v>3044</v>
      </c>
      <c r="E2477" t="s">
        <v>3217</v>
      </c>
      <c r="F2477" t="s">
        <v>3214</v>
      </c>
      <c r="G2477" t="s">
        <v>3068</v>
      </c>
      <c r="H2477" t="s">
        <v>373</v>
      </c>
      <c r="I2477" t="s">
        <v>289</v>
      </c>
      <c r="J2477" t="s">
        <v>764</v>
      </c>
      <c r="K2477">
        <v>13</v>
      </c>
      <c r="L2477" s="6">
        <v>3.9</v>
      </c>
      <c r="M2477" s="7">
        <v>40</v>
      </c>
      <c r="N2477" s="7">
        <v>40</v>
      </c>
      <c r="O2477" s="7">
        <f t="shared" si="188"/>
        <v>153.54330708661416</v>
      </c>
      <c r="P2477" s="7">
        <f t="shared" si="189"/>
        <v>1.5748031496062993</v>
      </c>
      <c r="Q2477" s="7">
        <f t="shared" si="189"/>
        <v>1.5748031496062993</v>
      </c>
      <c r="R2477" s="6">
        <f t="shared" si="190"/>
        <v>2050.5250000000001</v>
      </c>
      <c r="S2477" s="6">
        <f t="shared" si="191"/>
        <v>6.2399999999999999E-3</v>
      </c>
      <c r="T2477" t="str">
        <f t="shared" si="192"/>
        <v>Maximo Thermo Ash S4S E4E 2x2 Long</v>
      </c>
    </row>
    <row r="2478" spans="1:20" x14ac:dyDescent="0.25">
      <c r="A2478" t="s">
        <v>3063</v>
      </c>
      <c r="B2478" t="s">
        <v>3212</v>
      </c>
      <c r="C2478" t="s">
        <v>283</v>
      </c>
      <c r="D2478" t="s">
        <v>3044</v>
      </c>
      <c r="E2478" t="s">
        <v>3218</v>
      </c>
      <c r="F2478" t="s">
        <v>3214</v>
      </c>
      <c r="G2478" t="s">
        <v>3068</v>
      </c>
      <c r="H2478" t="s">
        <v>373</v>
      </c>
      <c r="I2478" t="s">
        <v>289</v>
      </c>
      <c r="J2478" t="s">
        <v>764</v>
      </c>
      <c r="K2478">
        <v>14</v>
      </c>
      <c r="L2478" s="6">
        <v>4.2</v>
      </c>
      <c r="M2478" s="7">
        <v>40</v>
      </c>
      <c r="N2478" s="7">
        <v>40</v>
      </c>
      <c r="O2478" s="7">
        <f t="shared" si="188"/>
        <v>165.35433070866142</v>
      </c>
      <c r="P2478" s="7">
        <f t="shared" si="189"/>
        <v>1.5748031496062993</v>
      </c>
      <c r="Q2478" s="7">
        <f t="shared" si="189"/>
        <v>1.5748031496062993</v>
      </c>
      <c r="R2478" s="6">
        <f t="shared" si="190"/>
        <v>2050.5250000000001</v>
      </c>
      <c r="S2478" s="6">
        <f t="shared" si="191"/>
        <v>6.7200000000000003E-3</v>
      </c>
      <c r="T2478" t="str">
        <f t="shared" si="192"/>
        <v>Maximo Thermo Ash S4S E4E 2x2 Long</v>
      </c>
    </row>
    <row r="2479" spans="1:20" x14ac:dyDescent="0.25">
      <c r="A2479" t="s">
        <v>3063</v>
      </c>
      <c r="B2479" t="s">
        <v>3212</v>
      </c>
      <c r="C2479" t="s">
        <v>283</v>
      </c>
      <c r="D2479" t="s">
        <v>3044</v>
      </c>
      <c r="E2479" t="s">
        <v>3219</v>
      </c>
      <c r="F2479" t="s">
        <v>3214</v>
      </c>
      <c r="G2479" t="s">
        <v>3068</v>
      </c>
      <c r="H2479" t="s">
        <v>373</v>
      </c>
      <c r="I2479" t="s">
        <v>289</v>
      </c>
      <c r="J2479" t="s">
        <v>764</v>
      </c>
      <c r="K2479">
        <v>15</v>
      </c>
      <c r="L2479" s="6">
        <v>4.5</v>
      </c>
      <c r="M2479" s="7">
        <v>40</v>
      </c>
      <c r="N2479" s="7">
        <v>40</v>
      </c>
      <c r="O2479" s="7">
        <f t="shared" si="188"/>
        <v>177.16535433070868</v>
      </c>
      <c r="P2479" s="7">
        <f t="shared" si="189"/>
        <v>1.5748031496062993</v>
      </c>
      <c r="Q2479" s="7">
        <f t="shared" si="189"/>
        <v>1.5748031496062993</v>
      </c>
      <c r="R2479" s="6">
        <f t="shared" si="190"/>
        <v>2050.5250000000001</v>
      </c>
      <c r="S2479" s="6">
        <f t="shared" si="191"/>
        <v>7.1999999999999989E-3</v>
      </c>
      <c r="T2479" t="str">
        <f t="shared" si="192"/>
        <v>Maximo Thermo Ash S4S E4E 2x2 Long</v>
      </c>
    </row>
    <row r="2480" spans="1:20" x14ac:dyDescent="0.25">
      <c r="A2480" t="s">
        <v>3063</v>
      </c>
      <c r="B2480" t="s">
        <v>3212</v>
      </c>
      <c r="C2480" t="s">
        <v>283</v>
      </c>
      <c r="D2480" t="s">
        <v>3044</v>
      </c>
      <c r="E2480" t="s">
        <v>3220</v>
      </c>
      <c r="F2480" t="s">
        <v>3214</v>
      </c>
      <c r="G2480" t="s">
        <v>3068</v>
      </c>
      <c r="H2480" t="s">
        <v>373</v>
      </c>
      <c r="I2480" t="s">
        <v>289</v>
      </c>
      <c r="J2480" t="s">
        <v>764</v>
      </c>
      <c r="K2480">
        <v>16</v>
      </c>
      <c r="L2480" s="6">
        <v>4.8</v>
      </c>
      <c r="M2480" s="7">
        <v>40</v>
      </c>
      <c r="N2480" s="7">
        <v>40</v>
      </c>
      <c r="O2480" s="7">
        <f t="shared" ref="O2480:O2543" si="193">L2480/0.0254</f>
        <v>188.97637795275591</v>
      </c>
      <c r="P2480" s="7">
        <f t="shared" ref="P2480:Q2543" si="194">M2480/25.4</f>
        <v>1.5748031496062993</v>
      </c>
      <c r="Q2480" s="7">
        <f t="shared" si="194"/>
        <v>1.5748031496062993</v>
      </c>
      <c r="R2480" s="6">
        <f t="shared" ref="R2480:R2543" si="195">ROUND(IFERROR(1/((M2480*N2480*0.3048)/1000000),0),3)</f>
        <v>2050.5250000000001</v>
      </c>
      <c r="S2480" s="6">
        <f t="shared" ref="S2480:S2543" si="196">L2480*M2480/1000*N2480/1000</f>
        <v>7.6799999999999993E-3</v>
      </c>
      <c r="T2480" t="str">
        <f t="shared" si="192"/>
        <v>Maximo Thermo Ash S4S E4E 2x2 Long</v>
      </c>
    </row>
    <row r="2481" spans="1:20" x14ac:dyDescent="0.25">
      <c r="A2481" t="s">
        <v>3063</v>
      </c>
      <c r="B2481" t="s">
        <v>3212</v>
      </c>
      <c r="C2481" t="s">
        <v>283</v>
      </c>
      <c r="D2481" t="s">
        <v>3044</v>
      </c>
      <c r="E2481" t="s">
        <v>3221</v>
      </c>
      <c r="F2481" t="s">
        <v>3214</v>
      </c>
      <c r="G2481" t="s">
        <v>3068</v>
      </c>
      <c r="H2481" t="s">
        <v>373</v>
      </c>
      <c r="I2481" t="s">
        <v>289</v>
      </c>
      <c r="J2481" t="s">
        <v>764</v>
      </c>
      <c r="K2481">
        <v>17</v>
      </c>
      <c r="L2481" s="6">
        <v>5.0999999999999996</v>
      </c>
      <c r="M2481" s="7">
        <v>40</v>
      </c>
      <c r="N2481" s="7">
        <v>40</v>
      </c>
      <c r="O2481" s="7">
        <f t="shared" si="193"/>
        <v>200.78740157480314</v>
      </c>
      <c r="P2481" s="7">
        <f t="shared" si="194"/>
        <v>1.5748031496062993</v>
      </c>
      <c r="Q2481" s="7">
        <f t="shared" si="194"/>
        <v>1.5748031496062993</v>
      </c>
      <c r="R2481" s="6">
        <f t="shared" si="195"/>
        <v>2050.5250000000001</v>
      </c>
      <c r="S2481" s="6">
        <f t="shared" si="196"/>
        <v>8.1600000000000006E-3</v>
      </c>
      <c r="T2481" t="str">
        <f t="shared" si="192"/>
        <v>Maximo Thermo Ash S4S E4E 2x2 Long</v>
      </c>
    </row>
    <row r="2482" spans="1:20" x14ac:dyDescent="0.25">
      <c r="A2482" t="s">
        <v>3063</v>
      </c>
      <c r="B2482" t="s">
        <v>3212</v>
      </c>
      <c r="C2482" t="s">
        <v>283</v>
      </c>
      <c r="D2482" t="s">
        <v>3044</v>
      </c>
      <c r="E2482" t="s">
        <v>3222</v>
      </c>
      <c r="F2482" t="s">
        <v>3214</v>
      </c>
      <c r="G2482" t="s">
        <v>3068</v>
      </c>
      <c r="H2482" t="s">
        <v>373</v>
      </c>
      <c r="I2482" t="s">
        <v>289</v>
      </c>
      <c r="J2482" t="s">
        <v>764</v>
      </c>
      <c r="K2482">
        <v>18</v>
      </c>
      <c r="L2482" s="6">
        <v>5.4</v>
      </c>
      <c r="M2482" s="7">
        <v>40</v>
      </c>
      <c r="N2482" s="7">
        <v>40</v>
      </c>
      <c r="O2482" s="7">
        <f t="shared" si="193"/>
        <v>212.59842519685043</v>
      </c>
      <c r="P2482" s="7">
        <f t="shared" si="194"/>
        <v>1.5748031496062993</v>
      </c>
      <c r="Q2482" s="7">
        <f t="shared" si="194"/>
        <v>1.5748031496062993</v>
      </c>
      <c r="R2482" s="6">
        <f t="shared" si="195"/>
        <v>2050.5250000000001</v>
      </c>
      <c r="S2482" s="6">
        <f t="shared" si="196"/>
        <v>8.6400000000000001E-3</v>
      </c>
      <c r="T2482" t="str">
        <f t="shared" si="192"/>
        <v>Maximo Thermo Ash S4S E4E 2x2 Long</v>
      </c>
    </row>
    <row r="2483" spans="1:20" x14ac:dyDescent="0.25">
      <c r="A2483" t="s">
        <v>3063</v>
      </c>
      <c r="B2483" t="s">
        <v>3212</v>
      </c>
      <c r="C2483" t="s">
        <v>524</v>
      </c>
      <c r="D2483" t="s">
        <v>3044</v>
      </c>
      <c r="E2483" t="s">
        <v>3223</v>
      </c>
      <c r="F2483" t="s">
        <v>3214</v>
      </c>
      <c r="G2483" t="s">
        <v>3068</v>
      </c>
      <c r="H2483" t="s">
        <v>373</v>
      </c>
      <c r="I2483" t="s">
        <v>289</v>
      </c>
      <c r="J2483" t="s">
        <v>764</v>
      </c>
      <c r="K2483">
        <v>3</v>
      </c>
      <c r="L2483" s="6">
        <v>0.9</v>
      </c>
      <c r="M2483" s="7">
        <v>40</v>
      </c>
      <c r="N2483" s="7">
        <v>40</v>
      </c>
      <c r="O2483" s="7">
        <f t="shared" si="193"/>
        <v>35.433070866141733</v>
      </c>
      <c r="P2483" s="7">
        <f t="shared" si="194"/>
        <v>1.5748031496062993</v>
      </c>
      <c r="Q2483" s="7">
        <f t="shared" si="194"/>
        <v>1.5748031496062993</v>
      </c>
      <c r="R2483" s="6">
        <f t="shared" si="195"/>
        <v>2050.5250000000001</v>
      </c>
      <c r="S2483" s="6">
        <f t="shared" si="196"/>
        <v>1.4399999999999999E-3</v>
      </c>
      <c r="T2483" t="str">
        <f t="shared" si="192"/>
        <v>Maximo Thermo Ash S4S E4E 2x2 Short</v>
      </c>
    </row>
    <row r="2484" spans="1:20" x14ac:dyDescent="0.25">
      <c r="A2484" t="s">
        <v>3063</v>
      </c>
      <c r="B2484" t="s">
        <v>3212</v>
      </c>
      <c r="C2484" t="s">
        <v>524</v>
      </c>
      <c r="D2484" t="s">
        <v>3044</v>
      </c>
      <c r="E2484" t="s">
        <v>3224</v>
      </c>
      <c r="F2484" t="s">
        <v>3214</v>
      </c>
      <c r="G2484" t="s">
        <v>3068</v>
      </c>
      <c r="H2484" t="s">
        <v>373</v>
      </c>
      <c r="I2484" t="s">
        <v>289</v>
      </c>
      <c r="J2484" t="s">
        <v>764</v>
      </c>
      <c r="K2484">
        <v>4</v>
      </c>
      <c r="L2484" s="6">
        <v>1.2</v>
      </c>
      <c r="M2484" s="7">
        <v>40</v>
      </c>
      <c r="N2484" s="7">
        <v>40</v>
      </c>
      <c r="O2484" s="7">
        <f t="shared" si="193"/>
        <v>47.244094488188978</v>
      </c>
      <c r="P2484" s="7">
        <f t="shared" si="194"/>
        <v>1.5748031496062993</v>
      </c>
      <c r="Q2484" s="7">
        <f t="shared" si="194"/>
        <v>1.5748031496062993</v>
      </c>
      <c r="R2484" s="6">
        <f t="shared" si="195"/>
        <v>2050.5250000000001</v>
      </c>
      <c r="S2484" s="6">
        <f t="shared" si="196"/>
        <v>1.9199999999999998E-3</v>
      </c>
      <c r="T2484" t="str">
        <f t="shared" si="192"/>
        <v>Maximo Thermo Ash S4S E4E 2x2 Short</v>
      </c>
    </row>
    <row r="2485" spans="1:20" x14ac:dyDescent="0.25">
      <c r="A2485" t="s">
        <v>3063</v>
      </c>
      <c r="B2485" t="s">
        <v>3212</v>
      </c>
      <c r="C2485" t="s">
        <v>524</v>
      </c>
      <c r="D2485" t="s">
        <v>3044</v>
      </c>
      <c r="E2485" t="s">
        <v>3225</v>
      </c>
      <c r="F2485" t="s">
        <v>3214</v>
      </c>
      <c r="G2485" t="s">
        <v>3068</v>
      </c>
      <c r="H2485" t="s">
        <v>373</v>
      </c>
      <c r="I2485" t="s">
        <v>289</v>
      </c>
      <c r="J2485" t="s">
        <v>764</v>
      </c>
      <c r="K2485">
        <v>5</v>
      </c>
      <c r="L2485" s="6">
        <v>1.5</v>
      </c>
      <c r="M2485" s="7">
        <v>40</v>
      </c>
      <c r="N2485" s="7">
        <v>40</v>
      </c>
      <c r="O2485" s="7">
        <f t="shared" si="193"/>
        <v>59.055118110236222</v>
      </c>
      <c r="P2485" s="7">
        <f t="shared" si="194"/>
        <v>1.5748031496062993</v>
      </c>
      <c r="Q2485" s="7">
        <f t="shared" si="194"/>
        <v>1.5748031496062993</v>
      </c>
      <c r="R2485" s="6">
        <f t="shared" si="195"/>
        <v>2050.5250000000001</v>
      </c>
      <c r="S2485" s="6">
        <f t="shared" si="196"/>
        <v>2.3999999999999998E-3</v>
      </c>
      <c r="T2485" t="str">
        <f t="shared" si="192"/>
        <v>Maximo Thermo Ash S4S E4E 2x2 Short</v>
      </c>
    </row>
    <row r="2486" spans="1:20" x14ac:dyDescent="0.25">
      <c r="A2486" t="s">
        <v>3063</v>
      </c>
      <c r="B2486" t="s">
        <v>3212</v>
      </c>
      <c r="C2486" t="s">
        <v>524</v>
      </c>
      <c r="D2486" t="s">
        <v>3044</v>
      </c>
      <c r="E2486" t="s">
        <v>3226</v>
      </c>
      <c r="F2486" t="s">
        <v>3214</v>
      </c>
      <c r="G2486" t="s">
        <v>3068</v>
      </c>
      <c r="H2486" t="s">
        <v>373</v>
      </c>
      <c r="I2486" t="s">
        <v>289</v>
      </c>
      <c r="J2486" t="s">
        <v>764</v>
      </c>
      <c r="K2486">
        <v>6</v>
      </c>
      <c r="L2486" s="6">
        <v>1.8</v>
      </c>
      <c r="M2486" s="7">
        <v>40</v>
      </c>
      <c r="N2486" s="7">
        <v>40</v>
      </c>
      <c r="O2486" s="7">
        <f t="shared" si="193"/>
        <v>70.866141732283467</v>
      </c>
      <c r="P2486" s="7">
        <f t="shared" si="194"/>
        <v>1.5748031496062993</v>
      </c>
      <c r="Q2486" s="7">
        <f t="shared" si="194"/>
        <v>1.5748031496062993</v>
      </c>
      <c r="R2486" s="6">
        <f t="shared" si="195"/>
        <v>2050.5250000000001</v>
      </c>
      <c r="S2486" s="6">
        <f t="shared" si="196"/>
        <v>2.8799999999999997E-3</v>
      </c>
      <c r="T2486" t="str">
        <f t="shared" si="192"/>
        <v>Maximo Thermo Ash S4S E4E 2x2 Short</v>
      </c>
    </row>
    <row r="2487" spans="1:20" x14ac:dyDescent="0.25">
      <c r="A2487" t="s">
        <v>3063</v>
      </c>
      <c r="B2487" t="s">
        <v>3212</v>
      </c>
      <c r="C2487" t="s">
        <v>524</v>
      </c>
      <c r="D2487" t="s">
        <v>3044</v>
      </c>
      <c r="E2487" t="s">
        <v>3227</v>
      </c>
      <c r="F2487" t="s">
        <v>3214</v>
      </c>
      <c r="G2487" t="s">
        <v>3068</v>
      </c>
      <c r="H2487" t="s">
        <v>373</v>
      </c>
      <c r="I2487" t="s">
        <v>289</v>
      </c>
      <c r="J2487" t="s">
        <v>764</v>
      </c>
      <c r="K2487">
        <v>7</v>
      </c>
      <c r="L2487" s="6">
        <v>2.1</v>
      </c>
      <c r="M2487" s="7">
        <v>40</v>
      </c>
      <c r="N2487" s="7">
        <v>40</v>
      </c>
      <c r="O2487" s="7">
        <f t="shared" si="193"/>
        <v>82.677165354330711</v>
      </c>
      <c r="P2487" s="7">
        <f t="shared" si="194"/>
        <v>1.5748031496062993</v>
      </c>
      <c r="Q2487" s="7">
        <f t="shared" si="194"/>
        <v>1.5748031496062993</v>
      </c>
      <c r="R2487" s="6">
        <f t="shared" si="195"/>
        <v>2050.5250000000001</v>
      </c>
      <c r="S2487" s="6">
        <f t="shared" si="196"/>
        <v>3.3600000000000001E-3</v>
      </c>
      <c r="T2487" t="str">
        <f t="shared" si="192"/>
        <v>Maximo Thermo Ash S4S E4E 2x2 Short</v>
      </c>
    </row>
    <row r="2488" spans="1:20" x14ac:dyDescent="0.25">
      <c r="A2488" t="s">
        <v>3063</v>
      </c>
      <c r="B2488" t="s">
        <v>3212</v>
      </c>
      <c r="C2488" t="s">
        <v>283</v>
      </c>
      <c r="D2488" t="s">
        <v>3044</v>
      </c>
      <c r="E2488" t="s">
        <v>3228</v>
      </c>
      <c r="F2488" t="s">
        <v>3214</v>
      </c>
      <c r="G2488" t="s">
        <v>3068</v>
      </c>
      <c r="H2488" t="s">
        <v>373</v>
      </c>
      <c r="I2488" t="s">
        <v>289</v>
      </c>
      <c r="J2488" t="s">
        <v>764</v>
      </c>
      <c r="K2488">
        <v>8</v>
      </c>
      <c r="L2488" s="6">
        <v>2.4</v>
      </c>
      <c r="M2488" s="7">
        <v>40</v>
      </c>
      <c r="N2488" s="7">
        <v>40</v>
      </c>
      <c r="O2488" s="7">
        <f t="shared" si="193"/>
        <v>94.488188976377955</v>
      </c>
      <c r="P2488" s="7">
        <f t="shared" si="194"/>
        <v>1.5748031496062993</v>
      </c>
      <c r="Q2488" s="7">
        <f t="shared" si="194"/>
        <v>1.5748031496062993</v>
      </c>
      <c r="R2488" s="6">
        <f t="shared" si="195"/>
        <v>2050.5250000000001</v>
      </c>
      <c r="S2488" s="6">
        <f t="shared" si="196"/>
        <v>3.8399999999999997E-3</v>
      </c>
      <c r="T2488" t="str">
        <f t="shared" si="192"/>
        <v>Maximo Thermo Ash S4S E4E 2x2 Long</v>
      </c>
    </row>
    <row r="2489" spans="1:20" x14ac:dyDescent="0.25">
      <c r="A2489" t="s">
        <v>3063</v>
      </c>
      <c r="B2489" t="s">
        <v>3212</v>
      </c>
      <c r="C2489" t="s">
        <v>283</v>
      </c>
      <c r="D2489" t="s">
        <v>3044</v>
      </c>
      <c r="E2489" t="s">
        <v>3229</v>
      </c>
      <c r="F2489" t="s">
        <v>3214</v>
      </c>
      <c r="G2489" t="s">
        <v>3068</v>
      </c>
      <c r="H2489" t="s">
        <v>373</v>
      </c>
      <c r="I2489" t="s">
        <v>289</v>
      </c>
      <c r="J2489" t="s">
        <v>764</v>
      </c>
      <c r="K2489">
        <v>9</v>
      </c>
      <c r="L2489" s="6">
        <v>2.7</v>
      </c>
      <c r="M2489" s="7">
        <v>40</v>
      </c>
      <c r="N2489" s="7">
        <v>40</v>
      </c>
      <c r="O2489" s="7">
        <f t="shared" si="193"/>
        <v>106.29921259842521</v>
      </c>
      <c r="P2489" s="7">
        <f t="shared" si="194"/>
        <v>1.5748031496062993</v>
      </c>
      <c r="Q2489" s="7">
        <f t="shared" si="194"/>
        <v>1.5748031496062993</v>
      </c>
      <c r="R2489" s="6">
        <f t="shared" si="195"/>
        <v>2050.5250000000001</v>
      </c>
      <c r="S2489" s="6">
        <f t="shared" si="196"/>
        <v>4.3200000000000001E-3</v>
      </c>
      <c r="T2489" t="str">
        <f t="shared" si="192"/>
        <v>Maximo Thermo Ash S4S E4E 2x2 Long</v>
      </c>
    </row>
    <row r="2490" spans="1:20" x14ac:dyDescent="0.25">
      <c r="A2490" t="s">
        <v>3063</v>
      </c>
      <c r="B2490" t="s">
        <v>3230</v>
      </c>
      <c r="C2490" t="s">
        <v>283</v>
      </c>
      <c r="D2490" t="s">
        <v>3044</v>
      </c>
      <c r="E2490" t="s">
        <v>3231</v>
      </c>
      <c r="F2490" t="s">
        <v>3232</v>
      </c>
      <c r="G2490" t="s">
        <v>3068</v>
      </c>
      <c r="H2490" t="s">
        <v>373</v>
      </c>
      <c r="I2490" t="s">
        <v>289</v>
      </c>
      <c r="J2490" t="s">
        <v>796</v>
      </c>
      <c r="K2490">
        <v>10</v>
      </c>
      <c r="L2490" s="6">
        <v>3</v>
      </c>
      <c r="M2490" s="7">
        <v>40</v>
      </c>
      <c r="N2490" s="7">
        <v>90</v>
      </c>
      <c r="O2490" s="7">
        <f t="shared" si="193"/>
        <v>118.11023622047244</v>
      </c>
      <c r="P2490" s="7">
        <f t="shared" si="194"/>
        <v>1.5748031496062993</v>
      </c>
      <c r="Q2490" s="7">
        <f t="shared" si="194"/>
        <v>3.5433070866141736</v>
      </c>
      <c r="R2490" s="6">
        <f t="shared" si="195"/>
        <v>911.34400000000005</v>
      </c>
      <c r="S2490" s="6">
        <f t="shared" si="196"/>
        <v>1.0799999999999999E-2</v>
      </c>
      <c r="T2490" t="str">
        <f t="shared" si="192"/>
        <v>Maximo Thermo Ash S4S E4E 2x4 Long</v>
      </c>
    </row>
    <row r="2491" spans="1:20" x14ac:dyDescent="0.25">
      <c r="A2491" t="s">
        <v>3063</v>
      </c>
      <c r="B2491" t="s">
        <v>3230</v>
      </c>
      <c r="C2491" t="s">
        <v>283</v>
      </c>
      <c r="D2491" t="s">
        <v>3044</v>
      </c>
      <c r="E2491" t="s">
        <v>3233</v>
      </c>
      <c r="F2491" t="s">
        <v>3232</v>
      </c>
      <c r="G2491" t="s">
        <v>3068</v>
      </c>
      <c r="H2491" t="s">
        <v>373</v>
      </c>
      <c r="I2491" t="s">
        <v>289</v>
      </c>
      <c r="J2491" t="s">
        <v>796</v>
      </c>
      <c r="K2491">
        <v>11</v>
      </c>
      <c r="L2491" s="6">
        <v>3.3</v>
      </c>
      <c r="M2491" s="7">
        <v>40</v>
      </c>
      <c r="N2491" s="7">
        <v>90</v>
      </c>
      <c r="O2491" s="7">
        <f t="shared" si="193"/>
        <v>129.92125984251967</v>
      </c>
      <c r="P2491" s="7">
        <f t="shared" si="194"/>
        <v>1.5748031496062993</v>
      </c>
      <c r="Q2491" s="7">
        <f t="shared" si="194"/>
        <v>3.5433070866141736</v>
      </c>
      <c r="R2491" s="6">
        <f t="shared" si="195"/>
        <v>911.34400000000005</v>
      </c>
      <c r="S2491" s="6">
        <f t="shared" si="196"/>
        <v>1.188E-2</v>
      </c>
      <c r="T2491" t="str">
        <f t="shared" si="192"/>
        <v>Maximo Thermo Ash S4S E4E 2x4 Long</v>
      </c>
    </row>
    <row r="2492" spans="1:20" x14ac:dyDescent="0.25">
      <c r="A2492" t="s">
        <v>3063</v>
      </c>
      <c r="B2492" t="s">
        <v>3230</v>
      </c>
      <c r="C2492" t="s">
        <v>283</v>
      </c>
      <c r="D2492" t="s">
        <v>3044</v>
      </c>
      <c r="E2492" t="s">
        <v>3234</v>
      </c>
      <c r="F2492" t="s">
        <v>3232</v>
      </c>
      <c r="G2492" t="s">
        <v>3068</v>
      </c>
      <c r="H2492" t="s">
        <v>373</v>
      </c>
      <c r="I2492" t="s">
        <v>289</v>
      </c>
      <c r="J2492" t="s">
        <v>796</v>
      </c>
      <c r="K2492">
        <v>12</v>
      </c>
      <c r="L2492" s="6">
        <v>3.6</v>
      </c>
      <c r="M2492" s="7">
        <v>40</v>
      </c>
      <c r="N2492" s="7">
        <v>90</v>
      </c>
      <c r="O2492" s="7">
        <f t="shared" si="193"/>
        <v>141.73228346456693</v>
      </c>
      <c r="P2492" s="7">
        <f t="shared" si="194"/>
        <v>1.5748031496062993</v>
      </c>
      <c r="Q2492" s="7">
        <f t="shared" si="194"/>
        <v>3.5433070866141736</v>
      </c>
      <c r="R2492" s="6">
        <f t="shared" si="195"/>
        <v>911.34400000000005</v>
      </c>
      <c r="S2492" s="6">
        <f t="shared" si="196"/>
        <v>1.2959999999999999E-2</v>
      </c>
      <c r="T2492" t="str">
        <f t="shared" si="192"/>
        <v>Maximo Thermo Ash S4S E4E 2x4 Long</v>
      </c>
    </row>
    <row r="2493" spans="1:20" x14ac:dyDescent="0.25">
      <c r="A2493" t="s">
        <v>3063</v>
      </c>
      <c r="B2493" t="s">
        <v>3230</v>
      </c>
      <c r="C2493" t="s">
        <v>283</v>
      </c>
      <c r="D2493" t="s">
        <v>3044</v>
      </c>
      <c r="E2493" t="s">
        <v>3235</v>
      </c>
      <c r="F2493" t="s">
        <v>3232</v>
      </c>
      <c r="G2493" t="s">
        <v>3068</v>
      </c>
      <c r="H2493" t="s">
        <v>373</v>
      </c>
      <c r="I2493" t="s">
        <v>289</v>
      </c>
      <c r="J2493" t="s">
        <v>796</v>
      </c>
      <c r="K2493">
        <v>13</v>
      </c>
      <c r="L2493" s="6">
        <v>3.9</v>
      </c>
      <c r="M2493" s="7">
        <v>40</v>
      </c>
      <c r="N2493" s="7">
        <v>90</v>
      </c>
      <c r="O2493" s="7">
        <f t="shared" si="193"/>
        <v>153.54330708661416</v>
      </c>
      <c r="P2493" s="7">
        <f t="shared" si="194"/>
        <v>1.5748031496062993</v>
      </c>
      <c r="Q2493" s="7">
        <f t="shared" si="194"/>
        <v>3.5433070866141736</v>
      </c>
      <c r="R2493" s="6">
        <f t="shared" si="195"/>
        <v>911.34400000000005</v>
      </c>
      <c r="S2493" s="6">
        <f t="shared" si="196"/>
        <v>1.4039999999999999E-2</v>
      </c>
      <c r="T2493" t="str">
        <f t="shared" si="192"/>
        <v>Maximo Thermo Ash S4S E4E 2x4 Long</v>
      </c>
    </row>
    <row r="2494" spans="1:20" x14ac:dyDescent="0.25">
      <c r="A2494" t="s">
        <v>3063</v>
      </c>
      <c r="B2494" t="s">
        <v>3230</v>
      </c>
      <c r="C2494" t="s">
        <v>283</v>
      </c>
      <c r="D2494" t="s">
        <v>3044</v>
      </c>
      <c r="E2494" t="s">
        <v>3236</v>
      </c>
      <c r="F2494" t="s">
        <v>3232</v>
      </c>
      <c r="G2494" t="s">
        <v>3068</v>
      </c>
      <c r="H2494" t="s">
        <v>373</v>
      </c>
      <c r="I2494" t="s">
        <v>289</v>
      </c>
      <c r="J2494" t="s">
        <v>796</v>
      </c>
      <c r="K2494">
        <v>14</v>
      </c>
      <c r="L2494" s="6">
        <v>4.2</v>
      </c>
      <c r="M2494" s="7">
        <v>40</v>
      </c>
      <c r="N2494" s="7">
        <v>90</v>
      </c>
      <c r="O2494" s="7">
        <f t="shared" si="193"/>
        <v>165.35433070866142</v>
      </c>
      <c r="P2494" s="7">
        <f t="shared" si="194"/>
        <v>1.5748031496062993</v>
      </c>
      <c r="Q2494" s="7">
        <f t="shared" si="194"/>
        <v>3.5433070866141736</v>
      </c>
      <c r="R2494" s="6">
        <f t="shared" si="195"/>
        <v>911.34400000000005</v>
      </c>
      <c r="S2494" s="6">
        <f t="shared" si="196"/>
        <v>1.5120000000000001E-2</v>
      </c>
      <c r="T2494" t="str">
        <f t="shared" si="192"/>
        <v>Maximo Thermo Ash S4S E4E 2x4 Long</v>
      </c>
    </row>
    <row r="2495" spans="1:20" x14ac:dyDescent="0.25">
      <c r="A2495" t="s">
        <v>3063</v>
      </c>
      <c r="B2495" t="s">
        <v>3230</v>
      </c>
      <c r="C2495" t="s">
        <v>283</v>
      </c>
      <c r="D2495" t="s">
        <v>3044</v>
      </c>
      <c r="E2495" t="s">
        <v>3237</v>
      </c>
      <c r="F2495" t="s">
        <v>3232</v>
      </c>
      <c r="G2495" t="s">
        <v>3068</v>
      </c>
      <c r="H2495" t="s">
        <v>373</v>
      </c>
      <c r="I2495" t="s">
        <v>289</v>
      </c>
      <c r="J2495" t="s">
        <v>796</v>
      </c>
      <c r="K2495">
        <v>15</v>
      </c>
      <c r="L2495" s="6">
        <v>4.5</v>
      </c>
      <c r="M2495" s="7">
        <v>40</v>
      </c>
      <c r="N2495" s="7">
        <v>90</v>
      </c>
      <c r="O2495" s="7">
        <f t="shared" si="193"/>
        <v>177.16535433070868</v>
      </c>
      <c r="P2495" s="7">
        <f t="shared" si="194"/>
        <v>1.5748031496062993</v>
      </c>
      <c r="Q2495" s="7">
        <f t="shared" si="194"/>
        <v>3.5433070866141736</v>
      </c>
      <c r="R2495" s="6">
        <f t="shared" si="195"/>
        <v>911.34400000000005</v>
      </c>
      <c r="S2495" s="6">
        <f t="shared" si="196"/>
        <v>1.6199999999999999E-2</v>
      </c>
      <c r="T2495" t="str">
        <f t="shared" si="192"/>
        <v>Maximo Thermo Ash S4S E4E 2x4 Long</v>
      </c>
    </row>
    <row r="2496" spans="1:20" x14ac:dyDescent="0.25">
      <c r="A2496" t="s">
        <v>3063</v>
      </c>
      <c r="B2496" t="s">
        <v>3230</v>
      </c>
      <c r="C2496" t="s">
        <v>283</v>
      </c>
      <c r="D2496" t="s">
        <v>3044</v>
      </c>
      <c r="E2496" t="s">
        <v>3238</v>
      </c>
      <c r="F2496" t="s">
        <v>3232</v>
      </c>
      <c r="G2496" t="s">
        <v>3068</v>
      </c>
      <c r="H2496" t="s">
        <v>373</v>
      </c>
      <c r="I2496" t="s">
        <v>289</v>
      </c>
      <c r="J2496" t="s">
        <v>796</v>
      </c>
      <c r="K2496">
        <v>16</v>
      </c>
      <c r="L2496" s="6">
        <v>4.8</v>
      </c>
      <c r="M2496" s="7">
        <v>40</v>
      </c>
      <c r="N2496" s="7">
        <v>90</v>
      </c>
      <c r="O2496" s="7">
        <f t="shared" si="193"/>
        <v>188.97637795275591</v>
      </c>
      <c r="P2496" s="7">
        <f t="shared" si="194"/>
        <v>1.5748031496062993</v>
      </c>
      <c r="Q2496" s="7">
        <f t="shared" si="194"/>
        <v>3.5433070866141736</v>
      </c>
      <c r="R2496" s="6">
        <f t="shared" si="195"/>
        <v>911.34400000000005</v>
      </c>
      <c r="S2496" s="6">
        <f t="shared" si="196"/>
        <v>1.728E-2</v>
      </c>
      <c r="T2496" t="str">
        <f t="shared" si="192"/>
        <v>Maximo Thermo Ash S4S E4E 2x4 Long</v>
      </c>
    </row>
    <row r="2497" spans="1:20" x14ac:dyDescent="0.25">
      <c r="A2497" t="s">
        <v>3063</v>
      </c>
      <c r="B2497" t="s">
        <v>3230</v>
      </c>
      <c r="C2497" t="s">
        <v>283</v>
      </c>
      <c r="D2497" t="s">
        <v>3044</v>
      </c>
      <c r="E2497" t="s">
        <v>3239</v>
      </c>
      <c r="F2497" t="s">
        <v>3232</v>
      </c>
      <c r="G2497" t="s">
        <v>3068</v>
      </c>
      <c r="H2497" t="s">
        <v>373</v>
      </c>
      <c r="I2497" t="s">
        <v>289</v>
      </c>
      <c r="J2497" t="s">
        <v>796</v>
      </c>
      <c r="K2497">
        <v>17</v>
      </c>
      <c r="L2497" s="6">
        <v>5.0999999999999996</v>
      </c>
      <c r="M2497" s="7">
        <v>40</v>
      </c>
      <c r="N2497" s="7">
        <v>90</v>
      </c>
      <c r="O2497" s="7">
        <f t="shared" si="193"/>
        <v>200.78740157480314</v>
      </c>
      <c r="P2497" s="7">
        <f t="shared" si="194"/>
        <v>1.5748031496062993</v>
      </c>
      <c r="Q2497" s="7">
        <f t="shared" si="194"/>
        <v>3.5433070866141736</v>
      </c>
      <c r="R2497" s="6">
        <f t="shared" si="195"/>
        <v>911.34400000000005</v>
      </c>
      <c r="S2497" s="6">
        <f t="shared" si="196"/>
        <v>1.8359999999999998E-2</v>
      </c>
      <c r="T2497" t="str">
        <f t="shared" si="192"/>
        <v>Maximo Thermo Ash S4S E4E 2x4 Long</v>
      </c>
    </row>
    <row r="2498" spans="1:20" x14ac:dyDescent="0.25">
      <c r="A2498" t="s">
        <v>3063</v>
      </c>
      <c r="B2498" t="s">
        <v>3230</v>
      </c>
      <c r="C2498" t="s">
        <v>283</v>
      </c>
      <c r="D2498" t="s">
        <v>3044</v>
      </c>
      <c r="E2498" t="s">
        <v>3240</v>
      </c>
      <c r="F2498" t="s">
        <v>3232</v>
      </c>
      <c r="G2498" t="s">
        <v>3068</v>
      </c>
      <c r="H2498" t="s">
        <v>373</v>
      </c>
      <c r="I2498" t="s">
        <v>289</v>
      </c>
      <c r="J2498" t="s">
        <v>796</v>
      </c>
      <c r="K2498">
        <v>18</v>
      </c>
      <c r="L2498" s="6">
        <v>5.4</v>
      </c>
      <c r="M2498" s="7">
        <v>40</v>
      </c>
      <c r="N2498" s="7">
        <v>90</v>
      </c>
      <c r="O2498" s="7">
        <f t="shared" si="193"/>
        <v>212.59842519685043</v>
      </c>
      <c r="P2498" s="7">
        <f t="shared" si="194"/>
        <v>1.5748031496062993</v>
      </c>
      <c r="Q2498" s="7">
        <f t="shared" si="194"/>
        <v>3.5433070866141736</v>
      </c>
      <c r="R2498" s="6">
        <f t="shared" si="195"/>
        <v>911.34400000000005</v>
      </c>
      <c r="S2498" s="6">
        <f t="shared" si="196"/>
        <v>1.9440000000000002E-2</v>
      </c>
      <c r="T2498" t="str">
        <f t="shared" ref="T2498:T2561" si="197">F2498&amp;" "&amp;C2498</f>
        <v>Maximo Thermo Ash S4S E4E 2x4 Long</v>
      </c>
    </row>
    <row r="2499" spans="1:20" x14ac:dyDescent="0.25">
      <c r="A2499" t="s">
        <v>3063</v>
      </c>
      <c r="B2499" t="s">
        <v>3230</v>
      </c>
      <c r="C2499" t="s">
        <v>524</v>
      </c>
      <c r="D2499" t="s">
        <v>3044</v>
      </c>
      <c r="E2499" t="s">
        <v>3241</v>
      </c>
      <c r="F2499" t="s">
        <v>3232</v>
      </c>
      <c r="G2499" t="s">
        <v>3068</v>
      </c>
      <c r="H2499" t="s">
        <v>373</v>
      </c>
      <c r="I2499" t="s">
        <v>289</v>
      </c>
      <c r="J2499" t="s">
        <v>796</v>
      </c>
      <c r="K2499">
        <v>4</v>
      </c>
      <c r="L2499" s="6">
        <v>1.2</v>
      </c>
      <c r="M2499" s="7">
        <v>40</v>
      </c>
      <c r="N2499" s="7">
        <v>90</v>
      </c>
      <c r="O2499" s="7">
        <f t="shared" si="193"/>
        <v>47.244094488188978</v>
      </c>
      <c r="P2499" s="7">
        <f t="shared" si="194"/>
        <v>1.5748031496062993</v>
      </c>
      <c r="Q2499" s="7">
        <f t="shared" si="194"/>
        <v>3.5433070866141736</v>
      </c>
      <c r="R2499" s="6">
        <f t="shared" si="195"/>
        <v>911.34400000000005</v>
      </c>
      <c r="S2499" s="6">
        <f t="shared" si="196"/>
        <v>4.3200000000000001E-3</v>
      </c>
      <c r="T2499" t="str">
        <f t="shared" si="197"/>
        <v>Maximo Thermo Ash S4S E4E 2x4 Short</v>
      </c>
    </row>
    <row r="2500" spans="1:20" x14ac:dyDescent="0.25">
      <c r="A2500" t="s">
        <v>3063</v>
      </c>
      <c r="B2500" t="s">
        <v>3230</v>
      </c>
      <c r="C2500" t="s">
        <v>524</v>
      </c>
      <c r="D2500" t="s">
        <v>3044</v>
      </c>
      <c r="E2500" t="s">
        <v>3242</v>
      </c>
      <c r="F2500" t="s">
        <v>3232</v>
      </c>
      <c r="G2500" t="s">
        <v>3068</v>
      </c>
      <c r="H2500" t="s">
        <v>373</v>
      </c>
      <c r="I2500" t="s">
        <v>289</v>
      </c>
      <c r="J2500" t="s">
        <v>796</v>
      </c>
      <c r="K2500">
        <v>5</v>
      </c>
      <c r="L2500" s="6">
        <v>1.5</v>
      </c>
      <c r="M2500" s="7">
        <v>40</v>
      </c>
      <c r="N2500" s="7">
        <v>90</v>
      </c>
      <c r="O2500" s="7">
        <f t="shared" si="193"/>
        <v>59.055118110236222</v>
      </c>
      <c r="P2500" s="7">
        <f t="shared" si="194"/>
        <v>1.5748031496062993</v>
      </c>
      <c r="Q2500" s="7">
        <f t="shared" si="194"/>
        <v>3.5433070866141736</v>
      </c>
      <c r="R2500" s="6">
        <f t="shared" si="195"/>
        <v>911.34400000000005</v>
      </c>
      <c r="S2500" s="6">
        <f t="shared" si="196"/>
        <v>5.3999999999999994E-3</v>
      </c>
      <c r="T2500" t="str">
        <f t="shared" si="197"/>
        <v>Maximo Thermo Ash S4S E4E 2x4 Short</v>
      </c>
    </row>
    <row r="2501" spans="1:20" x14ac:dyDescent="0.25">
      <c r="A2501" t="s">
        <v>3063</v>
      </c>
      <c r="B2501" t="s">
        <v>3230</v>
      </c>
      <c r="C2501" t="s">
        <v>524</v>
      </c>
      <c r="D2501" t="s">
        <v>3044</v>
      </c>
      <c r="E2501" t="s">
        <v>3243</v>
      </c>
      <c r="F2501" t="s">
        <v>3232</v>
      </c>
      <c r="G2501" t="s">
        <v>3068</v>
      </c>
      <c r="H2501" t="s">
        <v>373</v>
      </c>
      <c r="I2501" t="s">
        <v>289</v>
      </c>
      <c r="J2501" t="s">
        <v>796</v>
      </c>
      <c r="K2501">
        <v>6</v>
      </c>
      <c r="L2501" s="6">
        <v>1.8</v>
      </c>
      <c r="M2501" s="7">
        <v>40</v>
      </c>
      <c r="N2501" s="7">
        <v>90</v>
      </c>
      <c r="O2501" s="7">
        <f t="shared" si="193"/>
        <v>70.866141732283467</v>
      </c>
      <c r="P2501" s="7">
        <f t="shared" si="194"/>
        <v>1.5748031496062993</v>
      </c>
      <c r="Q2501" s="7">
        <f t="shared" si="194"/>
        <v>3.5433070866141736</v>
      </c>
      <c r="R2501" s="6">
        <f t="shared" si="195"/>
        <v>911.34400000000005</v>
      </c>
      <c r="S2501" s="6">
        <f t="shared" si="196"/>
        <v>6.4799999999999996E-3</v>
      </c>
      <c r="T2501" t="str">
        <f t="shared" si="197"/>
        <v>Maximo Thermo Ash S4S E4E 2x4 Short</v>
      </c>
    </row>
    <row r="2502" spans="1:20" x14ac:dyDescent="0.25">
      <c r="A2502" t="s">
        <v>3063</v>
      </c>
      <c r="B2502" t="s">
        <v>3230</v>
      </c>
      <c r="C2502" t="s">
        <v>524</v>
      </c>
      <c r="D2502" t="s">
        <v>3044</v>
      </c>
      <c r="E2502" t="s">
        <v>3244</v>
      </c>
      <c r="F2502" t="s">
        <v>3232</v>
      </c>
      <c r="G2502" t="s">
        <v>3068</v>
      </c>
      <c r="H2502" t="s">
        <v>373</v>
      </c>
      <c r="I2502" t="s">
        <v>289</v>
      </c>
      <c r="J2502" t="s">
        <v>796</v>
      </c>
      <c r="K2502">
        <v>7</v>
      </c>
      <c r="L2502" s="6">
        <v>2.1</v>
      </c>
      <c r="M2502" s="7">
        <v>40</v>
      </c>
      <c r="N2502" s="7">
        <v>90</v>
      </c>
      <c r="O2502" s="7">
        <f t="shared" si="193"/>
        <v>82.677165354330711</v>
      </c>
      <c r="P2502" s="7">
        <f t="shared" si="194"/>
        <v>1.5748031496062993</v>
      </c>
      <c r="Q2502" s="7">
        <f t="shared" si="194"/>
        <v>3.5433070866141736</v>
      </c>
      <c r="R2502" s="6">
        <f t="shared" si="195"/>
        <v>911.34400000000005</v>
      </c>
      <c r="S2502" s="6">
        <f t="shared" si="196"/>
        <v>7.5600000000000007E-3</v>
      </c>
      <c r="T2502" t="str">
        <f t="shared" si="197"/>
        <v>Maximo Thermo Ash S4S E4E 2x4 Short</v>
      </c>
    </row>
    <row r="2503" spans="1:20" x14ac:dyDescent="0.25">
      <c r="A2503" t="s">
        <v>3063</v>
      </c>
      <c r="B2503" t="s">
        <v>3230</v>
      </c>
      <c r="C2503" t="s">
        <v>283</v>
      </c>
      <c r="D2503" t="s">
        <v>3044</v>
      </c>
      <c r="E2503" t="s">
        <v>3245</v>
      </c>
      <c r="F2503" t="s">
        <v>3232</v>
      </c>
      <c r="G2503" t="s">
        <v>3068</v>
      </c>
      <c r="H2503" t="s">
        <v>373</v>
      </c>
      <c r="I2503" t="s">
        <v>289</v>
      </c>
      <c r="J2503" t="s">
        <v>796</v>
      </c>
      <c r="K2503">
        <v>8</v>
      </c>
      <c r="L2503" s="6">
        <v>2.4</v>
      </c>
      <c r="M2503" s="7">
        <v>40</v>
      </c>
      <c r="N2503" s="7">
        <v>90</v>
      </c>
      <c r="O2503" s="7">
        <f t="shared" si="193"/>
        <v>94.488188976377955</v>
      </c>
      <c r="P2503" s="7">
        <f t="shared" si="194"/>
        <v>1.5748031496062993</v>
      </c>
      <c r="Q2503" s="7">
        <f t="shared" si="194"/>
        <v>3.5433070866141736</v>
      </c>
      <c r="R2503" s="6">
        <f t="shared" si="195"/>
        <v>911.34400000000005</v>
      </c>
      <c r="S2503" s="6">
        <f t="shared" si="196"/>
        <v>8.6400000000000001E-3</v>
      </c>
      <c r="T2503" t="str">
        <f t="shared" si="197"/>
        <v>Maximo Thermo Ash S4S E4E 2x4 Long</v>
      </c>
    </row>
    <row r="2504" spans="1:20" x14ac:dyDescent="0.25">
      <c r="A2504" t="s">
        <v>3063</v>
      </c>
      <c r="B2504" t="s">
        <v>3230</v>
      </c>
      <c r="C2504" t="s">
        <v>283</v>
      </c>
      <c r="D2504" t="s">
        <v>3044</v>
      </c>
      <c r="E2504" t="s">
        <v>3246</v>
      </c>
      <c r="F2504" t="s">
        <v>3232</v>
      </c>
      <c r="G2504" t="s">
        <v>3068</v>
      </c>
      <c r="H2504" t="s">
        <v>373</v>
      </c>
      <c r="I2504" t="s">
        <v>289</v>
      </c>
      <c r="J2504" t="s">
        <v>796</v>
      </c>
      <c r="K2504">
        <v>9</v>
      </c>
      <c r="L2504" s="6">
        <v>2.7</v>
      </c>
      <c r="M2504" s="7">
        <v>40</v>
      </c>
      <c r="N2504" s="7">
        <v>90</v>
      </c>
      <c r="O2504" s="7">
        <f t="shared" si="193"/>
        <v>106.29921259842521</v>
      </c>
      <c r="P2504" s="7">
        <f t="shared" si="194"/>
        <v>1.5748031496062993</v>
      </c>
      <c r="Q2504" s="7">
        <f t="shared" si="194"/>
        <v>3.5433070866141736</v>
      </c>
      <c r="R2504" s="6">
        <f t="shared" si="195"/>
        <v>911.34400000000005</v>
      </c>
      <c r="S2504" s="6">
        <f t="shared" si="196"/>
        <v>9.7200000000000012E-3</v>
      </c>
      <c r="T2504" t="str">
        <f t="shared" si="197"/>
        <v>Maximo Thermo Ash S4S E4E 2x4 Long</v>
      </c>
    </row>
    <row r="2505" spans="1:20" x14ac:dyDescent="0.25">
      <c r="A2505" t="s">
        <v>3063</v>
      </c>
      <c r="B2505" t="s">
        <v>3247</v>
      </c>
      <c r="C2505" t="s">
        <v>283</v>
      </c>
      <c r="D2505" t="s">
        <v>3044</v>
      </c>
      <c r="E2505" t="s">
        <v>3248</v>
      </c>
      <c r="F2505" t="s">
        <v>3249</v>
      </c>
      <c r="G2505" t="s">
        <v>3068</v>
      </c>
      <c r="H2505" t="s">
        <v>373</v>
      </c>
      <c r="I2505" t="s">
        <v>289</v>
      </c>
      <c r="J2505" t="s">
        <v>3250</v>
      </c>
      <c r="K2505">
        <v>10</v>
      </c>
      <c r="L2505" s="6">
        <v>3</v>
      </c>
      <c r="M2505" s="7">
        <v>40</v>
      </c>
      <c r="N2505" s="7">
        <v>130</v>
      </c>
      <c r="O2505" s="7">
        <f t="shared" si="193"/>
        <v>118.11023622047244</v>
      </c>
      <c r="P2505" s="7">
        <f t="shared" si="194"/>
        <v>1.5748031496062993</v>
      </c>
      <c r="Q2505" s="7">
        <f t="shared" si="194"/>
        <v>5.1181102362204731</v>
      </c>
      <c r="R2505" s="6">
        <f t="shared" si="195"/>
        <v>630.93100000000004</v>
      </c>
      <c r="S2505" s="6">
        <f t="shared" si="196"/>
        <v>1.5599999999999999E-2</v>
      </c>
      <c r="T2505" t="str">
        <f t="shared" si="197"/>
        <v>Maximo Thermo Ash S4S E4E 2x5 1/4 Long</v>
      </c>
    </row>
    <row r="2506" spans="1:20" x14ac:dyDescent="0.25">
      <c r="A2506" t="s">
        <v>3063</v>
      </c>
      <c r="B2506" t="s">
        <v>3247</v>
      </c>
      <c r="C2506" t="s">
        <v>283</v>
      </c>
      <c r="D2506" t="s">
        <v>3044</v>
      </c>
      <c r="E2506" t="s">
        <v>3251</v>
      </c>
      <c r="F2506" t="s">
        <v>3249</v>
      </c>
      <c r="G2506" t="s">
        <v>3068</v>
      </c>
      <c r="H2506" t="s">
        <v>373</v>
      </c>
      <c r="I2506" t="s">
        <v>289</v>
      </c>
      <c r="J2506" t="s">
        <v>3250</v>
      </c>
      <c r="K2506">
        <v>11</v>
      </c>
      <c r="L2506" s="6">
        <v>3.3</v>
      </c>
      <c r="M2506" s="7">
        <v>40</v>
      </c>
      <c r="N2506" s="7">
        <v>130</v>
      </c>
      <c r="O2506" s="7">
        <f t="shared" si="193"/>
        <v>129.92125984251967</v>
      </c>
      <c r="P2506" s="7">
        <f t="shared" si="194"/>
        <v>1.5748031496062993</v>
      </c>
      <c r="Q2506" s="7">
        <f t="shared" si="194"/>
        <v>5.1181102362204731</v>
      </c>
      <c r="R2506" s="6">
        <f t="shared" si="195"/>
        <v>630.93100000000004</v>
      </c>
      <c r="S2506" s="6">
        <f t="shared" si="196"/>
        <v>1.7160000000000002E-2</v>
      </c>
      <c r="T2506" t="str">
        <f t="shared" si="197"/>
        <v>Maximo Thermo Ash S4S E4E 2x5 1/4 Long</v>
      </c>
    </row>
    <row r="2507" spans="1:20" x14ac:dyDescent="0.25">
      <c r="A2507" t="s">
        <v>3063</v>
      </c>
      <c r="B2507" t="s">
        <v>3247</v>
      </c>
      <c r="C2507" t="s">
        <v>283</v>
      </c>
      <c r="D2507" t="s">
        <v>3044</v>
      </c>
      <c r="E2507" t="s">
        <v>3252</v>
      </c>
      <c r="F2507" t="s">
        <v>3249</v>
      </c>
      <c r="G2507" t="s">
        <v>3068</v>
      </c>
      <c r="H2507" t="s">
        <v>373</v>
      </c>
      <c r="I2507" t="s">
        <v>289</v>
      </c>
      <c r="J2507" t="s">
        <v>3250</v>
      </c>
      <c r="K2507">
        <v>12</v>
      </c>
      <c r="L2507" s="6">
        <v>3.6</v>
      </c>
      <c r="M2507" s="7">
        <v>40</v>
      </c>
      <c r="N2507" s="7">
        <v>130</v>
      </c>
      <c r="O2507" s="7">
        <f t="shared" si="193"/>
        <v>141.73228346456693</v>
      </c>
      <c r="P2507" s="7">
        <f t="shared" si="194"/>
        <v>1.5748031496062993</v>
      </c>
      <c r="Q2507" s="7">
        <f t="shared" si="194"/>
        <v>5.1181102362204731</v>
      </c>
      <c r="R2507" s="6">
        <f t="shared" si="195"/>
        <v>630.93100000000004</v>
      </c>
      <c r="S2507" s="6">
        <f t="shared" si="196"/>
        <v>1.8720000000000001E-2</v>
      </c>
      <c r="T2507" t="str">
        <f t="shared" si="197"/>
        <v>Maximo Thermo Ash S4S E4E 2x5 1/4 Long</v>
      </c>
    </row>
    <row r="2508" spans="1:20" x14ac:dyDescent="0.25">
      <c r="A2508" t="s">
        <v>3063</v>
      </c>
      <c r="B2508" t="s">
        <v>3247</v>
      </c>
      <c r="C2508" t="s">
        <v>283</v>
      </c>
      <c r="D2508" t="s">
        <v>3044</v>
      </c>
      <c r="E2508" t="s">
        <v>3253</v>
      </c>
      <c r="F2508" t="s">
        <v>3249</v>
      </c>
      <c r="G2508" t="s">
        <v>3068</v>
      </c>
      <c r="H2508" t="s">
        <v>373</v>
      </c>
      <c r="I2508" t="s">
        <v>289</v>
      </c>
      <c r="J2508" t="s">
        <v>3250</v>
      </c>
      <c r="K2508">
        <v>13</v>
      </c>
      <c r="L2508" s="6">
        <v>3.9</v>
      </c>
      <c r="M2508" s="7">
        <v>40</v>
      </c>
      <c r="N2508" s="7">
        <v>130</v>
      </c>
      <c r="O2508" s="7">
        <f t="shared" si="193"/>
        <v>153.54330708661416</v>
      </c>
      <c r="P2508" s="7">
        <f t="shared" si="194"/>
        <v>1.5748031496062993</v>
      </c>
      <c r="Q2508" s="7">
        <f t="shared" si="194"/>
        <v>5.1181102362204731</v>
      </c>
      <c r="R2508" s="6">
        <f t="shared" si="195"/>
        <v>630.93100000000004</v>
      </c>
      <c r="S2508" s="6">
        <f t="shared" si="196"/>
        <v>2.0279999999999999E-2</v>
      </c>
      <c r="T2508" t="str">
        <f t="shared" si="197"/>
        <v>Maximo Thermo Ash S4S E4E 2x5 1/4 Long</v>
      </c>
    </row>
    <row r="2509" spans="1:20" x14ac:dyDescent="0.25">
      <c r="A2509" t="s">
        <v>3063</v>
      </c>
      <c r="B2509" t="s">
        <v>3247</v>
      </c>
      <c r="C2509" t="s">
        <v>283</v>
      </c>
      <c r="D2509" t="s">
        <v>3044</v>
      </c>
      <c r="E2509" t="s">
        <v>3254</v>
      </c>
      <c r="F2509" t="s">
        <v>3249</v>
      </c>
      <c r="G2509" t="s">
        <v>3068</v>
      </c>
      <c r="H2509" t="s">
        <v>373</v>
      </c>
      <c r="I2509" t="s">
        <v>289</v>
      </c>
      <c r="J2509" t="s">
        <v>3250</v>
      </c>
      <c r="K2509">
        <v>14</v>
      </c>
      <c r="L2509" s="6">
        <v>4.2</v>
      </c>
      <c r="M2509" s="7">
        <v>40</v>
      </c>
      <c r="N2509" s="7">
        <v>130</v>
      </c>
      <c r="O2509" s="7">
        <f t="shared" si="193"/>
        <v>165.35433070866142</v>
      </c>
      <c r="P2509" s="7">
        <f t="shared" si="194"/>
        <v>1.5748031496062993</v>
      </c>
      <c r="Q2509" s="7">
        <f t="shared" si="194"/>
        <v>5.1181102362204731</v>
      </c>
      <c r="R2509" s="6">
        <f t="shared" si="195"/>
        <v>630.93100000000004</v>
      </c>
      <c r="S2509" s="6">
        <f t="shared" si="196"/>
        <v>2.1839999999999998E-2</v>
      </c>
      <c r="T2509" t="str">
        <f t="shared" si="197"/>
        <v>Maximo Thermo Ash S4S E4E 2x5 1/4 Long</v>
      </c>
    </row>
    <row r="2510" spans="1:20" x14ac:dyDescent="0.25">
      <c r="A2510" t="s">
        <v>3063</v>
      </c>
      <c r="B2510" t="s">
        <v>3247</v>
      </c>
      <c r="C2510" t="s">
        <v>283</v>
      </c>
      <c r="D2510" t="s">
        <v>3044</v>
      </c>
      <c r="E2510" t="s">
        <v>3255</v>
      </c>
      <c r="F2510" t="s">
        <v>3249</v>
      </c>
      <c r="G2510" t="s">
        <v>3068</v>
      </c>
      <c r="H2510" t="s">
        <v>373</v>
      </c>
      <c r="I2510" t="s">
        <v>289</v>
      </c>
      <c r="J2510" t="s">
        <v>3250</v>
      </c>
      <c r="K2510">
        <v>15</v>
      </c>
      <c r="L2510" s="6">
        <v>4.5</v>
      </c>
      <c r="M2510" s="7">
        <v>40</v>
      </c>
      <c r="N2510" s="7">
        <v>130</v>
      </c>
      <c r="O2510" s="7">
        <f t="shared" si="193"/>
        <v>177.16535433070868</v>
      </c>
      <c r="P2510" s="7">
        <f t="shared" si="194"/>
        <v>1.5748031496062993</v>
      </c>
      <c r="Q2510" s="7">
        <f t="shared" si="194"/>
        <v>5.1181102362204731</v>
      </c>
      <c r="R2510" s="6">
        <f t="shared" si="195"/>
        <v>630.93100000000004</v>
      </c>
      <c r="S2510" s="6">
        <f t="shared" si="196"/>
        <v>2.3399999999999997E-2</v>
      </c>
      <c r="T2510" t="str">
        <f t="shared" si="197"/>
        <v>Maximo Thermo Ash S4S E4E 2x5 1/4 Long</v>
      </c>
    </row>
    <row r="2511" spans="1:20" x14ac:dyDescent="0.25">
      <c r="A2511" t="s">
        <v>3063</v>
      </c>
      <c r="B2511" t="s">
        <v>3247</v>
      </c>
      <c r="C2511" t="s">
        <v>283</v>
      </c>
      <c r="D2511" t="s">
        <v>3044</v>
      </c>
      <c r="E2511" t="s">
        <v>3256</v>
      </c>
      <c r="F2511" t="s">
        <v>3249</v>
      </c>
      <c r="G2511" t="s">
        <v>3068</v>
      </c>
      <c r="H2511" t="s">
        <v>373</v>
      </c>
      <c r="I2511" t="s">
        <v>289</v>
      </c>
      <c r="J2511" t="s">
        <v>3250</v>
      </c>
      <c r="K2511">
        <v>16</v>
      </c>
      <c r="L2511" s="6">
        <v>4.8</v>
      </c>
      <c r="M2511" s="7">
        <v>40</v>
      </c>
      <c r="N2511" s="7">
        <v>130</v>
      </c>
      <c r="O2511" s="7">
        <f t="shared" si="193"/>
        <v>188.97637795275591</v>
      </c>
      <c r="P2511" s="7">
        <f t="shared" si="194"/>
        <v>1.5748031496062993</v>
      </c>
      <c r="Q2511" s="7">
        <f t="shared" si="194"/>
        <v>5.1181102362204731</v>
      </c>
      <c r="R2511" s="6">
        <f t="shared" si="195"/>
        <v>630.93100000000004</v>
      </c>
      <c r="S2511" s="6">
        <f t="shared" si="196"/>
        <v>2.496E-2</v>
      </c>
      <c r="T2511" t="str">
        <f t="shared" si="197"/>
        <v>Maximo Thermo Ash S4S E4E 2x5 1/4 Long</v>
      </c>
    </row>
    <row r="2512" spans="1:20" x14ac:dyDescent="0.25">
      <c r="A2512" t="s">
        <v>3063</v>
      </c>
      <c r="B2512" t="s">
        <v>3247</v>
      </c>
      <c r="C2512" t="s">
        <v>283</v>
      </c>
      <c r="D2512" t="s">
        <v>3044</v>
      </c>
      <c r="E2512" t="s">
        <v>3257</v>
      </c>
      <c r="F2512" t="s">
        <v>3249</v>
      </c>
      <c r="G2512" t="s">
        <v>3068</v>
      </c>
      <c r="H2512" t="s">
        <v>373</v>
      </c>
      <c r="I2512" t="s">
        <v>289</v>
      </c>
      <c r="J2512" t="s">
        <v>3250</v>
      </c>
      <c r="K2512">
        <v>17</v>
      </c>
      <c r="L2512" s="6">
        <v>5.0999999999999996</v>
      </c>
      <c r="M2512" s="7">
        <v>40</v>
      </c>
      <c r="N2512" s="7">
        <v>130</v>
      </c>
      <c r="O2512" s="7">
        <f t="shared" si="193"/>
        <v>200.78740157480314</v>
      </c>
      <c r="P2512" s="7">
        <f t="shared" si="194"/>
        <v>1.5748031496062993</v>
      </c>
      <c r="Q2512" s="7">
        <f t="shared" si="194"/>
        <v>5.1181102362204731</v>
      </c>
      <c r="R2512" s="6">
        <f t="shared" si="195"/>
        <v>630.93100000000004</v>
      </c>
      <c r="S2512" s="6">
        <f t="shared" si="196"/>
        <v>2.6519999999999998E-2</v>
      </c>
      <c r="T2512" t="str">
        <f t="shared" si="197"/>
        <v>Maximo Thermo Ash S4S E4E 2x5 1/4 Long</v>
      </c>
    </row>
    <row r="2513" spans="1:20" x14ac:dyDescent="0.25">
      <c r="A2513" t="s">
        <v>3063</v>
      </c>
      <c r="B2513" t="s">
        <v>3247</v>
      </c>
      <c r="C2513" t="s">
        <v>283</v>
      </c>
      <c r="D2513" t="s">
        <v>3044</v>
      </c>
      <c r="E2513" t="s">
        <v>3258</v>
      </c>
      <c r="F2513" t="s">
        <v>3249</v>
      </c>
      <c r="G2513" t="s">
        <v>3068</v>
      </c>
      <c r="H2513" t="s">
        <v>373</v>
      </c>
      <c r="I2513" t="s">
        <v>289</v>
      </c>
      <c r="J2513" t="s">
        <v>3250</v>
      </c>
      <c r="K2513">
        <v>18</v>
      </c>
      <c r="L2513" s="6">
        <v>5.4</v>
      </c>
      <c r="M2513" s="7">
        <v>40</v>
      </c>
      <c r="N2513" s="7">
        <v>130</v>
      </c>
      <c r="O2513" s="7">
        <f t="shared" si="193"/>
        <v>212.59842519685043</v>
      </c>
      <c r="P2513" s="7">
        <f t="shared" si="194"/>
        <v>1.5748031496062993</v>
      </c>
      <c r="Q2513" s="7">
        <f t="shared" si="194"/>
        <v>5.1181102362204731</v>
      </c>
      <c r="R2513" s="6">
        <f t="shared" si="195"/>
        <v>630.93100000000004</v>
      </c>
      <c r="S2513" s="6">
        <f t="shared" si="196"/>
        <v>2.8079999999999997E-2</v>
      </c>
      <c r="T2513" t="str">
        <f t="shared" si="197"/>
        <v>Maximo Thermo Ash S4S E4E 2x5 1/4 Long</v>
      </c>
    </row>
    <row r="2514" spans="1:20" x14ac:dyDescent="0.25">
      <c r="A2514" t="s">
        <v>3063</v>
      </c>
      <c r="B2514" t="s">
        <v>3247</v>
      </c>
      <c r="C2514" t="s">
        <v>524</v>
      </c>
      <c r="D2514" t="s">
        <v>3044</v>
      </c>
      <c r="E2514" t="s">
        <v>3259</v>
      </c>
      <c r="F2514" t="s">
        <v>3249</v>
      </c>
      <c r="G2514" t="s">
        <v>3068</v>
      </c>
      <c r="H2514" t="s">
        <v>373</v>
      </c>
      <c r="I2514" t="s">
        <v>289</v>
      </c>
      <c r="J2514" t="s">
        <v>3250</v>
      </c>
      <c r="K2514">
        <v>4</v>
      </c>
      <c r="L2514" s="6">
        <v>1.2</v>
      </c>
      <c r="M2514" s="7">
        <v>40</v>
      </c>
      <c r="N2514" s="7">
        <v>130</v>
      </c>
      <c r="O2514" s="7">
        <f t="shared" si="193"/>
        <v>47.244094488188978</v>
      </c>
      <c r="P2514" s="7">
        <f t="shared" si="194"/>
        <v>1.5748031496062993</v>
      </c>
      <c r="Q2514" s="7">
        <f t="shared" si="194"/>
        <v>5.1181102362204731</v>
      </c>
      <c r="R2514" s="6">
        <f t="shared" si="195"/>
        <v>630.93100000000004</v>
      </c>
      <c r="S2514" s="6">
        <f t="shared" si="196"/>
        <v>6.2399999999999999E-3</v>
      </c>
      <c r="T2514" t="str">
        <f t="shared" si="197"/>
        <v>Maximo Thermo Ash S4S E4E 2x5 1/4 Short</v>
      </c>
    </row>
    <row r="2515" spans="1:20" x14ac:dyDescent="0.25">
      <c r="A2515" t="s">
        <v>3063</v>
      </c>
      <c r="B2515" t="s">
        <v>3247</v>
      </c>
      <c r="C2515" t="s">
        <v>524</v>
      </c>
      <c r="D2515" t="s">
        <v>3044</v>
      </c>
      <c r="E2515" t="s">
        <v>3260</v>
      </c>
      <c r="F2515" t="s">
        <v>3249</v>
      </c>
      <c r="G2515" t="s">
        <v>3068</v>
      </c>
      <c r="H2515" t="s">
        <v>373</v>
      </c>
      <c r="I2515" t="s">
        <v>289</v>
      </c>
      <c r="J2515" t="s">
        <v>3250</v>
      </c>
      <c r="K2515">
        <v>5</v>
      </c>
      <c r="L2515" s="6">
        <v>1.5</v>
      </c>
      <c r="M2515" s="7">
        <v>40</v>
      </c>
      <c r="N2515" s="7">
        <v>130</v>
      </c>
      <c r="O2515" s="7">
        <f t="shared" si="193"/>
        <v>59.055118110236222</v>
      </c>
      <c r="P2515" s="7">
        <f t="shared" si="194"/>
        <v>1.5748031496062993</v>
      </c>
      <c r="Q2515" s="7">
        <f t="shared" si="194"/>
        <v>5.1181102362204731</v>
      </c>
      <c r="R2515" s="6">
        <f t="shared" si="195"/>
        <v>630.93100000000004</v>
      </c>
      <c r="S2515" s="6">
        <f t="shared" si="196"/>
        <v>7.7999999999999996E-3</v>
      </c>
      <c r="T2515" t="str">
        <f t="shared" si="197"/>
        <v>Maximo Thermo Ash S4S E4E 2x5 1/4 Short</v>
      </c>
    </row>
    <row r="2516" spans="1:20" x14ac:dyDescent="0.25">
      <c r="A2516" t="s">
        <v>3063</v>
      </c>
      <c r="B2516" t="s">
        <v>3247</v>
      </c>
      <c r="C2516" t="s">
        <v>524</v>
      </c>
      <c r="D2516" t="s">
        <v>3044</v>
      </c>
      <c r="E2516" t="s">
        <v>3261</v>
      </c>
      <c r="F2516" t="s">
        <v>3249</v>
      </c>
      <c r="G2516" t="s">
        <v>3068</v>
      </c>
      <c r="H2516" t="s">
        <v>373</v>
      </c>
      <c r="I2516" t="s">
        <v>289</v>
      </c>
      <c r="J2516" t="s">
        <v>3250</v>
      </c>
      <c r="K2516">
        <v>6</v>
      </c>
      <c r="L2516" s="6">
        <v>1.8</v>
      </c>
      <c r="M2516" s="7">
        <v>40</v>
      </c>
      <c r="N2516" s="7">
        <v>130</v>
      </c>
      <c r="O2516" s="7">
        <f t="shared" si="193"/>
        <v>70.866141732283467</v>
      </c>
      <c r="P2516" s="7">
        <f t="shared" si="194"/>
        <v>1.5748031496062993</v>
      </c>
      <c r="Q2516" s="7">
        <f t="shared" si="194"/>
        <v>5.1181102362204731</v>
      </c>
      <c r="R2516" s="6">
        <f t="shared" si="195"/>
        <v>630.93100000000004</v>
      </c>
      <c r="S2516" s="6">
        <f t="shared" si="196"/>
        <v>9.3600000000000003E-3</v>
      </c>
      <c r="T2516" t="str">
        <f t="shared" si="197"/>
        <v>Maximo Thermo Ash S4S E4E 2x5 1/4 Short</v>
      </c>
    </row>
    <row r="2517" spans="1:20" x14ac:dyDescent="0.25">
      <c r="A2517" t="s">
        <v>3063</v>
      </c>
      <c r="B2517" t="s">
        <v>3247</v>
      </c>
      <c r="C2517" t="s">
        <v>524</v>
      </c>
      <c r="D2517" t="s">
        <v>3044</v>
      </c>
      <c r="E2517" t="s">
        <v>3262</v>
      </c>
      <c r="F2517" t="s">
        <v>3249</v>
      </c>
      <c r="G2517" t="s">
        <v>3068</v>
      </c>
      <c r="H2517" t="s">
        <v>373</v>
      </c>
      <c r="I2517" t="s">
        <v>289</v>
      </c>
      <c r="J2517" t="s">
        <v>3250</v>
      </c>
      <c r="K2517">
        <v>7</v>
      </c>
      <c r="L2517" s="6">
        <v>2.1</v>
      </c>
      <c r="M2517" s="7">
        <v>40</v>
      </c>
      <c r="N2517" s="7">
        <v>130</v>
      </c>
      <c r="O2517" s="7">
        <f t="shared" si="193"/>
        <v>82.677165354330711</v>
      </c>
      <c r="P2517" s="7">
        <f t="shared" si="194"/>
        <v>1.5748031496062993</v>
      </c>
      <c r="Q2517" s="7">
        <f t="shared" si="194"/>
        <v>5.1181102362204731</v>
      </c>
      <c r="R2517" s="6">
        <f t="shared" si="195"/>
        <v>630.93100000000004</v>
      </c>
      <c r="S2517" s="6">
        <f t="shared" si="196"/>
        <v>1.0919999999999999E-2</v>
      </c>
      <c r="T2517" t="str">
        <f t="shared" si="197"/>
        <v>Maximo Thermo Ash S4S E4E 2x5 1/4 Short</v>
      </c>
    </row>
    <row r="2518" spans="1:20" x14ac:dyDescent="0.25">
      <c r="A2518" t="s">
        <v>3063</v>
      </c>
      <c r="B2518" t="s">
        <v>3247</v>
      </c>
      <c r="C2518" t="s">
        <v>283</v>
      </c>
      <c r="D2518" t="s">
        <v>3044</v>
      </c>
      <c r="E2518" t="s">
        <v>3263</v>
      </c>
      <c r="F2518" t="s">
        <v>3249</v>
      </c>
      <c r="G2518" t="s">
        <v>3068</v>
      </c>
      <c r="H2518" t="s">
        <v>373</v>
      </c>
      <c r="I2518" t="s">
        <v>289</v>
      </c>
      <c r="J2518" t="s">
        <v>3250</v>
      </c>
      <c r="K2518">
        <v>8</v>
      </c>
      <c r="L2518" s="6">
        <v>2.4</v>
      </c>
      <c r="M2518" s="7">
        <v>40</v>
      </c>
      <c r="N2518" s="7">
        <v>130</v>
      </c>
      <c r="O2518" s="7">
        <f t="shared" si="193"/>
        <v>94.488188976377955</v>
      </c>
      <c r="P2518" s="7">
        <f t="shared" si="194"/>
        <v>1.5748031496062993</v>
      </c>
      <c r="Q2518" s="7">
        <f t="shared" si="194"/>
        <v>5.1181102362204731</v>
      </c>
      <c r="R2518" s="6">
        <f t="shared" si="195"/>
        <v>630.93100000000004</v>
      </c>
      <c r="S2518" s="6">
        <f t="shared" si="196"/>
        <v>1.248E-2</v>
      </c>
      <c r="T2518" t="str">
        <f t="shared" si="197"/>
        <v>Maximo Thermo Ash S4S E4E 2x5 1/4 Long</v>
      </c>
    </row>
    <row r="2519" spans="1:20" x14ac:dyDescent="0.25">
      <c r="A2519" t="s">
        <v>3063</v>
      </c>
      <c r="B2519" t="s">
        <v>3247</v>
      </c>
      <c r="C2519" t="s">
        <v>283</v>
      </c>
      <c r="D2519" t="s">
        <v>3044</v>
      </c>
      <c r="E2519" t="s">
        <v>3264</v>
      </c>
      <c r="F2519" t="s">
        <v>3249</v>
      </c>
      <c r="G2519" t="s">
        <v>3068</v>
      </c>
      <c r="H2519" t="s">
        <v>373</v>
      </c>
      <c r="I2519" t="s">
        <v>289</v>
      </c>
      <c r="J2519" t="s">
        <v>3250</v>
      </c>
      <c r="K2519">
        <v>9</v>
      </c>
      <c r="L2519" s="6">
        <v>2.7</v>
      </c>
      <c r="M2519" s="7">
        <v>40</v>
      </c>
      <c r="N2519" s="7">
        <v>130</v>
      </c>
      <c r="O2519" s="7">
        <f t="shared" si="193"/>
        <v>106.29921259842521</v>
      </c>
      <c r="P2519" s="7">
        <f t="shared" si="194"/>
        <v>1.5748031496062993</v>
      </c>
      <c r="Q2519" s="7">
        <f t="shared" si="194"/>
        <v>5.1181102362204731</v>
      </c>
      <c r="R2519" s="6">
        <f t="shared" si="195"/>
        <v>630.93100000000004</v>
      </c>
      <c r="S2519" s="6">
        <f t="shared" si="196"/>
        <v>1.4039999999999999E-2</v>
      </c>
      <c r="T2519" t="str">
        <f t="shared" si="197"/>
        <v>Maximo Thermo Ash S4S E4E 2x5 1/4 Long</v>
      </c>
    </row>
    <row r="2520" spans="1:20" x14ac:dyDescent="0.25">
      <c r="A2520" t="s">
        <v>3063</v>
      </c>
      <c r="B2520" t="s">
        <v>3265</v>
      </c>
      <c r="C2520" t="s">
        <v>283</v>
      </c>
      <c r="D2520" t="s">
        <v>3044</v>
      </c>
      <c r="E2520" t="s">
        <v>3266</v>
      </c>
      <c r="F2520" t="s">
        <v>3267</v>
      </c>
      <c r="G2520" t="s">
        <v>3068</v>
      </c>
      <c r="H2520" t="s">
        <v>373</v>
      </c>
      <c r="I2520" t="s">
        <v>289</v>
      </c>
      <c r="J2520" t="s">
        <v>821</v>
      </c>
      <c r="K2520">
        <v>10</v>
      </c>
      <c r="L2520" s="6">
        <v>3</v>
      </c>
      <c r="M2520" s="7">
        <v>40</v>
      </c>
      <c r="N2520" s="7">
        <v>140</v>
      </c>
      <c r="O2520" s="7">
        <f t="shared" si="193"/>
        <v>118.11023622047244</v>
      </c>
      <c r="P2520" s="7">
        <f t="shared" si="194"/>
        <v>1.5748031496062993</v>
      </c>
      <c r="Q2520" s="7">
        <f t="shared" si="194"/>
        <v>5.5118110236220472</v>
      </c>
      <c r="R2520" s="6">
        <f t="shared" si="195"/>
        <v>585.86400000000003</v>
      </c>
      <c r="S2520" s="6">
        <f t="shared" si="196"/>
        <v>1.6800000000000002E-2</v>
      </c>
      <c r="T2520" t="str">
        <f t="shared" si="197"/>
        <v>Maximo Thermo Ash S4S E4E 2x6 Long</v>
      </c>
    </row>
    <row r="2521" spans="1:20" x14ac:dyDescent="0.25">
      <c r="A2521" t="s">
        <v>3063</v>
      </c>
      <c r="B2521" t="s">
        <v>3265</v>
      </c>
      <c r="C2521" t="s">
        <v>283</v>
      </c>
      <c r="D2521" t="s">
        <v>3044</v>
      </c>
      <c r="E2521" t="s">
        <v>3268</v>
      </c>
      <c r="F2521" t="s">
        <v>3267</v>
      </c>
      <c r="G2521" t="s">
        <v>3068</v>
      </c>
      <c r="H2521" t="s">
        <v>373</v>
      </c>
      <c r="I2521" t="s">
        <v>289</v>
      </c>
      <c r="J2521" t="s">
        <v>821</v>
      </c>
      <c r="K2521">
        <v>11</v>
      </c>
      <c r="L2521" s="6">
        <v>3.3</v>
      </c>
      <c r="M2521" s="7">
        <v>40</v>
      </c>
      <c r="N2521" s="7">
        <v>140</v>
      </c>
      <c r="O2521" s="7">
        <f t="shared" si="193"/>
        <v>129.92125984251967</v>
      </c>
      <c r="P2521" s="7">
        <f t="shared" si="194"/>
        <v>1.5748031496062993</v>
      </c>
      <c r="Q2521" s="7">
        <f t="shared" si="194"/>
        <v>5.5118110236220472</v>
      </c>
      <c r="R2521" s="6">
        <f t="shared" si="195"/>
        <v>585.86400000000003</v>
      </c>
      <c r="S2521" s="6">
        <f t="shared" si="196"/>
        <v>1.848E-2</v>
      </c>
      <c r="T2521" t="str">
        <f t="shared" si="197"/>
        <v>Maximo Thermo Ash S4S E4E 2x6 Long</v>
      </c>
    </row>
    <row r="2522" spans="1:20" x14ac:dyDescent="0.25">
      <c r="A2522" t="s">
        <v>3063</v>
      </c>
      <c r="B2522" t="s">
        <v>3265</v>
      </c>
      <c r="C2522" t="s">
        <v>283</v>
      </c>
      <c r="D2522" t="s">
        <v>3044</v>
      </c>
      <c r="E2522" t="s">
        <v>3269</v>
      </c>
      <c r="F2522" t="s">
        <v>3267</v>
      </c>
      <c r="G2522" t="s">
        <v>3068</v>
      </c>
      <c r="H2522" t="s">
        <v>373</v>
      </c>
      <c r="I2522" t="s">
        <v>289</v>
      </c>
      <c r="J2522" t="s">
        <v>821</v>
      </c>
      <c r="K2522">
        <v>12</v>
      </c>
      <c r="L2522" s="6">
        <v>3.6</v>
      </c>
      <c r="M2522" s="7">
        <v>40</v>
      </c>
      <c r="N2522" s="7">
        <v>140</v>
      </c>
      <c r="O2522" s="7">
        <f t="shared" si="193"/>
        <v>141.73228346456693</v>
      </c>
      <c r="P2522" s="7">
        <f t="shared" si="194"/>
        <v>1.5748031496062993</v>
      </c>
      <c r="Q2522" s="7">
        <f t="shared" si="194"/>
        <v>5.5118110236220472</v>
      </c>
      <c r="R2522" s="6">
        <f t="shared" si="195"/>
        <v>585.86400000000003</v>
      </c>
      <c r="S2522" s="6">
        <f t="shared" si="196"/>
        <v>2.0160000000000001E-2</v>
      </c>
      <c r="T2522" t="str">
        <f t="shared" si="197"/>
        <v>Maximo Thermo Ash S4S E4E 2x6 Long</v>
      </c>
    </row>
    <row r="2523" spans="1:20" x14ac:dyDescent="0.25">
      <c r="A2523" t="s">
        <v>3063</v>
      </c>
      <c r="B2523" t="s">
        <v>3265</v>
      </c>
      <c r="C2523" t="s">
        <v>283</v>
      </c>
      <c r="D2523" t="s">
        <v>3044</v>
      </c>
      <c r="E2523" t="s">
        <v>3270</v>
      </c>
      <c r="F2523" t="s">
        <v>3267</v>
      </c>
      <c r="G2523" t="s">
        <v>3068</v>
      </c>
      <c r="H2523" t="s">
        <v>373</v>
      </c>
      <c r="I2523" t="s">
        <v>289</v>
      </c>
      <c r="J2523" t="s">
        <v>821</v>
      </c>
      <c r="K2523">
        <v>13</v>
      </c>
      <c r="L2523" s="6">
        <v>3.9</v>
      </c>
      <c r="M2523" s="7">
        <v>40</v>
      </c>
      <c r="N2523" s="7">
        <v>140</v>
      </c>
      <c r="O2523" s="7">
        <f t="shared" si="193"/>
        <v>153.54330708661416</v>
      </c>
      <c r="P2523" s="7">
        <f t="shared" si="194"/>
        <v>1.5748031496062993</v>
      </c>
      <c r="Q2523" s="7">
        <f t="shared" si="194"/>
        <v>5.5118110236220472</v>
      </c>
      <c r="R2523" s="6">
        <f t="shared" si="195"/>
        <v>585.86400000000003</v>
      </c>
      <c r="S2523" s="6">
        <f t="shared" si="196"/>
        <v>2.1839999999999998E-2</v>
      </c>
      <c r="T2523" t="str">
        <f t="shared" si="197"/>
        <v>Maximo Thermo Ash S4S E4E 2x6 Long</v>
      </c>
    </row>
    <row r="2524" spans="1:20" x14ac:dyDescent="0.25">
      <c r="A2524" t="s">
        <v>3063</v>
      </c>
      <c r="B2524" t="s">
        <v>3265</v>
      </c>
      <c r="C2524" t="s">
        <v>283</v>
      </c>
      <c r="D2524" t="s">
        <v>3044</v>
      </c>
      <c r="E2524" t="s">
        <v>3271</v>
      </c>
      <c r="F2524" t="s">
        <v>3267</v>
      </c>
      <c r="G2524" t="s">
        <v>3068</v>
      </c>
      <c r="H2524" t="s">
        <v>373</v>
      </c>
      <c r="I2524" t="s">
        <v>289</v>
      </c>
      <c r="J2524" t="s">
        <v>821</v>
      </c>
      <c r="K2524">
        <v>14</v>
      </c>
      <c r="L2524" s="6">
        <v>4.2</v>
      </c>
      <c r="M2524" s="7">
        <v>40</v>
      </c>
      <c r="N2524" s="7">
        <v>140</v>
      </c>
      <c r="O2524" s="7">
        <f t="shared" si="193"/>
        <v>165.35433070866142</v>
      </c>
      <c r="P2524" s="7">
        <f t="shared" si="194"/>
        <v>1.5748031496062993</v>
      </c>
      <c r="Q2524" s="7">
        <f t="shared" si="194"/>
        <v>5.5118110236220472</v>
      </c>
      <c r="R2524" s="6">
        <f t="shared" si="195"/>
        <v>585.86400000000003</v>
      </c>
      <c r="S2524" s="6">
        <f t="shared" si="196"/>
        <v>2.3520000000000003E-2</v>
      </c>
      <c r="T2524" t="str">
        <f t="shared" si="197"/>
        <v>Maximo Thermo Ash S4S E4E 2x6 Long</v>
      </c>
    </row>
    <row r="2525" spans="1:20" x14ac:dyDescent="0.25">
      <c r="A2525" t="s">
        <v>3063</v>
      </c>
      <c r="B2525" t="s">
        <v>3265</v>
      </c>
      <c r="C2525" t="s">
        <v>283</v>
      </c>
      <c r="D2525" t="s">
        <v>3044</v>
      </c>
      <c r="E2525" t="s">
        <v>3272</v>
      </c>
      <c r="F2525" t="s">
        <v>3267</v>
      </c>
      <c r="G2525" t="s">
        <v>3068</v>
      </c>
      <c r="H2525" t="s">
        <v>373</v>
      </c>
      <c r="I2525" t="s">
        <v>289</v>
      </c>
      <c r="J2525" t="s">
        <v>821</v>
      </c>
      <c r="K2525">
        <v>15</v>
      </c>
      <c r="L2525" s="6">
        <v>4.5</v>
      </c>
      <c r="M2525" s="7">
        <v>40</v>
      </c>
      <c r="N2525" s="7">
        <v>140</v>
      </c>
      <c r="O2525" s="7">
        <f t="shared" si="193"/>
        <v>177.16535433070868</v>
      </c>
      <c r="P2525" s="7">
        <f t="shared" si="194"/>
        <v>1.5748031496062993</v>
      </c>
      <c r="Q2525" s="7">
        <f t="shared" si="194"/>
        <v>5.5118110236220472</v>
      </c>
      <c r="R2525" s="6">
        <f t="shared" si="195"/>
        <v>585.86400000000003</v>
      </c>
      <c r="S2525" s="6">
        <f t="shared" si="196"/>
        <v>2.52E-2</v>
      </c>
      <c r="T2525" t="str">
        <f t="shared" si="197"/>
        <v>Maximo Thermo Ash S4S E4E 2x6 Long</v>
      </c>
    </row>
    <row r="2526" spans="1:20" x14ac:dyDescent="0.25">
      <c r="A2526" t="s">
        <v>3063</v>
      </c>
      <c r="B2526" t="s">
        <v>3265</v>
      </c>
      <c r="C2526" t="s">
        <v>283</v>
      </c>
      <c r="D2526" t="s">
        <v>3044</v>
      </c>
      <c r="E2526" t="s">
        <v>3273</v>
      </c>
      <c r="F2526" t="s">
        <v>3267</v>
      </c>
      <c r="G2526" t="s">
        <v>3068</v>
      </c>
      <c r="H2526" t="s">
        <v>373</v>
      </c>
      <c r="I2526" t="s">
        <v>289</v>
      </c>
      <c r="J2526" t="s">
        <v>821</v>
      </c>
      <c r="K2526">
        <v>16</v>
      </c>
      <c r="L2526" s="6">
        <v>4.8</v>
      </c>
      <c r="M2526" s="7">
        <v>40</v>
      </c>
      <c r="N2526" s="7">
        <v>140</v>
      </c>
      <c r="O2526" s="7">
        <f t="shared" si="193"/>
        <v>188.97637795275591</v>
      </c>
      <c r="P2526" s="7">
        <f t="shared" si="194"/>
        <v>1.5748031496062993</v>
      </c>
      <c r="Q2526" s="7">
        <f t="shared" si="194"/>
        <v>5.5118110236220472</v>
      </c>
      <c r="R2526" s="6">
        <f t="shared" si="195"/>
        <v>585.86400000000003</v>
      </c>
      <c r="S2526" s="6">
        <f t="shared" si="196"/>
        <v>2.6879999999999998E-2</v>
      </c>
      <c r="T2526" t="str">
        <f t="shared" si="197"/>
        <v>Maximo Thermo Ash S4S E4E 2x6 Long</v>
      </c>
    </row>
    <row r="2527" spans="1:20" x14ac:dyDescent="0.25">
      <c r="A2527" t="s">
        <v>3063</v>
      </c>
      <c r="B2527" t="s">
        <v>3265</v>
      </c>
      <c r="C2527" t="s">
        <v>283</v>
      </c>
      <c r="D2527" t="s">
        <v>3044</v>
      </c>
      <c r="E2527" t="s">
        <v>3274</v>
      </c>
      <c r="F2527" t="s">
        <v>3267</v>
      </c>
      <c r="G2527" t="s">
        <v>3068</v>
      </c>
      <c r="H2527" t="s">
        <v>373</v>
      </c>
      <c r="I2527" t="s">
        <v>289</v>
      </c>
      <c r="J2527" t="s">
        <v>821</v>
      </c>
      <c r="K2527">
        <v>17</v>
      </c>
      <c r="L2527" s="6">
        <v>5.0999999999999996</v>
      </c>
      <c r="M2527" s="7">
        <v>40</v>
      </c>
      <c r="N2527" s="7">
        <v>140</v>
      </c>
      <c r="O2527" s="7">
        <f t="shared" si="193"/>
        <v>200.78740157480314</v>
      </c>
      <c r="P2527" s="7">
        <f t="shared" si="194"/>
        <v>1.5748031496062993</v>
      </c>
      <c r="Q2527" s="7">
        <f t="shared" si="194"/>
        <v>5.5118110236220472</v>
      </c>
      <c r="R2527" s="6">
        <f t="shared" si="195"/>
        <v>585.86400000000003</v>
      </c>
      <c r="S2527" s="6">
        <f t="shared" si="196"/>
        <v>2.8559999999999999E-2</v>
      </c>
      <c r="T2527" t="str">
        <f t="shared" si="197"/>
        <v>Maximo Thermo Ash S4S E4E 2x6 Long</v>
      </c>
    </row>
    <row r="2528" spans="1:20" x14ac:dyDescent="0.25">
      <c r="A2528" t="s">
        <v>3063</v>
      </c>
      <c r="B2528" t="s">
        <v>3265</v>
      </c>
      <c r="C2528" t="s">
        <v>283</v>
      </c>
      <c r="D2528" t="s">
        <v>3044</v>
      </c>
      <c r="E2528" t="s">
        <v>3275</v>
      </c>
      <c r="F2528" t="s">
        <v>3267</v>
      </c>
      <c r="G2528" t="s">
        <v>3068</v>
      </c>
      <c r="H2528" t="s">
        <v>373</v>
      </c>
      <c r="I2528" t="s">
        <v>289</v>
      </c>
      <c r="J2528" t="s">
        <v>821</v>
      </c>
      <c r="K2528">
        <v>18</v>
      </c>
      <c r="L2528" s="6">
        <v>5.4</v>
      </c>
      <c r="M2528" s="7">
        <v>40</v>
      </c>
      <c r="N2528" s="7">
        <v>140</v>
      </c>
      <c r="O2528" s="7">
        <f t="shared" si="193"/>
        <v>212.59842519685043</v>
      </c>
      <c r="P2528" s="7">
        <f t="shared" si="194"/>
        <v>1.5748031496062993</v>
      </c>
      <c r="Q2528" s="7">
        <f t="shared" si="194"/>
        <v>5.5118110236220472</v>
      </c>
      <c r="R2528" s="6">
        <f t="shared" si="195"/>
        <v>585.86400000000003</v>
      </c>
      <c r="S2528" s="6">
        <f t="shared" si="196"/>
        <v>3.024E-2</v>
      </c>
      <c r="T2528" t="str">
        <f t="shared" si="197"/>
        <v>Maximo Thermo Ash S4S E4E 2x6 Long</v>
      </c>
    </row>
    <row r="2529" spans="1:20" x14ac:dyDescent="0.25">
      <c r="A2529" t="s">
        <v>3063</v>
      </c>
      <c r="B2529" t="s">
        <v>3265</v>
      </c>
      <c r="C2529" t="s">
        <v>524</v>
      </c>
      <c r="D2529" t="s">
        <v>3044</v>
      </c>
      <c r="E2529" t="s">
        <v>3276</v>
      </c>
      <c r="F2529" t="s">
        <v>3267</v>
      </c>
      <c r="G2529" t="s">
        <v>3068</v>
      </c>
      <c r="H2529" t="s">
        <v>373</v>
      </c>
      <c r="I2529" t="s">
        <v>289</v>
      </c>
      <c r="J2529" t="s">
        <v>821</v>
      </c>
      <c r="K2529">
        <v>4</v>
      </c>
      <c r="L2529" s="6">
        <v>1.2</v>
      </c>
      <c r="M2529" s="7">
        <v>40</v>
      </c>
      <c r="N2529" s="7">
        <v>140</v>
      </c>
      <c r="O2529" s="7">
        <f t="shared" si="193"/>
        <v>47.244094488188978</v>
      </c>
      <c r="P2529" s="7">
        <f t="shared" si="194"/>
        <v>1.5748031496062993</v>
      </c>
      <c r="Q2529" s="7">
        <f t="shared" si="194"/>
        <v>5.5118110236220472</v>
      </c>
      <c r="R2529" s="6">
        <f t="shared" si="195"/>
        <v>585.86400000000003</v>
      </c>
      <c r="S2529" s="6">
        <f t="shared" si="196"/>
        <v>6.7199999999999994E-3</v>
      </c>
      <c r="T2529" t="str">
        <f t="shared" si="197"/>
        <v>Maximo Thermo Ash S4S E4E 2x6 Short</v>
      </c>
    </row>
    <row r="2530" spans="1:20" x14ac:dyDescent="0.25">
      <c r="A2530" t="s">
        <v>3063</v>
      </c>
      <c r="B2530" t="s">
        <v>3265</v>
      </c>
      <c r="C2530" t="s">
        <v>524</v>
      </c>
      <c r="D2530" t="s">
        <v>3044</v>
      </c>
      <c r="E2530" t="s">
        <v>3277</v>
      </c>
      <c r="F2530" t="s">
        <v>3267</v>
      </c>
      <c r="G2530" t="s">
        <v>3068</v>
      </c>
      <c r="H2530" t="s">
        <v>373</v>
      </c>
      <c r="I2530" t="s">
        <v>289</v>
      </c>
      <c r="J2530" t="s">
        <v>821</v>
      </c>
      <c r="K2530">
        <v>5</v>
      </c>
      <c r="L2530" s="6">
        <v>1.5</v>
      </c>
      <c r="M2530" s="7">
        <v>40</v>
      </c>
      <c r="N2530" s="7">
        <v>140</v>
      </c>
      <c r="O2530" s="7">
        <f t="shared" si="193"/>
        <v>59.055118110236222</v>
      </c>
      <c r="P2530" s="7">
        <f t="shared" si="194"/>
        <v>1.5748031496062993</v>
      </c>
      <c r="Q2530" s="7">
        <f t="shared" si="194"/>
        <v>5.5118110236220472</v>
      </c>
      <c r="R2530" s="6">
        <f t="shared" si="195"/>
        <v>585.86400000000003</v>
      </c>
      <c r="S2530" s="6">
        <f t="shared" si="196"/>
        <v>8.4000000000000012E-3</v>
      </c>
      <c r="T2530" t="str">
        <f t="shared" si="197"/>
        <v>Maximo Thermo Ash S4S E4E 2x6 Short</v>
      </c>
    </row>
    <row r="2531" spans="1:20" x14ac:dyDescent="0.25">
      <c r="A2531" t="s">
        <v>3063</v>
      </c>
      <c r="B2531" t="s">
        <v>3265</v>
      </c>
      <c r="C2531" t="s">
        <v>524</v>
      </c>
      <c r="D2531" t="s">
        <v>3044</v>
      </c>
      <c r="E2531" t="s">
        <v>3278</v>
      </c>
      <c r="F2531" t="s">
        <v>3267</v>
      </c>
      <c r="G2531" t="s">
        <v>3068</v>
      </c>
      <c r="H2531" t="s">
        <v>373</v>
      </c>
      <c r="I2531" t="s">
        <v>289</v>
      </c>
      <c r="J2531" t="s">
        <v>821</v>
      </c>
      <c r="K2531">
        <v>6</v>
      </c>
      <c r="L2531" s="6">
        <v>1.8</v>
      </c>
      <c r="M2531" s="7">
        <v>40</v>
      </c>
      <c r="N2531" s="7">
        <v>140</v>
      </c>
      <c r="O2531" s="7">
        <f t="shared" si="193"/>
        <v>70.866141732283467</v>
      </c>
      <c r="P2531" s="7">
        <f t="shared" si="194"/>
        <v>1.5748031496062993</v>
      </c>
      <c r="Q2531" s="7">
        <f t="shared" si="194"/>
        <v>5.5118110236220472</v>
      </c>
      <c r="R2531" s="6">
        <f t="shared" si="195"/>
        <v>585.86400000000003</v>
      </c>
      <c r="S2531" s="6">
        <f t="shared" si="196"/>
        <v>1.008E-2</v>
      </c>
      <c r="T2531" t="str">
        <f t="shared" si="197"/>
        <v>Maximo Thermo Ash S4S E4E 2x6 Short</v>
      </c>
    </row>
    <row r="2532" spans="1:20" x14ac:dyDescent="0.25">
      <c r="A2532" t="s">
        <v>3063</v>
      </c>
      <c r="B2532" t="s">
        <v>3265</v>
      </c>
      <c r="C2532" t="s">
        <v>524</v>
      </c>
      <c r="D2532" t="s">
        <v>3044</v>
      </c>
      <c r="E2532" t="s">
        <v>3279</v>
      </c>
      <c r="F2532" t="s">
        <v>3267</v>
      </c>
      <c r="G2532" t="s">
        <v>3068</v>
      </c>
      <c r="H2532" t="s">
        <v>373</v>
      </c>
      <c r="I2532" t="s">
        <v>289</v>
      </c>
      <c r="J2532" t="s">
        <v>821</v>
      </c>
      <c r="K2532">
        <v>7</v>
      </c>
      <c r="L2532" s="6">
        <v>2.1</v>
      </c>
      <c r="M2532" s="7">
        <v>40</v>
      </c>
      <c r="N2532" s="7">
        <v>140</v>
      </c>
      <c r="O2532" s="7">
        <f t="shared" si="193"/>
        <v>82.677165354330711</v>
      </c>
      <c r="P2532" s="7">
        <f t="shared" si="194"/>
        <v>1.5748031496062993</v>
      </c>
      <c r="Q2532" s="7">
        <f t="shared" si="194"/>
        <v>5.5118110236220472</v>
      </c>
      <c r="R2532" s="6">
        <f t="shared" si="195"/>
        <v>585.86400000000003</v>
      </c>
      <c r="S2532" s="6">
        <f t="shared" si="196"/>
        <v>1.1760000000000001E-2</v>
      </c>
      <c r="T2532" t="str">
        <f t="shared" si="197"/>
        <v>Maximo Thermo Ash S4S E4E 2x6 Short</v>
      </c>
    </row>
    <row r="2533" spans="1:20" x14ac:dyDescent="0.25">
      <c r="A2533" t="s">
        <v>3063</v>
      </c>
      <c r="B2533" t="s">
        <v>3265</v>
      </c>
      <c r="C2533" t="s">
        <v>283</v>
      </c>
      <c r="D2533" t="s">
        <v>3044</v>
      </c>
      <c r="E2533" t="s">
        <v>3280</v>
      </c>
      <c r="F2533" t="s">
        <v>3267</v>
      </c>
      <c r="G2533" t="s">
        <v>3068</v>
      </c>
      <c r="H2533" t="s">
        <v>373</v>
      </c>
      <c r="I2533" t="s">
        <v>289</v>
      </c>
      <c r="J2533" t="s">
        <v>821</v>
      </c>
      <c r="K2533">
        <v>8</v>
      </c>
      <c r="L2533" s="6">
        <v>2.4</v>
      </c>
      <c r="M2533" s="7">
        <v>40</v>
      </c>
      <c r="N2533" s="7">
        <v>140</v>
      </c>
      <c r="O2533" s="7">
        <f t="shared" si="193"/>
        <v>94.488188976377955</v>
      </c>
      <c r="P2533" s="7">
        <f t="shared" si="194"/>
        <v>1.5748031496062993</v>
      </c>
      <c r="Q2533" s="7">
        <f t="shared" si="194"/>
        <v>5.5118110236220472</v>
      </c>
      <c r="R2533" s="6">
        <f t="shared" si="195"/>
        <v>585.86400000000003</v>
      </c>
      <c r="S2533" s="6">
        <f t="shared" si="196"/>
        <v>1.3439999999999999E-2</v>
      </c>
      <c r="T2533" t="str">
        <f t="shared" si="197"/>
        <v>Maximo Thermo Ash S4S E4E 2x6 Long</v>
      </c>
    </row>
    <row r="2534" spans="1:20" x14ac:dyDescent="0.25">
      <c r="A2534" t="s">
        <v>3063</v>
      </c>
      <c r="B2534" t="s">
        <v>3265</v>
      </c>
      <c r="C2534" t="s">
        <v>283</v>
      </c>
      <c r="D2534" t="s">
        <v>3044</v>
      </c>
      <c r="E2534" t="s">
        <v>3281</v>
      </c>
      <c r="F2534" t="s">
        <v>3267</v>
      </c>
      <c r="G2534" t="s">
        <v>3068</v>
      </c>
      <c r="H2534" t="s">
        <v>373</v>
      </c>
      <c r="I2534" t="s">
        <v>289</v>
      </c>
      <c r="J2534" t="s">
        <v>821</v>
      </c>
      <c r="K2534">
        <v>9</v>
      </c>
      <c r="L2534" s="6">
        <v>2.7</v>
      </c>
      <c r="M2534" s="7">
        <v>40</v>
      </c>
      <c r="N2534" s="7">
        <v>140</v>
      </c>
      <c r="O2534" s="7">
        <f t="shared" si="193"/>
        <v>106.29921259842521</v>
      </c>
      <c r="P2534" s="7">
        <f t="shared" si="194"/>
        <v>1.5748031496062993</v>
      </c>
      <c r="Q2534" s="7">
        <f t="shared" si="194"/>
        <v>5.5118110236220472</v>
      </c>
      <c r="R2534" s="6">
        <f t="shared" si="195"/>
        <v>585.86400000000003</v>
      </c>
      <c r="S2534" s="6">
        <f t="shared" si="196"/>
        <v>1.512E-2</v>
      </c>
      <c r="T2534" t="str">
        <f t="shared" si="197"/>
        <v>Maximo Thermo Ash S4S E4E 2x6 Long</v>
      </c>
    </row>
    <row r="2535" spans="1:20" x14ac:dyDescent="0.25">
      <c r="A2535" t="s">
        <v>3073</v>
      </c>
      <c r="B2535" t="s">
        <v>3080</v>
      </c>
      <c r="C2535" t="s">
        <v>283</v>
      </c>
      <c r="D2535" t="s">
        <v>3044</v>
      </c>
      <c r="E2535" t="s">
        <v>3282</v>
      </c>
      <c r="F2535" t="s">
        <v>3283</v>
      </c>
      <c r="G2535" t="s">
        <v>3077</v>
      </c>
      <c r="H2535" t="s">
        <v>3284</v>
      </c>
      <c r="I2535" t="s">
        <v>3285</v>
      </c>
      <c r="J2535" t="s">
        <v>344</v>
      </c>
      <c r="K2535">
        <v>10</v>
      </c>
      <c r="L2535" s="6">
        <v>3</v>
      </c>
      <c r="M2535" s="7">
        <v>19</v>
      </c>
      <c r="N2535" s="7">
        <v>140</v>
      </c>
      <c r="O2535" s="7">
        <f t="shared" si="193"/>
        <v>118.11023622047244</v>
      </c>
      <c r="P2535" s="7">
        <f t="shared" si="194"/>
        <v>0.74803149606299213</v>
      </c>
      <c r="Q2535" s="7">
        <f t="shared" si="194"/>
        <v>5.5118110236220472</v>
      </c>
      <c r="R2535" s="6">
        <f t="shared" si="195"/>
        <v>1233.3979999999999</v>
      </c>
      <c r="S2535" s="6">
        <f t="shared" si="196"/>
        <v>7.980000000000001E-3</v>
      </c>
      <c r="T2535" t="str">
        <f t="shared" si="197"/>
        <v>Maximo Thermo Ayous Alfa Profile Groco Matte 1x6 Long</v>
      </c>
    </row>
    <row r="2536" spans="1:20" x14ac:dyDescent="0.25">
      <c r="A2536" t="s">
        <v>3073</v>
      </c>
      <c r="B2536" t="s">
        <v>3080</v>
      </c>
      <c r="C2536" t="s">
        <v>283</v>
      </c>
      <c r="D2536" t="s">
        <v>3044</v>
      </c>
      <c r="E2536" t="s">
        <v>3286</v>
      </c>
      <c r="F2536" t="s">
        <v>3283</v>
      </c>
      <c r="G2536" t="s">
        <v>3077</v>
      </c>
      <c r="H2536" t="s">
        <v>3284</v>
      </c>
      <c r="I2536" t="s">
        <v>3285</v>
      </c>
      <c r="J2536" t="s">
        <v>344</v>
      </c>
      <c r="K2536">
        <v>12</v>
      </c>
      <c r="L2536" s="6">
        <v>3.6</v>
      </c>
      <c r="M2536" s="7">
        <v>19</v>
      </c>
      <c r="N2536" s="7">
        <v>140</v>
      </c>
      <c r="O2536" s="7">
        <f t="shared" si="193"/>
        <v>141.73228346456693</v>
      </c>
      <c r="P2536" s="7">
        <f t="shared" si="194"/>
        <v>0.74803149606299213</v>
      </c>
      <c r="Q2536" s="7">
        <f t="shared" si="194"/>
        <v>5.5118110236220472</v>
      </c>
      <c r="R2536" s="6">
        <f t="shared" si="195"/>
        <v>1233.3979999999999</v>
      </c>
      <c r="S2536" s="6">
        <f t="shared" si="196"/>
        <v>9.5760000000000012E-3</v>
      </c>
      <c r="T2536" t="str">
        <f t="shared" si="197"/>
        <v>Maximo Thermo Ayous Alfa Profile Groco Matte 1x6 Long</v>
      </c>
    </row>
    <row r="2537" spans="1:20" x14ac:dyDescent="0.25">
      <c r="A2537" t="s">
        <v>3073</v>
      </c>
      <c r="B2537" t="s">
        <v>3080</v>
      </c>
      <c r="C2537" t="s">
        <v>283</v>
      </c>
      <c r="D2537" t="s">
        <v>3044</v>
      </c>
      <c r="E2537" t="s">
        <v>3287</v>
      </c>
      <c r="F2537" t="s">
        <v>3283</v>
      </c>
      <c r="G2537" t="s">
        <v>3077</v>
      </c>
      <c r="H2537" t="s">
        <v>3284</v>
      </c>
      <c r="I2537" t="s">
        <v>3285</v>
      </c>
      <c r="J2537" t="s">
        <v>344</v>
      </c>
      <c r="K2537">
        <v>14</v>
      </c>
      <c r="L2537" s="6">
        <v>4.2</v>
      </c>
      <c r="M2537" s="7">
        <v>19</v>
      </c>
      <c r="N2537" s="7">
        <v>140</v>
      </c>
      <c r="O2537" s="7">
        <f t="shared" si="193"/>
        <v>165.35433070866142</v>
      </c>
      <c r="P2537" s="7">
        <f t="shared" si="194"/>
        <v>0.74803149606299213</v>
      </c>
      <c r="Q2537" s="7">
        <f t="shared" si="194"/>
        <v>5.5118110236220472</v>
      </c>
      <c r="R2537" s="6">
        <f t="shared" si="195"/>
        <v>1233.3979999999999</v>
      </c>
      <c r="S2537" s="6">
        <f t="shared" si="196"/>
        <v>1.1172E-2</v>
      </c>
      <c r="T2537" t="str">
        <f t="shared" si="197"/>
        <v>Maximo Thermo Ayous Alfa Profile Groco Matte 1x6 Long</v>
      </c>
    </row>
    <row r="2538" spans="1:20" x14ac:dyDescent="0.25">
      <c r="A2538" t="s">
        <v>3073</v>
      </c>
      <c r="B2538" t="s">
        <v>3080</v>
      </c>
      <c r="C2538" t="s">
        <v>283</v>
      </c>
      <c r="D2538" t="s">
        <v>3044</v>
      </c>
      <c r="E2538" t="s">
        <v>3288</v>
      </c>
      <c r="F2538" t="s">
        <v>3283</v>
      </c>
      <c r="G2538" t="s">
        <v>3077</v>
      </c>
      <c r="H2538" t="s">
        <v>3284</v>
      </c>
      <c r="I2538" t="s">
        <v>3285</v>
      </c>
      <c r="J2538" t="s">
        <v>344</v>
      </c>
      <c r="K2538">
        <v>16</v>
      </c>
      <c r="L2538" s="6">
        <v>4.8</v>
      </c>
      <c r="M2538" s="7">
        <v>19</v>
      </c>
      <c r="N2538" s="7">
        <v>140</v>
      </c>
      <c r="O2538" s="7">
        <f t="shared" si="193"/>
        <v>188.97637795275591</v>
      </c>
      <c r="P2538" s="7">
        <f t="shared" si="194"/>
        <v>0.74803149606299213</v>
      </c>
      <c r="Q2538" s="7">
        <f t="shared" si="194"/>
        <v>5.5118110236220472</v>
      </c>
      <c r="R2538" s="6">
        <f t="shared" si="195"/>
        <v>1233.3979999999999</v>
      </c>
      <c r="S2538" s="6">
        <f t="shared" si="196"/>
        <v>1.2768E-2</v>
      </c>
      <c r="T2538" t="str">
        <f t="shared" si="197"/>
        <v>Maximo Thermo Ayous Alfa Profile Groco Matte 1x6 Long</v>
      </c>
    </row>
    <row r="2539" spans="1:20" x14ac:dyDescent="0.25">
      <c r="A2539" t="s">
        <v>3073</v>
      </c>
      <c r="B2539" t="s">
        <v>3080</v>
      </c>
      <c r="C2539" t="s">
        <v>283</v>
      </c>
      <c r="D2539" t="s">
        <v>3044</v>
      </c>
      <c r="E2539" t="s">
        <v>3289</v>
      </c>
      <c r="F2539" t="s">
        <v>3283</v>
      </c>
      <c r="G2539" t="s">
        <v>3077</v>
      </c>
      <c r="H2539" t="s">
        <v>3284</v>
      </c>
      <c r="I2539" t="s">
        <v>3285</v>
      </c>
      <c r="J2539" t="s">
        <v>344</v>
      </c>
      <c r="K2539">
        <v>18</v>
      </c>
      <c r="L2539" s="6">
        <v>5.4</v>
      </c>
      <c r="M2539" s="7">
        <v>19</v>
      </c>
      <c r="N2539" s="7">
        <v>140</v>
      </c>
      <c r="O2539" s="7">
        <f t="shared" si="193"/>
        <v>212.59842519685043</v>
      </c>
      <c r="P2539" s="7">
        <f t="shared" si="194"/>
        <v>0.74803149606299213</v>
      </c>
      <c r="Q2539" s="7">
        <f t="shared" si="194"/>
        <v>5.5118110236220472</v>
      </c>
      <c r="R2539" s="6">
        <f t="shared" si="195"/>
        <v>1233.3979999999999</v>
      </c>
      <c r="S2539" s="6">
        <f t="shared" si="196"/>
        <v>1.4364E-2</v>
      </c>
      <c r="T2539" t="str">
        <f t="shared" si="197"/>
        <v>Maximo Thermo Ayous Alfa Profile Groco Matte 1x6 Long</v>
      </c>
    </row>
    <row r="2540" spans="1:20" x14ac:dyDescent="0.25">
      <c r="A2540" t="s">
        <v>3073</v>
      </c>
      <c r="B2540" t="s">
        <v>3080</v>
      </c>
      <c r="C2540" t="s">
        <v>283</v>
      </c>
      <c r="D2540" t="s">
        <v>3044</v>
      </c>
      <c r="E2540" t="s">
        <v>3290</v>
      </c>
      <c r="F2540" t="s">
        <v>3283</v>
      </c>
      <c r="G2540" t="s">
        <v>3077</v>
      </c>
      <c r="H2540" t="s">
        <v>3284</v>
      </c>
      <c r="I2540" t="s">
        <v>3285</v>
      </c>
      <c r="J2540" t="s">
        <v>344</v>
      </c>
      <c r="K2540">
        <v>8</v>
      </c>
      <c r="L2540" s="6">
        <v>2.4</v>
      </c>
      <c r="M2540" s="7">
        <v>19</v>
      </c>
      <c r="N2540" s="7">
        <v>140</v>
      </c>
      <c r="O2540" s="7">
        <f t="shared" si="193"/>
        <v>94.488188976377955</v>
      </c>
      <c r="P2540" s="7">
        <f t="shared" si="194"/>
        <v>0.74803149606299213</v>
      </c>
      <c r="Q2540" s="7">
        <f t="shared" si="194"/>
        <v>5.5118110236220472</v>
      </c>
      <c r="R2540" s="6">
        <f t="shared" si="195"/>
        <v>1233.3979999999999</v>
      </c>
      <c r="S2540" s="6">
        <f t="shared" si="196"/>
        <v>6.3839999999999999E-3</v>
      </c>
      <c r="T2540" t="str">
        <f t="shared" si="197"/>
        <v>Maximo Thermo Ayous Alfa Profile Groco Matte 1x6 Long</v>
      </c>
    </row>
    <row r="2541" spans="1:20" x14ac:dyDescent="0.25">
      <c r="A2541" t="s">
        <v>3291</v>
      </c>
      <c r="B2541" t="s">
        <v>3292</v>
      </c>
      <c r="C2541" t="s">
        <v>283</v>
      </c>
      <c r="D2541" t="s">
        <v>3044</v>
      </c>
      <c r="E2541" t="s">
        <v>3293</v>
      </c>
      <c r="F2541" t="s">
        <v>3294</v>
      </c>
      <c r="G2541" t="s">
        <v>3295</v>
      </c>
      <c r="H2541" t="s">
        <v>373</v>
      </c>
      <c r="I2541" t="s">
        <v>289</v>
      </c>
      <c r="J2541" t="s">
        <v>3296</v>
      </c>
      <c r="K2541">
        <v>10</v>
      </c>
      <c r="L2541" s="6">
        <v>3</v>
      </c>
      <c r="M2541" s="7">
        <v>20</v>
      </c>
      <c r="N2541" s="7">
        <v>250</v>
      </c>
      <c r="O2541" s="7">
        <f t="shared" si="193"/>
        <v>118.11023622047244</v>
      </c>
      <c r="P2541" s="7">
        <f t="shared" si="194"/>
        <v>0.78740157480314965</v>
      </c>
      <c r="Q2541" s="7">
        <f t="shared" si="194"/>
        <v>9.8425196850393704</v>
      </c>
      <c r="R2541" s="6">
        <f t="shared" si="195"/>
        <v>656.16800000000001</v>
      </c>
      <c r="S2541" s="6">
        <f t="shared" si="196"/>
        <v>1.4999999999999999E-2</v>
      </c>
      <c r="T2541" t="str">
        <f t="shared" si="197"/>
        <v>Maximo Thermo Ayous Dark S4S E4E 1x11 Long</v>
      </c>
    </row>
    <row r="2542" spans="1:20" x14ac:dyDescent="0.25">
      <c r="A2542" t="s">
        <v>3291</v>
      </c>
      <c r="B2542" t="s">
        <v>3292</v>
      </c>
      <c r="C2542" t="s">
        <v>283</v>
      </c>
      <c r="D2542" t="s">
        <v>3044</v>
      </c>
      <c r="E2542" t="s">
        <v>3297</v>
      </c>
      <c r="F2542" t="s">
        <v>3294</v>
      </c>
      <c r="G2542" t="s">
        <v>3295</v>
      </c>
      <c r="H2542" t="s">
        <v>373</v>
      </c>
      <c r="I2542" t="s">
        <v>289</v>
      </c>
      <c r="J2542" t="s">
        <v>3296</v>
      </c>
      <c r="K2542">
        <v>11</v>
      </c>
      <c r="L2542" s="6">
        <v>3.3</v>
      </c>
      <c r="M2542" s="7">
        <v>20</v>
      </c>
      <c r="N2542" s="7">
        <v>250</v>
      </c>
      <c r="O2542" s="7">
        <f t="shared" si="193"/>
        <v>129.92125984251967</v>
      </c>
      <c r="P2542" s="7">
        <f t="shared" si="194"/>
        <v>0.78740157480314965</v>
      </c>
      <c r="Q2542" s="7">
        <f t="shared" si="194"/>
        <v>9.8425196850393704</v>
      </c>
      <c r="R2542" s="6">
        <f t="shared" si="195"/>
        <v>656.16800000000001</v>
      </c>
      <c r="S2542" s="6">
        <f t="shared" si="196"/>
        <v>1.6500000000000001E-2</v>
      </c>
      <c r="T2542" t="str">
        <f t="shared" si="197"/>
        <v>Maximo Thermo Ayous Dark S4S E4E 1x11 Long</v>
      </c>
    </row>
    <row r="2543" spans="1:20" x14ac:dyDescent="0.25">
      <c r="A2543" t="s">
        <v>3291</v>
      </c>
      <c r="B2543" t="s">
        <v>3292</v>
      </c>
      <c r="C2543" t="s">
        <v>283</v>
      </c>
      <c r="D2543" t="s">
        <v>3044</v>
      </c>
      <c r="E2543" t="s">
        <v>3298</v>
      </c>
      <c r="F2543" t="s">
        <v>3294</v>
      </c>
      <c r="G2543" t="s">
        <v>3295</v>
      </c>
      <c r="H2543" t="s">
        <v>373</v>
      </c>
      <c r="I2543" t="s">
        <v>289</v>
      </c>
      <c r="J2543" t="s">
        <v>3296</v>
      </c>
      <c r="K2543">
        <v>12</v>
      </c>
      <c r="L2543" s="6">
        <v>3.6</v>
      </c>
      <c r="M2543" s="7">
        <v>20</v>
      </c>
      <c r="N2543" s="7">
        <v>250</v>
      </c>
      <c r="O2543" s="7">
        <f t="shared" si="193"/>
        <v>141.73228346456693</v>
      </c>
      <c r="P2543" s="7">
        <f t="shared" si="194"/>
        <v>0.78740157480314965</v>
      </c>
      <c r="Q2543" s="7">
        <f t="shared" si="194"/>
        <v>9.8425196850393704</v>
      </c>
      <c r="R2543" s="6">
        <f t="shared" si="195"/>
        <v>656.16800000000001</v>
      </c>
      <c r="S2543" s="6">
        <f t="shared" si="196"/>
        <v>1.7999999999999999E-2</v>
      </c>
      <c r="T2543" t="str">
        <f t="shared" si="197"/>
        <v>Maximo Thermo Ayous Dark S4S E4E 1x11 Long</v>
      </c>
    </row>
    <row r="2544" spans="1:20" x14ac:dyDescent="0.25">
      <c r="A2544" t="s">
        <v>3291</v>
      </c>
      <c r="B2544" t="s">
        <v>3292</v>
      </c>
      <c r="C2544" t="s">
        <v>283</v>
      </c>
      <c r="D2544" t="s">
        <v>3044</v>
      </c>
      <c r="E2544" t="s">
        <v>3299</v>
      </c>
      <c r="F2544" t="s">
        <v>3294</v>
      </c>
      <c r="G2544" t="s">
        <v>3295</v>
      </c>
      <c r="H2544" t="s">
        <v>373</v>
      </c>
      <c r="I2544" t="s">
        <v>289</v>
      </c>
      <c r="J2544" t="s">
        <v>3296</v>
      </c>
      <c r="K2544">
        <v>13</v>
      </c>
      <c r="L2544" s="6">
        <v>3.9</v>
      </c>
      <c r="M2544" s="7">
        <v>20</v>
      </c>
      <c r="N2544" s="7">
        <v>250</v>
      </c>
      <c r="O2544" s="7">
        <f t="shared" ref="O2544:O2607" si="198">L2544/0.0254</f>
        <v>153.54330708661416</v>
      </c>
      <c r="P2544" s="7">
        <f t="shared" ref="P2544:Q2607" si="199">M2544/25.4</f>
        <v>0.78740157480314965</v>
      </c>
      <c r="Q2544" s="7">
        <f t="shared" si="199"/>
        <v>9.8425196850393704</v>
      </c>
      <c r="R2544" s="6">
        <f t="shared" ref="R2544:R2607" si="200">ROUND(IFERROR(1/((M2544*N2544*0.3048)/1000000),0),3)</f>
        <v>656.16800000000001</v>
      </c>
      <c r="S2544" s="6">
        <f t="shared" ref="S2544:S2607" si="201">L2544*M2544/1000*N2544/1000</f>
        <v>1.95E-2</v>
      </c>
      <c r="T2544" t="str">
        <f t="shared" si="197"/>
        <v>Maximo Thermo Ayous Dark S4S E4E 1x11 Long</v>
      </c>
    </row>
    <row r="2545" spans="1:20" x14ac:dyDescent="0.25">
      <c r="A2545" t="s">
        <v>3291</v>
      </c>
      <c r="B2545" t="s">
        <v>3292</v>
      </c>
      <c r="C2545" t="s">
        <v>283</v>
      </c>
      <c r="D2545" t="s">
        <v>3044</v>
      </c>
      <c r="E2545" t="s">
        <v>3300</v>
      </c>
      <c r="F2545" t="s">
        <v>3294</v>
      </c>
      <c r="G2545" t="s">
        <v>3295</v>
      </c>
      <c r="H2545" t="s">
        <v>373</v>
      </c>
      <c r="I2545" t="s">
        <v>289</v>
      </c>
      <c r="J2545" t="s">
        <v>3296</v>
      </c>
      <c r="K2545">
        <v>14</v>
      </c>
      <c r="L2545" s="6">
        <v>4.2</v>
      </c>
      <c r="M2545" s="7">
        <v>20</v>
      </c>
      <c r="N2545" s="7">
        <v>250</v>
      </c>
      <c r="O2545" s="7">
        <f t="shared" si="198"/>
        <v>165.35433070866142</v>
      </c>
      <c r="P2545" s="7">
        <f t="shared" si="199"/>
        <v>0.78740157480314965</v>
      </c>
      <c r="Q2545" s="7">
        <f t="shared" si="199"/>
        <v>9.8425196850393704</v>
      </c>
      <c r="R2545" s="6">
        <f t="shared" si="200"/>
        <v>656.16800000000001</v>
      </c>
      <c r="S2545" s="6">
        <f t="shared" si="201"/>
        <v>2.1000000000000001E-2</v>
      </c>
      <c r="T2545" t="str">
        <f t="shared" si="197"/>
        <v>Maximo Thermo Ayous Dark S4S E4E 1x11 Long</v>
      </c>
    </row>
    <row r="2546" spans="1:20" x14ac:dyDescent="0.25">
      <c r="A2546" t="s">
        <v>3291</v>
      </c>
      <c r="B2546" t="s">
        <v>3292</v>
      </c>
      <c r="C2546" t="s">
        <v>283</v>
      </c>
      <c r="D2546" t="s">
        <v>3044</v>
      </c>
      <c r="E2546" t="s">
        <v>3301</v>
      </c>
      <c r="F2546" t="s">
        <v>3294</v>
      </c>
      <c r="G2546" t="s">
        <v>3295</v>
      </c>
      <c r="H2546" t="s">
        <v>373</v>
      </c>
      <c r="I2546" t="s">
        <v>289</v>
      </c>
      <c r="J2546" t="s">
        <v>3296</v>
      </c>
      <c r="K2546">
        <v>15</v>
      </c>
      <c r="L2546" s="6">
        <v>4.5</v>
      </c>
      <c r="M2546" s="7">
        <v>20</v>
      </c>
      <c r="N2546" s="7">
        <v>250</v>
      </c>
      <c r="O2546" s="7">
        <f t="shared" si="198"/>
        <v>177.16535433070868</v>
      </c>
      <c r="P2546" s="7">
        <f t="shared" si="199"/>
        <v>0.78740157480314965</v>
      </c>
      <c r="Q2546" s="7">
        <f t="shared" si="199"/>
        <v>9.8425196850393704</v>
      </c>
      <c r="R2546" s="6">
        <f t="shared" si="200"/>
        <v>656.16800000000001</v>
      </c>
      <c r="S2546" s="6">
        <f t="shared" si="201"/>
        <v>2.2499999999999999E-2</v>
      </c>
      <c r="T2546" t="str">
        <f t="shared" si="197"/>
        <v>Maximo Thermo Ayous Dark S4S E4E 1x11 Long</v>
      </c>
    </row>
    <row r="2547" spans="1:20" x14ac:dyDescent="0.25">
      <c r="A2547" t="s">
        <v>3291</v>
      </c>
      <c r="B2547" t="s">
        <v>3292</v>
      </c>
      <c r="C2547" t="s">
        <v>283</v>
      </c>
      <c r="D2547" t="s">
        <v>3044</v>
      </c>
      <c r="E2547" t="s">
        <v>3302</v>
      </c>
      <c r="F2547" t="s">
        <v>3294</v>
      </c>
      <c r="G2547" t="s">
        <v>3295</v>
      </c>
      <c r="H2547" t="s">
        <v>373</v>
      </c>
      <c r="I2547" t="s">
        <v>289</v>
      </c>
      <c r="J2547" t="s">
        <v>3296</v>
      </c>
      <c r="K2547">
        <v>16</v>
      </c>
      <c r="L2547" s="6">
        <v>4.8</v>
      </c>
      <c r="M2547" s="7">
        <v>20</v>
      </c>
      <c r="N2547" s="7">
        <v>250</v>
      </c>
      <c r="O2547" s="7">
        <f t="shared" si="198"/>
        <v>188.97637795275591</v>
      </c>
      <c r="P2547" s="7">
        <f t="shared" si="199"/>
        <v>0.78740157480314965</v>
      </c>
      <c r="Q2547" s="7">
        <f t="shared" si="199"/>
        <v>9.8425196850393704</v>
      </c>
      <c r="R2547" s="6">
        <f t="shared" si="200"/>
        <v>656.16800000000001</v>
      </c>
      <c r="S2547" s="6">
        <f t="shared" si="201"/>
        <v>2.4E-2</v>
      </c>
      <c r="T2547" t="str">
        <f t="shared" si="197"/>
        <v>Maximo Thermo Ayous Dark S4S E4E 1x11 Long</v>
      </c>
    </row>
    <row r="2548" spans="1:20" x14ac:dyDescent="0.25">
      <c r="A2548" t="s">
        <v>3291</v>
      </c>
      <c r="B2548" t="s">
        <v>3292</v>
      </c>
      <c r="C2548" t="s">
        <v>283</v>
      </c>
      <c r="D2548" t="s">
        <v>3044</v>
      </c>
      <c r="E2548" t="s">
        <v>3303</v>
      </c>
      <c r="F2548" t="s">
        <v>3294</v>
      </c>
      <c r="G2548" t="s">
        <v>3295</v>
      </c>
      <c r="H2548" t="s">
        <v>373</v>
      </c>
      <c r="I2548" t="s">
        <v>289</v>
      </c>
      <c r="J2548" t="s">
        <v>3296</v>
      </c>
      <c r="K2548">
        <v>17</v>
      </c>
      <c r="L2548" s="6">
        <v>5.0999999999999996</v>
      </c>
      <c r="M2548" s="7">
        <v>20</v>
      </c>
      <c r="N2548" s="7">
        <v>250</v>
      </c>
      <c r="O2548" s="7">
        <f t="shared" si="198"/>
        <v>200.78740157480314</v>
      </c>
      <c r="P2548" s="7">
        <f t="shared" si="199"/>
        <v>0.78740157480314965</v>
      </c>
      <c r="Q2548" s="7">
        <f t="shared" si="199"/>
        <v>9.8425196850393704</v>
      </c>
      <c r="R2548" s="6">
        <f t="shared" si="200"/>
        <v>656.16800000000001</v>
      </c>
      <c r="S2548" s="6">
        <f t="shared" si="201"/>
        <v>2.5499999999999998E-2</v>
      </c>
      <c r="T2548" t="str">
        <f t="shared" si="197"/>
        <v>Maximo Thermo Ayous Dark S4S E4E 1x11 Long</v>
      </c>
    </row>
    <row r="2549" spans="1:20" x14ac:dyDescent="0.25">
      <c r="A2549" t="s">
        <v>3291</v>
      </c>
      <c r="B2549" t="s">
        <v>3292</v>
      </c>
      <c r="C2549" t="s">
        <v>283</v>
      </c>
      <c r="D2549" t="s">
        <v>3044</v>
      </c>
      <c r="E2549" t="s">
        <v>3304</v>
      </c>
      <c r="F2549" t="s">
        <v>3294</v>
      </c>
      <c r="G2549" t="s">
        <v>3295</v>
      </c>
      <c r="H2549" t="s">
        <v>373</v>
      </c>
      <c r="I2549" t="s">
        <v>289</v>
      </c>
      <c r="J2549" t="s">
        <v>3296</v>
      </c>
      <c r="K2549">
        <v>18</v>
      </c>
      <c r="L2549" s="6">
        <v>5.4</v>
      </c>
      <c r="M2549" s="7">
        <v>20</v>
      </c>
      <c r="N2549" s="7">
        <v>250</v>
      </c>
      <c r="O2549" s="7">
        <f t="shared" si="198"/>
        <v>212.59842519685043</v>
      </c>
      <c r="P2549" s="7">
        <f t="shared" si="199"/>
        <v>0.78740157480314965</v>
      </c>
      <c r="Q2549" s="7">
        <f t="shared" si="199"/>
        <v>9.8425196850393704</v>
      </c>
      <c r="R2549" s="6">
        <f t="shared" si="200"/>
        <v>656.16800000000001</v>
      </c>
      <c r="S2549" s="6">
        <f t="shared" si="201"/>
        <v>2.7E-2</v>
      </c>
      <c r="T2549" t="str">
        <f t="shared" si="197"/>
        <v>Maximo Thermo Ayous Dark S4S E4E 1x11 Long</v>
      </c>
    </row>
    <row r="2550" spans="1:20" x14ac:dyDescent="0.25">
      <c r="A2550" t="s">
        <v>3291</v>
      </c>
      <c r="B2550" t="s">
        <v>3292</v>
      </c>
      <c r="C2550" t="s">
        <v>524</v>
      </c>
      <c r="D2550" t="s">
        <v>3044</v>
      </c>
      <c r="E2550" t="s">
        <v>3305</v>
      </c>
      <c r="F2550" t="s">
        <v>3294</v>
      </c>
      <c r="G2550" t="s">
        <v>3295</v>
      </c>
      <c r="H2550" t="s">
        <v>373</v>
      </c>
      <c r="I2550" t="s">
        <v>289</v>
      </c>
      <c r="J2550" t="s">
        <v>3296</v>
      </c>
      <c r="K2550">
        <v>4</v>
      </c>
      <c r="L2550" s="6">
        <v>1.2</v>
      </c>
      <c r="M2550" s="7">
        <v>20</v>
      </c>
      <c r="N2550" s="7">
        <v>250</v>
      </c>
      <c r="O2550" s="7">
        <f t="shared" si="198"/>
        <v>47.244094488188978</v>
      </c>
      <c r="P2550" s="7">
        <f t="shared" si="199"/>
        <v>0.78740157480314965</v>
      </c>
      <c r="Q2550" s="7">
        <f t="shared" si="199"/>
        <v>9.8425196850393704</v>
      </c>
      <c r="R2550" s="6">
        <f t="shared" si="200"/>
        <v>656.16800000000001</v>
      </c>
      <c r="S2550" s="6">
        <f t="shared" si="201"/>
        <v>6.0000000000000001E-3</v>
      </c>
      <c r="T2550" t="str">
        <f t="shared" si="197"/>
        <v>Maximo Thermo Ayous Dark S4S E4E 1x11 Short</v>
      </c>
    </row>
    <row r="2551" spans="1:20" x14ac:dyDescent="0.25">
      <c r="A2551" t="s">
        <v>3291</v>
      </c>
      <c r="B2551" t="s">
        <v>3292</v>
      </c>
      <c r="C2551" t="s">
        <v>524</v>
      </c>
      <c r="D2551" t="s">
        <v>3044</v>
      </c>
      <c r="E2551" t="s">
        <v>3306</v>
      </c>
      <c r="F2551" t="s">
        <v>3294</v>
      </c>
      <c r="G2551" t="s">
        <v>3295</v>
      </c>
      <c r="H2551" t="s">
        <v>373</v>
      </c>
      <c r="I2551" t="s">
        <v>289</v>
      </c>
      <c r="J2551" t="s">
        <v>3296</v>
      </c>
      <c r="K2551">
        <v>5</v>
      </c>
      <c r="L2551" s="6">
        <v>1.5</v>
      </c>
      <c r="M2551" s="7">
        <v>20</v>
      </c>
      <c r="N2551" s="7">
        <v>250</v>
      </c>
      <c r="O2551" s="7">
        <f t="shared" si="198"/>
        <v>59.055118110236222</v>
      </c>
      <c r="P2551" s="7">
        <f t="shared" si="199"/>
        <v>0.78740157480314965</v>
      </c>
      <c r="Q2551" s="7">
        <f t="shared" si="199"/>
        <v>9.8425196850393704</v>
      </c>
      <c r="R2551" s="6">
        <f t="shared" si="200"/>
        <v>656.16800000000001</v>
      </c>
      <c r="S2551" s="6">
        <f t="shared" si="201"/>
        <v>7.4999999999999997E-3</v>
      </c>
      <c r="T2551" t="str">
        <f t="shared" si="197"/>
        <v>Maximo Thermo Ayous Dark S4S E4E 1x11 Short</v>
      </c>
    </row>
    <row r="2552" spans="1:20" x14ac:dyDescent="0.25">
      <c r="A2552" t="s">
        <v>3291</v>
      </c>
      <c r="B2552" t="s">
        <v>3292</v>
      </c>
      <c r="C2552" t="s">
        <v>524</v>
      </c>
      <c r="D2552" t="s">
        <v>3044</v>
      </c>
      <c r="E2552" t="s">
        <v>3307</v>
      </c>
      <c r="F2552" t="s">
        <v>3294</v>
      </c>
      <c r="G2552" t="s">
        <v>3295</v>
      </c>
      <c r="H2552" t="s">
        <v>373</v>
      </c>
      <c r="I2552" t="s">
        <v>289</v>
      </c>
      <c r="J2552" t="s">
        <v>3296</v>
      </c>
      <c r="K2552">
        <v>6</v>
      </c>
      <c r="L2552" s="6">
        <v>1.8</v>
      </c>
      <c r="M2552" s="7">
        <v>20</v>
      </c>
      <c r="N2552" s="7">
        <v>250</v>
      </c>
      <c r="O2552" s="7">
        <f t="shared" si="198"/>
        <v>70.866141732283467</v>
      </c>
      <c r="P2552" s="7">
        <f t="shared" si="199"/>
        <v>0.78740157480314965</v>
      </c>
      <c r="Q2552" s="7">
        <f t="shared" si="199"/>
        <v>9.8425196850393704</v>
      </c>
      <c r="R2552" s="6">
        <f t="shared" si="200"/>
        <v>656.16800000000001</v>
      </c>
      <c r="S2552" s="6">
        <f t="shared" si="201"/>
        <v>8.9999999999999993E-3</v>
      </c>
      <c r="T2552" t="str">
        <f t="shared" si="197"/>
        <v>Maximo Thermo Ayous Dark S4S E4E 1x11 Short</v>
      </c>
    </row>
    <row r="2553" spans="1:20" x14ac:dyDescent="0.25">
      <c r="A2553" t="s">
        <v>3291</v>
      </c>
      <c r="B2553" t="s">
        <v>3292</v>
      </c>
      <c r="C2553" t="s">
        <v>524</v>
      </c>
      <c r="D2553" t="s">
        <v>3044</v>
      </c>
      <c r="E2553" t="s">
        <v>3308</v>
      </c>
      <c r="F2553" t="s">
        <v>3294</v>
      </c>
      <c r="G2553" t="s">
        <v>3295</v>
      </c>
      <c r="H2553" t="s">
        <v>373</v>
      </c>
      <c r="I2553" t="s">
        <v>289</v>
      </c>
      <c r="J2553" t="s">
        <v>3296</v>
      </c>
      <c r="K2553">
        <v>7</v>
      </c>
      <c r="L2553" s="6">
        <v>2.1</v>
      </c>
      <c r="M2553" s="7">
        <v>20</v>
      </c>
      <c r="N2553" s="7">
        <v>250</v>
      </c>
      <c r="O2553" s="7">
        <f t="shared" si="198"/>
        <v>82.677165354330711</v>
      </c>
      <c r="P2553" s="7">
        <f t="shared" si="199"/>
        <v>0.78740157480314965</v>
      </c>
      <c r="Q2553" s="7">
        <f t="shared" si="199"/>
        <v>9.8425196850393704</v>
      </c>
      <c r="R2553" s="6">
        <f t="shared" si="200"/>
        <v>656.16800000000001</v>
      </c>
      <c r="S2553" s="6">
        <f t="shared" si="201"/>
        <v>1.0500000000000001E-2</v>
      </c>
      <c r="T2553" t="str">
        <f t="shared" si="197"/>
        <v>Maximo Thermo Ayous Dark S4S E4E 1x11 Short</v>
      </c>
    </row>
    <row r="2554" spans="1:20" x14ac:dyDescent="0.25">
      <c r="A2554" t="s">
        <v>3291</v>
      </c>
      <c r="B2554" t="s">
        <v>3292</v>
      </c>
      <c r="C2554" t="s">
        <v>283</v>
      </c>
      <c r="D2554" t="s">
        <v>3044</v>
      </c>
      <c r="E2554" t="s">
        <v>3309</v>
      </c>
      <c r="F2554" t="s">
        <v>3294</v>
      </c>
      <c r="G2554" t="s">
        <v>3295</v>
      </c>
      <c r="H2554" t="s">
        <v>373</v>
      </c>
      <c r="I2554" t="s">
        <v>289</v>
      </c>
      <c r="J2554" t="s">
        <v>3296</v>
      </c>
      <c r="K2554">
        <v>8</v>
      </c>
      <c r="L2554" s="6">
        <v>2.4</v>
      </c>
      <c r="M2554" s="7">
        <v>20</v>
      </c>
      <c r="N2554" s="7">
        <v>250</v>
      </c>
      <c r="O2554" s="7">
        <f t="shared" si="198"/>
        <v>94.488188976377955</v>
      </c>
      <c r="P2554" s="7">
        <f t="shared" si="199"/>
        <v>0.78740157480314965</v>
      </c>
      <c r="Q2554" s="7">
        <f t="shared" si="199"/>
        <v>9.8425196850393704</v>
      </c>
      <c r="R2554" s="6">
        <f t="shared" si="200"/>
        <v>656.16800000000001</v>
      </c>
      <c r="S2554" s="6">
        <f t="shared" si="201"/>
        <v>1.2E-2</v>
      </c>
      <c r="T2554" t="str">
        <f t="shared" si="197"/>
        <v>Maximo Thermo Ayous Dark S4S E4E 1x11 Long</v>
      </c>
    </row>
    <row r="2555" spans="1:20" x14ac:dyDescent="0.25">
      <c r="A2555" t="s">
        <v>3291</v>
      </c>
      <c r="B2555" t="s">
        <v>3292</v>
      </c>
      <c r="C2555" t="s">
        <v>283</v>
      </c>
      <c r="D2555" t="s">
        <v>3044</v>
      </c>
      <c r="E2555" t="s">
        <v>3310</v>
      </c>
      <c r="F2555" t="s">
        <v>3294</v>
      </c>
      <c r="G2555" t="s">
        <v>3295</v>
      </c>
      <c r="H2555" t="s">
        <v>373</v>
      </c>
      <c r="I2555" t="s">
        <v>289</v>
      </c>
      <c r="J2555" t="s">
        <v>3296</v>
      </c>
      <c r="K2555">
        <v>9</v>
      </c>
      <c r="L2555" s="6">
        <v>2.7</v>
      </c>
      <c r="M2555" s="7">
        <v>20</v>
      </c>
      <c r="N2555" s="7">
        <v>250</v>
      </c>
      <c r="O2555" s="7">
        <f t="shared" si="198"/>
        <v>106.29921259842521</v>
      </c>
      <c r="P2555" s="7">
        <f t="shared" si="199"/>
        <v>0.78740157480314965</v>
      </c>
      <c r="Q2555" s="7">
        <f t="shared" si="199"/>
        <v>9.8425196850393704</v>
      </c>
      <c r="R2555" s="6">
        <f t="shared" si="200"/>
        <v>656.16800000000001</v>
      </c>
      <c r="S2555" s="6">
        <f t="shared" si="201"/>
        <v>1.35E-2</v>
      </c>
      <c r="T2555" t="str">
        <f t="shared" si="197"/>
        <v>Maximo Thermo Ayous Dark S4S E4E 1x11 Long</v>
      </c>
    </row>
    <row r="2556" spans="1:20" x14ac:dyDescent="0.25">
      <c r="A2556" t="s">
        <v>3291</v>
      </c>
      <c r="B2556" t="s">
        <v>3311</v>
      </c>
      <c r="C2556" t="s">
        <v>283</v>
      </c>
      <c r="D2556" t="s">
        <v>3044</v>
      </c>
      <c r="E2556" t="s">
        <v>3312</v>
      </c>
      <c r="F2556" t="s">
        <v>3313</v>
      </c>
      <c r="G2556" t="s">
        <v>3295</v>
      </c>
      <c r="H2556" t="s">
        <v>373</v>
      </c>
      <c r="I2556" t="s">
        <v>289</v>
      </c>
      <c r="J2556" t="s">
        <v>344</v>
      </c>
      <c r="K2556">
        <v>10</v>
      </c>
      <c r="L2556" s="6">
        <v>3</v>
      </c>
      <c r="M2556" s="7">
        <v>19</v>
      </c>
      <c r="N2556" s="7">
        <v>140</v>
      </c>
      <c r="O2556" s="7">
        <f t="shared" si="198"/>
        <v>118.11023622047244</v>
      </c>
      <c r="P2556" s="7">
        <f t="shared" si="199"/>
        <v>0.74803149606299213</v>
      </c>
      <c r="Q2556" s="7">
        <f t="shared" si="199"/>
        <v>5.5118110236220472</v>
      </c>
      <c r="R2556" s="6">
        <f t="shared" si="200"/>
        <v>1233.3979999999999</v>
      </c>
      <c r="S2556" s="6">
        <f t="shared" si="201"/>
        <v>7.980000000000001E-3</v>
      </c>
      <c r="T2556" t="str">
        <f t="shared" si="197"/>
        <v>Maximo Thermo Ayous Dark S4S E4E 1x6 Long</v>
      </c>
    </row>
    <row r="2557" spans="1:20" x14ac:dyDescent="0.25">
      <c r="A2557" t="s">
        <v>3291</v>
      </c>
      <c r="B2557" t="s">
        <v>3311</v>
      </c>
      <c r="C2557" t="s">
        <v>283</v>
      </c>
      <c r="D2557" t="s">
        <v>3044</v>
      </c>
      <c r="E2557" t="s">
        <v>3314</v>
      </c>
      <c r="F2557" t="s">
        <v>3313</v>
      </c>
      <c r="G2557" t="s">
        <v>3295</v>
      </c>
      <c r="H2557" t="s">
        <v>373</v>
      </c>
      <c r="I2557" t="s">
        <v>289</v>
      </c>
      <c r="J2557" t="s">
        <v>344</v>
      </c>
      <c r="K2557">
        <v>11</v>
      </c>
      <c r="L2557" s="6">
        <v>3.3</v>
      </c>
      <c r="M2557" s="7">
        <v>19</v>
      </c>
      <c r="N2557" s="7">
        <v>140</v>
      </c>
      <c r="O2557" s="7">
        <f t="shared" si="198"/>
        <v>129.92125984251967</v>
      </c>
      <c r="P2557" s="7">
        <f t="shared" si="199"/>
        <v>0.74803149606299213</v>
      </c>
      <c r="Q2557" s="7">
        <f t="shared" si="199"/>
        <v>5.5118110236220472</v>
      </c>
      <c r="R2557" s="6">
        <f t="shared" si="200"/>
        <v>1233.3979999999999</v>
      </c>
      <c r="S2557" s="6">
        <f t="shared" si="201"/>
        <v>8.7779999999999993E-3</v>
      </c>
      <c r="T2557" t="str">
        <f t="shared" si="197"/>
        <v>Maximo Thermo Ayous Dark S4S E4E 1x6 Long</v>
      </c>
    </row>
    <row r="2558" spans="1:20" x14ac:dyDescent="0.25">
      <c r="A2558" t="s">
        <v>3291</v>
      </c>
      <c r="B2558" t="s">
        <v>3311</v>
      </c>
      <c r="C2558" t="s">
        <v>283</v>
      </c>
      <c r="D2558" t="s">
        <v>3044</v>
      </c>
      <c r="E2558" t="s">
        <v>3315</v>
      </c>
      <c r="F2558" t="s">
        <v>3313</v>
      </c>
      <c r="G2558" t="s">
        <v>3295</v>
      </c>
      <c r="H2558" t="s">
        <v>373</v>
      </c>
      <c r="I2558" t="s">
        <v>289</v>
      </c>
      <c r="J2558" t="s">
        <v>344</v>
      </c>
      <c r="K2558">
        <v>12</v>
      </c>
      <c r="L2558" s="6">
        <v>3.6</v>
      </c>
      <c r="M2558" s="7">
        <v>19</v>
      </c>
      <c r="N2558" s="7">
        <v>140</v>
      </c>
      <c r="O2558" s="7">
        <f t="shared" si="198"/>
        <v>141.73228346456693</v>
      </c>
      <c r="P2558" s="7">
        <f t="shared" si="199"/>
        <v>0.74803149606299213</v>
      </c>
      <c r="Q2558" s="7">
        <f t="shared" si="199"/>
        <v>5.5118110236220472</v>
      </c>
      <c r="R2558" s="6">
        <f t="shared" si="200"/>
        <v>1233.3979999999999</v>
      </c>
      <c r="S2558" s="6">
        <f t="shared" si="201"/>
        <v>9.5760000000000012E-3</v>
      </c>
      <c r="T2558" t="str">
        <f t="shared" si="197"/>
        <v>Maximo Thermo Ayous Dark S4S E4E 1x6 Long</v>
      </c>
    </row>
    <row r="2559" spans="1:20" x14ac:dyDescent="0.25">
      <c r="A2559" t="s">
        <v>3291</v>
      </c>
      <c r="B2559" t="s">
        <v>3311</v>
      </c>
      <c r="C2559" t="s">
        <v>283</v>
      </c>
      <c r="D2559" t="s">
        <v>3044</v>
      </c>
      <c r="E2559" t="s">
        <v>3316</v>
      </c>
      <c r="F2559" t="s">
        <v>3313</v>
      </c>
      <c r="G2559" t="s">
        <v>3295</v>
      </c>
      <c r="H2559" t="s">
        <v>373</v>
      </c>
      <c r="I2559" t="s">
        <v>289</v>
      </c>
      <c r="J2559" t="s">
        <v>344</v>
      </c>
      <c r="K2559">
        <v>13</v>
      </c>
      <c r="L2559" s="6">
        <v>3.9</v>
      </c>
      <c r="M2559" s="7">
        <v>19</v>
      </c>
      <c r="N2559" s="7">
        <v>140</v>
      </c>
      <c r="O2559" s="7">
        <f t="shared" si="198"/>
        <v>153.54330708661416</v>
      </c>
      <c r="P2559" s="7">
        <f t="shared" si="199"/>
        <v>0.74803149606299213</v>
      </c>
      <c r="Q2559" s="7">
        <f t="shared" si="199"/>
        <v>5.5118110236220472</v>
      </c>
      <c r="R2559" s="6">
        <f t="shared" si="200"/>
        <v>1233.3979999999999</v>
      </c>
      <c r="S2559" s="6">
        <f t="shared" si="201"/>
        <v>1.0374000000000001E-2</v>
      </c>
      <c r="T2559" t="str">
        <f t="shared" si="197"/>
        <v>Maximo Thermo Ayous Dark S4S E4E 1x6 Long</v>
      </c>
    </row>
    <row r="2560" spans="1:20" x14ac:dyDescent="0.25">
      <c r="A2560" t="s">
        <v>3291</v>
      </c>
      <c r="B2560" t="s">
        <v>3311</v>
      </c>
      <c r="C2560" t="s">
        <v>283</v>
      </c>
      <c r="D2560" t="s">
        <v>3044</v>
      </c>
      <c r="E2560" t="s">
        <v>3317</v>
      </c>
      <c r="F2560" t="s">
        <v>3313</v>
      </c>
      <c r="G2560" t="s">
        <v>3295</v>
      </c>
      <c r="H2560" t="s">
        <v>373</v>
      </c>
      <c r="I2560" t="s">
        <v>289</v>
      </c>
      <c r="J2560" t="s">
        <v>344</v>
      </c>
      <c r="K2560">
        <v>14</v>
      </c>
      <c r="L2560" s="6">
        <v>4.2</v>
      </c>
      <c r="M2560" s="7">
        <v>19</v>
      </c>
      <c r="N2560" s="7">
        <v>140</v>
      </c>
      <c r="O2560" s="7">
        <f t="shared" si="198"/>
        <v>165.35433070866142</v>
      </c>
      <c r="P2560" s="7">
        <f t="shared" si="199"/>
        <v>0.74803149606299213</v>
      </c>
      <c r="Q2560" s="7">
        <f t="shared" si="199"/>
        <v>5.5118110236220472</v>
      </c>
      <c r="R2560" s="6">
        <f t="shared" si="200"/>
        <v>1233.3979999999999</v>
      </c>
      <c r="S2560" s="6">
        <f t="shared" si="201"/>
        <v>1.1172E-2</v>
      </c>
      <c r="T2560" t="str">
        <f t="shared" si="197"/>
        <v>Maximo Thermo Ayous Dark S4S E4E 1x6 Long</v>
      </c>
    </row>
    <row r="2561" spans="1:20" x14ac:dyDescent="0.25">
      <c r="A2561" t="s">
        <v>3291</v>
      </c>
      <c r="B2561" t="s">
        <v>3311</v>
      </c>
      <c r="C2561" t="s">
        <v>283</v>
      </c>
      <c r="D2561" t="s">
        <v>3044</v>
      </c>
      <c r="E2561" t="s">
        <v>3318</v>
      </c>
      <c r="F2561" t="s">
        <v>3313</v>
      </c>
      <c r="G2561" t="s">
        <v>3295</v>
      </c>
      <c r="H2561" t="s">
        <v>373</v>
      </c>
      <c r="I2561" t="s">
        <v>289</v>
      </c>
      <c r="J2561" t="s">
        <v>344</v>
      </c>
      <c r="K2561">
        <v>15</v>
      </c>
      <c r="L2561" s="6">
        <v>4.5</v>
      </c>
      <c r="M2561" s="7">
        <v>19</v>
      </c>
      <c r="N2561" s="7">
        <v>140</v>
      </c>
      <c r="O2561" s="7">
        <f t="shared" si="198"/>
        <v>177.16535433070868</v>
      </c>
      <c r="P2561" s="7">
        <f t="shared" si="199"/>
        <v>0.74803149606299213</v>
      </c>
      <c r="Q2561" s="7">
        <f t="shared" si="199"/>
        <v>5.5118110236220472</v>
      </c>
      <c r="R2561" s="6">
        <f t="shared" si="200"/>
        <v>1233.3979999999999</v>
      </c>
      <c r="S2561" s="6">
        <f t="shared" si="201"/>
        <v>1.1970000000000001E-2</v>
      </c>
      <c r="T2561" t="str">
        <f t="shared" si="197"/>
        <v>Maximo Thermo Ayous Dark S4S E4E 1x6 Long</v>
      </c>
    </row>
    <row r="2562" spans="1:20" x14ac:dyDescent="0.25">
      <c r="A2562" t="s">
        <v>3291</v>
      </c>
      <c r="B2562" t="s">
        <v>3311</v>
      </c>
      <c r="C2562" t="s">
        <v>283</v>
      </c>
      <c r="D2562" t="s">
        <v>3044</v>
      </c>
      <c r="E2562" t="s">
        <v>3319</v>
      </c>
      <c r="F2562" t="s">
        <v>3313</v>
      </c>
      <c r="G2562" t="s">
        <v>3295</v>
      </c>
      <c r="H2562" t="s">
        <v>373</v>
      </c>
      <c r="I2562" t="s">
        <v>289</v>
      </c>
      <c r="J2562" t="s">
        <v>344</v>
      </c>
      <c r="K2562">
        <v>16</v>
      </c>
      <c r="L2562" s="6">
        <v>4.8</v>
      </c>
      <c r="M2562" s="7">
        <v>19</v>
      </c>
      <c r="N2562" s="7">
        <v>140</v>
      </c>
      <c r="O2562" s="7">
        <f t="shared" si="198"/>
        <v>188.97637795275591</v>
      </c>
      <c r="P2562" s="7">
        <f t="shared" si="199"/>
        <v>0.74803149606299213</v>
      </c>
      <c r="Q2562" s="7">
        <f t="shared" si="199"/>
        <v>5.5118110236220472</v>
      </c>
      <c r="R2562" s="6">
        <f t="shared" si="200"/>
        <v>1233.3979999999999</v>
      </c>
      <c r="S2562" s="6">
        <f t="shared" si="201"/>
        <v>1.2768E-2</v>
      </c>
      <c r="T2562" t="str">
        <f t="shared" ref="T2562:T2625" si="202">F2562&amp;" "&amp;C2562</f>
        <v>Maximo Thermo Ayous Dark S4S E4E 1x6 Long</v>
      </c>
    </row>
    <row r="2563" spans="1:20" x14ac:dyDescent="0.25">
      <c r="A2563" t="s">
        <v>3291</v>
      </c>
      <c r="B2563" t="s">
        <v>3311</v>
      </c>
      <c r="C2563" t="s">
        <v>283</v>
      </c>
      <c r="D2563" t="s">
        <v>3044</v>
      </c>
      <c r="E2563" t="s">
        <v>3320</v>
      </c>
      <c r="F2563" t="s">
        <v>3313</v>
      </c>
      <c r="G2563" t="s">
        <v>3295</v>
      </c>
      <c r="H2563" t="s">
        <v>373</v>
      </c>
      <c r="I2563" t="s">
        <v>289</v>
      </c>
      <c r="J2563" t="s">
        <v>344</v>
      </c>
      <c r="K2563">
        <v>17</v>
      </c>
      <c r="L2563" s="6">
        <v>5.0999999999999996</v>
      </c>
      <c r="M2563" s="7">
        <v>19</v>
      </c>
      <c r="N2563" s="7">
        <v>140</v>
      </c>
      <c r="O2563" s="7">
        <f t="shared" si="198"/>
        <v>200.78740157480314</v>
      </c>
      <c r="P2563" s="7">
        <f t="shared" si="199"/>
        <v>0.74803149606299213</v>
      </c>
      <c r="Q2563" s="7">
        <f t="shared" si="199"/>
        <v>5.5118110236220472</v>
      </c>
      <c r="R2563" s="6">
        <f t="shared" si="200"/>
        <v>1233.3979999999999</v>
      </c>
      <c r="S2563" s="6">
        <f t="shared" si="201"/>
        <v>1.3565999999999998E-2</v>
      </c>
      <c r="T2563" t="str">
        <f t="shared" si="202"/>
        <v>Maximo Thermo Ayous Dark S4S E4E 1x6 Long</v>
      </c>
    </row>
    <row r="2564" spans="1:20" x14ac:dyDescent="0.25">
      <c r="A2564" t="s">
        <v>3291</v>
      </c>
      <c r="B2564" t="s">
        <v>3311</v>
      </c>
      <c r="C2564" t="s">
        <v>283</v>
      </c>
      <c r="D2564" t="s">
        <v>3044</v>
      </c>
      <c r="E2564" t="s">
        <v>3321</v>
      </c>
      <c r="F2564" t="s">
        <v>3313</v>
      </c>
      <c r="G2564" t="s">
        <v>3295</v>
      </c>
      <c r="H2564" t="s">
        <v>373</v>
      </c>
      <c r="I2564" t="s">
        <v>289</v>
      </c>
      <c r="J2564" t="s">
        <v>344</v>
      </c>
      <c r="K2564">
        <v>18</v>
      </c>
      <c r="L2564" s="6">
        <v>5.4</v>
      </c>
      <c r="M2564" s="7">
        <v>19</v>
      </c>
      <c r="N2564" s="7">
        <v>140</v>
      </c>
      <c r="O2564" s="7">
        <f t="shared" si="198"/>
        <v>212.59842519685043</v>
      </c>
      <c r="P2564" s="7">
        <f t="shared" si="199"/>
        <v>0.74803149606299213</v>
      </c>
      <c r="Q2564" s="7">
        <f t="shared" si="199"/>
        <v>5.5118110236220472</v>
      </c>
      <c r="R2564" s="6">
        <f t="shared" si="200"/>
        <v>1233.3979999999999</v>
      </c>
      <c r="S2564" s="6">
        <f t="shared" si="201"/>
        <v>1.4364E-2</v>
      </c>
      <c r="T2564" t="str">
        <f t="shared" si="202"/>
        <v>Maximo Thermo Ayous Dark S4S E4E 1x6 Long</v>
      </c>
    </row>
    <row r="2565" spans="1:20" x14ac:dyDescent="0.25">
      <c r="A2565" t="s">
        <v>3291</v>
      </c>
      <c r="B2565" t="s">
        <v>3311</v>
      </c>
      <c r="C2565" t="s">
        <v>524</v>
      </c>
      <c r="D2565" t="s">
        <v>3044</v>
      </c>
      <c r="E2565" t="s">
        <v>3322</v>
      </c>
      <c r="F2565" t="s">
        <v>3313</v>
      </c>
      <c r="G2565" t="s">
        <v>3295</v>
      </c>
      <c r="H2565" t="s">
        <v>373</v>
      </c>
      <c r="I2565" t="s">
        <v>289</v>
      </c>
      <c r="J2565" t="s">
        <v>344</v>
      </c>
      <c r="K2565">
        <v>4</v>
      </c>
      <c r="L2565" s="6">
        <v>1.2</v>
      </c>
      <c r="M2565" s="7">
        <v>19</v>
      </c>
      <c r="N2565" s="7">
        <v>140</v>
      </c>
      <c r="O2565" s="7">
        <f t="shared" si="198"/>
        <v>47.244094488188978</v>
      </c>
      <c r="P2565" s="7">
        <f t="shared" si="199"/>
        <v>0.74803149606299213</v>
      </c>
      <c r="Q2565" s="7">
        <f t="shared" si="199"/>
        <v>5.5118110236220472</v>
      </c>
      <c r="R2565" s="6">
        <f t="shared" si="200"/>
        <v>1233.3979999999999</v>
      </c>
      <c r="S2565" s="6">
        <f t="shared" si="201"/>
        <v>3.192E-3</v>
      </c>
      <c r="T2565" t="str">
        <f t="shared" si="202"/>
        <v>Maximo Thermo Ayous Dark S4S E4E 1x6 Short</v>
      </c>
    </row>
    <row r="2566" spans="1:20" x14ac:dyDescent="0.25">
      <c r="A2566" t="s">
        <v>3291</v>
      </c>
      <c r="B2566" t="s">
        <v>3311</v>
      </c>
      <c r="C2566" t="s">
        <v>524</v>
      </c>
      <c r="D2566" t="s">
        <v>3044</v>
      </c>
      <c r="E2566" t="s">
        <v>3323</v>
      </c>
      <c r="F2566" t="s">
        <v>3313</v>
      </c>
      <c r="G2566" t="s">
        <v>3295</v>
      </c>
      <c r="H2566" t="s">
        <v>373</v>
      </c>
      <c r="I2566" t="s">
        <v>289</v>
      </c>
      <c r="J2566" t="s">
        <v>344</v>
      </c>
      <c r="K2566">
        <v>5</v>
      </c>
      <c r="L2566" s="6">
        <v>1.5</v>
      </c>
      <c r="M2566" s="7">
        <v>19</v>
      </c>
      <c r="N2566" s="7">
        <v>140</v>
      </c>
      <c r="O2566" s="7">
        <f t="shared" si="198"/>
        <v>59.055118110236222</v>
      </c>
      <c r="P2566" s="7">
        <f t="shared" si="199"/>
        <v>0.74803149606299213</v>
      </c>
      <c r="Q2566" s="7">
        <f t="shared" si="199"/>
        <v>5.5118110236220472</v>
      </c>
      <c r="R2566" s="6">
        <f t="shared" si="200"/>
        <v>1233.3979999999999</v>
      </c>
      <c r="S2566" s="6">
        <f t="shared" si="201"/>
        <v>3.9900000000000005E-3</v>
      </c>
      <c r="T2566" t="str">
        <f t="shared" si="202"/>
        <v>Maximo Thermo Ayous Dark S4S E4E 1x6 Short</v>
      </c>
    </row>
    <row r="2567" spans="1:20" x14ac:dyDescent="0.25">
      <c r="A2567" t="s">
        <v>3291</v>
      </c>
      <c r="B2567" t="s">
        <v>3311</v>
      </c>
      <c r="C2567" t="s">
        <v>524</v>
      </c>
      <c r="D2567" t="s">
        <v>3044</v>
      </c>
      <c r="E2567" t="s">
        <v>3324</v>
      </c>
      <c r="F2567" t="s">
        <v>3313</v>
      </c>
      <c r="G2567" t="s">
        <v>3295</v>
      </c>
      <c r="H2567" t="s">
        <v>373</v>
      </c>
      <c r="I2567" t="s">
        <v>289</v>
      </c>
      <c r="J2567" t="s">
        <v>344</v>
      </c>
      <c r="K2567">
        <v>6</v>
      </c>
      <c r="L2567" s="6">
        <v>1.8</v>
      </c>
      <c r="M2567" s="7">
        <v>19</v>
      </c>
      <c r="N2567" s="7">
        <v>140</v>
      </c>
      <c r="O2567" s="7">
        <f t="shared" si="198"/>
        <v>70.866141732283467</v>
      </c>
      <c r="P2567" s="7">
        <f t="shared" si="199"/>
        <v>0.74803149606299213</v>
      </c>
      <c r="Q2567" s="7">
        <f t="shared" si="199"/>
        <v>5.5118110236220472</v>
      </c>
      <c r="R2567" s="6">
        <f t="shared" si="200"/>
        <v>1233.3979999999999</v>
      </c>
      <c r="S2567" s="6">
        <f t="shared" si="201"/>
        <v>4.7880000000000006E-3</v>
      </c>
      <c r="T2567" t="str">
        <f t="shared" si="202"/>
        <v>Maximo Thermo Ayous Dark S4S E4E 1x6 Short</v>
      </c>
    </row>
    <row r="2568" spans="1:20" x14ac:dyDescent="0.25">
      <c r="A2568" t="s">
        <v>3291</v>
      </c>
      <c r="B2568" t="s">
        <v>3311</v>
      </c>
      <c r="C2568" t="s">
        <v>524</v>
      </c>
      <c r="D2568" t="s">
        <v>3044</v>
      </c>
      <c r="E2568" t="s">
        <v>3325</v>
      </c>
      <c r="F2568" t="s">
        <v>3313</v>
      </c>
      <c r="G2568" t="s">
        <v>3295</v>
      </c>
      <c r="H2568" t="s">
        <v>373</v>
      </c>
      <c r="I2568" t="s">
        <v>289</v>
      </c>
      <c r="J2568" t="s">
        <v>344</v>
      </c>
      <c r="K2568">
        <v>7</v>
      </c>
      <c r="L2568" s="6">
        <v>2.1</v>
      </c>
      <c r="M2568" s="7">
        <v>19</v>
      </c>
      <c r="N2568" s="7">
        <v>140</v>
      </c>
      <c r="O2568" s="7">
        <f t="shared" si="198"/>
        <v>82.677165354330711</v>
      </c>
      <c r="P2568" s="7">
        <f t="shared" si="199"/>
        <v>0.74803149606299213</v>
      </c>
      <c r="Q2568" s="7">
        <f t="shared" si="199"/>
        <v>5.5118110236220472</v>
      </c>
      <c r="R2568" s="6">
        <f t="shared" si="200"/>
        <v>1233.3979999999999</v>
      </c>
      <c r="S2568" s="6">
        <f t="shared" si="201"/>
        <v>5.5859999999999998E-3</v>
      </c>
      <c r="T2568" t="str">
        <f t="shared" si="202"/>
        <v>Maximo Thermo Ayous Dark S4S E4E 1x6 Short</v>
      </c>
    </row>
    <row r="2569" spans="1:20" x14ac:dyDescent="0.25">
      <c r="A2569" t="s">
        <v>3291</v>
      </c>
      <c r="B2569" t="s">
        <v>3311</v>
      </c>
      <c r="C2569" t="s">
        <v>283</v>
      </c>
      <c r="D2569" t="s">
        <v>3044</v>
      </c>
      <c r="E2569" t="s">
        <v>3326</v>
      </c>
      <c r="F2569" t="s">
        <v>3313</v>
      </c>
      <c r="G2569" t="s">
        <v>3295</v>
      </c>
      <c r="H2569" t="s">
        <v>373</v>
      </c>
      <c r="I2569" t="s">
        <v>289</v>
      </c>
      <c r="J2569" t="s">
        <v>344</v>
      </c>
      <c r="K2569">
        <v>8</v>
      </c>
      <c r="L2569" s="6">
        <v>2.4</v>
      </c>
      <c r="M2569" s="7">
        <v>19</v>
      </c>
      <c r="N2569" s="7">
        <v>140</v>
      </c>
      <c r="O2569" s="7">
        <f t="shared" si="198"/>
        <v>94.488188976377955</v>
      </c>
      <c r="P2569" s="7">
        <f t="shared" si="199"/>
        <v>0.74803149606299213</v>
      </c>
      <c r="Q2569" s="7">
        <f t="shared" si="199"/>
        <v>5.5118110236220472</v>
      </c>
      <c r="R2569" s="6">
        <f t="shared" si="200"/>
        <v>1233.3979999999999</v>
      </c>
      <c r="S2569" s="6">
        <f t="shared" si="201"/>
        <v>6.3839999999999999E-3</v>
      </c>
      <c r="T2569" t="str">
        <f t="shared" si="202"/>
        <v>Maximo Thermo Ayous Dark S4S E4E 1x6 Long</v>
      </c>
    </row>
    <row r="2570" spans="1:20" x14ac:dyDescent="0.25">
      <c r="A2570" t="s">
        <v>3291</v>
      </c>
      <c r="B2570" t="s">
        <v>3311</v>
      </c>
      <c r="C2570" t="s">
        <v>283</v>
      </c>
      <c r="D2570" t="s">
        <v>3044</v>
      </c>
      <c r="E2570" t="s">
        <v>3327</v>
      </c>
      <c r="F2570" t="s">
        <v>3313</v>
      </c>
      <c r="G2570" t="s">
        <v>3295</v>
      </c>
      <c r="H2570" t="s">
        <v>373</v>
      </c>
      <c r="I2570" t="s">
        <v>289</v>
      </c>
      <c r="J2570" t="s">
        <v>344</v>
      </c>
      <c r="K2570">
        <v>9</v>
      </c>
      <c r="L2570" s="6">
        <v>2.7</v>
      </c>
      <c r="M2570" s="7">
        <v>19</v>
      </c>
      <c r="N2570" s="7">
        <v>140</v>
      </c>
      <c r="O2570" s="7">
        <f t="shared" si="198"/>
        <v>106.29921259842521</v>
      </c>
      <c r="P2570" s="7">
        <f t="shared" si="199"/>
        <v>0.74803149606299213</v>
      </c>
      <c r="Q2570" s="7">
        <f t="shared" si="199"/>
        <v>5.5118110236220472</v>
      </c>
      <c r="R2570" s="6">
        <f t="shared" si="200"/>
        <v>1233.3979999999999</v>
      </c>
      <c r="S2570" s="6">
        <f t="shared" si="201"/>
        <v>7.182E-3</v>
      </c>
      <c r="T2570" t="str">
        <f t="shared" si="202"/>
        <v>Maximo Thermo Ayous Dark S4S E4E 1x6 Long</v>
      </c>
    </row>
    <row r="2571" spans="1:20" x14ac:dyDescent="0.25">
      <c r="A2571" t="s">
        <v>3291</v>
      </c>
      <c r="B2571" t="s">
        <v>3328</v>
      </c>
      <c r="C2571" t="s">
        <v>283</v>
      </c>
      <c r="D2571" t="s">
        <v>3044</v>
      </c>
      <c r="E2571" t="s">
        <v>3329</v>
      </c>
      <c r="F2571" t="s">
        <v>3330</v>
      </c>
      <c r="G2571" t="s">
        <v>3295</v>
      </c>
      <c r="H2571" t="s">
        <v>373</v>
      </c>
      <c r="I2571" t="s">
        <v>289</v>
      </c>
      <c r="J2571" t="s">
        <v>672</v>
      </c>
      <c r="K2571">
        <v>10</v>
      </c>
      <c r="L2571" s="6">
        <v>3</v>
      </c>
      <c r="M2571" s="7">
        <v>20</v>
      </c>
      <c r="N2571" s="7">
        <v>180</v>
      </c>
      <c r="O2571" s="7">
        <f t="shared" si="198"/>
        <v>118.11023622047244</v>
      </c>
      <c r="P2571" s="7">
        <f t="shared" si="199"/>
        <v>0.78740157480314965</v>
      </c>
      <c r="Q2571" s="7">
        <f t="shared" si="199"/>
        <v>7.0866141732283472</v>
      </c>
      <c r="R2571" s="6">
        <f t="shared" si="200"/>
        <v>911.34400000000005</v>
      </c>
      <c r="S2571" s="6">
        <f t="shared" si="201"/>
        <v>1.0799999999999999E-2</v>
      </c>
      <c r="T2571" t="str">
        <f t="shared" si="202"/>
        <v>Maximo Thermo Ayous Dark S4S E4E 1x8 Long</v>
      </c>
    </row>
    <row r="2572" spans="1:20" x14ac:dyDescent="0.25">
      <c r="A2572" t="s">
        <v>3291</v>
      </c>
      <c r="B2572" t="s">
        <v>3328</v>
      </c>
      <c r="C2572" t="s">
        <v>283</v>
      </c>
      <c r="D2572" t="s">
        <v>3044</v>
      </c>
      <c r="E2572" t="s">
        <v>3331</v>
      </c>
      <c r="F2572" t="s">
        <v>3330</v>
      </c>
      <c r="G2572" t="s">
        <v>3295</v>
      </c>
      <c r="H2572" t="s">
        <v>373</v>
      </c>
      <c r="I2572" t="s">
        <v>289</v>
      </c>
      <c r="J2572" t="s">
        <v>672</v>
      </c>
      <c r="K2572">
        <v>11</v>
      </c>
      <c r="L2572" s="6">
        <v>3.3</v>
      </c>
      <c r="M2572" s="7">
        <v>20</v>
      </c>
      <c r="N2572" s="7">
        <v>180</v>
      </c>
      <c r="O2572" s="7">
        <f t="shared" si="198"/>
        <v>129.92125984251967</v>
      </c>
      <c r="P2572" s="7">
        <f t="shared" si="199"/>
        <v>0.78740157480314965</v>
      </c>
      <c r="Q2572" s="7">
        <f t="shared" si="199"/>
        <v>7.0866141732283472</v>
      </c>
      <c r="R2572" s="6">
        <f t="shared" si="200"/>
        <v>911.34400000000005</v>
      </c>
      <c r="S2572" s="6">
        <f t="shared" si="201"/>
        <v>1.188E-2</v>
      </c>
      <c r="T2572" t="str">
        <f t="shared" si="202"/>
        <v>Maximo Thermo Ayous Dark S4S E4E 1x8 Long</v>
      </c>
    </row>
    <row r="2573" spans="1:20" x14ac:dyDescent="0.25">
      <c r="A2573" t="s">
        <v>3291</v>
      </c>
      <c r="B2573" t="s">
        <v>3328</v>
      </c>
      <c r="C2573" t="s">
        <v>283</v>
      </c>
      <c r="D2573" t="s">
        <v>3044</v>
      </c>
      <c r="E2573" t="s">
        <v>3332</v>
      </c>
      <c r="F2573" t="s">
        <v>3330</v>
      </c>
      <c r="G2573" t="s">
        <v>3295</v>
      </c>
      <c r="H2573" t="s">
        <v>373</v>
      </c>
      <c r="I2573" t="s">
        <v>289</v>
      </c>
      <c r="J2573" t="s">
        <v>672</v>
      </c>
      <c r="K2573">
        <v>12</v>
      </c>
      <c r="L2573" s="6">
        <v>3.6</v>
      </c>
      <c r="M2573" s="7">
        <v>20</v>
      </c>
      <c r="N2573" s="7">
        <v>180</v>
      </c>
      <c r="O2573" s="7">
        <f t="shared" si="198"/>
        <v>141.73228346456693</v>
      </c>
      <c r="P2573" s="7">
        <f t="shared" si="199"/>
        <v>0.78740157480314965</v>
      </c>
      <c r="Q2573" s="7">
        <f t="shared" si="199"/>
        <v>7.0866141732283472</v>
      </c>
      <c r="R2573" s="6">
        <f t="shared" si="200"/>
        <v>911.34400000000005</v>
      </c>
      <c r="S2573" s="6">
        <f t="shared" si="201"/>
        <v>1.2959999999999999E-2</v>
      </c>
      <c r="T2573" t="str">
        <f t="shared" si="202"/>
        <v>Maximo Thermo Ayous Dark S4S E4E 1x8 Long</v>
      </c>
    </row>
    <row r="2574" spans="1:20" x14ac:dyDescent="0.25">
      <c r="A2574" t="s">
        <v>3291</v>
      </c>
      <c r="B2574" t="s">
        <v>3328</v>
      </c>
      <c r="C2574" t="s">
        <v>283</v>
      </c>
      <c r="D2574" t="s">
        <v>3044</v>
      </c>
      <c r="E2574" t="s">
        <v>3333</v>
      </c>
      <c r="F2574" t="s">
        <v>3330</v>
      </c>
      <c r="G2574" t="s">
        <v>3295</v>
      </c>
      <c r="H2574" t="s">
        <v>373</v>
      </c>
      <c r="I2574" t="s">
        <v>289</v>
      </c>
      <c r="J2574" t="s">
        <v>672</v>
      </c>
      <c r="K2574">
        <v>13</v>
      </c>
      <c r="L2574" s="6">
        <v>3.9</v>
      </c>
      <c r="M2574" s="7">
        <v>20</v>
      </c>
      <c r="N2574" s="7">
        <v>180</v>
      </c>
      <c r="O2574" s="7">
        <f t="shared" si="198"/>
        <v>153.54330708661416</v>
      </c>
      <c r="P2574" s="7">
        <f t="shared" si="199"/>
        <v>0.78740157480314965</v>
      </c>
      <c r="Q2574" s="7">
        <f t="shared" si="199"/>
        <v>7.0866141732283472</v>
      </c>
      <c r="R2574" s="6">
        <f t="shared" si="200"/>
        <v>911.34400000000005</v>
      </c>
      <c r="S2574" s="6">
        <f t="shared" si="201"/>
        <v>1.4039999999999999E-2</v>
      </c>
      <c r="T2574" t="str">
        <f t="shared" si="202"/>
        <v>Maximo Thermo Ayous Dark S4S E4E 1x8 Long</v>
      </c>
    </row>
    <row r="2575" spans="1:20" x14ac:dyDescent="0.25">
      <c r="A2575" t="s">
        <v>3291</v>
      </c>
      <c r="B2575" t="s">
        <v>3328</v>
      </c>
      <c r="C2575" t="s">
        <v>283</v>
      </c>
      <c r="D2575" t="s">
        <v>3044</v>
      </c>
      <c r="E2575" t="s">
        <v>3334</v>
      </c>
      <c r="F2575" t="s">
        <v>3330</v>
      </c>
      <c r="G2575" t="s">
        <v>3295</v>
      </c>
      <c r="H2575" t="s">
        <v>373</v>
      </c>
      <c r="I2575" t="s">
        <v>289</v>
      </c>
      <c r="J2575" t="s">
        <v>672</v>
      </c>
      <c r="K2575">
        <v>14</v>
      </c>
      <c r="L2575" s="6">
        <v>4.2</v>
      </c>
      <c r="M2575" s="7">
        <v>20</v>
      </c>
      <c r="N2575" s="7">
        <v>180</v>
      </c>
      <c r="O2575" s="7">
        <f t="shared" si="198"/>
        <v>165.35433070866142</v>
      </c>
      <c r="P2575" s="7">
        <f t="shared" si="199"/>
        <v>0.78740157480314965</v>
      </c>
      <c r="Q2575" s="7">
        <f t="shared" si="199"/>
        <v>7.0866141732283472</v>
      </c>
      <c r="R2575" s="6">
        <f t="shared" si="200"/>
        <v>911.34400000000005</v>
      </c>
      <c r="S2575" s="6">
        <f t="shared" si="201"/>
        <v>1.5120000000000001E-2</v>
      </c>
      <c r="T2575" t="str">
        <f t="shared" si="202"/>
        <v>Maximo Thermo Ayous Dark S4S E4E 1x8 Long</v>
      </c>
    </row>
    <row r="2576" spans="1:20" x14ac:dyDescent="0.25">
      <c r="A2576" t="s">
        <v>3291</v>
      </c>
      <c r="B2576" t="s">
        <v>3328</v>
      </c>
      <c r="C2576" t="s">
        <v>283</v>
      </c>
      <c r="D2576" t="s">
        <v>3044</v>
      </c>
      <c r="E2576" t="s">
        <v>3335</v>
      </c>
      <c r="F2576" t="s">
        <v>3330</v>
      </c>
      <c r="G2576" t="s">
        <v>3295</v>
      </c>
      <c r="H2576" t="s">
        <v>373</v>
      </c>
      <c r="I2576" t="s">
        <v>289</v>
      </c>
      <c r="J2576" t="s">
        <v>672</v>
      </c>
      <c r="K2576">
        <v>15</v>
      </c>
      <c r="L2576" s="6">
        <v>4.5</v>
      </c>
      <c r="M2576" s="7">
        <v>20</v>
      </c>
      <c r="N2576" s="7">
        <v>180</v>
      </c>
      <c r="O2576" s="7">
        <f t="shared" si="198"/>
        <v>177.16535433070868</v>
      </c>
      <c r="P2576" s="7">
        <f t="shared" si="199"/>
        <v>0.78740157480314965</v>
      </c>
      <c r="Q2576" s="7">
        <f t="shared" si="199"/>
        <v>7.0866141732283472</v>
      </c>
      <c r="R2576" s="6">
        <f t="shared" si="200"/>
        <v>911.34400000000005</v>
      </c>
      <c r="S2576" s="6">
        <f t="shared" si="201"/>
        <v>1.6199999999999999E-2</v>
      </c>
      <c r="T2576" t="str">
        <f t="shared" si="202"/>
        <v>Maximo Thermo Ayous Dark S4S E4E 1x8 Long</v>
      </c>
    </row>
    <row r="2577" spans="1:20" x14ac:dyDescent="0.25">
      <c r="A2577" t="s">
        <v>3291</v>
      </c>
      <c r="B2577" t="s">
        <v>3328</v>
      </c>
      <c r="C2577" t="s">
        <v>283</v>
      </c>
      <c r="D2577" t="s">
        <v>3044</v>
      </c>
      <c r="E2577" t="s">
        <v>3336</v>
      </c>
      <c r="F2577" t="s">
        <v>3330</v>
      </c>
      <c r="G2577" t="s">
        <v>3295</v>
      </c>
      <c r="H2577" t="s">
        <v>373</v>
      </c>
      <c r="I2577" t="s">
        <v>289</v>
      </c>
      <c r="J2577" t="s">
        <v>672</v>
      </c>
      <c r="K2577">
        <v>16</v>
      </c>
      <c r="L2577" s="6">
        <v>4.8</v>
      </c>
      <c r="M2577" s="7">
        <v>20</v>
      </c>
      <c r="N2577" s="7">
        <v>180</v>
      </c>
      <c r="O2577" s="7">
        <f t="shared" si="198"/>
        <v>188.97637795275591</v>
      </c>
      <c r="P2577" s="7">
        <f t="shared" si="199"/>
        <v>0.78740157480314965</v>
      </c>
      <c r="Q2577" s="7">
        <f t="shared" si="199"/>
        <v>7.0866141732283472</v>
      </c>
      <c r="R2577" s="6">
        <f t="shared" si="200"/>
        <v>911.34400000000005</v>
      </c>
      <c r="S2577" s="6">
        <f t="shared" si="201"/>
        <v>1.728E-2</v>
      </c>
      <c r="T2577" t="str">
        <f t="shared" si="202"/>
        <v>Maximo Thermo Ayous Dark S4S E4E 1x8 Long</v>
      </c>
    </row>
    <row r="2578" spans="1:20" x14ac:dyDescent="0.25">
      <c r="A2578" t="s">
        <v>3291</v>
      </c>
      <c r="B2578" t="s">
        <v>3328</v>
      </c>
      <c r="C2578" t="s">
        <v>283</v>
      </c>
      <c r="D2578" t="s">
        <v>3044</v>
      </c>
      <c r="E2578" t="s">
        <v>3337</v>
      </c>
      <c r="F2578" t="s">
        <v>3330</v>
      </c>
      <c r="G2578" t="s">
        <v>3295</v>
      </c>
      <c r="H2578" t="s">
        <v>373</v>
      </c>
      <c r="I2578" t="s">
        <v>289</v>
      </c>
      <c r="J2578" t="s">
        <v>672</v>
      </c>
      <c r="K2578">
        <v>17</v>
      </c>
      <c r="L2578" s="6">
        <v>5.0999999999999996</v>
      </c>
      <c r="M2578" s="7">
        <v>20</v>
      </c>
      <c r="N2578" s="7">
        <v>180</v>
      </c>
      <c r="O2578" s="7">
        <f t="shared" si="198"/>
        <v>200.78740157480314</v>
      </c>
      <c r="P2578" s="7">
        <f t="shared" si="199"/>
        <v>0.78740157480314965</v>
      </c>
      <c r="Q2578" s="7">
        <f t="shared" si="199"/>
        <v>7.0866141732283472</v>
      </c>
      <c r="R2578" s="6">
        <f t="shared" si="200"/>
        <v>911.34400000000005</v>
      </c>
      <c r="S2578" s="6">
        <f t="shared" si="201"/>
        <v>1.8359999999999998E-2</v>
      </c>
      <c r="T2578" t="str">
        <f t="shared" si="202"/>
        <v>Maximo Thermo Ayous Dark S4S E4E 1x8 Long</v>
      </c>
    </row>
    <row r="2579" spans="1:20" x14ac:dyDescent="0.25">
      <c r="A2579" t="s">
        <v>3291</v>
      </c>
      <c r="B2579" t="s">
        <v>3328</v>
      </c>
      <c r="C2579" t="s">
        <v>283</v>
      </c>
      <c r="D2579" t="s">
        <v>3044</v>
      </c>
      <c r="E2579" t="s">
        <v>3338</v>
      </c>
      <c r="F2579" t="s">
        <v>3330</v>
      </c>
      <c r="G2579" t="s">
        <v>3295</v>
      </c>
      <c r="H2579" t="s">
        <v>373</v>
      </c>
      <c r="I2579" t="s">
        <v>289</v>
      </c>
      <c r="J2579" t="s">
        <v>672</v>
      </c>
      <c r="K2579">
        <v>18</v>
      </c>
      <c r="L2579" s="6">
        <v>5.4</v>
      </c>
      <c r="M2579" s="7">
        <v>20</v>
      </c>
      <c r="N2579" s="7">
        <v>180</v>
      </c>
      <c r="O2579" s="7">
        <f t="shared" si="198"/>
        <v>212.59842519685043</v>
      </c>
      <c r="P2579" s="7">
        <f t="shared" si="199"/>
        <v>0.78740157480314965</v>
      </c>
      <c r="Q2579" s="7">
        <f t="shared" si="199"/>
        <v>7.0866141732283472</v>
      </c>
      <c r="R2579" s="6">
        <f t="shared" si="200"/>
        <v>911.34400000000005</v>
      </c>
      <c r="S2579" s="6">
        <f t="shared" si="201"/>
        <v>1.9440000000000002E-2</v>
      </c>
      <c r="T2579" t="str">
        <f t="shared" si="202"/>
        <v>Maximo Thermo Ayous Dark S4S E4E 1x8 Long</v>
      </c>
    </row>
    <row r="2580" spans="1:20" x14ac:dyDescent="0.25">
      <c r="A2580" t="s">
        <v>3291</v>
      </c>
      <c r="B2580" t="s">
        <v>3328</v>
      </c>
      <c r="C2580" t="s">
        <v>524</v>
      </c>
      <c r="D2580" t="s">
        <v>3044</v>
      </c>
      <c r="E2580" t="s">
        <v>3339</v>
      </c>
      <c r="F2580" t="s">
        <v>3330</v>
      </c>
      <c r="G2580" t="s">
        <v>3295</v>
      </c>
      <c r="H2580" t="s">
        <v>373</v>
      </c>
      <c r="I2580" t="s">
        <v>289</v>
      </c>
      <c r="J2580" t="s">
        <v>672</v>
      </c>
      <c r="K2580">
        <v>4</v>
      </c>
      <c r="L2580" s="6">
        <v>1.2</v>
      </c>
      <c r="M2580" s="7">
        <v>20</v>
      </c>
      <c r="N2580" s="7">
        <v>180</v>
      </c>
      <c r="O2580" s="7">
        <f t="shared" si="198"/>
        <v>47.244094488188978</v>
      </c>
      <c r="P2580" s="7">
        <f t="shared" si="199"/>
        <v>0.78740157480314965</v>
      </c>
      <c r="Q2580" s="7">
        <f t="shared" si="199"/>
        <v>7.0866141732283472</v>
      </c>
      <c r="R2580" s="6">
        <f t="shared" si="200"/>
        <v>911.34400000000005</v>
      </c>
      <c r="S2580" s="6">
        <f t="shared" si="201"/>
        <v>4.3200000000000001E-3</v>
      </c>
      <c r="T2580" t="str">
        <f t="shared" si="202"/>
        <v>Maximo Thermo Ayous Dark S4S E4E 1x8 Short</v>
      </c>
    </row>
    <row r="2581" spans="1:20" x14ac:dyDescent="0.25">
      <c r="A2581" t="s">
        <v>3291</v>
      </c>
      <c r="B2581" t="s">
        <v>3328</v>
      </c>
      <c r="C2581" t="s">
        <v>524</v>
      </c>
      <c r="D2581" t="s">
        <v>3044</v>
      </c>
      <c r="E2581" t="s">
        <v>3340</v>
      </c>
      <c r="F2581" t="s">
        <v>3330</v>
      </c>
      <c r="G2581" t="s">
        <v>3295</v>
      </c>
      <c r="H2581" t="s">
        <v>373</v>
      </c>
      <c r="I2581" t="s">
        <v>289</v>
      </c>
      <c r="J2581" t="s">
        <v>672</v>
      </c>
      <c r="K2581">
        <v>5</v>
      </c>
      <c r="L2581" s="6">
        <v>1.5</v>
      </c>
      <c r="M2581" s="7">
        <v>20</v>
      </c>
      <c r="N2581" s="7">
        <v>180</v>
      </c>
      <c r="O2581" s="7">
        <f t="shared" si="198"/>
        <v>59.055118110236222</v>
      </c>
      <c r="P2581" s="7">
        <f t="shared" si="199"/>
        <v>0.78740157480314965</v>
      </c>
      <c r="Q2581" s="7">
        <f t="shared" si="199"/>
        <v>7.0866141732283472</v>
      </c>
      <c r="R2581" s="6">
        <f t="shared" si="200"/>
        <v>911.34400000000005</v>
      </c>
      <c r="S2581" s="6">
        <f t="shared" si="201"/>
        <v>5.3999999999999994E-3</v>
      </c>
      <c r="T2581" t="str">
        <f t="shared" si="202"/>
        <v>Maximo Thermo Ayous Dark S4S E4E 1x8 Short</v>
      </c>
    </row>
    <row r="2582" spans="1:20" x14ac:dyDescent="0.25">
      <c r="A2582" t="s">
        <v>3291</v>
      </c>
      <c r="B2582" t="s">
        <v>3328</v>
      </c>
      <c r="C2582" t="s">
        <v>524</v>
      </c>
      <c r="D2582" t="s">
        <v>3044</v>
      </c>
      <c r="E2582" t="s">
        <v>3341</v>
      </c>
      <c r="F2582" t="s">
        <v>3330</v>
      </c>
      <c r="G2582" t="s">
        <v>3295</v>
      </c>
      <c r="H2582" t="s">
        <v>373</v>
      </c>
      <c r="I2582" t="s">
        <v>289</v>
      </c>
      <c r="J2582" t="s">
        <v>672</v>
      </c>
      <c r="K2582">
        <v>6</v>
      </c>
      <c r="L2582" s="6">
        <v>1.8</v>
      </c>
      <c r="M2582" s="7">
        <v>20</v>
      </c>
      <c r="N2582" s="7">
        <v>180</v>
      </c>
      <c r="O2582" s="7">
        <f t="shared" si="198"/>
        <v>70.866141732283467</v>
      </c>
      <c r="P2582" s="7">
        <f t="shared" si="199"/>
        <v>0.78740157480314965</v>
      </c>
      <c r="Q2582" s="7">
        <f t="shared" si="199"/>
        <v>7.0866141732283472</v>
      </c>
      <c r="R2582" s="6">
        <f t="shared" si="200"/>
        <v>911.34400000000005</v>
      </c>
      <c r="S2582" s="6">
        <f t="shared" si="201"/>
        <v>6.4799999999999996E-3</v>
      </c>
      <c r="T2582" t="str">
        <f t="shared" si="202"/>
        <v>Maximo Thermo Ayous Dark S4S E4E 1x8 Short</v>
      </c>
    </row>
    <row r="2583" spans="1:20" x14ac:dyDescent="0.25">
      <c r="A2583" t="s">
        <v>3291</v>
      </c>
      <c r="B2583" t="s">
        <v>3328</v>
      </c>
      <c r="C2583" t="s">
        <v>524</v>
      </c>
      <c r="D2583" t="s">
        <v>3044</v>
      </c>
      <c r="E2583" t="s">
        <v>3342</v>
      </c>
      <c r="F2583" t="s">
        <v>3330</v>
      </c>
      <c r="G2583" t="s">
        <v>3295</v>
      </c>
      <c r="H2583" t="s">
        <v>373</v>
      </c>
      <c r="I2583" t="s">
        <v>289</v>
      </c>
      <c r="J2583" t="s">
        <v>672</v>
      </c>
      <c r="K2583">
        <v>7</v>
      </c>
      <c r="L2583" s="6">
        <v>2.1</v>
      </c>
      <c r="M2583" s="7">
        <v>20</v>
      </c>
      <c r="N2583" s="7">
        <v>180</v>
      </c>
      <c r="O2583" s="7">
        <f t="shared" si="198"/>
        <v>82.677165354330711</v>
      </c>
      <c r="P2583" s="7">
        <f t="shared" si="199"/>
        <v>0.78740157480314965</v>
      </c>
      <c r="Q2583" s="7">
        <f t="shared" si="199"/>
        <v>7.0866141732283472</v>
      </c>
      <c r="R2583" s="6">
        <f t="shared" si="200"/>
        <v>911.34400000000005</v>
      </c>
      <c r="S2583" s="6">
        <f t="shared" si="201"/>
        <v>7.5600000000000007E-3</v>
      </c>
      <c r="T2583" t="str">
        <f t="shared" si="202"/>
        <v>Maximo Thermo Ayous Dark S4S E4E 1x8 Short</v>
      </c>
    </row>
    <row r="2584" spans="1:20" x14ac:dyDescent="0.25">
      <c r="A2584" t="s">
        <v>3291</v>
      </c>
      <c r="B2584" t="s">
        <v>3328</v>
      </c>
      <c r="C2584" t="s">
        <v>283</v>
      </c>
      <c r="D2584" t="s">
        <v>3044</v>
      </c>
      <c r="E2584" t="s">
        <v>3343</v>
      </c>
      <c r="F2584" t="s">
        <v>3330</v>
      </c>
      <c r="G2584" t="s">
        <v>3295</v>
      </c>
      <c r="H2584" t="s">
        <v>373</v>
      </c>
      <c r="I2584" t="s">
        <v>289</v>
      </c>
      <c r="J2584" t="s">
        <v>672</v>
      </c>
      <c r="K2584">
        <v>8</v>
      </c>
      <c r="L2584" s="6">
        <v>2.4</v>
      </c>
      <c r="M2584" s="7">
        <v>20</v>
      </c>
      <c r="N2584" s="7">
        <v>180</v>
      </c>
      <c r="O2584" s="7">
        <f t="shared" si="198"/>
        <v>94.488188976377955</v>
      </c>
      <c r="P2584" s="7">
        <f t="shared" si="199"/>
        <v>0.78740157480314965</v>
      </c>
      <c r="Q2584" s="7">
        <f t="shared" si="199"/>
        <v>7.0866141732283472</v>
      </c>
      <c r="R2584" s="6">
        <f t="shared" si="200"/>
        <v>911.34400000000005</v>
      </c>
      <c r="S2584" s="6">
        <f t="shared" si="201"/>
        <v>8.6400000000000001E-3</v>
      </c>
      <c r="T2584" t="str">
        <f t="shared" si="202"/>
        <v>Maximo Thermo Ayous Dark S4S E4E 1x8 Long</v>
      </c>
    </row>
    <row r="2585" spans="1:20" x14ac:dyDescent="0.25">
      <c r="A2585" t="s">
        <v>3291</v>
      </c>
      <c r="B2585" t="s">
        <v>3328</v>
      </c>
      <c r="C2585" t="s">
        <v>283</v>
      </c>
      <c r="D2585" t="s">
        <v>3044</v>
      </c>
      <c r="E2585" t="s">
        <v>3344</v>
      </c>
      <c r="F2585" t="s">
        <v>3330</v>
      </c>
      <c r="G2585" t="s">
        <v>3295</v>
      </c>
      <c r="H2585" t="s">
        <v>373</v>
      </c>
      <c r="I2585" t="s">
        <v>289</v>
      </c>
      <c r="J2585" t="s">
        <v>672</v>
      </c>
      <c r="K2585">
        <v>9</v>
      </c>
      <c r="L2585" s="6">
        <v>2.7</v>
      </c>
      <c r="M2585" s="7">
        <v>20</v>
      </c>
      <c r="N2585" s="7">
        <v>180</v>
      </c>
      <c r="O2585" s="7">
        <f t="shared" si="198"/>
        <v>106.29921259842521</v>
      </c>
      <c r="P2585" s="7">
        <f t="shared" si="199"/>
        <v>0.78740157480314965</v>
      </c>
      <c r="Q2585" s="7">
        <f t="shared" si="199"/>
        <v>7.0866141732283472</v>
      </c>
      <c r="R2585" s="6">
        <f t="shared" si="200"/>
        <v>911.34400000000005</v>
      </c>
      <c r="S2585" s="6">
        <f t="shared" si="201"/>
        <v>9.7200000000000012E-3</v>
      </c>
      <c r="T2585" t="str">
        <f t="shared" si="202"/>
        <v>Maximo Thermo Ayous Dark S4S E4E 1x8 Long</v>
      </c>
    </row>
    <row r="2586" spans="1:20" x14ac:dyDescent="0.25">
      <c r="A2586" t="s">
        <v>3291</v>
      </c>
      <c r="B2586" t="s">
        <v>3345</v>
      </c>
      <c r="C2586" t="s">
        <v>283</v>
      </c>
      <c r="D2586" t="s">
        <v>3044</v>
      </c>
      <c r="E2586" t="s">
        <v>3346</v>
      </c>
      <c r="F2586" t="s">
        <v>3347</v>
      </c>
      <c r="G2586" t="s">
        <v>3295</v>
      </c>
      <c r="H2586" t="s">
        <v>373</v>
      </c>
      <c r="I2586" t="s">
        <v>289</v>
      </c>
      <c r="J2586" t="s">
        <v>764</v>
      </c>
      <c r="K2586">
        <v>10</v>
      </c>
      <c r="L2586" s="6">
        <v>3</v>
      </c>
      <c r="M2586" s="7">
        <v>40</v>
      </c>
      <c r="N2586" s="7">
        <v>40</v>
      </c>
      <c r="O2586" s="7">
        <f t="shared" si="198"/>
        <v>118.11023622047244</v>
      </c>
      <c r="P2586" s="7">
        <f t="shared" si="199"/>
        <v>1.5748031496062993</v>
      </c>
      <c r="Q2586" s="7">
        <f t="shared" si="199"/>
        <v>1.5748031496062993</v>
      </c>
      <c r="R2586" s="6">
        <f t="shared" si="200"/>
        <v>2050.5250000000001</v>
      </c>
      <c r="S2586" s="6">
        <f t="shared" si="201"/>
        <v>4.7999999999999996E-3</v>
      </c>
      <c r="T2586" t="str">
        <f t="shared" si="202"/>
        <v>Maximo Thermo Ayous Dark S4S E4E 2x2 Long</v>
      </c>
    </row>
    <row r="2587" spans="1:20" x14ac:dyDescent="0.25">
      <c r="A2587" t="s">
        <v>3291</v>
      </c>
      <c r="B2587" t="s">
        <v>3345</v>
      </c>
      <c r="C2587" t="s">
        <v>283</v>
      </c>
      <c r="D2587" t="s">
        <v>3044</v>
      </c>
      <c r="E2587" t="s">
        <v>3348</v>
      </c>
      <c r="F2587" t="s">
        <v>3347</v>
      </c>
      <c r="G2587" t="s">
        <v>3295</v>
      </c>
      <c r="H2587" t="s">
        <v>373</v>
      </c>
      <c r="I2587" t="s">
        <v>289</v>
      </c>
      <c r="J2587" t="s">
        <v>764</v>
      </c>
      <c r="K2587">
        <v>11</v>
      </c>
      <c r="L2587" s="6">
        <v>3.3</v>
      </c>
      <c r="M2587" s="7">
        <v>40</v>
      </c>
      <c r="N2587" s="7">
        <v>40</v>
      </c>
      <c r="O2587" s="7">
        <f t="shared" si="198"/>
        <v>129.92125984251967</v>
      </c>
      <c r="P2587" s="7">
        <f t="shared" si="199"/>
        <v>1.5748031496062993</v>
      </c>
      <c r="Q2587" s="7">
        <f t="shared" si="199"/>
        <v>1.5748031496062993</v>
      </c>
      <c r="R2587" s="6">
        <f t="shared" si="200"/>
        <v>2050.5250000000001</v>
      </c>
      <c r="S2587" s="6">
        <f t="shared" si="201"/>
        <v>5.28E-3</v>
      </c>
      <c r="T2587" t="str">
        <f t="shared" si="202"/>
        <v>Maximo Thermo Ayous Dark S4S E4E 2x2 Long</v>
      </c>
    </row>
    <row r="2588" spans="1:20" x14ac:dyDescent="0.25">
      <c r="A2588" t="s">
        <v>3291</v>
      </c>
      <c r="B2588" t="s">
        <v>3345</v>
      </c>
      <c r="C2588" t="s">
        <v>283</v>
      </c>
      <c r="D2588" t="s">
        <v>3044</v>
      </c>
      <c r="E2588" t="s">
        <v>3349</v>
      </c>
      <c r="F2588" t="s">
        <v>3347</v>
      </c>
      <c r="G2588" t="s">
        <v>3295</v>
      </c>
      <c r="H2588" t="s">
        <v>373</v>
      </c>
      <c r="I2588" t="s">
        <v>289</v>
      </c>
      <c r="J2588" t="s">
        <v>764</v>
      </c>
      <c r="K2588">
        <v>12</v>
      </c>
      <c r="L2588" s="6">
        <v>3.6</v>
      </c>
      <c r="M2588" s="7">
        <v>40</v>
      </c>
      <c r="N2588" s="7">
        <v>40</v>
      </c>
      <c r="O2588" s="7">
        <f t="shared" si="198"/>
        <v>141.73228346456693</v>
      </c>
      <c r="P2588" s="7">
        <f t="shared" si="199"/>
        <v>1.5748031496062993</v>
      </c>
      <c r="Q2588" s="7">
        <f t="shared" si="199"/>
        <v>1.5748031496062993</v>
      </c>
      <c r="R2588" s="6">
        <f t="shared" si="200"/>
        <v>2050.5250000000001</v>
      </c>
      <c r="S2588" s="6">
        <f t="shared" si="201"/>
        <v>5.7599999999999995E-3</v>
      </c>
      <c r="T2588" t="str">
        <f t="shared" si="202"/>
        <v>Maximo Thermo Ayous Dark S4S E4E 2x2 Long</v>
      </c>
    </row>
    <row r="2589" spans="1:20" x14ac:dyDescent="0.25">
      <c r="A2589" t="s">
        <v>3291</v>
      </c>
      <c r="B2589" t="s">
        <v>3345</v>
      </c>
      <c r="C2589" t="s">
        <v>283</v>
      </c>
      <c r="D2589" t="s">
        <v>3044</v>
      </c>
      <c r="E2589" t="s">
        <v>3350</v>
      </c>
      <c r="F2589" t="s">
        <v>3347</v>
      </c>
      <c r="G2589" t="s">
        <v>3295</v>
      </c>
      <c r="H2589" t="s">
        <v>373</v>
      </c>
      <c r="I2589" t="s">
        <v>289</v>
      </c>
      <c r="J2589" t="s">
        <v>764</v>
      </c>
      <c r="K2589">
        <v>13</v>
      </c>
      <c r="L2589" s="6">
        <v>3.9</v>
      </c>
      <c r="M2589" s="7">
        <v>40</v>
      </c>
      <c r="N2589" s="7">
        <v>40</v>
      </c>
      <c r="O2589" s="7">
        <f t="shared" si="198"/>
        <v>153.54330708661416</v>
      </c>
      <c r="P2589" s="7">
        <f t="shared" si="199"/>
        <v>1.5748031496062993</v>
      </c>
      <c r="Q2589" s="7">
        <f t="shared" si="199"/>
        <v>1.5748031496062993</v>
      </c>
      <c r="R2589" s="6">
        <f t="shared" si="200"/>
        <v>2050.5250000000001</v>
      </c>
      <c r="S2589" s="6">
        <f t="shared" si="201"/>
        <v>6.2399999999999999E-3</v>
      </c>
      <c r="T2589" t="str">
        <f t="shared" si="202"/>
        <v>Maximo Thermo Ayous Dark S4S E4E 2x2 Long</v>
      </c>
    </row>
    <row r="2590" spans="1:20" x14ac:dyDescent="0.25">
      <c r="A2590" t="s">
        <v>3291</v>
      </c>
      <c r="B2590" t="s">
        <v>3345</v>
      </c>
      <c r="C2590" t="s">
        <v>283</v>
      </c>
      <c r="D2590" t="s">
        <v>3044</v>
      </c>
      <c r="E2590" t="s">
        <v>3351</v>
      </c>
      <c r="F2590" t="s">
        <v>3347</v>
      </c>
      <c r="G2590" t="s">
        <v>3295</v>
      </c>
      <c r="H2590" t="s">
        <v>373</v>
      </c>
      <c r="I2590" t="s">
        <v>289</v>
      </c>
      <c r="J2590" t="s">
        <v>764</v>
      </c>
      <c r="K2590">
        <v>14</v>
      </c>
      <c r="L2590" s="6">
        <v>4.2</v>
      </c>
      <c r="M2590" s="7">
        <v>40</v>
      </c>
      <c r="N2590" s="7">
        <v>40</v>
      </c>
      <c r="O2590" s="7">
        <f t="shared" si="198"/>
        <v>165.35433070866142</v>
      </c>
      <c r="P2590" s="7">
        <f t="shared" si="199"/>
        <v>1.5748031496062993</v>
      </c>
      <c r="Q2590" s="7">
        <f t="shared" si="199"/>
        <v>1.5748031496062993</v>
      </c>
      <c r="R2590" s="6">
        <f t="shared" si="200"/>
        <v>2050.5250000000001</v>
      </c>
      <c r="S2590" s="6">
        <f t="shared" si="201"/>
        <v>6.7200000000000003E-3</v>
      </c>
      <c r="T2590" t="str">
        <f t="shared" si="202"/>
        <v>Maximo Thermo Ayous Dark S4S E4E 2x2 Long</v>
      </c>
    </row>
    <row r="2591" spans="1:20" x14ac:dyDescent="0.25">
      <c r="A2591" t="s">
        <v>3291</v>
      </c>
      <c r="B2591" t="s">
        <v>3345</v>
      </c>
      <c r="C2591" t="s">
        <v>283</v>
      </c>
      <c r="D2591" t="s">
        <v>3044</v>
      </c>
      <c r="E2591" t="s">
        <v>3352</v>
      </c>
      <c r="F2591" t="s">
        <v>3347</v>
      </c>
      <c r="G2591" t="s">
        <v>3295</v>
      </c>
      <c r="H2591" t="s">
        <v>373</v>
      </c>
      <c r="I2591" t="s">
        <v>289</v>
      </c>
      <c r="J2591" t="s">
        <v>764</v>
      </c>
      <c r="K2591">
        <v>15</v>
      </c>
      <c r="L2591" s="6">
        <v>4.5</v>
      </c>
      <c r="M2591" s="7">
        <v>40</v>
      </c>
      <c r="N2591" s="7">
        <v>40</v>
      </c>
      <c r="O2591" s="7">
        <f t="shared" si="198"/>
        <v>177.16535433070868</v>
      </c>
      <c r="P2591" s="7">
        <f t="shared" si="199"/>
        <v>1.5748031496062993</v>
      </c>
      <c r="Q2591" s="7">
        <f t="shared" si="199"/>
        <v>1.5748031496062993</v>
      </c>
      <c r="R2591" s="6">
        <f t="shared" si="200"/>
        <v>2050.5250000000001</v>
      </c>
      <c r="S2591" s="6">
        <f t="shared" si="201"/>
        <v>7.1999999999999989E-3</v>
      </c>
      <c r="T2591" t="str">
        <f t="shared" si="202"/>
        <v>Maximo Thermo Ayous Dark S4S E4E 2x2 Long</v>
      </c>
    </row>
    <row r="2592" spans="1:20" x14ac:dyDescent="0.25">
      <c r="A2592" t="s">
        <v>3291</v>
      </c>
      <c r="B2592" t="s">
        <v>3345</v>
      </c>
      <c r="C2592" t="s">
        <v>283</v>
      </c>
      <c r="D2592" t="s">
        <v>3044</v>
      </c>
      <c r="E2592" t="s">
        <v>3353</v>
      </c>
      <c r="F2592" t="s">
        <v>3347</v>
      </c>
      <c r="G2592" t="s">
        <v>3295</v>
      </c>
      <c r="H2592" t="s">
        <v>373</v>
      </c>
      <c r="I2592" t="s">
        <v>289</v>
      </c>
      <c r="J2592" t="s">
        <v>764</v>
      </c>
      <c r="K2592">
        <v>16</v>
      </c>
      <c r="L2592" s="6">
        <v>4.8</v>
      </c>
      <c r="M2592" s="7">
        <v>40</v>
      </c>
      <c r="N2592" s="7">
        <v>40</v>
      </c>
      <c r="O2592" s="7">
        <f t="shared" si="198"/>
        <v>188.97637795275591</v>
      </c>
      <c r="P2592" s="7">
        <f t="shared" si="199"/>
        <v>1.5748031496062993</v>
      </c>
      <c r="Q2592" s="7">
        <f t="shared" si="199"/>
        <v>1.5748031496062993</v>
      </c>
      <c r="R2592" s="6">
        <f t="shared" si="200"/>
        <v>2050.5250000000001</v>
      </c>
      <c r="S2592" s="6">
        <f t="shared" si="201"/>
        <v>7.6799999999999993E-3</v>
      </c>
      <c r="T2592" t="str">
        <f t="shared" si="202"/>
        <v>Maximo Thermo Ayous Dark S4S E4E 2x2 Long</v>
      </c>
    </row>
    <row r="2593" spans="1:20" x14ac:dyDescent="0.25">
      <c r="A2593" t="s">
        <v>3291</v>
      </c>
      <c r="B2593" t="s">
        <v>3345</v>
      </c>
      <c r="C2593" t="s">
        <v>283</v>
      </c>
      <c r="D2593" t="s">
        <v>3044</v>
      </c>
      <c r="E2593" t="s">
        <v>3354</v>
      </c>
      <c r="F2593" t="s">
        <v>3347</v>
      </c>
      <c r="G2593" t="s">
        <v>3295</v>
      </c>
      <c r="H2593" t="s">
        <v>373</v>
      </c>
      <c r="I2593" t="s">
        <v>289</v>
      </c>
      <c r="J2593" t="s">
        <v>764</v>
      </c>
      <c r="K2593">
        <v>17</v>
      </c>
      <c r="L2593" s="6">
        <v>5.0999999999999996</v>
      </c>
      <c r="M2593" s="7">
        <v>40</v>
      </c>
      <c r="N2593" s="7">
        <v>40</v>
      </c>
      <c r="O2593" s="7">
        <f t="shared" si="198"/>
        <v>200.78740157480314</v>
      </c>
      <c r="P2593" s="7">
        <f t="shared" si="199"/>
        <v>1.5748031496062993</v>
      </c>
      <c r="Q2593" s="7">
        <f t="shared" si="199"/>
        <v>1.5748031496062993</v>
      </c>
      <c r="R2593" s="6">
        <f t="shared" si="200"/>
        <v>2050.5250000000001</v>
      </c>
      <c r="S2593" s="6">
        <f t="shared" si="201"/>
        <v>8.1600000000000006E-3</v>
      </c>
      <c r="T2593" t="str">
        <f t="shared" si="202"/>
        <v>Maximo Thermo Ayous Dark S4S E4E 2x2 Long</v>
      </c>
    </row>
    <row r="2594" spans="1:20" x14ac:dyDescent="0.25">
      <c r="A2594" t="s">
        <v>3291</v>
      </c>
      <c r="B2594" t="s">
        <v>3345</v>
      </c>
      <c r="C2594" t="s">
        <v>283</v>
      </c>
      <c r="D2594" t="s">
        <v>3044</v>
      </c>
      <c r="E2594" t="s">
        <v>3355</v>
      </c>
      <c r="F2594" t="s">
        <v>3347</v>
      </c>
      <c r="G2594" t="s">
        <v>3295</v>
      </c>
      <c r="H2594" t="s">
        <v>373</v>
      </c>
      <c r="I2594" t="s">
        <v>289</v>
      </c>
      <c r="J2594" t="s">
        <v>764</v>
      </c>
      <c r="K2594">
        <v>18</v>
      </c>
      <c r="L2594" s="6">
        <v>5.4</v>
      </c>
      <c r="M2594" s="7">
        <v>40</v>
      </c>
      <c r="N2594" s="7">
        <v>40</v>
      </c>
      <c r="O2594" s="7">
        <f t="shared" si="198"/>
        <v>212.59842519685043</v>
      </c>
      <c r="P2594" s="7">
        <f t="shared" si="199"/>
        <v>1.5748031496062993</v>
      </c>
      <c r="Q2594" s="7">
        <f t="shared" si="199"/>
        <v>1.5748031496062993</v>
      </c>
      <c r="R2594" s="6">
        <f t="shared" si="200"/>
        <v>2050.5250000000001</v>
      </c>
      <c r="S2594" s="6">
        <f t="shared" si="201"/>
        <v>8.6400000000000001E-3</v>
      </c>
      <c r="T2594" t="str">
        <f t="shared" si="202"/>
        <v>Maximo Thermo Ayous Dark S4S E4E 2x2 Long</v>
      </c>
    </row>
    <row r="2595" spans="1:20" x14ac:dyDescent="0.25">
      <c r="A2595" t="s">
        <v>3291</v>
      </c>
      <c r="B2595" t="s">
        <v>3345</v>
      </c>
      <c r="C2595" t="s">
        <v>524</v>
      </c>
      <c r="D2595" t="s">
        <v>3044</v>
      </c>
      <c r="E2595" t="s">
        <v>3356</v>
      </c>
      <c r="F2595" t="s">
        <v>3347</v>
      </c>
      <c r="G2595" t="s">
        <v>3295</v>
      </c>
      <c r="H2595" t="s">
        <v>373</v>
      </c>
      <c r="I2595" t="s">
        <v>289</v>
      </c>
      <c r="J2595" t="s">
        <v>764</v>
      </c>
      <c r="K2595">
        <v>4</v>
      </c>
      <c r="L2595" s="6">
        <v>1.2</v>
      </c>
      <c r="M2595" s="7">
        <v>40</v>
      </c>
      <c r="N2595" s="7">
        <v>40</v>
      </c>
      <c r="O2595" s="7">
        <f t="shared" si="198"/>
        <v>47.244094488188978</v>
      </c>
      <c r="P2595" s="7">
        <f t="shared" si="199"/>
        <v>1.5748031496062993</v>
      </c>
      <c r="Q2595" s="7">
        <f t="shared" si="199"/>
        <v>1.5748031496062993</v>
      </c>
      <c r="R2595" s="6">
        <f t="shared" si="200"/>
        <v>2050.5250000000001</v>
      </c>
      <c r="S2595" s="6">
        <f t="shared" si="201"/>
        <v>1.9199999999999998E-3</v>
      </c>
      <c r="T2595" t="str">
        <f t="shared" si="202"/>
        <v>Maximo Thermo Ayous Dark S4S E4E 2x2 Short</v>
      </c>
    </row>
    <row r="2596" spans="1:20" x14ac:dyDescent="0.25">
      <c r="A2596" t="s">
        <v>3291</v>
      </c>
      <c r="B2596" t="s">
        <v>3345</v>
      </c>
      <c r="C2596" t="s">
        <v>524</v>
      </c>
      <c r="D2596" t="s">
        <v>3044</v>
      </c>
      <c r="E2596" t="s">
        <v>3357</v>
      </c>
      <c r="F2596" t="s">
        <v>3347</v>
      </c>
      <c r="G2596" t="s">
        <v>3295</v>
      </c>
      <c r="H2596" t="s">
        <v>373</v>
      </c>
      <c r="I2596" t="s">
        <v>289</v>
      </c>
      <c r="J2596" t="s">
        <v>764</v>
      </c>
      <c r="K2596">
        <v>5</v>
      </c>
      <c r="L2596" s="6">
        <v>1.5</v>
      </c>
      <c r="M2596" s="7">
        <v>40</v>
      </c>
      <c r="N2596" s="7">
        <v>40</v>
      </c>
      <c r="O2596" s="7">
        <f t="shared" si="198"/>
        <v>59.055118110236222</v>
      </c>
      <c r="P2596" s="7">
        <f t="shared" si="199"/>
        <v>1.5748031496062993</v>
      </c>
      <c r="Q2596" s="7">
        <f t="shared" si="199"/>
        <v>1.5748031496062993</v>
      </c>
      <c r="R2596" s="6">
        <f t="shared" si="200"/>
        <v>2050.5250000000001</v>
      </c>
      <c r="S2596" s="6">
        <f t="shared" si="201"/>
        <v>2.3999999999999998E-3</v>
      </c>
      <c r="T2596" t="str">
        <f t="shared" si="202"/>
        <v>Maximo Thermo Ayous Dark S4S E4E 2x2 Short</v>
      </c>
    </row>
    <row r="2597" spans="1:20" x14ac:dyDescent="0.25">
      <c r="A2597" t="s">
        <v>3291</v>
      </c>
      <c r="B2597" t="s">
        <v>3345</v>
      </c>
      <c r="C2597" t="s">
        <v>524</v>
      </c>
      <c r="D2597" t="s">
        <v>3044</v>
      </c>
      <c r="E2597" t="s">
        <v>3358</v>
      </c>
      <c r="F2597" t="s">
        <v>3347</v>
      </c>
      <c r="G2597" t="s">
        <v>3295</v>
      </c>
      <c r="H2597" t="s">
        <v>373</v>
      </c>
      <c r="I2597" t="s">
        <v>289</v>
      </c>
      <c r="J2597" t="s">
        <v>764</v>
      </c>
      <c r="K2597">
        <v>6</v>
      </c>
      <c r="L2597" s="6">
        <v>1.8</v>
      </c>
      <c r="M2597" s="7">
        <v>40</v>
      </c>
      <c r="N2597" s="7">
        <v>40</v>
      </c>
      <c r="O2597" s="7">
        <f t="shared" si="198"/>
        <v>70.866141732283467</v>
      </c>
      <c r="P2597" s="7">
        <f t="shared" si="199"/>
        <v>1.5748031496062993</v>
      </c>
      <c r="Q2597" s="7">
        <f t="shared" si="199"/>
        <v>1.5748031496062993</v>
      </c>
      <c r="R2597" s="6">
        <f t="shared" si="200"/>
        <v>2050.5250000000001</v>
      </c>
      <c r="S2597" s="6">
        <f t="shared" si="201"/>
        <v>2.8799999999999997E-3</v>
      </c>
      <c r="T2597" t="str">
        <f t="shared" si="202"/>
        <v>Maximo Thermo Ayous Dark S4S E4E 2x2 Short</v>
      </c>
    </row>
    <row r="2598" spans="1:20" x14ac:dyDescent="0.25">
      <c r="A2598" t="s">
        <v>3291</v>
      </c>
      <c r="B2598" t="s">
        <v>3345</v>
      </c>
      <c r="C2598" t="s">
        <v>524</v>
      </c>
      <c r="D2598" t="s">
        <v>3044</v>
      </c>
      <c r="E2598" t="s">
        <v>3359</v>
      </c>
      <c r="F2598" t="s">
        <v>3347</v>
      </c>
      <c r="G2598" t="s">
        <v>3295</v>
      </c>
      <c r="H2598" t="s">
        <v>373</v>
      </c>
      <c r="I2598" t="s">
        <v>289</v>
      </c>
      <c r="J2598" t="s">
        <v>764</v>
      </c>
      <c r="K2598">
        <v>7</v>
      </c>
      <c r="L2598" s="6">
        <v>2.1</v>
      </c>
      <c r="M2598" s="7">
        <v>40</v>
      </c>
      <c r="N2598" s="7">
        <v>40</v>
      </c>
      <c r="O2598" s="7">
        <f t="shared" si="198"/>
        <v>82.677165354330711</v>
      </c>
      <c r="P2598" s="7">
        <f t="shared" si="199"/>
        <v>1.5748031496062993</v>
      </c>
      <c r="Q2598" s="7">
        <f t="shared" si="199"/>
        <v>1.5748031496062993</v>
      </c>
      <c r="R2598" s="6">
        <f t="shared" si="200"/>
        <v>2050.5250000000001</v>
      </c>
      <c r="S2598" s="6">
        <f t="shared" si="201"/>
        <v>3.3600000000000001E-3</v>
      </c>
      <c r="T2598" t="str">
        <f t="shared" si="202"/>
        <v>Maximo Thermo Ayous Dark S4S E4E 2x2 Short</v>
      </c>
    </row>
    <row r="2599" spans="1:20" x14ac:dyDescent="0.25">
      <c r="A2599" t="s">
        <v>3291</v>
      </c>
      <c r="B2599" t="s">
        <v>3345</v>
      </c>
      <c r="C2599" t="s">
        <v>283</v>
      </c>
      <c r="D2599" t="s">
        <v>3044</v>
      </c>
      <c r="E2599" t="s">
        <v>3360</v>
      </c>
      <c r="F2599" t="s">
        <v>3347</v>
      </c>
      <c r="G2599" t="s">
        <v>3295</v>
      </c>
      <c r="H2599" t="s">
        <v>373</v>
      </c>
      <c r="I2599" t="s">
        <v>289</v>
      </c>
      <c r="J2599" t="s">
        <v>764</v>
      </c>
      <c r="K2599">
        <v>8</v>
      </c>
      <c r="L2599" s="6">
        <v>2.4</v>
      </c>
      <c r="M2599" s="7">
        <v>40</v>
      </c>
      <c r="N2599" s="7">
        <v>40</v>
      </c>
      <c r="O2599" s="7">
        <f t="shared" si="198"/>
        <v>94.488188976377955</v>
      </c>
      <c r="P2599" s="7">
        <f t="shared" si="199"/>
        <v>1.5748031496062993</v>
      </c>
      <c r="Q2599" s="7">
        <f t="shared" si="199"/>
        <v>1.5748031496062993</v>
      </c>
      <c r="R2599" s="6">
        <f t="shared" si="200"/>
        <v>2050.5250000000001</v>
      </c>
      <c r="S2599" s="6">
        <f t="shared" si="201"/>
        <v>3.8399999999999997E-3</v>
      </c>
      <c r="T2599" t="str">
        <f t="shared" si="202"/>
        <v>Maximo Thermo Ayous Dark S4S E4E 2x2 Long</v>
      </c>
    </row>
    <row r="2600" spans="1:20" x14ac:dyDescent="0.25">
      <c r="A2600" t="s">
        <v>3291</v>
      </c>
      <c r="B2600" t="s">
        <v>3345</v>
      </c>
      <c r="C2600" t="s">
        <v>283</v>
      </c>
      <c r="D2600" t="s">
        <v>3044</v>
      </c>
      <c r="E2600" t="s">
        <v>3361</v>
      </c>
      <c r="F2600" t="s">
        <v>3347</v>
      </c>
      <c r="G2600" t="s">
        <v>3295</v>
      </c>
      <c r="H2600" t="s">
        <v>373</v>
      </c>
      <c r="I2600" t="s">
        <v>289</v>
      </c>
      <c r="J2600" t="s">
        <v>764</v>
      </c>
      <c r="K2600">
        <v>9</v>
      </c>
      <c r="L2600" s="6">
        <v>2.7</v>
      </c>
      <c r="M2600" s="7">
        <v>40</v>
      </c>
      <c r="N2600" s="7">
        <v>40</v>
      </c>
      <c r="O2600" s="7">
        <f t="shared" si="198"/>
        <v>106.29921259842521</v>
      </c>
      <c r="P2600" s="7">
        <f t="shared" si="199"/>
        <v>1.5748031496062993</v>
      </c>
      <c r="Q2600" s="7">
        <f t="shared" si="199"/>
        <v>1.5748031496062993</v>
      </c>
      <c r="R2600" s="6">
        <f t="shared" si="200"/>
        <v>2050.5250000000001</v>
      </c>
      <c r="S2600" s="6">
        <f t="shared" si="201"/>
        <v>4.3200000000000001E-3</v>
      </c>
      <c r="T2600" t="str">
        <f t="shared" si="202"/>
        <v>Maximo Thermo Ayous Dark S4S E4E 2x2 Long</v>
      </c>
    </row>
    <row r="2601" spans="1:20" x14ac:dyDescent="0.25">
      <c r="A2601" t="s">
        <v>3291</v>
      </c>
      <c r="B2601" t="s">
        <v>3362</v>
      </c>
      <c r="C2601" t="s">
        <v>283</v>
      </c>
      <c r="D2601" t="s">
        <v>3044</v>
      </c>
      <c r="E2601" t="s">
        <v>3363</v>
      </c>
      <c r="F2601" t="s">
        <v>3364</v>
      </c>
      <c r="G2601" t="s">
        <v>3295</v>
      </c>
      <c r="H2601" t="s">
        <v>373</v>
      </c>
      <c r="I2601" t="s">
        <v>289</v>
      </c>
      <c r="J2601" t="s">
        <v>796</v>
      </c>
      <c r="K2601">
        <v>10</v>
      </c>
      <c r="L2601" s="6">
        <v>3</v>
      </c>
      <c r="M2601" s="7">
        <v>40</v>
      </c>
      <c r="N2601" s="7">
        <v>90</v>
      </c>
      <c r="O2601" s="7">
        <f t="shared" si="198"/>
        <v>118.11023622047244</v>
      </c>
      <c r="P2601" s="7">
        <f t="shared" si="199"/>
        <v>1.5748031496062993</v>
      </c>
      <c r="Q2601" s="7">
        <f t="shared" si="199"/>
        <v>3.5433070866141736</v>
      </c>
      <c r="R2601" s="6">
        <f t="shared" si="200"/>
        <v>911.34400000000005</v>
      </c>
      <c r="S2601" s="6">
        <f t="shared" si="201"/>
        <v>1.0799999999999999E-2</v>
      </c>
      <c r="T2601" t="str">
        <f t="shared" si="202"/>
        <v>Maximo Thermo Ayous Dark S4S E4E 2x4 Long</v>
      </c>
    </row>
    <row r="2602" spans="1:20" x14ac:dyDescent="0.25">
      <c r="A2602" t="s">
        <v>3291</v>
      </c>
      <c r="B2602" t="s">
        <v>3362</v>
      </c>
      <c r="C2602" t="s">
        <v>283</v>
      </c>
      <c r="D2602" t="s">
        <v>3044</v>
      </c>
      <c r="E2602" t="s">
        <v>3365</v>
      </c>
      <c r="F2602" t="s">
        <v>3364</v>
      </c>
      <c r="G2602" t="s">
        <v>3295</v>
      </c>
      <c r="H2602" t="s">
        <v>373</v>
      </c>
      <c r="I2602" t="s">
        <v>289</v>
      </c>
      <c r="J2602" t="s">
        <v>796</v>
      </c>
      <c r="K2602">
        <v>11</v>
      </c>
      <c r="L2602" s="6">
        <v>3.3</v>
      </c>
      <c r="M2602" s="7">
        <v>40</v>
      </c>
      <c r="N2602" s="7">
        <v>90</v>
      </c>
      <c r="O2602" s="7">
        <f t="shared" si="198"/>
        <v>129.92125984251967</v>
      </c>
      <c r="P2602" s="7">
        <f t="shared" si="199"/>
        <v>1.5748031496062993</v>
      </c>
      <c r="Q2602" s="7">
        <f t="shared" si="199"/>
        <v>3.5433070866141736</v>
      </c>
      <c r="R2602" s="6">
        <f t="shared" si="200"/>
        <v>911.34400000000005</v>
      </c>
      <c r="S2602" s="6">
        <f t="shared" si="201"/>
        <v>1.188E-2</v>
      </c>
      <c r="T2602" t="str">
        <f t="shared" si="202"/>
        <v>Maximo Thermo Ayous Dark S4S E4E 2x4 Long</v>
      </c>
    </row>
    <row r="2603" spans="1:20" x14ac:dyDescent="0.25">
      <c r="A2603" t="s">
        <v>3291</v>
      </c>
      <c r="B2603" t="s">
        <v>3362</v>
      </c>
      <c r="C2603" t="s">
        <v>283</v>
      </c>
      <c r="D2603" t="s">
        <v>3044</v>
      </c>
      <c r="E2603" t="s">
        <v>3366</v>
      </c>
      <c r="F2603" t="s">
        <v>3364</v>
      </c>
      <c r="G2603" t="s">
        <v>3295</v>
      </c>
      <c r="H2603" t="s">
        <v>373</v>
      </c>
      <c r="I2603" t="s">
        <v>289</v>
      </c>
      <c r="J2603" t="s">
        <v>796</v>
      </c>
      <c r="K2603">
        <v>12</v>
      </c>
      <c r="L2603" s="6">
        <v>3.6</v>
      </c>
      <c r="M2603" s="7">
        <v>40</v>
      </c>
      <c r="N2603" s="7">
        <v>90</v>
      </c>
      <c r="O2603" s="7">
        <f t="shared" si="198"/>
        <v>141.73228346456693</v>
      </c>
      <c r="P2603" s="7">
        <f t="shared" si="199"/>
        <v>1.5748031496062993</v>
      </c>
      <c r="Q2603" s="7">
        <f t="shared" si="199"/>
        <v>3.5433070866141736</v>
      </c>
      <c r="R2603" s="6">
        <f t="shared" si="200"/>
        <v>911.34400000000005</v>
      </c>
      <c r="S2603" s="6">
        <f t="shared" si="201"/>
        <v>1.2959999999999999E-2</v>
      </c>
      <c r="T2603" t="str">
        <f t="shared" si="202"/>
        <v>Maximo Thermo Ayous Dark S4S E4E 2x4 Long</v>
      </c>
    </row>
    <row r="2604" spans="1:20" x14ac:dyDescent="0.25">
      <c r="A2604" t="s">
        <v>3291</v>
      </c>
      <c r="B2604" t="s">
        <v>3362</v>
      </c>
      <c r="C2604" t="s">
        <v>283</v>
      </c>
      <c r="D2604" t="s">
        <v>3044</v>
      </c>
      <c r="E2604" t="s">
        <v>3367</v>
      </c>
      <c r="F2604" t="s">
        <v>3364</v>
      </c>
      <c r="G2604" t="s">
        <v>3295</v>
      </c>
      <c r="H2604" t="s">
        <v>373</v>
      </c>
      <c r="I2604" t="s">
        <v>289</v>
      </c>
      <c r="J2604" t="s">
        <v>796</v>
      </c>
      <c r="K2604">
        <v>13</v>
      </c>
      <c r="L2604" s="6">
        <v>3.9</v>
      </c>
      <c r="M2604" s="7">
        <v>40</v>
      </c>
      <c r="N2604" s="7">
        <v>90</v>
      </c>
      <c r="O2604" s="7">
        <f t="shared" si="198"/>
        <v>153.54330708661416</v>
      </c>
      <c r="P2604" s="7">
        <f t="shared" si="199"/>
        <v>1.5748031496062993</v>
      </c>
      <c r="Q2604" s="7">
        <f t="shared" si="199"/>
        <v>3.5433070866141736</v>
      </c>
      <c r="R2604" s="6">
        <f t="shared" si="200"/>
        <v>911.34400000000005</v>
      </c>
      <c r="S2604" s="6">
        <f t="shared" si="201"/>
        <v>1.4039999999999999E-2</v>
      </c>
      <c r="T2604" t="str">
        <f t="shared" si="202"/>
        <v>Maximo Thermo Ayous Dark S4S E4E 2x4 Long</v>
      </c>
    </row>
    <row r="2605" spans="1:20" x14ac:dyDescent="0.25">
      <c r="A2605" t="s">
        <v>3291</v>
      </c>
      <c r="B2605" t="s">
        <v>3362</v>
      </c>
      <c r="C2605" t="s">
        <v>283</v>
      </c>
      <c r="D2605" t="s">
        <v>3044</v>
      </c>
      <c r="E2605" t="s">
        <v>3368</v>
      </c>
      <c r="F2605" t="s">
        <v>3364</v>
      </c>
      <c r="G2605" t="s">
        <v>3295</v>
      </c>
      <c r="H2605" t="s">
        <v>373</v>
      </c>
      <c r="I2605" t="s">
        <v>289</v>
      </c>
      <c r="J2605" t="s">
        <v>796</v>
      </c>
      <c r="K2605">
        <v>14</v>
      </c>
      <c r="L2605" s="6">
        <v>4.2</v>
      </c>
      <c r="M2605" s="7">
        <v>40</v>
      </c>
      <c r="N2605" s="7">
        <v>90</v>
      </c>
      <c r="O2605" s="7">
        <f t="shared" si="198"/>
        <v>165.35433070866142</v>
      </c>
      <c r="P2605" s="7">
        <f t="shared" si="199"/>
        <v>1.5748031496062993</v>
      </c>
      <c r="Q2605" s="7">
        <f t="shared" si="199"/>
        <v>3.5433070866141736</v>
      </c>
      <c r="R2605" s="6">
        <f t="shared" si="200"/>
        <v>911.34400000000005</v>
      </c>
      <c r="S2605" s="6">
        <f t="shared" si="201"/>
        <v>1.5120000000000001E-2</v>
      </c>
      <c r="T2605" t="str">
        <f t="shared" si="202"/>
        <v>Maximo Thermo Ayous Dark S4S E4E 2x4 Long</v>
      </c>
    </row>
    <row r="2606" spans="1:20" x14ac:dyDescent="0.25">
      <c r="A2606" t="s">
        <v>3291</v>
      </c>
      <c r="B2606" t="s">
        <v>3362</v>
      </c>
      <c r="C2606" t="s">
        <v>283</v>
      </c>
      <c r="D2606" t="s">
        <v>3044</v>
      </c>
      <c r="E2606" t="s">
        <v>3369</v>
      </c>
      <c r="F2606" t="s">
        <v>3364</v>
      </c>
      <c r="G2606" t="s">
        <v>3295</v>
      </c>
      <c r="H2606" t="s">
        <v>373</v>
      </c>
      <c r="I2606" t="s">
        <v>289</v>
      </c>
      <c r="J2606" t="s">
        <v>796</v>
      </c>
      <c r="K2606">
        <v>15</v>
      </c>
      <c r="L2606" s="6">
        <v>4.5</v>
      </c>
      <c r="M2606" s="7">
        <v>40</v>
      </c>
      <c r="N2606" s="7">
        <v>90</v>
      </c>
      <c r="O2606" s="7">
        <f t="shared" si="198"/>
        <v>177.16535433070868</v>
      </c>
      <c r="P2606" s="7">
        <f t="shared" si="199"/>
        <v>1.5748031496062993</v>
      </c>
      <c r="Q2606" s="7">
        <f t="shared" si="199"/>
        <v>3.5433070866141736</v>
      </c>
      <c r="R2606" s="6">
        <f t="shared" si="200"/>
        <v>911.34400000000005</v>
      </c>
      <c r="S2606" s="6">
        <f t="shared" si="201"/>
        <v>1.6199999999999999E-2</v>
      </c>
      <c r="T2606" t="str">
        <f t="shared" si="202"/>
        <v>Maximo Thermo Ayous Dark S4S E4E 2x4 Long</v>
      </c>
    </row>
    <row r="2607" spans="1:20" x14ac:dyDescent="0.25">
      <c r="A2607" t="s">
        <v>3291</v>
      </c>
      <c r="B2607" t="s">
        <v>3362</v>
      </c>
      <c r="C2607" t="s">
        <v>283</v>
      </c>
      <c r="D2607" t="s">
        <v>3044</v>
      </c>
      <c r="E2607" t="s">
        <v>3370</v>
      </c>
      <c r="F2607" t="s">
        <v>3364</v>
      </c>
      <c r="G2607" t="s">
        <v>3295</v>
      </c>
      <c r="H2607" t="s">
        <v>373</v>
      </c>
      <c r="I2607" t="s">
        <v>289</v>
      </c>
      <c r="J2607" t="s">
        <v>796</v>
      </c>
      <c r="K2607">
        <v>16</v>
      </c>
      <c r="L2607" s="6">
        <v>4.8</v>
      </c>
      <c r="M2607" s="7">
        <v>40</v>
      </c>
      <c r="N2607" s="7">
        <v>90</v>
      </c>
      <c r="O2607" s="7">
        <f t="shared" si="198"/>
        <v>188.97637795275591</v>
      </c>
      <c r="P2607" s="7">
        <f t="shared" si="199"/>
        <v>1.5748031496062993</v>
      </c>
      <c r="Q2607" s="7">
        <f t="shared" si="199"/>
        <v>3.5433070866141736</v>
      </c>
      <c r="R2607" s="6">
        <f t="shared" si="200"/>
        <v>911.34400000000005</v>
      </c>
      <c r="S2607" s="6">
        <f t="shared" si="201"/>
        <v>1.728E-2</v>
      </c>
      <c r="T2607" t="str">
        <f t="shared" si="202"/>
        <v>Maximo Thermo Ayous Dark S4S E4E 2x4 Long</v>
      </c>
    </row>
    <row r="2608" spans="1:20" x14ac:dyDescent="0.25">
      <c r="A2608" t="s">
        <v>3291</v>
      </c>
      <c r="B2608" t="s">
        <v>3362</v>
      </c>
      <c r="C2608" t="s">
        <v>283</v>
      </c>
      <c r="D2608" t="s">
        <v>3044</v>
      </c>
      <c r="E2608" t="s">
        <v>3371</v>
      </c>
      <c r="F2608" t="s">
        <v>3364</v>
      </c>
      <c r="G2608" t="s">
        <v>3295</v>
      </c>
      <c r="H2608" t="s">
        <v>373</v>
      </c>
      <c r="I2608" t="s">
        <v>289</v>
      </c>
      <c r="J2608" t="s">
        <v>796</v>
      </c>
      <c r="K2608">
        <v>17</v>
      </c>
      <c r="L2608" s="6">
        <v>5.0999999999999996</v>
      </c>
      <c r="M2608" s="7">
        <v>40</v>
      </c>
      <c r="N2608" s="7">
        <v>90</v>
      </c>
      <c r="O2608" s="7">
        <f t="shared" ref="O2608:O2671" si="203">L2608/0.0254</f>
        <v>200.78740157480314</v>
      </c>
      <c r="P2608" s="7">
        <f t="shared" ref="P2608:Q2671" si="204">M2608/25.4</f>
        <v>1.5748031496062993</v>
      </c>
      <c r="Q2608" s="7">
        <f t="shared" si="204"/>
        <v>3.5433070866141736</v>
      </c>
      <c r="R2608" s="6">
        <f t="shared" ref="R2608:R2671" si="205">ROUND(IFERROR(1/((M2608*N2608*0.3048)/1000000),0),3)</f>
        <v>911.34400000000005</v>
      </c>
      <c r="S2608" s="6">
        <f t="shared" ref="S2608:S2671" si="206">L2608*M2608/1000*N2608/1000</f>
        <v>1.8359999999999998E-2</v>
      </c>
      <c r="T2608" t="str">
        <f t="shared" si="202"/>
        <v>Maximo Thermo Ayous Dark S4S E4E 2x4 Long</v>
      </c>
    </row>
    <row r="2609" spans="1:20" x14ac:dyDescent="0.25">
      <c r="A2609" t="s">
        <v>3291</v>
      </c>
      <c r="B2609" t="s">
        <v>3362</v>
      </c>
      <c r="C2609" t="s">
        <v>283</v>
      </c>
      <c r="D2609" t="s">
        <v>3044</v>
      </c>
      <c r="E2609" t="s">
        <v>3372</v>
      </c>
      <c r="F2609" t="s">
        <v>3364</v>
      </c>
      <c r="G2609" t="s">
        <v>3295</v>
      </c>
      <c r="H2609" t="s">
        <v>373</v>
      </c>
      <c r="I2609" t="s">
        <v>289</v>
      </c>
      <c r="J2609" t="s">
        <v>796</v>
      </c>
      <c r="K2609">
        <v>18</v>
      </c>
      <c r="L2609" s="6">
        <v>5.4</v>
      </c>
      <c r="M2609" s="7">
        <v>40</v>
      </c>
      <c r="N2609" s="7">
        <v>90</v>
      </c>
      <c r="O2609" s="7">
        <f t="shared" si="203"/>
        <v>212.59842519685043</v>
      </c>
      <c r="P2609" s="7">
        <f t="shared" si="204"/>
        <v>1.5748031496062993</v>
      </c>
      <c r="Q2609" s="7">
        <f t="shared" si="204"/>
        <v>3.5433070866141736</v>
      </c>
      <c r="R2609" s="6">
        <f t="shared" si="205"/>
        <v>911.34400000000005</v>
      </c>
      <c r="S2609" s="6">
        <f t="shared" si="206"/>
        <v>1.9440000000000002E-2</v>
      </c>
      <c r="T2609" t="str">
        <f t="shared" si="202"/>
        <v>Maximo Thermo Ayous Dark S4S E4E 2x4 Long</v>
      </c>
    </row>
    <row r="2610" spans="1:20" x14ac:dyDescent="0.25">
      <c r="A2610" t="s">
        <v>3291</v>
      </c>
      <c r="B2610" t="s">
        <v>3362</v>
      </c>
      <c r="C2610" t="s">
        <v>524</v>
      </c>
      <c r="D2610" t="s">
        <v>3044</v>
      </c>
      <c r="E2610" t="s">
        <v>3373</v>
      </c>
      <c r="F2610" t="s">
        <v>3364</v>
      </c>
      <c r="G2610" t="s">
        <v>3295</v>
      </c>
      <c r="H2610" t="s">
        <v>373</v>
      </c>
      <c r="I2610" t="s">
        <v>289</v>
      </c>
      <c r="J2610" t="s">
        <v>796</v>
      </c>
      <c r="K2610">
        <v>4</v>
      </c>
      <c r="L2610" s="6">
        <v>1.2</v>
      </c>
      <c r="M2610" s="7">
        <v>40</v>
      </c>
      <c r="N2610" s="7">
        <v>90</v>
      </c>
      <c r="O2610" s="7">
        <f t="shared" si="203"/>
        <v>47.244094488188978</v>
      </c>
      <c r="P2610" s="7">
        <f t="shared" si="204"/>
        <v>1.5748031496062993</v>
      </c>
      <c r="Q2610" s="7">
        <f t="shared" si="204"/>
        <v>3.5433070866141736</v>
      </c>
      <c r="R2610" s="6">
        <f t="shared" si="205"/>
        <v>911.34400000000005</v>
      </c>
      <c r="S2610" s="6">
        <f t="shared" si="206"/>
        <v>4.3200000000000001E-3</v>
      </c>
      <c r="T2610" t="str">
        <f t="shared" si="202"/>
        <v>Maximo Thermo Ayous Dark S4S E4E 2x4 Short</v>
      </c>
    </row>
    <row r="2611" spans="1:20" x14ac:dyDescent="0.25">
      <c r="A2611" t="s">
        <v>3291</v>
      </c>
      <c r="B2611" t="s">
        <v>3362</v>
      </c>
      <c r="C2611" t="s">
        <v>524</v>
      </c>
      <c r="D2611" t="s">
        <v>3044</v>
      </c>
      <c r="E2611" t="s">
        <v>3374</v>
      </c>
      <c r="F2611" t="s">
        <v>3364</v>
      </c>
      <c r="G2611" t="s">
        <v>3295</v>
      </c>
      <c r="H2611" t="s">
        <v>373</v>
      </c>
      <c r="I2611" t="s">
        <v>289</v>
      </c>
      <c r="J2611" t="s">
        <v>796</v>
      </c>
      <c r="K2611">
        <v>5</v>
      </c>
      <c r="L2611" s="6">
        <v>1.5</v>
      </c>
      <c r="M2611" s="7">
        <v>40</v>
      </c>
      <c r="N2611" s="7">
        <v>90</v>
      </c>
      <c r="O2611" s="7">
        <f t="shared" si="203"/>
        <v>59.055118110236222</v>
      </c>
      <c r="P2611" s="7">
        <f t="shared" si="204"/>
        <v>1.5748031496062993</v>
      </c>
      <c r="Q2611" s="7">
        <f t="shared" si="204"/>
        <v>3.5433070866141736</v>
      </c>
      <c r="R2611" s="6">
        <f t="shared" si="205"/>
        <v>911.34400000000005</v>
      </c>
      <c r="S2611" s="6">
        <f t="shared" si="206"/>
        <v>5.3999999999999994E-3</v>
      </c>
      <c r="T2611" t="str">
        <f t="shared" si="202"/>
        <v>Maximo Thermo Ayous Dark S4S E4E 2x4 Short</v>
      </c>
    </row>
    <row r="2612" spans="1:20" x14ac:dyDescent="0.25">
      <c r="A2612" t="s">
        <v>3291</v>
      </c>
      <c r="B2612" t="s">
        <v>3362</v>
      </c>
      <c r="C2612" t="s">
        <v>524</v>
      </c>
      <c r="D2612" t="s">
        <v>3044</v>
      </c>
      <c r="E2612" t="s">
        <v>3375</v>
      </c>
      <c r="F2612" t="s">
        <v>3364</v>
      </c>
      <c r="G2612" t="s">
        <v>3295</v>
      </c>
      <c r="H2612" t="s">
        <v>373</v>
      </c>
      <c r="I2612" t="s">
        <v>289</v>
      </c>
      <c r="J2612" t="s">
        <v>796</v>
      </c>
      <c r="K2612">
        <v>6</v>
      </c>
      <c r="L2612" s="6">
        <v>1.8</v>
      </c>
      <c r="M2612" s="7">
        <v>40</v>
      </c>
      <c r="N2612" s="7">
        <v>90</v>
      </c>
      <c r="O2612" s="7">
        <f t="shared" si="203"/>
        <v>70.866141732283467</v>
      </c>
      <c r="P2612" s="7">
        <f t="shared" si="204"/>
        <v>1.5748031496062993</v>
      </c>
      <c r="Q2612" s="7">
        <f t="shared" si="204"/>
        <v>3.5433070866141736</v>
      </c>
      <c r="R2612" s="6">
        <f t="shared" si="205"/>
        <v>911.34400000000005</v>
      </c>
      <c r="S2612" s="6">
        <f t="shared" si="206"/>
        <v>6.4799999999999996E-3</v>
      </c>
      <c r="T2612" t="str">
        <f t="shared" si="202"/>
        <v>Maximo Thermo Ayous Dark S4S E4E 2x4 Short</v>
      </c>
    </row>
    <row r="2613" spans="1:20" x14ac:dyDescent="0.25">
      <c r="A2613" t="s">
        <v>3291</v>
      </c>
      <c r="B2613" t="s">
        <v>3362</v>
      </c>
      <c r="C2613" t="s">
        <v>524</v>
      </c>
      <c r="D2613" t="s">
        <v>3044</v>
      </c>
      <c r="E2613" t="s">
        <v>3376</v>
      </c>
      <c r="F2613" t="s">
        <v>3364</v>
      </c>
      <c r="G2613" t="s">
        <v>3295</v>
      </c>
      <c r="H2613" t="s">
        <v>373</v>
      </c>
      <c r="I2613" t="s">
        <v>289</v>
      </c>
      <c r="J2613" t="s">
        <v>796</v>
      </c>
      <c r="K2613">
        <v>7</v>
      </c>
      <c r="L2613" s="6">
        <v>2.1</v>
      </c>
      <c r="M2613" s="7">
        <v>40</v>
      </c>
      <c r="N2613" s="7">
        <v>90</v>
      </c>
      <c r="O2613" s="7">
        <f t="shared" si="203"/>
        <v>82.677165354330711</v>
      </c>
      <c r="P2613" s="7">
        <f t="shared" si="204"/>
        <v>1.5748031496062993</v>
      </c>
      <c r="Q2613" s="7">
        <f t="shared" si="204"/>
        <v>3.5433070866141736</v>
      </c>
      <c r="R2613" s="6">
        <f t="shared" si="205"/>
        <v>911.34400000000005</v>
      </c>
      <c r="S2613" s="6">
        <f t="shared" si="206"/>
        <v>7.5600000000000007E-3</v>
      </c>
      <c r="T2613" t="str">
        <f t="shared" si="202"/>
        <v>Maximo Thermo Ayous Dark S4S E4E 2x4 Short</v>
      </c>
    </row>
    <row r="2614" spans="1:20" x14ac:dyDescent="0.25">
      <c r="A2614" t="s">
        <v>3291</v>
      </c>
      <c r="B2614" t="s">
        <v>3362</v>
      </c>
      <c r="C2614" t="s">
        <v>283</v>
      </c>
      <c r="D2614" t="s">
        <v>3044</v>
      </c>
      <c r="E2614" t="s">
        <v>3377</v>
      </c>
      <c r="F2614" t="s">
        <v>3364</v>
      </c>
      <c r="G2614" t="s">
        <v>3295</v>
      </c>
      <c r="H2614" t="s">
        <v>373</v>
      </c>
      <c r="I2614" t="s">
        <v>289</v>
      </c>
      <c r="J2614" t="s">
        <v>796</v>
      </c>
      <c r="K2614">
        <v>8</v>
      </c>
      <c r="L2614" s="6">
        <v>2.4</v>
      </c>
      <c r="M2614" s="7">
        <v>40</v>
      </c>
      <c r="N2614" s="7">
        <v>90</v>
      </c>
      <c r="O2614" s="7">
        <f t="shared" si="203"/>
        <v>94.488188976377955</v>
      </c>
      <c r="P2614" s="7">
        <f t="shared" si="204"/>
        <v>1.5748031496062993</v>
      </c>
      <c r="Q2614" s="7">
        <f t="shared" si="204"/>
        <v>3.5433070866141736</v>
      </c>
      <c r="R2614" s="6">
        <f t="shared" si="205"/>
        <v>911.34400000000005</v>
      </c>
      <c r="S2614" s="6">
        <f t="shared" si="206"/>
        <v>8.6400000000000001E-3</v>
      </c>
      <c r="T2614" t="str">
        <f t="shared" si="202"/>
        <v>Maximo Thermo Ayous Dark S4S E4E 2x4 Long</v>
      </c>
    </row>
    <row r="2615" spans="1:20" x14ac:dyDescent="0.25">
      <c r="A2615" t="s">
        <v>3291</v>
      </c>
      <c r="B2615" t="s">
        <v>3362</v>
      </c>
      <c r="C2615" t="s">
        <v>283</v>
      </c>
      <c r="D2615" t="s">
        <v>3044</v>
      </c>
      <c r="E2615" t="s">
        <v>3378</v>
      </c>
      <c r="F2615" t="s">
        <v>3364</v>
      </c>
      <c r="G2615" t="s">
        <v>3295</v>
      </c>
      <c r="H2615" t="s">
        <v>373</v>
      </c>
      <c r="I2615" t="s">
        <v>289</v>
      </c>
      <c r="J2615" t="s">
        <v>796</v>
      </c>
      <c r="K2615">
        <v>9</v>
      </c>
      <c r="L2615" s="6">
        <v>2.7</v>
      </c>
      <c r="M2615" s="7">
        <v>40</v>
      </c>
      <c r="N2615" s="7">
        <v>90</v>
      </c>
      <c r="O2615" s="7">
        <f t="shared" si="203"/>
        <v>106.29921259842521</v>
      </c>
      <c r="P2615" s="7">
        <f t="shared" si="204"/>
        <v>1.5748031496062993</v>
      </c>
      <c r="Q2615" s="7">
        <f t="shared" si="204"/>
        <v>3.5433070866141736</v>
      </c>
      <c r="R2615" s="6">
        <f t="shared" si="205"/>
        <v>911.34400000000005</v>
      </c>
      <c r="S2615" s="6">
        <f t="shared" si="206"/>
        <v>9.7200000000000012E-3</v>
      </c>
      <c r="T2615" t="str">
        <f t="shared" si="202"/>
        <v>Maximo Thermo Ayous Dark S4S E4E 2x4 Long</v>
      </c>
    </row>
    <row r="2616" spans="1:20" x14ac:dyDescent="0.25">
      <c r="A2616" t="s">
        <v>3291</v>
      </c>
      <c r="B2616" t="s">
        <v>3379</v>
      </c>
      <c r="C2616" t="s">
        <v>283</v>
      </c>
      <c r="D2616" t="s">
        <v>3044</v>
      </c>
      <c r="E2616" t="s">
        <v>3380</v>
      </c>
      <c r="F2616" t="s">
        <v>3381</v>
      </c>
      <c r="G2616" t="s">
        <v>3295</v>
      </c>
      <c r="H2616" t="s">
        <v>373</v>
      </c>
      <c r="I2616" t="s">
        <v>289</v>
      </c>
      <c r="J2616" t="s">
        <v>821</v>
      </c>
      <c r="K2616">
        <v>10</v>
      </c>
      <c r="L2616" s="6">
        <v>3</v>
      </c>
      <c r="M2616" s="7">
        <v>40</v>
      </c>
      <c r="N2616" s="7">
        <v>140</v>
      </c>
      <c r="O2616" s="7">
        <f t="shared" si="203"/>
        <v>118.11023622047244</v>
      </c>
      <c r="P2616" s="7">
        <f t="shared" si="204"/>
        <v>1.5748031496062993</v>
      </c>
      <c r="Q2616" s="7">
        <f t="shared" si="204"/>
        <v>5.5118110236220472</v>
      </c>
      <c r="R2616" s="6">
        <f t="shared" si="205"/>
        <v>585.86400000000003</v>
      </c>
      <c r="S2616" s="6">
        <f t="shared" si="206"/>
        <v>1.6800000000000002E-2</v>
      </c>
      <c r="T2616" t="str">
        <f t="shared" si="202"/>
        <v>Maximo Thermo Ayous Dark S4S E4E 2x6 Long</v>
      </c>
    </row>
    <row r="2617" spans="1:20" x14ac:dyDescent="0.25">
      <c r="A2617" t="s">
        <v>3291</v>
      </c>
      <c r="B2617" t="s">
        <v>3379</v>
      </c>
      <c r="C2617" t="s">
        <v>283</v>
      </c>
      <c r="D2617" t="s">
        <v>3044</v>
      </c>
      <c r="E2617" t="s">
        <v>3382</v>
      </c>
      <c r="F2617" t="s">
        <v>3381</v>
      </c>
      <c r="G2617" t="s">
        <v>3295</v>
      </c>
      <c r="H2617" t="s">
        <v>373</v>
      </c>
      <c r="I2617" t="s">
        <v>289</v>
      </c>
      <c r="J2617" t="s">
        <v>821</v>
      </c>
      <c r="K2617">
        <v>11</v>
      </c>
      <c r="L2617" s="6">
        <v>3.3</v>
      </c>
      <c r="M2617" s="7">
        <v>40</v>
      </c>
      <c r="N2617" s="7">
        <v>140</v>
      </c>
      <c r="O2617" s="7">
        <f t="shared" si="203"/>
        <v>129.92125984251967</v>
      </c>
      <c r="P2617" s="7">
        <f t="shared" si="204"/>
        <v>1.5748031496062993</v>
      </c>
      <c r="Q2617" s="7">
        <f t="shared" si="204"/>
        <v>5.5118110236220472</v>
      </c>
      <c r="R2617" s="6">
        <f t="shared" si="205"/>
        <v>585.86400000000003</v>
      </c>
      <c r="S2617" s="6">
        <f t="shared" si="206"/>
        <v>1.848E-2</v>
      </c>
      <c r="T2617" t="str">
        <f t="shared" si="202"/>
        <v>Maximo Thermo Ayous Dark S4S E4E 2x6 Long</v>
      </c>
    </row>
    <row r="2618" spans="1:20" x14ac:dyDescent="0.25">
      <c r="A2618" t="s">
        <v>3291</v>
      </c>
      <c r="B2618" t="s">
        <v>3379</v>
      </c>
      <c r="C2618" t="s">
        <v>283</v>
      </c>
      <c r="D2618" t="s">
        <v>3044</v>
      </c>
      <c r="E2618" t="s">
        <v>3383</v>
      </c>
      <c r="F2618" t="s">
        <v>3381</v>
      </c>
      <c r="G2618" t="s">
        <v>3295</v>
      </c>
      <c r="H2618" t="s">
        <v>373</v>
      </c>
      <c r="I2618" t="s">
        <v>289</v>
      </c>
      <c r="J2618" t="s">
        <v>821</v>
      </c>
      <c r="K2618">
        <v>12</v>
      </c>
      <c r="L2618" s="6">
        <v>3.6</v>
      </c>
      <c r="M2618" s="7">
        <v>40</v>
      </c>
      <c r="N2618" s="7">
        <v>140</v>
      </c>
      <c r="O2618" s="7">
        <f t="shared" si="203"/>
        <v>141.73228346456693</v>
      </c>
      <c r="P2618" s="7">
        <f t="shared" si="204"/>
        <v>1.5748031496062993</v>
      </c>
      <c r="Q2618" s="7">
        <f t="shared" si="204"/>
        <v>5.5118110236220472</v>
      </c>
      <c r="R2618" s="6">
        <f t="shared" si="205"/>
        <v>585.86400000000003</v>
      </c>
      <c r="S2618" s="6">
        <f t="shared" si="206"/>
        <v>2.0160000000000001E-2</v>
      </c>
      <c r="T2618" t="str">
        <f t="shared" si="202"/>
        <v>Maximo Thermo Ayous Dark S4S E4E 2x6 Long</v>
      </c>
    </row>
    <row r="2619" spans="1:20" x14ac:dyDescent="0.25">
      <c r="A2619" t="s">
        <v>3291</v>
      </c>
      <c r="B2619" t="s">
        <v>3379</v>
      </c>
      <c r="C2619" t="s">
        <v>283</v>
      </c>
      <c r="D2619" t="s">
        <v>3044</v>
      </c>
      <c r="E2619" t="s">
        <v>3384</v>
      </c>
      <c r="F2619" t="s">
        <v>3381</v>
      </c>
      <c r="G2619" t="s">
        <v>3295</v>
      </c>
      <c r="H2619" t="s">
        <v>373</v>
      </c>
      <c r="I2619" t="s">
        <v>289</v>
      </c>
      <c r="J2619" t="s">
        <v>821</v>
      </c>
      <c r="K2619">
        <v>13</v>
      </c>
      <c r="L2619" s="6">
        <v>3.9</v>
      </c>
      <c r="M2619" s="7">
        <v>40</v>
      </c>
      <c r="N2619" s="7">
        <v>140</v>
      </c>
      <c r="O2619" s="7">
        <f t="shared" si="203"/>
        <v>153.54330708661416</v>
      </c>
      <c r="P2619" s="7">
        <f t="shared" si="204"/>
        <v>1.5748031496062993</v>
      </c>
      <c r="Q2619" s="7">
        <f t="shared" si="204"/>
        <v>5.5118110236220472</v>
      </c>
      <c r="R2619" s="6">
        <f t="shared" si="205"/>
        <v>585.86400000000003</v>
      </c>
      <c r="S2619" s="6">
        <f t="shared" si="206"/>
        <v>2.1839999999999998E-2</v>
      </c>
      <c r="T2619" t="str">
        <f t="shared" si="202"/>
        <v>Maximo Thermo Ayous Dark S4S E4E 2x6 Long</v>
      </c>
    </row>
    <row r="2620" spans="1:20" x14ac:dyDescent="0.25">
      <c r="A2620" t="s">
        <v>3291</v>
      </c>
      <c r="B2620" t="s">
        <v>3379</v>
      </c>
      <c r="C2620" t="s">
        <v>283</v>
      </c>
      <c r="D2620" t="s">
        <v>3044</v>
      </c>
      <c r="E2620" t="s">
        <v>3385</v>
      </c>
      <c r="F2620" t="s">
        <v>3381</v>
      </c>
      <c r="G2620" t="s">
        <v>3295</v>
      </c>
      <c r="H2620" t="s">
        <v>373</v>
      </c>
      <c r="I2620" t="s">
        <v>289</v>
      </c>
      <c r="J2620" t="s">
        <v>821</v>
      </c>
      <c r="K2620">
        <v>14</v>
      </c>
      <c r="L2620" s="6">
        <v>4.2</v>
      </c>
      <c r="M2620" s="7">
        <v>40</v>
      </c>
      <c r="N2620" s="7">
        <v>140</v>
      </c>
      <c r="O2620" s="7">
        <f t="shared" si="203"/>
        <v>165.35433070866142</v>
      </c>
      <c r="P2620" s="7">
        <f t="shared" si="204"/>
        <v>1.5748031496062993</v>
      </c>
      <c r="Q2620" s="7">
        <f t="shared" si="204"/>
        <v>5.5118110236220472</v>
      </c>
      <c r="R2620" s="6">
        <f t="shared" si="205"/>
        <v>585.86400000000003</v>
      </c>
      <c r="S2620" s="6">
        <f t="shared" si="206"/>
        <v>2.3520000000000003E-2</v>
      </c>
      <c r="T2620" t="str">
        <f t="shared" si="202"/>
        <v>Maximo Thermo Ayous Dark S4S E4E 2x6 Long</v>
      </c>
    </row>
    <row r="2621" spans="1:20" x14ac:dyDescent="0.25">
      <c r="A2621" t="s">
        <v>3291</v>
      </c>
      <c r="B2621" t="s">
        <v>3379</v>
      </c>
      <c r="C2621" t="s">
        <v>283</v>
      </c>
      <c r="D2621" t="s">
        <v>3044</v>
      </c>
      <c r="E2621" t="s">
        <v>3386</v>
      </c>
      <c r="F2621" t="s">
        <v>3381</v>
      </c>
      <c r="G2621" t="s">
        <v>3295</v>
      </c>
      <c r="H2621" t="s">
        <v>373</v>
      </c>
      <c r="I2621" t="s">
        <v>289</v>
      </c>
      <c r="J2621" t="s">
        <v>821</v>
      </c>
      <c r="K2621">
        <v>15</v>
      </c>
      <c r="L2621" s="6">
        <v>4.5</v>
      </c>
      <c r="M2621" s="7">
        <v>40</v>
      </c>
      <c r="N2621" s="7">
        <v>140</v>
      </c>
      <c r="O2621" s="7">
        <f t="shared" si="203"/>
        <v>177.16535433070868</v>
      </c>
      <c r="P2621" s="7">
        <f t="shared" si="204"/>
        <v>1.5748031496062993</v>
      </c>
      <c r="Q2621" s="7">
        <f t="shared" si="204"/>
        <v>5.5118110236220472</v>
      </c>
      <c r="R2621" s="6">
        <f t="shared" si="205"/>
        <v>585.86400000000003</v>
      </c>
      <c r="S2621" s="6">
        <f t="shared" si="206"/>
        <v>2.52E-2</v>
      </c>
      <c r="T2621" t="str">
        <f t="shared" si="202"/>
        <v>Maximo Thermo Ayous Dark S4S E4E 2x6 Long</v>
      </c>
    </row>
    <row r="2622" spans="1:20" x14ac:dyDescent="0.25">
      <c r="A2622" t="s">
        <v>3291</v>
      </c>
      <c r="B2622" t="s">
        <v>3379</v>
      </c>
      <c r="C2622" t="s">
        <v>283</v>
      </c>
      <c r="D2622" t="s">
        <v>3044</v>
      </c>
      <c r="E2622" t="s">
        <v>3387</v>
      </c>
      <c r="F2622" t="s">
        <v>3381</v>
      </c>
      <c r="G2622" t="s">
        <v>3295</v>
      </c>
      <c r="H2622" t="s">
        <v>373</v>
      </c>
      <c r="I2622" t="s">
        <v>289</v>
      </c>
      <c r="J2622" t="s">
        <v>821</v>
      </c>
      <c r="K2622">
        <v>16</v>
      </c>
      <c r="L2622" s="6">
        <v>4.8</v>
      </c>
      <c r="M2622" s="7">
        <v>40</v>
      </c>
      <c r="N2622" s="7">
        <v>140</v>
      </c>
      <c r="O2622" s="7">
        <f t="shared" si="203"/>
        <v>188.97637795275591</v>
      </c>
      <c r="P2622" s="7">
        <f t="shared" si="204"/>
        <v>1.5748031496062993</v>
      </c>
      <c r="Q2622" s="7">
        <f t="shared" si="204"/>
        <v>5.5118110236220472</v>
      </c>
      <c r="R2622" s="6">
        <f t="shared" si="205"/>
        <v>585.86400000000003</v>
      </c>
      <c r="S2622" s="6">
        <f t="shared" si="206"/>
        <v>2.6879999999999998E-2</v>
      </c>
      <c r="T2622" t="str">
        <f t="shared" si="202"/>
        <v>Maximo Thermo Ayous Dark S4S E4E 2x6 Long</v>
      </c>
    </row>
    <row r="2623" spans="1:20" x14ac:dyDescent="0.25">
      <c r="A2623" t="s">
        <v>3291</v>
      </c>
      <c r="B2623" t="s">
        <v>3379</v>
      </c>
      <c r="C2623" t="s">
        <v>283</v>
      </c>
      <c r="D2623" t="s">
        <v>3044</v>
      </c>
      <c r="E2623" t="s">
        <v>3388</v>
      </c>
      <c r="F2623" t="s">
        <v>3381</v>
      </c>
      <c r="G2623" t="s">
        <v>3295</v>
      </c>
      <c r="H2623" t="s">
        <v>373</v>
      </c>
      <c r="I2623" t="s">
        <v>289</v>
      </c>
      <c r="J2623" t="s">
        <v>821</v>
      </c>
      <c r="K2623">
        <v>17</v>
      </c>
      <c r="L2623" s="6">
        <v>5.0999999999999996</v>
      </c>
      <c r="M2623" s="7">
        <v>40</v>
      </c>
      <c r="N2623" s="7">
        <v>140</v>
      </c>
      <c r="O2623" s="7">
        <f t="shared" si="203"/>
        <v>200.78740157480314</v>
      </c>
      <c r="P2623" s="7">
        <f t="shared" si="204"/>
        <v>1.5748031496062993</v>
      </c>
      <c r="Q2623" s="7">
        <f t="shared" si="204"/>
        <v>5.5118110236220472</v>
      </c>
      <c r="R2623" s="6">
        <f t="shared" si="205"/>
        <v>585.86400000000003</v>
      </c>
      <c r="S2623" s="6">
        <f t="shared" si="206"/>
        <v>2.8559999999999999E-2</v>
      </c>
      <c r="T2623" t="str">
        <f t="shared" si="202"/>
        <v>Maximo Thermo Ayous Dark S4S E4E 2x6 Long</v>
      </c>
    </row>
    <row r="2624" spans="1:20" x14ac:dyDescent="0.25">
      <c r="A2624" t="s">
        <v>3291</v>
      </c>
      <c r="B2624" t="s">
        <v>3379</v>
      </c>
      <c r="C2624" t="s">
        <v>283</v>
      </c>
      <c r="D2624" t="s">
        <v>3044</v>
      </c>
      <c r="E2624" t="s">
        <v>3389</v>
      </c>
      <c r="F2624" t="s">
        <v>3381</v>
      </c>
      <c r="G2624" t="s">
        <v>3295</v>
      </c>
      <c r="H2624" t="s">
        <v>373</v>
      </c>
      <c r="I2624" t="s">
        <v>289</v>
      </c>
      <c r="J2624" t="s">
        <v>821</v>
      </c>
      <c r="K2624">
        <v>18</v>
      </c>
      <c r="L2624" s="6">
        <v>5.4</v>
      </c>
      <c r="M2624" s="7">
        <v>40</v>
      </c>
      <c r="N2624" s="7">
        <v>140</v>
      </c>
      <c r="O2624" s="7">
        <f t="shared" si="203"/>
        <v>212.59842519685043</v>
      </c>
      <c r="P2624" s="7">
        <f t="shared" si="204"/>
        <v>1.5748031496062993</v>
      </c>
      <c r="Q2624" s="7">
        <f t="shared" si="204"/>
        <v>5.5118110236220472</v>
      </c>
      <c r="R2624" s="6">
        <f t="shared" si="205"/>
        <v>585.86400000000003</v>
      </c>
      <c r="S2624" s="6">
        <f t="shared" si="206"/>
        <v>3.024E-2</v>
      </c>
      <c r="T2624" t="str">
        <f t="shared" si="202"/>
        <v>Maximo Thermo Ayous Dark S4S E4E 2x6 Long</v>
      </c>
    </row>
    <row r="2625" spans="1:20" x14ac:dyDescent="0.25">
      <c r="A2625" t="s">
        <v>3291</v>
      </c>
      <c r="B2625" t="s">
        <v>3379</v>
      </c>
      <c r="C2625" t="s">
        <v>524</v>
      </c>
      <c r="D2625" t="s">
        <v>3044</v>
      </c>
      <c r="E2625" t="s">
        <v>3390</v>
      </c>
      <c r="F2625" t="s">
        <v>3381</v>
      </c>
      <c r="G2625" t="s">
        <v>3295</v>
      </c>
      <c r="H2625" t="s">
        <v>373</v>
      </c>
      <c r="I2625" t="s">
        <v>289</v>
      </c>
      <c r="J2625" t="s">
        <v>821</v>
      </c>
      <c r="K2625">
        <v>4</v>
      </c>
      <c r="L2625" s="6">
        <v>1.2</v>
      </c>
      <c r="M2625" s="7">
        <v>40</v>
      </c>
      <c r="N2625" s="7">
        <v>140</v>
      </c>
      <c r="O2625" s="7">
        <f t="shared" si="203"/>
        <v>47.244094488188978</v>
      </c>
      <c r="P2625" s="7">
        <f t="shared" si="204"/>
        <v>1.5748031496062993</v>
      </c>
      <c r="Q2625" s="7">
        <f t="shared" si="204"/>
        <v>5.5118110236220472</v>
      </c>
      <c r="R2625" s="6">
        <f t="shared" si="205"/>
        <v>585.86400000000003</v>
      </c>
      <c r="S2625" s="6">
        <f t="shared" si="206"/>
        <v>6.7199999999999994E-3</v>
      </c>
      <c r="T2625" t="str">
        <f t="shared" si="202"/>
        <v>Maximo Thermo Ayous Dark S4S E4E 2x6 Short</v>
      </c>
    </row>
    <row r="2626" spans="1:20" x14ac:dyDescent="0.25">
      <c r="A2626" t="s">
        <v>3291</v>
      </c>
      <c r="B2626" t="s">
        <v>3379</v>
      </c>
      <c r="C2626" t="s">
        <v>524</v>
      </c>
      <c r="D2626" t="s">
        <v>3044</v>
      </c>
      <c r="E2626" t="s">
        <v>3391</v>
      </c>
      <c r="F2626" t="s">
        <v>3381</v>
      </c>
      <c r="G2626" t="s">
        <v>3295</v>
      </c>
      <c r="H2626" t="s">
        <v>373</v>
      </c>
      <c r="I2626" t="s">
        <v>289</v>
      </c>
      <c r="J2626" t="s">
        <v>821</v>
      </c>
      <c r="K2626">
        <v>5</v>
      </c>
      <c r="L2626" s="6">
        <v>1.5</v>
      </c>
      <c r="M2626" s="7">
        <v>40</v>
      </c>
      <c r="N2626" s="7">
        <v>140</v>
      </c>
      <c r="O2626" s="7">
        <f t="shared" si="203"/>
        <v>59.055118110236222</v>
      </c>
      <c r="P2626" s="7">
        <f t="shared" si="204"/>
        <v>1.5748031496062993</v>
      </c>
      <c r="Q2626" s="7">
        <f t="shared" si="204"/>
        <v>5.5118110236220472</v>
      </c>
      <c r="R2626" s="6">
        <f t="shared" si="205"/>
        <v>585.86400000000003</v>
      </c>
      <c r="S2626" s="6">
        <f t="shared" si="206"/>
        <v>8.4000000000000012E-3</v>
      </c>
      <c r="T2626" t="str">
        <f t="shared" ref="T2626:T2689" si="207">F2626&amp;" "&amp;C2626</f>
        <v>Maximo Thermo Ayous Dark S4S E4E 2x6 Short</v>
      </c>
    </row>
    <row r="2627" spans="1:20" x14ac:dyDescent="0.25">
      <c r="A2627" t="s">
        <v>3291</v>
      </c>
      <c r="B2627" t="s">
        <v>3379</v>
      </c>
      <c r="C2627" t="s">
        <v>524</v>
      </c>
      <c r="D2627" t="s">
        <v>3044</v>
      </c>
      <c r="E2627" t="s">
        <v>3392</v>
      </c>
      <c r="F2627" t="s">
        <v>3381</v>
      </c>
      <c r="G2627" t="s">
        <v>3295</v>
      </c>
      <c r="H2627" t="s">
        <v>373</v>
      </c>
      <c r="I2627" t="s">
        <v>289</v>
      </c>
      <c r="J2627" t="s">
        <v>821</v>
      </c>
      <c r="K2627">
        <v>6</v>
      </c>
      <c r="L2627" s="6">
        <v>1.8</v>
      </c>
      <c r="M2627" s="7">
        <v>40</v>
      </c>
      <c r="N2627" s="7">
        <v>140</v>
      </c>
      <c r="O2627" s="7">
        <f t="shared" si="203"/>
        <v>70.866141732283467</v>
      </c>
      <c r="P2627" s="7">
        <f t="shared" si="204"/>
        <v>1.5748031496062993</v>
      </c>
      <c r="Q2627" s="7">
        <f t="shared" si="204"/>
        <v>5.5118110236220472</v>
      </c>
      <c r="R2627" s="6">
        <f t="shared" si="205"/>
        <v>585.86400000000003</v>
      </c>
      <c r="S2627" s="6">
        <f t="shared" si="206"/>
        <v>1.008E-2</v>
      </c>
      <c r="T2627" t="str">
        <f t="shared" si="207"/>
        <v>Maximo Thermo Ayous Dark S4S E4E 2x6 Short</v>
      </c>
    </row>
    <row r="2628" spans="1:20" x14ac:dyDescent="0.25">
      <c r="A2628" t="s">
        <v>3291</v>
      </c>
      <c r="B2628" t="s">
        <v>3379</v>
      </c>
      <c r="C2628" t="s">
        <v>524</v>
      </c>
      <c r="D2628" t="s">
        <v>3044</v>
      </c>
      <c r="E2628" t="s">
        <v>3393</v>
      </c>
      <c r="F2628" t="s">
        <v>3381</v>
      </c>
      <c r="G2628" t="s">
        <v>3295</v>
      </c>
      <c r="H2628" t="s">
        <v>373</v>
      </c>
      <c r="I2628" t="s">
        <v>289</v>
      </c>
      <c r="J2628" t="s">
        <v>821</v>
      </c>
      <c r="K2628">
        <v>7</v>
      </c>
      <c r="L2628" s="6">
        <v>2.1</v>
      </c>
      <c r="M2628" s="7">
        <v>40</v>
      </c>
      <c r="N2628" s="7">
        <v>140</v>
      </c>
      <c r="O2628" s="7">
        <f t="shared" si="203"/>
        <v>82.677165354330711</v>
      </c>
      <c r="P2628" s="7">
        <f t="shared" si="204"/>
        <v>1.5748031496062993</v>
      </c>
      <c r="Q2628" s="7">
        <f t="shared" si="204"/>
        <v>5.5118110236220472</v>
      </c>
      <c r="R2628" s="6">
        <f t="shared" si="205"/>
        <v>585.86400000000003</v>
      </c>
      <c r="S2628" s="6">
        <f t="shared" si="206"/>
        <v>1.1760000000000001E-2</v>
      </c>
      <c r="T2628" t="str">
        <f t="shared" si="207"/>
        <v>Maximo Thermo Ayous Dark S4S E4E 2x6 Short</v>
      </c>
    </row>
    <row r="2629" spans="1:20" x14ac:dyDescent="0.25">
      <c r="A2629" t="s">
        <v>3291</v>
      </c>
      <c r="B2629" t="s">
        <v>3379</v>
      </c>
      <c r="C2629" t="s">
        <v>283</v>
      </c>
      <c r="D2629" t="s">
        <v>3044</v>
      </c>
      <c r="E2629" t="s">
        <v>3394</v>
      </c>
      <c r="F2629" t="s">
        <v>3381</v>
      </c>
      <c r="G2629" t="s">
        <v>3295</v>
      </c>
      <c r="H2629" t="s">
        <v>373</v>
      </c>
      <c r="I2629" t="s">
        <v>289</v>
      </c>
      <c r="J2629" t="s">
        <v>821</v>
      </c>
      <c r="K2629">
        <v>8</v>
      </c>
      <c r="L2629" s="6">
        <v>2.4</v>
      </c>
      <c r="M2629" s="7">
        <v>40</v>
      </c>
      <c r="N2629" s="7">
        <v>140</v>
      </c>
      <c r="O2629" s="7">
        <f t="shared" si="203"/>
        <v>94.488188976377955</v>
      </c>
      <c r="P2629" s="7">
        <f t="shared" si="204"/>
        <v>1.5748031496062993</v>
      </c>
      <c r="Q2629" s="7">
        <f t="shared" si="204"/>
        <v>5.5118110236220472</v>
      </c>
      <c r="R2629" s="6">
        <f t="shared" si="205"/>
        <v>585.86400000000003</v>
      </c>
      <c r="S2629" s="6">
        <f t="shared" si="206"/>
        <v>1.3439999999999999E-2</v>
      </c>
      <c r="T2629" t="str">
        <f t="shared" si="207"/>
        <v>Maximo Thermo Ayous Dark S4S E4E 2x6 Long</v>
      </c>
    </row>
    <row r="2630" spans="1:20" x14ac:dyDescent="0.25">
      <c r="A2630" t="s">
        <v>3291</v>
      </c>
      <c r="B2630" t="s">
        <v>3379</v>
      </c>
      <c r="C2630" t="s">
        <v>283</v>
      </c>
      <c r="D2630" t="s">
        <v>3044</v>
      </c>
      <c r="E2630" t="s">
        <v>3395</v>
      </c>
      <c r="F2630" t="s">
        <v>3381</v>
      </c>
      <c r="G2630" t="s">
        <v>3295</v>
      </c>
      <c r="H2630" t="s">
        <v>373</v>
      </c>
      <c r="I2630" t="s">
        <v>289</v>
      </c>
      <c r="J2630" t="s">
        <v>821</v>
      </c>
      <c r="K2630">
        <v>9</v>
      </c>
      <c r="L2630" s="6">
        <v>2.7</v>
      </c>
      <c r="M2630" s="7">
        <v>40</v>
      </c>
      <c r="N2630" s="7">
        <v>140</v>
      </c>
      <c r="O2630" s="7">
        <f t="shared" si="203"/>
        <v>106.29921259842521</v>
      </c>
      <c r="P2630" s="7">
        <f t="shared" si="204"/>
        <v>1.5748031496062993</v>
      </c>
      <c r="Q2630" s="7">
        <f t="shared" si="204"/>
        <v>5.5118110236220472</v>
      </c>
      <c r="R2630" s="6">
        <f t="shared" si="205"/>
        <v>585.86400000000003</v>
      </c>
      <c r="S2630" s="6">
        <f t="shared" si="206"/>
        <v>1.512E-2</v>
      </c>
      <c r="T2630" t="str">
        <f t="shared" si="207"/>
        <v>Maximo Thermo Ayous Dark S4S E4E 2x6 Long</v>
      </c>
    </row>
    <row r="2631" spans="1:20" x14ac:dyDescent="0.25">
      <c r="A2631" t="s">
        <v>3291</v>
      </c>
      <c r="B2631" t="s">
        <v>3311</v>
      </c>
      <c r="C2631" t="s">
        <v>283</v>
      </c>
      <c r="D2631" t="s">
        <v>3044</v>
      </c>
      <c r="E2631" t="s">
        <v>67</v>
      </c>
      <c r="F2631" t="s">
        <v>3396</v>
      </c>
      <c r="G2631" t="s">
        <v>3295</v>
      </c>
      <c r="H2631" t="s">
        <v>3397</v>
      </c>
      <c r="I2631" t="s">
        <v>289</v>
      </c>
      <c r="J2631" t="s">
        <v>344</v>
      </c>
      <c r="K2631">
        <v>10</v>
      </c>
      <c r="L2631" s="6">
        <v>3</v>
      </c>
      <c r="M2631" s="7">
        <v>19</v>
      </c>
      <c r="N2631" s="7">
        <v>140</v>
      </c>
      <c r="O2631" s="7">
        <f t="shared" si="203"/>
        <v>118.11023622047244</v>
      </c>
      <c r="P2631" s="7">
        <f t="shared" si="204"/>
        <v>0.74803149606299213</v>
      </c>
      <c r="Q2631" s="7">
        <f t="shared" si="204"/>
        <v>5.5118110236220472</v>
      </c>
      <c r="R2631" s="6">
        <f t="shared" si="205"/>
        <v>1233.3979999999999</v>
      </c>
      <c r="S2631" s="6">
        <f t="shared" si="206"/>
        <v>7.980000000000001E-3</v>
      </c>
      <c r="T2631" t="str">
        <f t="shared" si="207"/>
        <v>Maximo Thermo Ayous Dark VJoint - Square Back 1x6 Long</v>
      </c>
    </row>
    <row r="2632" spans="1:20" x14ac:dyDescent="0.25">
      <c r="A2632" t="s">
        <v>3291</v>
      </c>
      <c r="B2632" t="s">
        <v>3311</v>
      </c>
      <c r="C2632" t="s">
        <v>283</v>
      </c>
      <c r="D2632" t="s">
        <v>3044</v>
      </c>
      <c r="E2632" t="s">
        <v>83</v>
      </c>
      <c r="F2632" t="s">
        <v>3396</v>
      </c>
      <c r="G2632" t="s">
        <v>3295</v>
      </c>
      <c r="H2632" t="s">
        <v>3397</v>
      </c>
      <c r="I2632" t="s">
        <v>289</v>
      </c>
      <c r="J2632" t="s">
        <v>344</v>
      </c>
      <c r="K2632">
        <v>11</v>
      </c>
      <c r="L2632" s="6">
        <v>3.3</v>
      </c>
      <c r="M2632" s="7">
        <v>19</v>
      </c>
      <c r="N2632" s="7">
        <v>140</v>
      </c>
      <c r="O2632" s="7">
        <f t="shared" si="203"/>
        <v>129.92125984251967</v>
      </c>
      <c r="P2632" s="7">
        <f t="shared" si="204"/>
        <v>0.74803149606299213</v>
      </c>
      <c r="Q2632" s="7">
        <f t="shared" si="204"/>
        <v>5.5118110236220472</v>
      </c>
      <c r="R2632" s="6">
        <f t="shared" si="205"/>
        <v>1233.3979999999999</v>
      </c>
      <c r="S2632" s="6">
        <f t="shared" si="206"/>
        <v>8.7779999999999993E-3</v>
      </c>
      <c r="T2632" t="str">
        <f t="shared" si="207"/>
        <v>Maximo Thermo Ayous Dark VJoint - Square Back 1x6 Long</v>
      </c>
    </row>
    <row r="2633" spans="1:20" x14ac:dyDescent="0.25">
      <c r="A2633" t="s">
        <v>3291</v>
      </c>
      <c r="B2633" t="s">
        <v>3311</v>
      </c>
      <c r="C2633" t="s">
        <v>283</v>
      </c>
      <c r="D2633" t="s">
        <v>3044</v>
      </c>
      <c r="E2633" t="s">
        <v>260</v>
      </c>
      <c r="F2633" t="s">
        <v>3396</v>
      </c>
      <c r="G2633" t="s">
        <v>3295</v>
      </c>
      <c r="H2633" t="s">
        <v>3397</v>
      </c>
      <c r="I2633" t="s">
        <v>289</v>
      </c>
      <c r="J2633" t="s">
        <v>344</v>
      </c>
      <c r="K2633">
        <v>12</v>
      </c>
      <c r="L2633" s="6">
        <v>3.6</v>
      </c>
      <c r="M2633" s="7">
        <v>19</v>
      </c>
      <c r="N2633" s="7">
        <v>140</v>
      </c>
      <c r="O2633" s="7">
        <f t="shared" si="203"/>
        <v>141.73228346456693</v>
      </c>
      <c r="P2633" s="7">
        <f t="shared" si="204"/>
        <v>0.74803149606299213</v>
      </c>
      <c r="Q2633" s="7">
        <f t="shared" si="204"/>
        <v>5.5118110236220472</v>
      </c>
      <c r="R2633" s="6">
        <f t="shared" si="205"/>
        <v>1233.3979999999999</v>
      </c>
      <c r="S2633" s="6">
        <f t="shared" si="206"/>
        <v>9.5760000000000012E-3</v>
      </c>
      <c r="T2633" t="str">
        <f t="shared" si="207"/>
        <v>Maximo Thermo Ayous Dark VJoint - Square Back 1x6 Long</v>
      </c>
    </row>
    <row r="2634" spans="1:20" x14ac:dyDescent="0.25">
      <c r="A2634" t="s">
        <v>3291</v>
      </c>
      <c r="B2634" t="s">
        <v>3311</v>
      </c>
      <c r="C2634" t="s">
        <v>283</v>
      </c>
      <c r="D2634" t="s">
        <v>3044</v>
      </c>
      <c r="E2634" t="s">
        <v>84</v>
      </c>
      <c r="F2634" t="s">
        <v>3396</v>
      </c>
      <c r="G2634" t="s">
        <v>3295</v>
      </c>
      <c r="H2634" t="s">
        <v>3397</v>
      </c>
      <c r="I2634" t="s">
        <v>289</v>
      </c>
      <c r="J2634" t="s">
        <v>344</v>
      </c>
      <c r="K2634">
        <v>13</v>
      </c>
      <c r="L2634" s="6">
        <v>3.9</v>
      </c>
      <c r="M2634" s="7">
        <v>19</v>
      </c>
      <c r="N2634" s="7">
        <v>140</v>
      </c>
      <c r="O2634" s="7">
        <f t="shared" si="203"/>
        <v>153.54330708661416</v>
      </c>
      <c r="P2634" s="7">
        <f t="shared" si="204"/>
        <v>0.74803149606299213</v>
      </c>
      <c r="Q2634" s="7">
        <f t="shared" si="204"/>
        <v>5.5118110236220472</v>
      </c>
      <c r="R2634" s="6">
        <f t="shared" si="205"/>
        <v>1233.3979999999999</v>
      </c>
      <c r="S2634" s="6">
        <f t="shared" si="206"/>
        <v>1.0374000000000001E-2</v>
      </c>
      <c r="T2634" t="str">
        <f t="shared" si="207"/>
        <v>Maximo Thermo Ayous Dark VJoint - Square Back 1x6 Long</v>
      </c>
    </row>
    <row r="2635" spans="1:20" x14ac:dyDescent="0.25">
      <c r="A2635" t="s">
        <v>3291</v>
      </c>
      <c r="B2635" t="s">
        <v>3311</v>
      </c>
      <c r="C2635" t="s">
        <v>283</v>
      </c>
      <c r="D2635" t="s">
        <v>3044</v>
      </c>
      <c r="E2635" t="s">
        <v>68</v>
      </c>
      <c r="F2635" t="s">
        <v>3396</v>
      </c>
      <c r="G2635" t="s">
        <v>3295</v>
      </c>
      <c r="H2635" t="s">
        <v>3397</v>
      </c>
      <c r="I2635" t="s">
        <v>289</v>
      </c>
      <c r="J2635" t="s">
        <v>344</v>
      </c>
      <c r="K2635">
        <v>14</v>
      </c>
      <c r="L2635" s="6">
        <v>4.2</v>
      </c>
      <c r="M2635" s="7">
        <v>19</v>
      </c>
      <c r="N2635" s="7">
        <v>140</v>
      </c>
      <c r="O2635" s="7">
        <f t="shared" si="203"/>
        <v>165.35433070866142</v>
      </c>
      <c r="P2635" s="7">
        <f t="shared" si="204"/>
        <v>0.74803149606299213</v>
      </c>
      <c r="Q2635" s="7">
        <f t="shared" si="204"/>
        <v>5.5118110236220472</v>
      </c>
      <c r="R2635" s="6">
        <f t="shared" si="205"/>
        <v>1233.3979999999999</v>
      </c>
      <c r="S2635" s="6">
        <f t="shared" si="206"/>
        <v>1.1172E-2</v>
      </c>
      <c r="T2635" t="str">
        <f t="shared" si="207"/>
        <v>Maximo Thermo Ayous Dark VJoint - Square Back 1x6 Long</v>
      </c>
    </row>
    <row r="2636" spans="1:20" x14ac:dyDescent="0.25">
      <c r="A2636" t="s">
        <v>3291</v>
      </c>
      <c r="B2636" t="s">
        <v>3311</v>
      </c>
      <c r="C2636" t="s">
        <v>283</v>
      </c>
      <c r="D2636" t="s">
        <v>3044</v>
      </c>
      <c r="E2636" t="s">
        <v>85</v>
      </c>
      <c r="F2636" t="s">
        <v>3396</v>
      </c>
      <c r="G2636" t="s">
        <v>3295</v>
      </c>
      <c r="H2636" t="s">
        <v>3397</v>
      </c>
      <c r="I2636" t="s">
        <v>289</v>
      </c>
      <c r="J2636" t="s">
        <v>344</v>
      </c>
      <c r="K2636">
        <v>15</v>
      </c>
      <c r="L2636" s="6">
        <v>4.5</v>
      </c>
      <c r="M2636" s="7">
        <v>19</v>
      </c>
      <c r="N2636" s="7">
        <v>140</v>
      </c>
      <c r="O2636" s="7">
        <f t="shared" si="203"/>
        <v>177.16535433070868</v>
      </c>
      <c r="P2636" s="7">
        <f t="shared" si="204"/>
        <v>0.74803149606299213</v>
      </c>
      <c r="Q2636" s="7">
        <f t="shared" si="204"/>
        <v>5.5118110236220472</v>
      </c>
      <c r="R2636" s="6">
        <f t="shared" si="205"/>
        <v>1233.3979999999999</v>
      </c>
      <c r="S2636" s="6">
        <f t="shared" si="206"/>
        <v>1.1970000000000001E-2</v>
      </c>
      <c r="T2636" t="str">
        <f t="shared" si="207"/>
        <v>Maximo Thermo Ayous Dark VJoint - Square Back 1x6 Long</v>
      </c>
    </row>
    <row r="2637" spans="1:20" x14ac:dyDescent="0.25">
      <c r="A2637" t="s">
        <v>3291</v>
      </c>
      <c r="B2637" t="s">
        <v>3311</v>
      </c>
      <c r="C2637" t="s">
        <v>283</v>
      </c>
      <c r="D2637" t="s">
        <v>3044</v>
      </c>
      <c r="E2637" t="s">
        <v>3398</v>
      </c>
      <c r="F2637" t="s">
        <v>3396</v>
      </c>
      <c r="G2637" t="s">
        <v>3295</v>
      </c>
      <c r="H2637" t="s">
        <v>3397</v>
      </c>
      <c r="I2637" t="s">
        <v>289</v>
      </c>
      <c r="J2637" t="s">
        <v>344</v>
      </c>
      <c r="K2637">
        <v>16</v>
      </c>
      <c r="L2637" s="6">
        <v>4.8</v>
      </c>
      <c r="M2637" s="7">
        <v>19</v>
      </c>
      <c r="N2637" s="7">
        <v>140</v>
      </c>
      <c r="O2637" s="7">
        <f t="shared" si="203"/>
        <v>188.97637795275591</v>
      </c>
      <c r="P2637" s="7">
        <f t="shared" si="204"/>
        <v>0.74803149606299213</v>
      </c>
      <c r="Q2637" s="7">
        <f t="shared" si="204"/>
        <v>5.5118110236220472</v>
      </c>
      <c r="R2637" s="6">
        <f t="shared" si="205"/>
        <v>1233.3979999999999</v>
      </c>
      <c r="S2637" s="6">
        <f t="shared" si="206"/>
        <v>1.2768E-2</v>
      </c>
      <c r="T2637" t="str">
        <f t="shared" si="207"/>
        <v>Maximo Thermo Ayous Dark VJoint - Square Back 1x6 Long</v>
      </c>
    </row>
    <row r="2638" spans="1:20" x14ac:dyDescent="0.25">
      <c r="A2638" t="s">
        <v>3291</v>
      </c>
      <c r="B2638" t="s">
        <v>3311</v>
      </c>
      <c r="C2638" t="s">
        <v>283</v>
      </c>
      <c r="D2638" t="s">
        <v>3044</v>
      </c>
      <c r="E2638" t="s">
        <v>3399</v>
      </c>
      <c r="F2638" t="s">
        <v>3396</v>
      </c>
      <c r="G2638" t="s">
        <v>3295</v>
      </c>
      <c r="H2638" t="s">
        <v>3397</v>
      </c>
      <c r="I2638" t="s">
        <v>289</v>
      </c>
      <c r="J2638" t="s">
        <v>344</v>
      </c>
      <c r="K2638">
        <v>17</v>
      </c>
      <c r="L2638" s="6">
        <v>5.0999999999999996</v>
      </c>
      <c r="M2638" s="7">
        <v>19</v>
      </c>
      <c r="N2638" s="7">
        <v>140</v>
      </c>
      <c r="O2638" s="7">
        <f t="shared" si="203"/>
        <v>200.78740157480314</v>
      </c>
      <c r="P2638" s="7">
        <f t="shared" si="204"/>
        <v>0.74803149606299213</v>
      </c>
      <c r="Q2638" s="7">
        <f t="shared" si="204"/>
        <v>5.5118110236220472</v>
      </c>
      <c r="R2638" s="6">
        <f t="shared" si="205"/>
        <v>1233.3979999999999</v>
      </c>
      <c r="S2638" s="6">
        <f t="shared" si="206"/>
        <v>1.3565999999999998E-2</v>
      </c>
      <c r="T2638" t="str">
        <f t="shared" si="207"/>
        <v>Maximo Thermo Ayous Dark VJoint - Square Back 1x6 Long</v>
      </c>
    </row>
    <row r="2639" spans="1:20" x14ac:dyDescent="0.25">
      <c r="A2639" t="s">
        <v>3291</v>
      </c>
      <c r="B2639" t="s">
        <v>3311</v>
      </c>
      <c r="C2639" t="s">
        <v>283</v>
      </c>
      <c r="D2639" t="s">
        <v>3044</v>
      </c>
      <c r="E2639" t="s">
        <v>3400</v>
      </c>
      <c r="F2639" t="s">
        <v>3396</v>
      </c>
      <c r="G2639" t="s">
        <v>3295</v>
      </c>
      <c r="H2639" t="s">
        <v>3397</v>
      </c>
      <c r="I2639" t="s">
        <v>289</v>
      </c>
      <c r="J2639" t="s">
        <v>344</v>
      </c>
      <c r="K2639">
        <v>18</v>
      </c>
      <c r="L2639" s="6">
        <v>5.4</v>
      </c>
      <c r="M2639" s="7">
        <v>19</v>
      </c>
      <c r="N2639" s="7">
        <v>140</v>
      </c>
      <c r="O2639" s="7">
        <f t="shared" si="203"/>
        <v>212.59842519685043</v>
      </c>
      <c r="P2639" s="7">
        <f t="shared" si="204"/>
        <v>0.74803149606299213</v>
      </c>
      <c r="Q2639" s="7">
        <f t="shared" si="204"/>
        <v>5.5118110236220472</v>
      </c>
      <c r="R2639" s="6">
        <f t="shared" si="205"/>
        <v>1233.3979999999999</v>
      </c>
      <c r="S2639" s="6">
        <f t="shared" si="206"/>
        <v>1.4364E-2</v>
      </c>
      <c r="T2639" t="str">
        <f t="shared" si="207"/>
        <v>Maximo Thermo Ayous Dark VJoint - Square Back 1x6 Long</v>
      </c>
    </row>
    <row r="2640" spans="1:20" x14ac:dyDescent="0.25">
      <c r="A2640" t="s">
        <v>3291</v>
      </c>
      <c r="B2640" t="s">
        <v>3311</v>
      </c>
      <c r="C2640" t="s">
        <v>524</v>
      </c>
      <c r="D2640" t="s">
        <v>3044</v>
      </c>
      <c r="E2640" t="s">
        <v>3401</v>
      </c>
      <c r="F2640" t="s">
        <v>3396</v>
      </c>
      <c r="G2640" t="s">
        <v>3295</v>
      </c>
      <c r="H2640" t="s">
        <v>3397</v>
      </c>
      <c r="I2640" t="s">
        <v>289</v>
      </c>
      <c r="J2640" t="s">
        <v>344</v>
      </c>
      <c r="K2640">
        <v>4</v>
      </c>
      <c r="L2640" s="6">
        <v>1.2</v>
      </c>
      <c r="M2640" s="7">
        <v>19</v>
      </c>
      <c r="N2640" s="7">
        <v>140</v>
      </c>
      <c r="O2640" s="7">
        <f t="shared" si="203"/>
        <v>47.244094488188978</v>
      </c>
      <c r="P2640" s="7">
        <f t="shared" si="204"/>
        <v>0.74803149606299213</v>
      </c>
      <c r="Q2640" s="7">
        <f t="shared" si="204"/>
        <v>5.5118110236220472</v>
      </c>
      <c r="R2640" s="6">
        <f t="shared" si="205"/>
        <v>1233.3979999999999</v>
      </c>
      <c r="S2640" s="6">
        <f t="shared" si="206"/>
        <v>3.192E-3</v>
      </c>
      <c r="T2640" t="str">
        <f t="shared" si="207"/>
        <v>Maximo Thermo Ayous Dark VJoint - Square Back 1x6 Short</v>
      </c>
    </row>
    <row r="2641" spans="1:20" x14ac:dyDescent="0.25">
      <c r="A2641" t="s">
        <v>3291</v>
      </c>
      <c r="B2641" t="s">
        <v>3311</v>
      </c>
      <c r="C2641" t="s">
        <v>524</v>
      </c>
      <c r="D2641" t="s">
        <v>3044</v>
      </c>
      <c r="E2641" t="s">
        <v>3402</v>
      </c>
      <c r="F2641" t="s">
        <v>3396</v>
      </c>
      <c r="G2641" t="s">
        <v>3295</v>
      </c>
      <c r="H2641" t="s">
        <v>3397</v>
      </c>
      <c r="I2641" t="s">
        <v>289</v>
      </c>
      <c r="J2641" t="s">
        <v>344</v>
      </c>
      <c r="K2641">
        <v>5</v>
      </c>
      <c r="L2641" s="6">
        <v>1.5</v>
      </c>
      <c r="M2641" s="7">
        <v>19</v>
      </c>
      <c r="N2641" s="7">
        <v>140</v>
      </c>
      <c r="O2641" s="7">
        <f t="shared" si="203"/>
        <v>59.055118110236222</v>
      </c>
      <c r="P2641" s="7">
        <f t="shared" si="204"/>
        <v>0.74803149606299213</v>
      </c>
      <c r="Q2641" s="7">
        <f t="shared" si="204"/>
        <v>5.5118110236220472</v>
      </c>
      <c r="R2641" s="6">
        <f t="shared" si="205"/>
        <v>1233.3979999999999</v>
      </c>
      <c r="S2641" s="6">
        <f t="shared" si="206"/>
        <v>3.9900000000000005E-3</v>
      </c>
      <c r="T2641" t="str">
        <f t="shared" si="207"/>
        <v>Maximo Thermo Ayous Dark VJoint - Square Back 1x6 Short</v>
      </c>
    </row>
    <row r="2642" spans="1:20" x14ac:dyDescent="0.25">
      <c r="A2642" t="s">
        <v>3291</v>
      </c>
      <c r="B2642" t="s">
        <v>3311</v>
      </c>
      <c r="C2642" t="s">
        <v>524</v>
      </c>
      <c r="D2642" t="s">
        <v>3044</v>
      </c>
      <c r="E2642" t="s">
        <v>3403</v>
      </c>
      <c r="F2642" t="s">
        <v>3396</v>
      </c>
      <c r="G2642" t="s">
        <v>3295</v>
      </c>
      <c r="H2642" t="s">
        <v>3397</v>
      </c>
      <c r="I2642" t="s">
        <v>289</v>
      </c>
      <c r="J2642" t="s">
        <v>344</v>
      </c>
      <c r="K2642">
        <v>6</v>
      </c>
      <c r="L2642" s="6">
        <v>1.8</v>
      </c>
      <c r="M2642" s="7">
        <v>19</v>
      </c>
      <c r="N2642" s="7">
        <v>140</v>
      </c>
      <c r="O2642" s="7">
        <f t="shared" si="203"/>
        <v>70.866141732283467</v>
      </c>
      <c r="P2642" s="7">
        <f t="shared" si="204"/>
        <v>0.74803149606299213</v>
      </c>
      <c r="Q2642" s="7">
        <f t="shared" si="204"/>
        <v>5.5118110236220472</v>
      </c>
      <c r="R2642" s="6">
        <f t="shared" si="205"/>
        <v>1233.3979999999999</v>
      </c>
      <c r="S2642" s="6">
        <f t="shared" si="206"/>
        <v>4.7880000000000006E-3</v>
      </c>
      <c r="T2642" t="str">
        <f t="shared" si="207"/>
        <v>Maximo Thermo Ayous Dark VJoint - Square Back 1x6 Short</v>
      </c>
    </row>
    <row r="2643" spans="1:20" x14ac:dyDescent="0.25">
      <c r="A2643" t="s">
        <v>3291</v>
      </c>
      <c r="B2643" t="s">
        <v>3311</v>
      </c>
      <c r="C2643" t="s">
        <v>524</v>
      </c>
      <c r="D2643" t="s">
        <v>3044</v>
      </c>
      <c r="E2643" t="s">
        <v>3404</v>
      </c>
      <c r="F2643" t="s">
        <v>3396</v>
      </c>
      <c r="G2643" t="s">
        <v>3295</v>
      </c>
      <c r="H2643" t="s">
        <v>3397</v>
      </c>
      <c r="I2643" t="s">
        <v>289</v>
      </c>
      <c r="J2643" t="s">
        <v>344</v>
      </c>
      <c r="K2643">
        <v>7</v>
      </c>
      <c r="L2643" s="6">
        <v>2.1</v>
      </c>
      <c r="M2643" s="7">
        <v>19</v>
      </c>
      <c r="N2643" s="7">
        <v>140</v>
      </c>
      <c r="O2643" s="7">
        <f t="shared" si="203"/>
        <v>82.677165354330711</v>
      </c>
      <c r="P2643" s="7">
        <f t="shared" si="204"/>
        <v>0.74803149606299213</v>
      </c>
      <c r="Q2643" s="7">
        <f t="shared" si="204"/>
        <v>5.5118110236220472</v>
      </c>
      <c r="R2643" s="6">
        <f t="shared" si="205"/>
        <v>1233.3979999999999</v>
      </c>
      <c r="S2643" s="6">
        <f t="shared" si="206"/>
        <v>5.5859999999999998E-3</v>
      </c>
      <c r="T2643" t="str">
        <f t="shared" si="207"/>
        <v>Maximo Thermo Ayous Dark VJoint - Square Back 1x6 Short</v>
      </c>
    </row>
    <row r="2644" spans="1:20" x14ac:dyDescent="0.25">
      <c r="A2644" t="s">
        <v>3291</v>
      </c>
      <c r="B2644" t="s">
        <v>3311</v>
      </c>
      <c r="C2644" t="s">
        <v>283</v>
      </c>
      <c r="D2644" t="s">
        <v>3044</v>
      </c>
      <c r="E2644" t="s">
        <v>90</v>
      </c>
      <c r="F2644" t="s">
        <v>3396</v>
      </c>
      <c r="G2644" t="s">
        <v>3295</v>
      </c>
      <c r="H2644" t="s">
        <v>3397</v>
      </c>
      <c r="I2644" t="s">
        <v>289</v>
      </c>
      <c r="J2644" t="s">
        <v>344</v>
      </c>
      <c r="K2644">
        <v>8</v>
      </c>
      <c r="L2644" s="6">
        <v>2.4</v>
      </c>
      <c r="M2644" s="7">
        <v>19</v>
      </c>
      <c r="N2644" s="7">
        <v>140</v>
      </c>
      <c r="O2644" s="7">
        <f t="shared" si="203"/>
        <v>94.488188976377955</v>
      </c>
      <c r="P2644" s="7">
        <f t="shared" si="204"/>
        <v>0.74803149606299213</v>
      </c>
      <c r="Q2644" s="7">
        <f t="shared" si="204"/>
        <v>5.5118110236220472</v>
      </c>
      <c r="R2644" s="6">
        <f t="shared" si="205"/>
        <v>1233.3979999999999</v>
      </c>
      <c r="S2644" s="6">
        <f t="shared" si="206"/>
        <v>6.3839999999999999E-3</v>
      </c>
      <c r="T2644" t="str">
        <f t="shared" si="207"/>
        <v>Maximo Thermo Ayous Dark VJoint - Square Back 1x6 Long</v>
      </c>
    </row>
    <row r="2645" spans="1:20" x14ac:dyDescent="0.25">
      <c r="A2645" t="s">
        <v>3291</v>
      </c>
      <c r="B2645" t="s">
        <v>3311</v>
      </c>
      <c r="C2645" t="s">
        <v>283</v>
      </c>
      <c r="D2645" t="s">
        <v>3044</v>
      </c>
      <c r="E2645" t="s">
        <v>3405</v>
      </c>
      <c r="F2645" t="s">
        <v>3396</v>
      </c>
      <c r="G2645" t="s">
        <v>3295</v>
      </c>
      <c r="H2645" t="s">
        <v>3397</v>
      </c>
      <c r="I2645" t="s">
        <v>289</v>
      </c>
      <c r="J2645" t="s">
        <v>344</v>
      </c>
      <c r="K2645">
        <v>9</v>
      </c>
      <c r="L2645" s="6">
        <v>2.7</v>
      </c>
      <c r="M2645" s="7">
        <v>19</v>
      </c>
      <c r="N2645" s="7">
        <v>140</v>
      </c>
      <c r="O2645" s="7">
        <f t="shared" si="203"/>
        <v>106.29921259842521</v>
      </c>
      <c r="P2645" s="7">
        <f t="shared" si="204"/>
        <v>0.74803149606299213</v>
      </c>
      <c r="Q2645" s="7">
        <f t="shared" si="204"/>
        <v>5.5118110236220472</v>
      </c>
      <c r="R2645" s="6">
        <f t="shared" si="205"/>
        <v>1233.3979999999999</v>
      </c>
      <c r="S2645" s="6">
        <f t="shared" si="206"/>
        <v>7.182E-3</v>
      </c>
      <c r="T2645" t="str">
        <f t="shared" si="207"/>
        <v>Maximo Thermo Ayous Dark VJoint - Square Back 1x6 Long</v>
      </c>
    </row>
    <row r="2646" spans="1:20" x14ac:dyDescent="0.25">
      <c r="A2646" t="s">
        <v>3073</v>
      </c>
      <c r="B2646" t="s">
        <v>3080</v>
      </c>
      <c r="C2646" t="s">
        <v>283</v>
      </c>
      <c r="D2646" t="s">
        <v>3044</v>
      </c>
      <c r="E2646" t="s">
        <v>8</v>
      </c>
      <c r="F2646" t="s">
        <v>3406</v>
      </c>
      <c r="G2646" t="s">
        <v>3077</v>
      </c>
      <c r="H2646" t="s">
        <v>3407</v>
      </c>
      <c r="I2646" t="s">
        <v>289</v>
      </c>
      <c r="J2646" t="s">
        <v>344</v>
      </c>
      <c r="K2646">
        <v>10</v>
      </c>
      <c r="L2646" s="6">
        <v>3</v>
      </c>
      <c r="M2646" s="7">
        <v>19</v>
      </c>
      <c r="N2646" s="7">
        <v>140</v>
      </c>
      <c r="O2646" s="7">
        <f t="shared" si="203"/>
        <v>118.11023622047244</v>
      </c>
      <c r="P2646" s="7">
        <f t="shared" si="204"/>
        <v>0.74803149606299213</v>
      </c>
      <c r="Q2646" s="7">
        <f t="shared" si="204"/>
        <v>5.5118110236220472</v>
      </c>
      <c r="R2646" s="6">
        <f t="shared" si="205"/>
        <v>1233.3979999999999</v>
      </c>
      <c r="S2646" s="6">
        <f t="shared" si="206"/>
        <v>7.980000000000001E-3</v>
      </c>
      <c r="T2646" t="str">
        <f t="shared" si="207"/>
        <v>Maximo Thermo Ayous Fluted 1x6 Long</v>
      </c>
    </row>
    <row r="2647" spans="1:20" x14ac:dyDescent="0.25">
      <c r="A2647" t="s">
        <v>3073</v>
      </c>
      <c r="B2647" t="s">
        <v>3080</v>
      </c>
      <c r="C2647" t="s">
        <v>283</v>
      </c>
      <c r="D2647" t="s">
        <v>3044</v>
      </c>
      <c r="E2647" t="s">
        <v>220</v>
      </c>
      <c r="F2647" t="s">
        <v>3406</v>
      </c>
      <c r="G2647" t="s">
        <v>3077</v>
      </c>
      <c r="H2647" t="s">
        <v>3407</v>
      </c>
      <c r="I2647" t="s">
        <v>289</v>
      </c>
      <c r="J2647" t="s">
        <v>344</v>
      </c>
      <c r="K2647">
        <v>11</v>
      </c>
      <c r="L2647" s="6">
        <v>3.3</v>
      </c>
      <c r="M2647" s="7">
        <v>19</v>
      </c>
      <c r="N2647" s="7">
        <v>140</v>
      </c>
      <c r="O2647" s="7">
        <f t="shared" si="203"/>
        <v>129.92125984251967</v>
      </c>
      <c r="P2647" s="7">
        <f t="shared" si="204"/>
        <v>0.74803149606299213</v>
      </c>
      <c r="Q2647" s="7">
        <f t="shared" si="204"/>
        <v>5.5118110236220472</v>
      </c>
      <c r="R2647" s="6">
        <f t="shared" si="205"/>
        <v>1233.3979999999999</v>
      </c>
      <c r="S2647" s="6">
        <f t="shared" si="206"/>
        <v>8.7779999999999993E-3</v>
      </c>
      <c r="T2647" t="str">
        <f t="shared" si="207"/>
        <v>Maximo Thermo Ayous Fluted 1x6 Long</v>
      </c>
    </row>
    <row r="2648" spans="1:20" x14ac:dyDescent="0.25">
      <c r="A2648" t="s">
        <v>3073</v>
      </c>
      <c r="B2648" t="s">
        <v>3080</v>
      </c>
      <c r="C2648" t="s">
        <v>283</v>
      </c>
      <c r="D2648" t="s">
        <v>3044</v>
      </c>
      <c r="E2648" t="s">
        <v>171</v>
      </c>
      <c r="F2648" t="s">
        <v>3406</v>
      </c>
      <c r="G2648" t="s">
        <v>3077</v>
      </c>
      <c r="H2648" t="s">
        <v>3407</v>
      </c>
      <c r="I2648" t="s">
        <v>289</v>
      </c>
      <c r="J2648" t="s">
        <v>344</v>
      </c>
      <c r="K2648">
        <v>12</v>
      </c>
      <c r="L2648" s="6">
        <v>3.6</v>
      </c>
      <c r="M2648" s="7">
        <v>19</v>
      </c>
      <c r="N2648" s="7">
        <v>140</v>
      </c>
      <c r="O2648" s="7">
        <f t="shared" si="203"/>
        <v>141.73228346456693</v>
      </c>
      <c r="P2648" s="7">
        <f t="shared" si="204"/>
        <v>0.74803149606299213</v>
      </c>
      <c r="Q2648" s="7">
        <f t="shared" si="204"/>
        <v>5.5118110236220472</v>
      </c>
      <c r="R2648" s="6">
        <f t="shared" si="205"/>
        <v>1233.3979999999999</v>
      </c>
      <c r="S2648" s="6">
        <f t="shared" si="206"/>
        <v>9.5760000000000012E-3</v>
      </c>
      <c r="T2648" t="str">
        <f t="shared" si="207"/>
        <v>Maximo Thermo Ayous Fluted 1x6 Long</v>
      </c>
    </row>
    <row r="2649" spans="1:20" x14ac:dyDescent="0.25">
      <c r="A2649" t="s">
        <v>3073</v>
      </c>
      <c r="B2649" t="s">
        <v>3080</v>
      </c>
      <c r="C2649" t="s">
        <v>283</v>
      </c>
      <c r="D2649" t="s">
        <v>3044</v>
      </c>
      <c r="E2649" t="s">
        <v>221</v>
      </c>
      <c r="F2649" t="s">
        <v>3406</v>
      </c>
      <c r="G2649" t="s">
        <v>3077</v>
      </c>
      <c r="H2649" t="s">
        <v>3407</v>
      </c>
      <c r="I2649" t="s">
        <v>289</v>
      </c>
      <c r="J2649" t="s">
        <v>344</v>
      </c>
      <c r="K2649">
        <v>13</v>
      </c>
      <c r="L2649" s="6">
        <v>3.9</v>
      </c>
      <c r="M2649" s="7">
        <v>19</v>
      </c>
      <c r="N2649" s="7">
        <v>140</v>
      </c>
      <c r="O2649" s="7">
        <f t="shared" si="203"/>
        <v>153.54330708661416</v>
      </c>
      <c r="P2649" s="7">
        <f t="shared" si="204"/>
        <v>0.74803149606299213</v>
      </c>
      <c r="Q2649" s="7">
        <f t="shared" si="204"/>
        <v>5.5118110236220472</v>
      </c>
      <c r="R2649" s="6">
        <f t="shared" si="205"/>
        <v>1233.3979999999999</v>
      </c>
      <c r="S2649" s="6">
        <f t="shared" si="206"/>
        <v>1.0374000000000001E-2</v>
      </c>
      <c r="T2649" t="str">
        <f t="shared" si="207"/>
        <v>Maximo Thermo Ayous Fluted 1x6 Long</v>
      </c>
    </row>
    <row r="2650" spans="1:20" x14ac:dyDescent="0.25">
      <c r="A2650" t="s">
        <v>3073</v>
      </c>
      <c r="B2650" t="s">
        <v>3080</v>
      </c>
      <c r="C2650" t="s">
        <v>283</v>
      </c>
      <c r="D2650" t="s">
        <v>3044</v>
      </c>
      <c r="E2650" t="s">
        <v>9</v>
      </c>
      <c r="F2650" t="s">
        <v>3406</v>
      </c>
      <c r="G2650" t="s">
        <v>3077</v>
      </c>
      <c r="H2650" t="s">
        <v>3407</v>
      </c>
      <c r="I2650" t="s">
        <v>289</v>
      </c>
      <c r="J2650" t="s">
        <v>344</v>
      </c>
      <c r="K2650">
        <v>14</v>
      </c>
      <c r="L2650" s="6">
        <v>4.2</v>
      </c>
      <c r="M2650" s="7">
        <v>19</v>
      </c>
      <c r="N2650" s="7">
        <v>140</v>
      </c>
      <c r="O2650" s="7">
        <f t="shared" si="203"/>
        <v>165.35433070866142</v>
      </c>
      <c r="P2650" s="7">
        <f t="shared" si="204"/>
        <v>0.74803149606299213</v>
      </c>
      <c r="Q2650" s="7">
        <f t="shared" si="204"/>
        <v>5.5118110236220472</v>
      </c>
      <c r="R2650" s="6">
        <f t="shared" si="205"/>
        <v>1233.3979999999999</v>
      </c>
      <c r="S2650" s="6">
        <f t="shared" si="206"/>
        <v>1.1172E-2</v>
      </c>
      <c r="T2650" t="str">
        <f t="shared" si="207"/>
        <v>Maximo Thermo Ayous Fluted 1x6 Long</v>
      </c>
    </row>
    <row r="2651" spans="1:20" x14ac:dyDescent="0.25">
      <c r="A2651" t="s">
        <v>3073</v>
      </c>
      <c r="B2651" t="s">
        <v>3080</v>
      </c>
      <c r="C2651" t="s">
        <v>283</v>
      </c>
      <c r="D2651" t="s">
        <v>3044</v>
      </c>
      <c r="E2651" t="s">
        <v>10</v>
      </c>
      <c r="F2651" t="s">
        <v>3406</v>
      </c>
      <c r="G2651" t="s">
        <v>3077</v>
      </c>
      <c r="H2651" t="s">
        <v>3407</v>
      </c>
      <c r="I2651" t="s">
        <v>289</v>
      </c>
      <c r="J2651" t="s">
        <v>344</v>
      </c>
      <c r="K2651">
        <v>15</v>
      </c>
      <c r="L2651" s="6">
        <v>4.5</v>
      </c>
      <c r="M2651" s="7">
        <v>19</v>
      </c>
      <c r="N2651" s="7">
        <v>140</v>
      </c>
      <c r="O2651" s="7">
        <f t="shared" si="203"/>
        <v>177.16535433070868</v>
      </c>
      <c r="P2651" s="7">
        <f t="shared" si="204"/>
        <v>0.74803149606299213</v>
      </c>
      <c r="Q2651" s="7">
        <f t="shared" si="204"/>
        <v>5.5118110236220472</v>
      </c>
      <c r="R2651" s="6">
        <f t="shared" si="205"/>
        <v>1233.3979999999999</v>
      </c>
      <c r="S2651" s="6">
        <f t="shared" si="206"/>
        <v>1.1970000000000001E-2</v>
      </c>
      <c r="T2651" t="str">
        <f t="shared" si="207"/>
        <v>Maximo Thermo Ayous Fluted 1x6 Long</v>
      </c>
    </row>
    <row r="2652" spans="1:20" x14ac:dyDescent="0.25">
      <c r="A2652" t="s">
        <v>3073</v>
      </c>
      <c r="B2652" t="s">
        <v>3080</v>
      </c>
      <c r="C2652" t="s">
        <v>283</v>
      </c>
      <c r="D2652" t="s">
        <v>3044</v>
      </c>
      <c r="E2652" t="s">
        <v>3408</v>
      </c>
      <c r="F2652" t="s">
        <v>3406</v>
      </c>
      <c r="G2652" t="s">
        <v>3077</v>
      </c>
      <c r="H2652" t="s">
        <v>3407</v>
      </c>
      <c r="I2652" t="s">
        <v>289</v>
      </c>
      <c r="J2652" t="s">
        <v>344</v>
      </c>
      <c r="K2652">
        <v>16</v>
      </c>
      <c r="L2652" s="6">
        <v>4.8</v>
      </c>
      <c r="M2652" s="7">
        <v>19</v>
      </c>
      <c r="N2652" s="7">
        <v>140</v>
      </c>
      <c r="O2652" s="7">
        <f t="shared" si="203"/>
        <v>188.97637795275591</v>
      </c>
      <c r="P2652" s="7">
        <f t="shared" si="204"/>
        <v>0.74803149606299213</v>
      </c>
      <c r="Q2652" s="7">
        <f t="shared" si="204"/>
        <v>5.5118110236220472</v>
      </c>
      <c r="R2652" s="6">
        <f t="shared" si="205"/>
        <v>1233.3979999999999</v>
      </c>
      <c r="S2652" s="6">
        <f t="shared" si="206"/>
        <v>1.2768E-2</v>
      </c>
      <c r="T2652" t="str">
        <f t="shared" si="207"/>
        <v>Maximo Thermo Ayous Fluted 1x6 Long</v>
      </c>
    </row>
    <row r="2653" spans="1:20" x14ac:dyDescent="0.25">
      <c r="A2653" t="s">
        <v>3073</v>
      </c>
      <c r="B2653" t="s">
        <v>3080</v>
      </c>
      <c r="C2653" t="s">
        <v>283</v>
      </c>
      <c r="D2653" t="s">
        <v>3044</v>
      </c>
      <c r="E2653" t="s">
        <v>3409</v>
      </c>
      <c r="F2653" t="s">
        <v>3406</v>
      </c>
      <c r="G2653" t="s">
        <v>3077</v>
      </c>
      <c r="H2653" t="s">
        <v>3407</v>
      </c>
      <c r="I2653" t="s">
        <v>289</v>
      </c>
      <c r="J2653" t="s">
        <v>344</v>
      </c>
      <c r="K2653">
        <v>17</v>
      </c>
      <c r="L2653" s="6">
        <v>5.0999999999999996</v>
      </c>
      <c r="M2653" s="7">
        <v>19</v>
      </c>
      <c r="N2653" s="7">
        <v>140</v>
      </c>
      <c r="O2653" s="7">
        <f t="shared" si="203"/>
        <v>200.78740157480314</v>
      </c>
      <c r="P2653" s="7">
        <f t="shared" si="204"/>
        <v>0.74803149606299213</v>
      </c>
      <c r="Q2653" s="7">
        <f t="shared" si="204"/>
        <v>5.5118110236220472</v>
      </c>
      <c r="R2653" s="6">
        <f t="shared" si="205"/>
        <v>1233.3979999999999</v>
      </c>
      <c r="S2653" s="6">
        <f t="shared" si="206"/>
        <v>1.3565999999999998E-2</v>
      </c>
      <c r="T2653" t="str">
        <f t="shared" si="207"/>
        <v>Maximo Thermo Ayous Fluted 1x6 Long</v>
      </c>
    </row>
    <row r="2654" spans="1:20" x14ac:dyDescent="0.25">
      <c r="A2654" t="s">
        <v>3073</v>
      </c>
      <c r="B2654" t="s">
        <v>3080</v>
      </c>
      <c r="C2654" t="s">
        <v>283</v>
      </c>
      <c r="D2654" t="s">
        <v>3044</v>
      </c>
      <c r="E2654" t="s">
        <v>3410</v>
      </c>
      <c r="F2654" t="s">
        <v>3406</v>
      </c>
      <c r="G2654" t="s">
        <v>3077</v>
      </c>
      <c r="H2654" t="s">
        <v>3407</v>
      </c>
      <c r="I2654" t="s">
        <v>289</v>
      </c>
      <c r="J2654" t="s">
        <v>344</v>
      </c>
      <c r="K2654">
        <v>18</v>
      </c>
      <c r="L2654" s="6">
        <v>5.4</v>
      </c>
      <c r="M2654" s="7">
        <v>19</v>
      </c>
      <c r="N2654" s="7">
        <v>140</v>
      </c>
      <c r="O2654" s="7">
        <f t="shared" si="203"/>
        <v>212.59842519685043</v>
      </c>
      <c r="P2654" s="7">
        <f t="shared" si="204"/>
        <v>0.74803149606299213</v>
      </c>
      <c r="Q2654" s="7">
        <f t="shared" si="204"/>
        <v>5.5118110236220472</v>
      </c>
      <c r="R2654" s="6">
        <f t="shared" si="205"/>
        <v>1233.3979999999999</v>
      </c>
      <c r="S2654" s="6">
        <f t="shared" si="206"/>
        <v>1.4364E-2</v>
      </c>
      <c r="T2654" t="str">
        <f t="shared" si="207"/>
        <v>Maximo Thermo Ayous Fluted 1x6 Long</v>
      </c>
    </row>
    <row r="2655" spans="1:20" x14ac:dyDescent="0.25">
      <c r="A2655" t="s">
        <v>3073</v>
      </c>
      <c r="B2655" t="s">
        <v>3080</v>
      </c>
      <c r="C2655" t="s">
        <v>524</v>
      </c>
      <c r="D2655" t="s">
        <v>3044</v>
      </c>
      <c r="E2655" t="s">
        <v>3411</v>
      </c>
      <c r="F2655" t="s">
        <v>3406</v>
      </c>
      <c r="G2655" t="s">
        <v>3077</v>
      </c>
      <c r="H2655" t="s">
        <v>3407</v>
      </c>
      <c r="I2655" t="s">
        <v>289</v>
      </c>
      <c r="J2655" t="s">
        <v>344</v>
      </c>
      <c r="K2655">
        <v>4</v>
      </c>
      <c r="L2655" s="6">
        <v>1.2</v>
      </c>
      <c r="M2655" s="7">
        <v>19</v>
      </c>
      <c r="N2655" s="7">
        <v>140</v>
      </c>
      <c r="O2655" s="7">
        <f t="shared" si="203"/>
        <v>47.244094488188978</v>
      </c>
      <c r="P2655" s="7">
        <f t="shared" si="204"/>
        <v>0.74803149606299213</v>
      </c>
      <c r="Q2655" s="7">
        <f t="shared" si="204"/>
        <v>5.5118110236220472</v>
      </c>
      <c r="R2655" s="6">
        <f t="shared" si="205"/>
        <v>1233.3979999999999</v>
      </c>
      <c r="S2655" s="6">
        <f t="shared" si="206"/>
        <v>3.192E-3</v>
      </c>
      <c r="T2655" t="str">
        <f t="shared" si="207"/>
        <v>Maximo Thermo Ayous Fluted 1x6 Short</v>
      </c>
    </row>
    <row r="2656" spans="1:20" x14ac:dyDescent="0.25">
      <c r="A2656" t="s">
        <v>3073</v>
      </c>
      <c r="B2656" t="s">
        <v>3080</v>
      </c>
      <c r="C2656" t="s">
        <v>524</v>
      </c>
      <c r="D2656" t="s">
        <v>3044</v>
      </c>
      <c r="E2656" t="s">
        <v>3412</v>
      </c>
      <c r="F2656" t="s">
        <v>3406</v>
      </c>
      <c r="G2656" t="s">
        <v>3077</v>
      </c>
      <c r="H2656" t="s">
        <v>3407</v>
      </c>
      <c r="I2656" t="s">
        <v>289</v>
      </c>
      <c r="J2656" t="s">
        <v>344</v>
      </c>
      <c r="K2656">
        <v>5</v>
      </c>
      <c r="L2656" s="6">
        <v>1.5</v>
      </c>
      <c r="M2656" s="7">
        <v>19</v>
      </c>
      <c r="N2656" s="7">
        <v>140</v>
      </c>
      <c r="O2656" s="7">
        <f t="shared" si="203"/>
        <v>59.055118110236222</v>
      </c>
      <c r="P2656" s="7">
        <f t="shared" si="204"/>
        <v>0.74803149606299213</v>
      </c>
      <c r="Q2656" s="7">
        <f t="shared" si="204"/>
        <v>5.5118110236220472</v>
      </c>
      <c r="R2656" s="6">
        <f t="shared" si="205"/>
        <v>1233.3979999999999</v>
      </c>
      <c r="S2656" s="6">
        <f t="shared" si="206"/>
        <v>3.9900000000000005E-3</v>
      </c>
      <c r="T2656" t="str">
        <f t="shared" si="207"/>
        <v>Maximo Thermo Ayous Fluted 1x6 Short</v>
      </c>
    </row>
    <row r="2657" spans="1:20" x14ac:dyDescent="0.25">
      <c r="A2657" t="s">
        <v>3073</v>
      </c>
      <c r="B2657" t="s">
        <v>3080</v>
      </c>
      <c r="C2657" t="s">
        <v>524</v>
      </c>
      <c r="D2657" t="s">
        <v>3044</v>
      </c>
      <c r="E2657" t="s">
        <v>3413</v>
      </c>
      <c r="F2657" t="s">
        <v>3406</v>
      </c>
      <c r="G2657" t="s">
        <v>3077</v>
      </c>
      <c r="H2657" t="s">
        <v>3407</v>
      </c>
      <c r="I2657" t="s">
        <v>289</v>
      </c>
      <c r="J2657" t="s">
        <v>344</v>
      </c>
      <c r="K2657">
        <v>6</v>
      </c>
      <c r="L2657" s="6">
        <v>1.8</v>
      </c>
      <c r="M2657" s="7">
        <v>19</v>
      </c>
      <c r="N2657" s="7">
        <v>140</v>
      </c>
      <c r="O2657" s="7">
        <f t="shared" si="203"/>
        <v>70.866141732283467</v>
      </c>
      <c r="P2657" s="7">
        <f t="shared" si="204"/>
        <v>0.74803149606299213</v>
      </c>
      <c r="Q2657" s="7">
        <f t="shared" si="204"/>
        <v>5.5118110236220472</v>
      </c>
      <c r="R2657" s="6">
        <f t="shared" si="205"/>
        <v>1233.3979999999999</v>
      </c>
      <c r="S2657" s="6">
        <f t="shared" si="206"/>
        <v>4.7880000000000006E-3</v>
      </c>
      <c r="T2657" t="str">
        <f t="shared" si="207"/>
        <v>Maximo Thermo Ayous Fluted 1x6 Short</v>
      </c>
    </row>
    <row r="2658" spans="1:20" x14ac:dyDescent="0.25">
      <c r="A2658" t="s">
        <v>3073</v>
      </c>
      <c r="B2658" t="s">
        <v>3080</v>
      </c>
      <c r="C2658" t="s">
        <v>524</v>
      </c>
      <c r="D2658" t="s">
        <v>3044</v>
      </c>
      <c r="E2658" t="s">
        <v>170</v>
      </c>
      <c r="F2658" t="s">
        <v>3406</v>
      </c>
      <c r="G2658" t="s">
        <v>3077</v>
      </c>
      <c r="H2658" t="s">
        <v>3407</v>
      </c>
      <c r="I2658" t="s">
        <v>289</v>
      </c>
      <c r="J2658" t="s">
        <v>344</v>
      </c>
      <c r="K2658">
        <v>7</v>
      </c>
      <c r="L2658" s="6">
        <v>2.1</v>
      </c>
      <c r="M2658" s="7">
        <v>19</v>
      </c>
      <c r="N2658" s="7">
        <v>140</v>
      </c>
      <c r="O2658" s="7">
        <f t="shared" si="203"/>
        <v>82.677165354330711</v>
      </c>
      <c r="P2658" s="7">
        <f t="shared" si="204"/>
        <v>0.74803149606299213</v>
      </c>
      <c r="Q2658" s="7">
        <f t="shared" si="204"/>
        <v>5.5118110236220472</v>
      </c>
      <c r="R2658" s="6">
        <f t="shared" si="205"/>
        <v>1233.3979999999999</v>
      </c>
      <c r="S2658" s="6">
        <f t="shared" si="206"/>
        <v>5.5859999999999998E-3</v>
      </c>
      <c r="T2658" t="str">
        <f t="shared" si="207"/>
        <v>Maximo Thermo Ayous Fluted 1x6 Short</v>
      </c>
    </row>
    <row r="2659" spans="1:20" x14ac:dyDescent="0.25">
      <c r="A2659" t="s">
        <v>3073</v>
      </c>
      <c r="B2659" t="s">
        <v>3080</v>
      </c>
      <c r="C2659" t="s">
        <v>283</v>
      </c>
      <c r="D2659" t="s">
        <v>3044</v>
      </c>
      <c r="E2659" t="s">
        <v>11</v>
      </c>
      <c r="F2659" t="s">
        <v>3406</v>
      </c>
      <c r="G2659" t="s">
        <v>3077</v>
      </c>
      <c r="H2659" t="s">
        <v>3407</v>
      </c>
      <c r="I2659" t="s">
        <v>289</v>
      </c>
      <c r="J2659" t="s">
        <v>344</v>
      </c>
      <c r="K2659">
        <v>8</v>
      </c>
      <c r="L2659" s="6">
        <v>2.4</v>
      </c>
      <c r="M2659" s="7">
        <v>19</v>
      </c>
      <c r="N2659" s="7">
        <v>140</v>
      </c>
      <c r="O2659" s="7">
        <f t="shared" si="203"/>
        <v>94.488188976377955</v>
      </c>
      <c r="P2659" s="7">
        <f t="shared" si="204"/>
        <v>0.74803149606299213</v>
      </c>
      <c r="Q2659" s="7">
        <f t="shared" si="204"/>
        <v>5.5118110236220472</v>
      </c>
      <c r="R2659" s="6">
        <f t="shared" si="205"/>
        <v>1233.3979999999999</v>
      </c>
      <c r="S2659" s="6">
        <f t="shared" si="206"/>
        <v>6.3839999999999999E-3</v>
      </c>
      <c r="T2659" t="str">
        <f t="shared" si="207"/>
        <v>Maximo Thermo Ayous Fluted 1x6 Long</v>
      </c>
    </row>
    <row r="2660" spans="1:20" x14ac:dyDescent="0.25">
      <c r="A2660" t="s">
        <v>3073</v>
      </c>
      <c r="B2660" t="s">
        <v>3080</v>
      </c>
      <c r="C2660" t="s">
        <v>283</v>
      </c>
      <c r="D2660" t="s">
        <v>3044</v>
      </c>
      <c r="E2660" t="s">
        <v>12</v>
      </c>
      <c r="F2660" t="s">
        <v>3406</v>
      </c>
      <c r="G2660" t="s">
        <v>3077</v>
      </c>
      <c r="H2660" t="s">
        <v>3407</v>
      </c>
      <c r="I2660" t="s">
        <v>289</v>
      </c>
      <c r="J2660" t="s">
        <v>344</v>
      </c>
      <c r="K2660">
        <v>9</v>
      </c>
      <c r="L2660" s="6">
        <v>2.7</v>
      </c>
      <c r="M2660" s="7">
        <v>19</v>
      </c>
      <c r="N2660" s="7">
        <v>140</v>
      </c>
      <c r="O2660" s="7">
        <f t="shared" si="203"/>
        <v>106.29921259842521</v>
      </c>
      <c r="P2660" s="7">
        <f t="shared" si="204"/>
        <v>0.74803149606299213</v>
      </c>
      <c r="Q2660" s="7">
        <f t="shared" si="204"/>
        <v>5.5118110236220472</v>
      </c>
      <c r="R2660" s="6">
        <f t="shared" si="205"/>
        <v>1233.3979999999999</v>
      </c>
      <c r="S2660" s="6">
        <f t="shared" si="206"/>
        <v>7.182E-3</v>
      </c>
      <c r="T2660" t="str">
        <f t="shared" si="207"/>
        <v>Maximo Thermo Ayous Fluted 1x6 Long</v>
      </c>
    </row>
    <row r="2661" spans="1:20" x14ac:dyDescent="0.25">
      <c r="A2661" t="s">
        <v>3414</v>
      </c>
      <c r="B2661" t="s">
        <v>3415</v>
      </c>
      <c r="C2661" t="s">
        <v>283</v>
      </c>
      <c r="D2661" t="s">
        <v>3044</v>
      </c>
      <c r="E2661" t="s">
        <v>3416</v>
      </c>
      <c r="F2661" t="s">
        <v>3417</v>
      </c>
      <c r="G2661" t="s">
        <v>3418</v>
      </c>
      <c r="H2661" t="s">
        <v>3407</v>
      </c>
      <c r="I2661" t="s">
        <v>289</v>
      </c>
      <c r="J2661" t="s">
        <v>344</v>
      </c>
      <c r="K2661">
        <v>10</v>
      </c>
      <c r="L2661" s="6">
        <v>3.05</v>
      </c>
      <c r="M2661" s="7">
        <v>19.049999999999997</v>
      </c>
      <c r="N2661" s="7">
        <v>139.69999999999999</v>
      </c>
      <c r="O2661" s="7">
        <f t="shared" si="203"/>
        <v>120.07874015748031</v>
      </c>
      <c r="P2661" s="7">
        <f t="shared" si="204"/>
        <v>0.74999999999999989</v>
      </c>
      <c r="Q2661" s="7">
        <f t="shared" si="204"/>
        <v>5.5</v>
      </c>
      <c r="R2661" s="6">
        <f t="shared" si="205"/>
        <v>1232.8030000000001</v>
      </c>
      <c r="S2661" s="6">
        <f t="shared" si="206"/>
        <v>8.1169192499999966E-3</v>
      </c>
      <c r="T2661" t="str">
        <f t="shared" si="207"/>
        <v>Maximo Thermo Ayous JPL Fluted 1x6 Long</v>
      </c>
    </row>
    <row r="2662" spans="1:20" x14ac:dyDescent="0.25">
      <c r="A2662" t="s">
        <v>3414</v>
      </c>
      <c r="B2662" t="s">
        <v>3415</v>
      </c>
      <c r="C2662" t="s">
        <v>283</v>
      </c>
      <c r="D2662" t="s">
        <v>3044</v>
      </c>
      <c r="E2662" t="s">
        <v>3419</v>
      </c>
      <c r="F2662" t="s">
        <v>3417</v>
      </c>
      <c r="G2662" t="s">
        <v>3418</v>
      </c>
      <c r="H2662" t="s">
        <v>3407</v>
      </c>
      <c r="I2662" t="s">
        <v>289</v>
      </c>
      <c r="J2662" t="s">
        <v>344</v>
      </c>
      <c r="K2662">
        <v>11</v>
      </c>
      <c r="L2662" s="6">
        <v>3.35</v>
      </c>
      <c r="M2662" s="7">
        <v>19.049999999999997</v>
      </c>
      <c r="N2662" s="7">
        <v>139.69999999999999</v>
      </c>
      <c r="O2662" s="7">
        <f t="shared" si="203"/>
        <v>131.88976377952756</v>
      </c>
      <c r="P2662" s="7">
        <f t="shared" si="204"/>
        <v>0.74999999999999989</v>
      </c>
      <c r="Q2662" s="7">
        <f t="shared" si="204"/>
        <v>5.5</v>
      </c>
      <c r="R2662" s="6">
        <f t="shared" si="205"/>
        <v>1232.8030000000001</v>
      </c>
      <c r="S2662" s="6">
        <f t="shared" si="206"/>
        <v>8.9153047499999985E-3</v>
      </c>
      <c r="T2662" t="str">
        <f t="shared" si="207"/>
        <v>Maximo Thermo Ayous JPL Fluted 1x6 Long</v>
      </c>
    </row>
    <row r="2663" spans="1:20" x14ac:dyDescent="0.25">
      <c r="A2663" t="s">
        <v>3414</v>
      </c>
      <c r="B2663" t="s">
        <v>3415</v>
      </c>
      <c r="C2663" t="s">
        <v>283</v>
      </c>
      <c r="D2663" t="s">
        <v>3044</v>
      </c>
      <c r="E2663" t="s">
        <v>3420</v>
      </c>
      <c r="F2663" t="s">
        <v>3417</v>
      </c>
      <c r="G2663" t="s">
        <v>3418</v>
      </c>
      <c r="H2663" t="s">
        <v>3407</v>
      </c>
      <c r="I2663" t="s">
        <v>289</v>
      </c>
      <c r="J2663" t="s">
        <v>344</v>
      </c>
      <c r="K2663">
        <v>12</v>
      </c>
      <c r="L2663" s="6">
        <v>3.66</v>
      </c>
      <c r="M2663" s="7">
        <v>19.049999999999997</v>
      </c>
      <c r="N2663" s="7">
        <v>139.69999999999999</v>
      </c>
      <c r="O2663" s="7">
        <f t="shared" si="203"/>
        <v>144.09448818897638</v>
      </c>
      <c r="P2663" s="7">
        <f t="shared" si="204"/>
        <v>0.74999999999999989</v>
      </c>
      <c r="Q2663" s="7">
        <f t="shared" si="204"/>
        <v>5.5</v>
      </c>
      <c r="R2663" s="6">
        <f t="shared" si="205"/>
        <v>1232.8030000000001</v>
      </c>
      <c r="S2663" s="6">
        <f t="shared" si="206"/>
        <v>9.7403030999999984E-3</v>
      </c>
      <c r="T2663" t="str">
        <f t="shared" si="207"/>
        <v>Maximo Thermo Ayous JPL Fluted 1x6 Long</v>
      </c>
    </row>
    <row r="2664" spans="1:20" x14ac:dyDescent="0.25">
      <c r="A2664" t="s">
        <v>3414</v>
      </c>
      <c r="B2664" t="s">
        <v>3415</v>
      </c>
      <c r="C2664" t="s">
        <v>283</v>
      </c>
      <c r="D2664" t="s">
        <v>3044</v>
      </c>
      <c r="E2664" t="s">
        <v>3421</v>
      </c>
      <c r="F2664" t="s">
        <v>3417</v>
      </c>
      <c r="G2664" t="s">
        <v>3418</v>
      </c>
      <c r="H2664" t="s">
        <v>3407</v>
      </c>
      <c r="I2664" t="s">
        <v>289</v>
      </c>
      <c r="J2664" t="s">
        <v>344</v>
      </c>
      <c r="K2664">
        <v>13</v>
      </c>
      <c r="L2664" s="6">
        <v>3.96</v>
      </c>
      <c r="M2664" s="7">
        <v>19.049999999999997</v>
      </c>
      <c r="N2664" s="7">
        <v>139.69999999999999</v>
      </c>
      <c r="O2664" s="7">
        <f t="shared" si="203"/>
        <v>155.90551181102362</v>
      </c>
      <c r="P2664" s="7">
        <f t="shared" si="204"/>
        <v>0.74999999999999989</v>
      </c>
      <c r="Q2664" s="7">
        <f t="shared" si="204"/>
        <v>5.5</v>
      </c>
      <c r="R2664" s="6">
        <f t="shared" si="205"/>
        <v>1232.8030000000001</v>
      </c>
      <c r="S2664" s="6">
        <f t="shared" si="206"/>
        <v>1.0538688599999999E-2</v>
      </c>
      <c r="T2664" t="str">
        <f t="shared" si="207"/>
        <v>Maximo Thermo Ayous JPL Fluted 1x6 Long</v>
      </c>
    </row>
    <row r="2665" spans="1:20" x14ac:dyDescent="0.25">
      <c r="A2665" t="s">
        <v>3414</v>
      </c>
      <c r="B2665" t="s">
        <v>3415</v>
      </c>
      <c r="C2665" t="s">
        <v>283</v>
      </c>
      <c r="D2665" t="s">
        <v>3044</v>
      </c>
      <c r="E2665" t="s">
        <v>3422</v>
      </c>
      <c r="F2665" t="s">
        <v>3417</v>
      </c>
      <c r="G2665" t="s">
        <v>3418</v>
      </c>
      <c r="H2665" t="s">
        <v>3407</v>
      </c>
      <c r="I2665" t="s">
        <v>289</v>
      </c>
      <c r="J2665" t="s">
        <v>344</v>
      </c>
      <c r="K2665">
        <v>14</v>
      </c>
      <c r="L2665" s="6">
        <v>4.2699999999999996</v>
      </c>
      <c r="M2665" s="7">
        <v>19.049999999999997</v>
      </c>
      <c r="N2665" s="7">
        <v>139.69999999999999</v>
      </c>
      <c r="O2665" s="7">
        <f t="shared" si="203"/>
        <v>168.11023622047244</v>
      </c>
      <c r="P2665" s="7">
        <f t="shared" si="204"/>
        <v>0.74999999999999989</v>
      </c>
      <c r="Q2665" s="7">
        <f t="shared" si="204"/>
        <v>5.5</v>
      </c>
      <c r="R2665" s="6">
        <f t="shared" si="205"/>
        <v>1232.8030000000001</v>
      </c>
      <c r="S2665" s="6">
        <f t="shared" si="206"/>
        <v>1.1363686949999995E-2</v>
      </c>
      <c r="T2665" t="str">
        <f t="shared" si="207"/>
        <v>Maximo Thermo Ayous JPL Fluted 1x6 Long</v>
      </c>
    </row>
    <row r="2666" spans="1:20" x14ac:dyDescent="0.25">
      <c r="A2666" t="s">
        <v>3414</v>
      </c>
      <c r="B2666" t="s">
        <v>3415</v>
      </c>
      <c r="C2666" t="s">
        <v>283</v>
      </c>
      <c r="D2666" t="s">
        <v>3044</v>
      </c>
      <c r="E2666" t="s">
        <v>3423</v>
      </c>
      <c r="F2666" t="s">
        <v>3417</v>
      </c>
      <c r="G2666" t="s">
        <v>3418</v>
      </c>
      <c r="H2666" t="s">
        <v>3407</v>
      </c>
      <c r="I2666" t="s">
        <v>289</v>
      </c>
      <c r="J2666" t="s">
        <v>344</v>
      </c>
      <c r="K2666">
        <v>15</v>
      </c>
      <c r="L2666" s="6">
        <v>4.57</v>
      </c>
      <c r="M2666" s="7">
        <v>19.049999999999997</v>
      </c>
      <c r="N2666" s="7">
        <v>139.69999999999999</v>
      </c>
      <c r="O2666" s="7">
        <f t="shared" si="203"/>
        <v>179.9212598425197</v>
      </c>
      <c r="P2666" s="7">
        <f t="shared" si="204"/>
        <v>0.74999999999999989</v>
      </c>
      <c r="Q2666" s="7">
        <f t="shared" si="204"/>
        <v>5.5</v>
      </c>
      <c r="R2666" s="6">
        <f t="shared" si="205"/>
        <v>1232.8030000000001</v>
      </c>
      <c r="S2666" s="6">
        <f t="shared" si="206"/>
        <v>1.2162072449999999E-2</v>
      </c>
      <c r="T2666" t="str">
        <f t="shared" si="207"/>
        <v>Maximo Thermo Ayous JPL Fluted 1x6 Long</v>
      </c>
    </row>
    <row r="2667" spans="1:20" x14ac:dyDescent="0.25">
      <c r="A2667" t="s">
        <v>3414</v>
      </c>
      <c r="B2667" t="s">
        <v>3415</v>
      </c>
      <c r="C2667" t="s">
        <v>283</v>
      </c>
      <c r="D2667" t="s">
        <v>3044</v>
      </c>
      <c r="E2667" t="s">
        <v>3424</v>
      </c>
      <c r="F2667" t="s">
        <v>3417</v>
      </c>
      <c r="G2667" t="s">
        <v>3418</v>
      </c>
      <c r="H2667" t="s">
        <v>3407</v>
      </c>
      <c r="I2667" t="s">
        <v>289</v>
      </c>
      <c r="J2667" t="s">
        <v>344</v>
      </c>
      <c r="K2667">
        <v>16</v>
      </c>
      <c r="L2667" s="6">
        <v>4.88</v>
      </c>
      <c r="M2667" s="7">
        <v>19.049999999999997</v>
      </c>
      <c r="N2667" s="7">
        <v>139.69999999999999</v>
      </c>
      <c r="O2667" s="7">
        <f t="shared" si="203"/>
        <v>192.1259842519685</v>
      </c>
      <c r="P2667" s="7">
        <f t="shared" si="204"/>
        <v>0.74999999999999989</v>
      </c>
      <c r="Q2667" s="7">
        <f t="shared" si="204"/>
        <v>5.5</v>
      </c>
      <c r="R2667" s="6">
        <f t="shared" si="205"/>
        <v>1232.8030000000001</v>
      </c>
      <c r="S2667" s="6">
        <f t="shared" si="206"/>
        <v>1.2987070799999998E-2</v>
      </c>
      <c r="T2667" t="str">
        <f t="shared" si="207"/>
        <v>Maximo Thermo Ayous JPL Fluted 1x6 Long</v>
      </c>
    </row>
    <row r="2668" spans="1:20" x14ac:dyDescent="0.25">
      <c r="A2668" t="s">
        <v>3414</v>
      </c>
      <c r="B2668" t="s">
        <v>3415</v>
      </c>
      <c r="C2668" t="s">
        <v>283</v>
      </c>
      <c r="D2668" t="s">
        <v>3044</v>
      </c>
      <c r="E2668" t="s">
        <v>3425</v>
      </c>
      <c r="F2668" t="s">
        <v>3417</v>
      </c>
      <c r="G2668" t="s">
        <v>3418</v>
      </c>
      <c r="H2668" t="s">
        <v>3407</v>
      </c>
      <c r="I2668" t="s">
        <v>289</v>
      </c>
      <c r="J2668" t="s">
        <v>344</v>
      </c>
      <c r="K2668">
        <v>17</v>
      </c>
      <c r="L2668" s="6">
        <v>5.18</v>
      </c>
      <c r="M2668" s="7">
        <v>19.049999999999997</v>
      </c>
      <c r="N2668" s="7">
        <v>139.69999999999999</v>
      </c>
      <c r="O2668" s="7">
        <f t="shared" si="203"/>
        <v>203.93700787401573</v>
      </c>
      <c r="P2668" s="7">
        <f t="shared" si="204"/>
        <v>0.74999999999999989</v>
      </c>
      <c r="Q2668" s="7">
        <f t="shared" si="204"/>
        <v>5.5</v>
      </c>
      <c r="R2668" s="6">
        <f t="shared" si="205"/>
        <v>1232.8030000000001</v>
      </c>
      <c r="S2668" s="6">
        <f t="shared" si="206"/>
        <v>1.3785456299999995E-2</v>
      </c>
      <c r="T2668" t="str">
        <f t="shared" si="207"/>
        <v>Maximo Thermo Ayous JPL Fluted 1x6 Long</v>
      </c>
    </row>
    <row r="2669" spans="1:20" x14ac:dyDescent="0.25">
      <c r="A2669" t="s">
        <v>3414</v>
      </c>
      <c r="B2669" t="s">
        <v>3415</v>
      </c>
      <c r="C2669" t="s">
        <v>283</v>
      </c>
      <c r="D2669" t="s">
        <v>3044</v>
      </c>
      <c r="E2669" t="s">
        <v>3426</v>
      </c>
      <c r="F2669" t="s">
        <v>3417</v>
      </c>
      <c r="G2669" t="s">
        <v>3418</v>
      </c>
      <c r="H2669" t="s">
        <v>3407</v>
      </c>
      <c r="I2669" t="s">
        <v>289</v>
      </c>
      <c r="J2669" t="s">
        <v>344</v>
      </c>
      <c r="K2669">
        <v>18</v>
      </c>
      <c r="L2669" s="6">
        <v>5.49</v>
      </c>
      <c r="M2669" s="7">
        <v>19.049999999999997</v>
      </c>
      <c r="N2669" s="7">
        <v>139.69999999999999</v>
      </c>
      <c r="O2669" s="7">
        <f t="shared" si="203"/>
        <v>216.14173228346459</v>
      </c>
      <c r="P2669" s="7">
        <f t="shared" si="204"/>
        <v>0.74999999999999989</v>
      </c>
      <c r="Q2669" s="7">
        <f t="shared" si="204"/>
        <v>5.5</v>
      </c>
      <c r="R2669" s="6">
        <f t="shared" si="205"/>
        <v>1232.8030000000001</v>
      </c>
      <c r="S2669" s="6">
        <f t="shared" si="206"/>
        <v>1.4610454649999998E-2</v>
      </c>
      <c r="T2669" t="str">
        <f t="shared" si="207"/>
        <v>Maximo Thermo Ayous JPL Fluted 1x6 Long</v>
      </c>
    </row>
    <row r="2670" spans="1:20" x14ac:dyDescent="0.25">
      <c r="A2670" t="s">
        <v>3414</v>
      </c>
      <c r="B2670" t="s">
        <v>3415</v>
      </c>
      <c r="C2670" t="s">
        <v>524</v>
      </c>
      <c r="D2670" t="s">
        <v>3044</v>
      </c>
      <c r="E2670" t="s">
        <v>3427</v>
      </c>
      <c r="F2670" t="s">
        <v>3417</v>
      </c>
      <c r="G2670" t="s">
        <v>3418</v>
      </c>
      <c r="H2670" t="s">
        <v>3407</v>
      </c>
      <c r="I2670" t="s">
        <v>289</v>
      </c>
      <c r="J2670" t="s">
        <v>344</v>
      </c>
      <c r="K2670">
        <v>4</v>
      </c>
      <c r="L2670" s="6">
        <v>1.22</v>
      </c>
      <c r="M2670" s="7">
        <v>19.049999999999997</v>
      </c>
      <c r="N2670" s="7">
        <v>139.69999999999999</v>
      </c>
      <c r="O2670" s="7">
        <f t="shared" si="203"/>
        <v>48.031496062992126</v>
      </c>
      <c r="P2670" s="7">
        <f t="shared" si="204"/>
        <v>0.74999999999999989</v>
      </c>
      <c r="Q2670" s="7">
        <f t="shared" si="204"/>
        <v>5.5</v>
      </c>
      <c r="R2670" s="6">
        <f t="shared" si="205"/>
        <v>1232.8030000000001</v>
      </c>
      <c r="S2670" s="6">
        <f t="shared" si="206"/>
        <v>3.2467676999999996E-3</v>
      </c>
      <c r="T2670" t="str">
        <f t="shared" si="207"/>
        <v>Maximo Thermo Ayous JPL Fluted 1x6 Short</v>
      </c>
    </row>
    <row r="2671" spans="1:20" x14ac:dyDescent="0.25">
      <c r="A2671" t="s">
        <v>3414</v>
      </c>
      <c r="B2671" t="s">
        <v>3415</v>
      </c>
      <c r="C2671" t="s">
        <v>524</v>
      </c>
      <c r="D2671" t="s">
        <v>3044</v>
      </c>
      <c r="E2671" t="s">
        <v>3428</v>
      </c>
      <c r="F2671" t="s">
        <v>3417</v>
      </c>
      <c r="G2671" t="s">
        <v>3418</v>
      </c>
      <c r="H2671" t="s">
        <v>3407</v>
      </c>
      <c r="I2671" t="s">
        <v>289</v>
      </c>
      <c r="J2671" t="s">
        <v>344</v>
      </c>
      <c r="K2671">
        <v>5</v>
      </c>
      <c r="L2671" s="6">
        <v>1.52</v>
      </c>
      <c r="M2671" s="7">
        <v>19.049999999999997</v>
      </c>
      <c r="N2671" s="7">
        <v>139.69999999999999</v>
      </c>
      <c r="O2671" s="7">
        <f t="shared" si="203"/>
        <v>59.84251968503937</v>
      </c>
      <c r="P2671" s="7">
        <f t="shared" si="204"/>
        <v>0.74999999999999989</v>
      </c>
      <c r="Q2671" s="7">
        <f t="shared" si="204"/>
        <v>5.5</v>
      </c>
      <c r="R2671" s="6">
        <f t="shared" si="205"/>
        <v>1232.8030000000001</v>
      </c>
      <c r="S2671" s="6">
        <f t="shared" si="206"/>
        <v>4.0451531999999985E-3</v>
      </c>
      <c r="T2671" t="str">
        <f t="shared" si="207"/>
        <v>Maximo Thermo Ayous JPL Fluted 1x6 Short</v>
      </c>
    </row>
    <row r="2672" spans="1:20" x14ac:dyDescent="0.25">
      <c r="A2672" t="s">
        <v>3414</v>
      </c>
      <c r="B2672" t="s">
        <v>3415</v>
      </c>
      <c r="C2672" t="s">
        <v>524</v>
      </c>
      <c r="D2672" t="s">
        <v>3044</v>
      </c>
      <c r="E2672" t="s">
        <v>3429</v>
      </c>
      <c r="F2672" t="s">
        <v>3417</v>
      </c>
      <c r="G2672" t="s">
        <v>3418</v>
      </c>
      <c r="H2672" t="s">
        <v>3407</v>
      </c>
      <c r="I2672" t="s">
        <v>289</v>
      </c>
      <c r="J2672" t="s">
        <v>344</v>
      </c>
      <c r="K2672">
        <v>6</v>
      </c>
      <c r="L2672" s="6">
        <v>1.83</v>
      </c>
      <c r="M2672" s="7">
        <v>19.049999999999997</v>
      </c>
      <c r="N2672" s="7">
        <v>139.69999999999999</v>
      </c>
      <c r="O2672" s="7">
        <f t="shared" ref="O2672:O2735" si="208">L2672/0.0254</f>
        <v>72.047244094488192</v>
      </c>
      <c r="P2672" s="7">
        <f t="shared" ref="P2672:Q2735" si="209">M2672/25.4</f>
        <v>0.74999999999999989</v>
      </c>
      <c r="Q2672" s="7">
        <f t="shared" si="209"/>
        <v>5.5</v>
      </c>
      <c r="R2672" s="6">
        <f t="shared" ref="R2672:R2735" si="210">ROUND(IFERROR(1/((M2672*N2672*0.3048)/1000000),0),3)</f>
        <v>1232.8030000000001</v>
      </c>
      <c r="S2672" s="6">
        <f t="shared" ref="S2672:S2735" si="211">L2672*M2672/1000*N2672/1000</f>
        <v>4.8701515499999992E-3</v>
      </c>
      <c r="T2672" t="str">
        <f t="shared" si="207"/>
        <v>Maximo Thermo Ayous JPL Fluted 1x6 Short</v>
      </c>
    </row>
    <row r="2673" spans="1:20" x14ac:dyDescent="0.25">
      <c r="A2673" t="s">
        <v>3414</v>
      </c>
      <c r="B2673" t="s">
        <v>3415</v>
      </c>
      <c r="C2673" t="s">
        <v>524</v>
      </c>
      <c r="D2673" t="s">
        <v>3044</v>
      </c>
      <c r="E2673" t="s">
        <v>3430</v>
      </c>
      <c r="F2673" t="s">
        <v>3417</v>
      </c>
      <c r="G2673" t="s">
        <v>3418</v>
      </c>
      <c r="H2673" t="s">
        <v>3407</v>
      </c>
      <c r="I2673" t="s">
        <v>289</v>
      </c>
      <c r="J2673" t="s">
        <v>344</v>
      </c>
      <c r="K2673">
        <v>7</v>
      </c>
      <c r="L2673" s="6">
        <v>2.13</v>
      </c>
      <c r="M2673" s="7">
        <v>19.049999999999997</v>
      </c>
      <c r="N2673" s="7">
        <v>139.69999999999999</v>
      </c>
      <c r="O2673" s="7">
        <f t="shared" si="208"/>
        <v>83.858267716535437</v>
      </c>
      <c r="P2673" s="7">
        <f t="shared" si="209"/>
        <v>0.74999999999999989</v>
      </c>
      <c r="Q2673" s="7">
        <f t="shared" si="209"/>
        <v>5.5</v>
      </c>
      <c r="R2673" s="6">
        <f t="shared" si="210"/>
        <v>1232.8030000000001</v>
      </c>
      <c r="S2673" s="6">
        <f t="shared" si="211"/>
        <v>5.6685370499999976E-3</v>
      </c>
      <c r="T2673" t="str">
        <f t="shared" si="207"/>
        <v>Maximo Thermo Ayous JPL Fluted 1x6 Short</v>
      </c>
    </row>
    <row r="2674" spans="1:20" x14ac:dyDescent="0.25">
      <c r="A2674" t="s">
        <v>3414</v>
      </c>
      <c r="B2674" t="s">
        <v>3415</v>
      </c>
      <c r="C2674" t="s">
        <v>283</v>
      </c>
      <c r="D2674" t="s">
        <v>3044</v>
      </c>
      <c r="E2674" t="s">
        <v>3431</v>
      </c>
      <c r="F2674" t="s">
        <v>3417</v>
      </c>
      <c r="G2674" t="s">
        <v>3418</v>
      </c>
      <c r="H2674" t="s">
        <v>3407</v>
      </c>
      <c r="I2674" t="s">
        <v>289</v>
      </c>
      <c r="J2674" t="s">
        <v>344</v>
      </c>
      <c r="K2674">
        <v>8</v>
      </c>
      <c r="L2674" s="6">
        <v>2.44</v>
      </c>
      <c r="M2674" s="7">
        <v>19.049999999999997</v>
      </c>
      <c r="N2674" s="7">
        <v>139.69999999999999</v>
      </c>
      <c r="O2674" s="7">
        <f t="shared" si="208"/>
        <v>96.062992125984252</v>
      </c>
      <c r="P2674" s="7">
        <f t="shared" si="209"/>
        <v>0.74999999999999989</v>
      </c>
      <c r="Q2674" s="7">
        <f t="shared" si="209"/>
        <v>5.5</v>
      </c>
      <c r="R2674" s="6">
        <f t="shared" si="210"/>
        <v>1232.8030000000001</v>
      </c>
      <c r="S2674" s="6">
        <f t="shared" si="211"/>
        <v>6.4935353999999992E-3</v>
      </c>
      <c r="T2674" t="str">
        <f t="shared" si="207"/>
        <v>Maximo Thermo Ayous JPL Fluted 1x6 Long</v>
      </c>
    </row>
    <row r="2675" spans="1:20" x14ac:dyDescent="0.25">
      <c r="A2675" t="s">
        <v>3414</v>
      </c>
      <c r="B2675" t="s">
        <v>3415</v>
      </c>
      <c r="C2675" t="s">
        <v>283</v>
      </c>
      <c r="D2675" t="s">
        <v>3044</v>
      </c>
      <c r="E2675" t="s">
        <v>3432</v>
      </c>
      <c r="F2675" t="s">
        <v>3417</v>
      </c>
      <c r="G2675" t="s">
        <v>3418</v>
      </c>
      <c r="H2675" t="s">
        <v>3407</v>
      </c>
      <c r="I2675" t="s">
        <v>289</v>
      </c>
      <c r="J2675" t="s">
        <v>344</v>
      </c>
      <c r="K2675">
        <v>9</v>
      </c>
      <c r="L2675" s="6">
        <v>2.74</v>
      </c>
      <c r="M2675" s="7">
        <v>19.049999999999997</v>
      </c>
      <c r="N2675" s="7">
        <v>139.69999999999999</v>
      </c>
      <c r="O2675" s="7">
        <f t="shared" si="208"/>
        <v>107.87401574803151</v>
      </c>
      <c r="P2675" s="7">
        <f t="shared" si="209"/>
        <v>0.74999999999999989</v>
      </c>
      <c r="Q2675" s="7">
        <f t="shared" si="209"/>
        <v>5.5</v>
      </c>
      <c r="R2675" s="6">
        <f t="shared" si="210"/>
        <v>1232.8030000000001</v>
      </c>
      <c r="S2675" s="6">
        <f t="shared" si="211"/>
        <v>7.2919208999999985E-3</v>
      </c>
      <c r="T2675" t="str">
        <f t="shared" si="207"/>
        <v>Maximo Thermo Ayous JPL Fluted 1x6 Long</v>
      </c>
    </row>
    <row r="2676" spans="1:20" x14ac:dyDescent="0.25">
      <c r="A2676" t="s">
        <v>3414</v>
      </c>
      <c r="B2676" t="s">
        <v>3433</v>
      </c>
      <c r="C2676" t="s">
        <v>283</v>
      </c>
      <c r="D2676" t="s">
        <v>3044</v>
      </c>
      <c r="E2676" t="s">
        <v>186</v>
      </c>
      <c r="F2676" t="s">
        <v>3434</v>
      </c>
      <c r="G2676" t="s">
        <v>3418</v>
      </c>
      <c r="H2676" t="s">
        <v>373</v>
      </c>
      <c r="I2676" t="s">
        <v>289</v>
      </c>
      <c r="J2676" t="s">
        <v>1359</v>
      </c>
      <c r="K2676">
        <v>10</v>
      </c>
      <c r="L2676" s="6">
        <v>3.05</v>
      </c>
      <c r="M2676" s="7">
        <v>19.049999999999997</v>
      </c>
      <c r="N2676" s="7">
        <v>260.35000000000002</v>
      </c>
      <c r="O2676" s="7">
        <f t="shared" si="208"/>
        <v>120.07874015748031</v>
      </c>
      <c r="P2676" s="7">
        <f t="shared" si="209"/>
        <v>0.74999999999999989</v>
      </c>
      <c r="Q2676" s="7">
        <f t="shared" si="209"/>
        <v>10.250000000000002</v>
      </c>
      <c r="R2676" s="6">
        <f t="shared" si="210"/>
        <v>661.50400000000002</v>
      </c>
      <c r="S2676" s="6">
        <f t="shared" si="211"/>
        <v>1.5126985874999997E-2</v>
      </c>
      <c r="T2676" t="str">
        <f t="shared" si="207"/>
        <v>Maximo Thermo Ayous JPL S4S E4E 1x10 Long</v>
      </c>
    </row>
    <row r="2677" spans="1:20" x14ac:dyDescent="0.25">
      <c r="A2677" t="s">
        <v>3414</v>
      </c>
      <c r="B2677" t="s">
        <v>3433</v>
      </c>
      <c r="C2677" t="s">
        <v>283</v>
      </c>
      <c r="D2677" t="s">
        <v>3044</v>
      </c>
      <c r="E2677" t="s">
        <v>187</v>
      </c>
      <c r="F2677" t="s">
        <v>3434</v>
      </c>
      <c r="G2677" t="s">
        <v>3418</v>
      </c>
      <c r="H2677" t="s">
        <v>373</v>
      </c>
      <c r="I2677" t="s">
        <v>289</v>
      </c>
      <c r="J2677" t="s">
        <v>1359</v>
      </c>
      <c r="K2677">
        <v>11</v>
      </c>
      <c r="L2677" s="6">
        <v>3.35</v>
      </c>
      <c r="M2677" s="7">
        <v>19.049999999999997</v>
      </c>
      <c r="N2677" s="7">
        <v>260.35000000000002</v>
      </c>
      <c r="O2677" s="7">
        <f t="shared" si="208"/>
        <v>131.88976377952756</v>
      </c>
      <c r="P2677" s="7">
        <f t="shared" si="209"/>
        <v>0.74999999999999989</v>
      </c>
      <c r="Q2677" s="7">
        <f t="shared" si="209"/>
        <v>10.250000000000002</v>
      </c>
      <c r="R2677" s="6">
        <f t="shared" si="210"/>
        <v>661.50400000000002</v>
      </c>
      <c r="S2677" s="6">
        <f t="shared" si="211"/>
        <v>1.6614886125000002E-2</v>
      </c>
      <c r="T2677" t="str">
        <f t="shared" si="207"/>
        <v>Maximo Thermo Ayous JPL S4S E4E 1x10 Long</v>
      </c>
    </row>
    <row r="2678" spans="1:20" x14ac:dyDescent="0.25">
      <c r="A2678" t="s">
        <v>3414</v>
      </c>
      <c r="B2678" t="s">
        <v>3433</v>
      </c>
      <c r="C2678" t="s">
        <v>283</v>
      </c>
      <c r="D2678" t="s">
        <v>3044</v>
      </c>
      <c r="E2678" t="s">
        <v>3435</v>
      </c>
      <c r="F2678" t="s">
        <v>3434</v>
      </c>
      <c r="G2678" t="s">
        <v>3418</v>
      </c>
      <c r="H2678" t="s">
        <v>373</v>
      </c>
      <c r="I2678" t="s">
        <v>289</v>
      </c>
      <c r="J2678" t="s">
        <v>1359</v>
      </c>
      <c r="K2678">
        <v>12</v>
      </c>
      <c r="L2678" s="6">
        <v>3.66</v>
      </c>
      <c r="M2678" s="7">
        <v>19.049999999999997</v>
      </c>
      <c r="N2678" s="7">
        <v>260.35000000000002</v>
      </c>
      <c r="O2678" s="7">
        <f t="shared" si="208"/>
        <v>144.09448818897638</v>
      </c>
      <c r="P2678" s="7">
        <f t="shared" si="209"/>
        <v>0.74999999999999989</v>
      </c>
      <c r="Q2678" s="7">
        <f t="shared" si="209"/>
        <v>10.250000000000002</v>
      </c>
      <c r="R2678" s="6">
        <f t="shared" si="210"/>
        <v>661.50400000000002</v>
      </c>
      <c r="S2678" s="6">
        <f t="shared" si="211"/>
        <v>1.8152383050000002E-2</v>
      </c>
      <c r="T2678" t="str">
        <f t="shared" si="207"/>
        <v>Maximo Thermo Ayous JPL S4S E4E 1x10 Long</v>
      </c>
    </row>
    <row r="2679" spans="1:20" x14ac:dyDescent="0.25">
      <c r="A2679" t="s">
        <v>3414</v>
      </c>
      <c r="B2679" t="s">
        <v>3433</v>
      </c>
      <c r="C2679" t="s">
        <v>283</v>
      </c>
      <c r="D2679" t="s">
        <v>3044</v>
      </c>
      <c r="E2679" t="s">
        <v>3436</v>
      </c>
      <c r="F2679" t="s">
        <v>3434</v>
      </c>
      <c r="G2679" t="s">
        <v>3418</v>
      </c>
      <c r="H2679" t="s">
        <v>373</v>
      </c>
      <c r="I2679" t="s">
        <v>289</v>
      </c>
      <c r="J2679" t="s">
        <v>1359</v>
      </c>
      <c r="K2679">
        <v>13</v>
      </c>
      <c r="L2679" s="6">
        <v>3.96</v>
      </c>
      <c r="M2679" s="7">
        <v>19.049999999999997</v>
      </c>
      <c r="N2679" s="7">
        <v>260.35000000000002</v>
      </c>
      <c r="O2679" s="7">
        <f t="shared" si="208"/>
        <v>155.90551181102362</v>
      </c>
      <c r="P2679" s="7">
        <f t="shared" si="209"/>
        <v>0.74999999999999989</v>
      </c>
      <c r="Q2679" s="7">
        <f t="shared" si="209"/>
        <v>10.250000000000002</v>
      </c>
      <c r="R2679" s="6">
        <f t="shared" si="210"/>
        <v>661.50400000000002</v>
      </c>
      <c r="S2679" s="6">
        <f t="shared" si="211"/>
        <v>1.9640283299999999E-2</v>
      </c>
      <c r="T2679" t="str">
        <f t="shared" si="207"/>
        <v>Maximo Thermo Ayous JPL S4S E4E 1x10 Long</v>
      </c>
    </row>
    <row r="2680" spans="1:20" x14ac:dyDescent="0.25">
      <c r="A2680" t="s">
        <v>3414</v>
      </c>
      <c r="B2680" t="s">
        <v>3433</v>
      </c>
      <c r="C2680" t="s">
        <v>283</v>
      </c>
      <c r="D2680" t="s">
        <v>3044</v>
      </c>
      <c r="E2680" t="s">
        <v>188</v>
      </c>
      <c r="F2680" t="s">
        <v>3434</v>
      </c>
      <c r="G2680" t="s">
        <v>3418</v>
      </c>
      <c r="H2680" t="s">
        <v>373</v>
      </c>
      <c r="I2680" t="s">
        <v>289</v>
      </c>
      <c r="J2680" t="s">
        <v>1359</v>
      </c>
      <c r="K2680">
        <v>14</v>
      </c>
      <c r="L2680" s="6">
        <v>4.2699999999999996</v>
      </c>
      <c r="M2680" s="7">
        <v>19.049999999999997</v>
      </c>
      <c r="N2680" s="7">
        <v>260.35000000000002</v>
      </c>
      <c r="O2680" s="7">
        <f t="shared" si="208"/>
        <v>168.11023622047244</v>
      </c>
      <c r="P2680" s="7">
        <f t="shared" si="209"/>
        <v>0.74999999999999989</v>
      </c>
      <c r="Q2680" s="7">
        <f t="shared" si="209"/>
        <v>10.250000000000002</v>
      </c>
      <c r="R2680" s="6">
        <f t="shared" si="210"/>
        <v>661.50400000000002</v>
      </c>
      <c r="S2680" s="6">
        <f t="shared" si="211"/>
        <v>2.1177780224999995E-2</v>
      </c>
      <c r="T2680" t="str">
        <f t="shared" si="207"/>
        <v>Maximo Thermo Ayous JPL S4S E4E 1x10 Long</v>
      </c>
    </row>
    <row r="2681" spans="1:20" x14ac:dyDescent="0.25">
      <c r="A2681" t="s">
        <v>3414</v>
      </c>
      <c r="B2681" t="s">
        <v>3433</v>
      </c>
      <c r="C2681" t="s">
        <v>283</v>
      </c>
      <c r="D2681" t="s">
        <v>3044</v>
      </c>
      <c r="E2681" t="s">
        <v>3437</v>
      </c>
      <c r="F2681" t="s">
        <v>3434</v>
      </c>
      <c r="G2681" t="s">
        <v>3418</v>
      </c>
      <c r="H2681" t="s">
        <v>373</v>
      </c>
      <c r="I2681" t="s">
        <v>289</v>
      </c>
      <c r="J2681" t="s">
        <v>1359</v>
      </c>
      <c r="K2681">
        <v>15</v>
      </c>
      <c r="L2681" s="6">
        <v>4.57</v>
      </c>
      <c r="M2681" s="7">
        <v>19.049999999999997</v>
      </c>
      <c r="N2681" s="7">
        <v>260.35000000000002</v>
      </c>
      <c r="O2681" s="7">
        <f t="shared" si="208"/>
        <v>179.9212598425197</v>
      </c>
      <c r="P2681" s="7">
        <f t="shared" si="209"/>
        <v>0.74999999999999989</v>
      </c>
      <c r="Q2681" s="7">
        <f t="shared" si="209"/>
        <v>10.250000000000002</v>
      </c>
      <c r="R2681" s="6">
        <f t="shared" si="210"/>
        <v>661.50400000000002</v>
      </c>
      <c r="S2681" s="6">
        <f t="shared" si="211"/>
        <v>2.2665680475000002E-2</v>
      </c>
      <c r="T2681" t="str">
        <f t="shared" si="207"/>
        <v>Maximo Thermo Ayous JPL S4S E4E 1x10 Long</v>
      </c>
    </row>
    <row r="2682" spans="1:20" x14ac:dyDescent="0.25">
      <c r="A2682" t="s">
        <v>3414</v>
      </c>
      <c r="B2682" t="s">
        <v>3433</v>
      </c>
      <c r="C2682" t="s">
        <v>283</v>
      </c>
      <c r="D2682" t="s">
        <v>3044</v>
      </c>
      <c r="E2682" t="s">
        <v>173</v>
      </c>
      <c r="F2682" t="s">
        <v>3434</v>
      </c>
      <c r="G2682" t="s">
        <v>3418</v>
      </c>
      <c r="H2682" t="s">
        <v>373</v>
      </c>
      <c r="I2682" t="s">
        <v>289</v>
      </c>
      <c r="J2682" t="s">
        <v>1359</v>
      </c>
      <c r="K2682">
        <v>16</v>
      </c>
      <c r="L2682" s="6">
        <v>4.88</v>
      </c>
      <c r="M2682" s="7">
        <v>19.049999999999997</v>
      </c>
      <c r="N2682" s="7">
        <v>260.35000000000002</v>
      </c>
      <c r="O2682" s="7">
        <f t="shared" si="208"/>
        <v>192.1259842519685</v>
      </c>
      <c r="P2682" s="7">
        <f t="shared" si="209"/>
        <v>0.74999999999999989</v>
      </c>
      <c r="Q2682" s="7">
        <f t="shared" si="209"/>
        <v>10.250000000000002</v>
      </c>
      <c r="R2682" s="6">
        <f t="shared" si="210"/>
        <v>661.50400000000002</v>
      </c>
      <c r="S2682" s="6">
        <f t="shared" si="211"/>
        <v>2.4203177400000001E-2</v>
      </c>
      <c r="T2682" t="str">
        <f t="shared" si="207"/>
        <v>Maximo Thermo Ayous JPL S4S E4E 1x10 Long</v>
      </c>
    </row>
    <row r="2683" spans="1:20" x14ac:dyDescent="0.25">
      <c r="A2683" t="s">
        <v>3414</v>
      </c>
      <c r="B2683" t="s">
        <v>3433</v>
      </c>
      <c r="C2683" t="s">
        <v>283</v>
      </c>
      <c r="D2683" t="s">
        <v>3044</v>
      </c>
      <c r="E2683" t="s">
        <v>174</v>
      </c>
      <c r="F2683" t="s">
        <v>3434</v>
      </c>
      <c r="G2683" t="s">
        <v>3418</v>
      </c>
      <c r="H2683" t="s">
        <v>373</v>
      </c>
      <c r="I2683" t="s">
        <v>289</v>
      </c>
      <c r="J2683" t="s">
        <v>1359</v>
      </c>
      <c r="K2683">
        <v>17</v>
      </c>
      <c r="L2683" s="6">
        <v>5.18</v>
      </c>
      <c r="M2683" s="7">
        <v>19.049999999999997</v>
      </c>
      <c r="N2683" s="7">
        <v>260.35000000000002</v>
      </c>
      <c r="O2683" s="7">
        <f t="shared" si="208"/>
        <v>203.93700787401573</v>
      </c>
      <c r="P2683" s="7">
        <f t="shared" si="209"/>
        <v>0.74999999999999989</v>
      </c>
      <c r="Q2683" s="7">
        <f t="shared" si="209"/>
        <v>10.250000000000002</v>
      </c>
      <c r="R2683" s="6">
        <f t="shared" si="210"/>
        <v>661.50400000000002</v>
      </c>
      <c r="S2683" s="6">
        <f t="shared" si="211"/>
        <v>2.5691077649999998E-2</v>
      </c>
      <c r="T2683" t="str">
        <f t="shared" si="207"/>
        <v>Maximo Thermo Ayous JPL S4S E4E 1x10 Long</v>
      </c>
    </row>
    <row r="2684" spans="1:20" x14ac:dyDescent="0.25">
      <c r="A2684" t="s">
        <v>3414</v>
      </c>
      <c r="B2684" t="s">
        <v>3433</v>
      </c>
      <c r="C2684" t="s">
        <v>283</v>
      </c>
      <c r="D2684" t="s">
        <v>3044</v>
      </c>
      <c r="E2684" t="s">
        <v>3438</v>
      </c>
      <c r="F2684" t="s">
        <v>3434</v>
      </c>
      <c r="G2684" t="s">
        <v>3418</v>
      </c>
      <c r="H2684" t="s">
        <v>373</v>
      </c>
      <c r="I2684" t="s">
        <v>289</v>
      </c>
      <c r="J2684" t="s">
        <v>1359</v>
      </c>
      <c r="K2684">
        <v>18</v>
      </c>
      <c r="L2684" s="6">
        <v>5.49</v>
      </c>
      <c r="M2684" s="7">
        <v>19.049999999999997</v>
      </c>
      <c r="N2684" s="7">
        <v>260.35000000000002</v>
      </c>
      <c r="O2684" s="7">
        <f t="shared" si="208"/>
        <v>216.14173228346459</v>
      </c>
      <c r="P2684" s="7">
        <f t="shared" si="209"/>
        <v>0.74999999999999989</v>
      </c>
      <c r="Q2684" s="7">
        <f t="shared" si="209"/>
        <v>10.250000000000002</v>
      </c>
      <c r="R2684" s="6">
        <f t="shared" si="210"/>
        <v>661.50400000000002</v>
      </c>
      <c r="S2684" s="6">
        <f t="shared" si="211"/>
        <v>2.7228574575000004E-2</v>
      </c>
      <c r="T2684" t="str">
        <f t="shared" si="207"/>
        <v>Maximo Thermo Ayous JPL S4S E4E 1x10 Long</v>
      </c>
    </row>
    <row r="2685" spans="1:20" x14ac:dyDescent="0.25">
      <c r="A2685" t="s">
        <v>3414</v>
      </c>
      <c r="B2685" t="s">
        <v>3433</v>
      </c>
      <c r="C2685" t="s">
        <v>283</v>
      </c>
      <c r="D2685" t="s">
        <v>3044</v>
      </c>
      <c r="E2685" t="s">
        <v>3439</v>
      </c>
      <c r="F2685" t="s">
        <v>3434</v>
      </c>
      <c r="G2685" t="s">
        <v>3418</v>
      </c>
      <c r="H2685" t="s">
        <v>373</v>
      </c>
      <c r="I2685" t="s">
        <v>289</v>
      </c>
      <c r="J2685" t="s">
        <v>1359</v>
      </c>
      <c r="K2685">
        <v>19</v>
      </c>
      <c r="L2685" s="6">
        <v>5.79</v>
      </c>
      <c r="M2685" s="7">
        <v>19.049999999999997</v>
      </c>
      <c r="N2685" s="7">
        <v>260.35000000000002</v>
      </c>
      <c r="O2685" s="7">
        <f t="shared" si="208"/>
        <v>227.95275590551182</v>
      </c>
      <c r="P2685" s="7">
        <f t="shared" si="209"/>
        <v>0.74999999999999989</v>
      </c>
      <c r="Q2685" s="7">
        <f t="shared" si="209"/>
        <v>10.250000000000002</v>
      </c>
      <c r="R2685" s="6">
        <f t="shared" si="210"/>
        <v>661.50400000000002</v>
      </c>
      <c r="S2685" s="6">
        <f t="shared" si="211"/>
        <v>2.8716474824999998E-2</v>
      </c>
      <c r="T2685" t="str">
        <f t="shared" si="207"/>
        <v>Maximo Thermo Ayous JPL S4S E4E 1x10 Long</v>
      </c>
    </row>
    <row r="2686" spans="1:20" x14ac:dyDescent="0.25">
      <c r="A2686" t="s">
        <v>3414</v>
      </c>
      <c r="B2686" t="s">
        <v>3433</v>
      </c>
      <c r="C2686" t="s">
        <v>283</v>
      </c>
      <c r="D2686" t="s">
        <v>3044</v>
      </c>
      <c r="E2686" t="s">
        <v>3440</v>
      </c>
      <c r="F2686" t="s">
        <v>3434</v>
      </c>
      <c r="G2686" t="s">
        <v>3418</v>
      </c>
      <c r="H2686" t="s">
        <v>373</v>
      </c>
      <c r="I2686" t="s">
        <v>289</v>
      </c>
      <c r="J2686" t="s">
        <v>1359</v>
      </c>
      <c r="K2686">
        <v>20</v>
      </c>
      <c r="L2686" s="6">
        <v>6.09</v>
      </c>
      <c r="M2686" s="7">
        <v>19.049999999999997</v>
      </c>
      <c r="N2686" s="7">
        <v>260.35000000000002</v>
      </c>
      <c r="O2686" s="7">
        <f t="shared" si="208"/>
        <v>239.76377952755905</v>
      </c>
      <c r="P2686" s="7">
        <f t="shared" si="209"/>
        <v>0.74999999999999989</v>
      </c>
      <c r="Q2686" s="7">
        <f t="shared" si="209"/>
        <v>10.250000000000002</v>
      </c>
      <c r="R2686" s="6">
        <f t="shared" si="210"/>
        <v>661.50400000000002</v>
      </c>
      <c r="S2686" s="6">
        <f t="shared" si="211"/>
        <v>3.0204375074999998E-2</v>
      </c>
      <c r="T2686" t="str">
        <f t="shared" si="207"/>
        <v>Maximo Thermo Ayous JPL S4S E4E 1x10 Long</v>
      </c>
    </row>
    <row r="2687" spans="1:20" x14ac:dyDescent="0.25">
      <c r="A2687" t="s">
        <v>3414</v>
      </c>
      <c r="B2687" t="s">
        <v>3433</v>
      </c>
      <c r="C2687" t="s">
        <v>524</v>
      </c>
      <c r="D2687" t="s">
        <v>3044</v>
      </c>
      <c r="E2687" t="s">
        <v>3441</v>
      </c>
      <c r="F2687" t="s">
        <v>3434</v>
      </c>
      <c r="G2687" t="s">
        <v>3418</v>
      </c>
      <c r="H2687" t="s">
        <v>373</v>
      </c>
      <c r="I2687" t="s">
        <v>289</v>
      </c>
      <c r="J2687" t="s">
        <v>1359</v>
      </c>
      <c r="K2687">
        <v>4</v>
      </c>
      <c r="L2687" s="6">
        <v>1.22</v>
      </c>
      <c r="M2687" s="7">
        <v>19.049999999999997</v>
      </c>
      <c r="N2687" s="7">
        <v>260.35000000000002</v>
      </c>
      <c r="O2687" s="7">
        <f t="shared" si="208"/>
        <v>48.031496062992126</v>
      </c>
      <c r="P2687" s="7">
        <f t="shared" si="209"/>
        <v>0.74999999999999989</v>
      </c>
      <c r="Q2687" s="7">
        <f t="shared" si="209"/>
        <v>10.250000000000002</v>
      </c>
      <c r="R2687" s="6">
        <f t="shared" si="210"/>
        <v>661.50400000000002</v>
      </c>
      <c r="S2687" s="6">
        <f t="shared" si="211"/>
        <v>6.0507943500000003E-3</v>
      </c>
      <c r="T2687" t="str">
        <f t="shared" si="207"/>
        <v>Maximo Thermo Ayous JPL S4S E4E 1x10 Short</v>
      </c>
    </row>
    <row r="2688" spans="1:20" x14ac:dyDescent="0.25">
      <c r="A2688" t="s">
        <v>3414</v>
      </c>
      <c r="B2688" t="s">
        <v>3433</v>
      </c>
      <c r="C2688" t="s">
        <v>524</v>
      </c>
      <c r="D2688" t="s">
        <v>3044</v>
      </c>
      <c r="E2688" t="s">
        <v>3442</v>
      </c>
      <c r="F2688" t="s">
        <v>3434</v>
      </c>
      <c r="G2688" t="s">
        <v>3418</v>
      </c>
      <c r="H2688" t="s">
        <v>373</v>
      </c>
      <c r="I2688" t="s">
        <v>289</v>
      </c>
      <c r="J2688" t="s">
        <v>1359</v>
      </c>
      <c r="K2688">
        <v>5</v>
      </c>
      <c r="L2688" s="6">
        <v>1.52</v>
      </c>
      <c r="M2688" s="7">
        <v>19.049999999999997</v>
      </c>
      <c r="N2688" s="7">
        <v>260.35000000000002</v>
      </c>
      <c r="O2688" s="7">
        <f t="shared" si="208"/>
        <v>59.84251968503937</v>
      </c>
      <c r="P2688" s="7">
        <f t="shared" si="209"/>
        <v>0.74999999999999989</v>
      </c>
      <c r="Q2688" s="7">
        <f t="shared" si="209"/>
        <v>10.250000000000002</v>
      </c>
      <c r="R2688" s="6">
        <f t="shared" si="210"/>
        <v>661.50400000000002</v>
      </c>
      <c r="S2688" s="6">
        <f t="shared" si="211"/>
        <v>7.5386945999999996E-3</v>
      </c>
      <c r="T2688" t="str">
        <f t="shared" si="207"/>
        <v>Maximo Thermo Ayous JPL S4S E4E 1x10 Short</v>
      </c>
    </row>
    <row r="2689" spans="1:20" x14ac:dyDescent="0.25">
      <c r="A2689" t="s">
        <v>3414</v>
      </c>
      <c r="B2689" t="s">
        <v>3433</v>
      </c>
      <c r="C2689" t="s">
        <v>524</v>
      </c>
      <c r="D2689" t="s">
        <v>3044</v>
      </c>
      <c r="E2689" t="s">
        <v>3443</v>
      </c>
      <c r="F2689" t="s">
        <v>3434</v>
      </c>
      <c r="G2689" t="s">
        <v>3418</v>
      </c>
      <c r="H2689" t="s">
        <v>373</v>
      </c>
      <c r="I2689" t="s">
        <v>289</v>
      </c>
      <c r="J2689" t="s">
        <v>1359</v>
      </c>
      <c r="K2689">
        <v>6</v>
      </c>
      <c r="L2689" s="6">
        <v>1.83</v>
      </c>
      <c r="M2689" s="7">
        <v>19.049999999999997</v>
      </c>
      <c r="N2689" s="7">
        <v>260.35000000000002</v>
      </c>
      <c r="O2689" s="7">
        <f t="shared" si="208"/>
        <v>72.047244094488192</v>
      </c>
      <c r="P2689" s="7">
        <f t="shared" si="209"/>
        <v>0.74999999999999989</v>
      </c>
      <c r="Q2689" s="7">
        <f t="shared" si="209"/>
        <v>10.250000000000002</v>
      </c>
      <c r="R2689" s="6">
        <f t="shared" si="210"/>
        <v>661.50400000000002</v>
      </c>
      <c r="S2689" s="6">
        <f t="shared" si="211"/>
        <v>9.0761915250000009E-3</v>
      </c>
      <c r="T2689" t="str">
        <f t="shared" si="207"/>
        <v>Maximo Thermo Ayous JPL S4S E4E 1x10 Short</v>
      </c>
    </row>
    <row r="2690" spans="1:20" x14ac:dyDescent="0.25">
      <c r="A2690" t="s">
        <v>3414</v>
      </c>
      <c r="B2690" t="s">
        <v>3433</v>
      </c>
      <c r="C2690" t="s">
        <v>524</v>
      </c>
      <c r="D2690" t="s">
        <v>3044</v>
      </c>
      <c r="E2690" t="s">
        <v>3444</v>
      </c>
      <c r="F2690" t="s">
        <v>3434</v>
      </c>
      <c r="G2690" t="s">
        <v>3418</v>
      </c>
      <c r="H2690" t="s">
        <v>373</v>
      </c>
      <c r="I2690" t="s">
        <v>289</v>
      </c>
      <c r="J2690" t="s">
        <v>1359</v>
      </c>
      <c r="K2690">
        <v>7</v>
      </c>
      <c r="L2690" s="6">
        <v>2.13</v>
      </c>
      <c r="M2690" s="7">
        <v>19.049999999999997</v>
      </c>
      <c r="N2690" s="7">
        <v>260.35000000000002</v>
      </c>
      <c r="O2690" s="7">
        <f t="shared" si="208"/>
        <v>83.858267716535437</v>
      </c>
      <c r="P2690" s="7">
        <f t="shared" si="209"/>
        <v>0.74999999999999989</v>
      </c>
      <c r="Q2690" s="7">
        <f t="shared" si="209"/>
        <v>10.250000000000002</v>
      </c>
      <c r="R2690" s="6">
        <f t="shared" si="210"/>
        <v>661.50400000000002</v>
      </c>
      <c r="S2690" s="6">
        <f t="shared" si="211"/>
        <v>1.0564091774999998E-2</v>
      </c>
      <c r="T2690" t="str">
        <f t="shared" ref="T2690:T2753" si="212">F2690&amp;" "&amp;C2690</f>
        <v>Maximo Thermo Ayous JPL S4S E4E 1x10 Short</v>
      </c>
    </row>
    <row r="2691" spans="1:20" x14ac:dyDescent="0.25">
      <c r="A2691" t="s">
        <v>3414</v>
      </c>
      <c r="B2691" t="s">
        <v>3433</v>
      </c>
      <c r="C2691" t="s">
        <v>283</v>
      </c>
      <c r="D2691" t="s">
        <v>3044</v>
      </c>
      <c r="E2691" t="s">
        <v>3445</v>
      </c>
      <c r="F2691" t="s">
        <v>3434</v>
      </c>
      <c r="G2691" t="s">
        <v>3418</v>
      </c>
      <c r="H2691" t="s">
        <v>373</v>
      </c>
      <c r="I2691" t="s">
        <v>289</v>
      </c>
      <c r="J2691" t="s">
        <v>1359</v>
      </c>
      <c r="K2691">
        <v>8</v>
      </c>
      <c r="L2691" s="6">
        <v>2.44</v>
      </c>
      <c r="M2691" s="7">
        <v>19.049999999999997</v>
      </c>
      <c r="N2691" s="7">
        <v>260.35000000000002</v>
      </c>
      <c r="O2691" s="7">
        <f t="shared" si="208"/>
        <v>96.062992125984252</v>
      </c>
      <c r="P2691" s="7">
        <f t="shared" si="209"/>
        <v>0.74999999999999989</v>
      </c>
      <c r="Q2691" s="7">
        <f t="shared" si="209"/>
        <v>10.250000000000002</v>
      </c>
      <c r="R2691" s="6">
        <f t="shared" si="210"/>
        <v>661.50400000000002</v>
      </c>
      <c r="S2691" s="6">
        <f t="shared" si="211"/>
        <v>1.2101588700000001E-2</v>
      </c>
      <c r="T2691" t="str">
        <f t="shared" si="212"/>
        <v>Maximo Thermo Ayous JPL S4S E4E 1x10 Long</v>
      </c>
    </row>
    <row r="2692" spans="1:20" x14ac:dyDescent="0.25">
      <c r="A2692" t="s">
        <v>3414</v>
      </c>
      <c r="B2692" t="s">
        <v>3433</v>
      </c>
      <c r="C2692" t="s">
        <v>283</v>
      </c>
      <c r="D2692" t="s">
        <v>3044</v>
      </c>
      <c r="E2692" t="s">
        <v>3446</v>
      </c>
      <c r="F2692" t="s">
        <v>3434</v>
      </c>
      <c r="G2692" t="s">
        <v>3418</v>
      </c>
      <c r="H2692" t="s">
        <v>373</v>
      </c>
      <c r="I2692" t="s">
        <v>289</v>
      </c>
      <c r="J2692" t="s">
        <v>1359</v>
      </c>
      <c r="K2692">
        <v>9</v>
      </c>
      <c r="L2692" s="6">
        <v>2.74</v>
      </c>
      <c r="M2692" s="7">
        <v>19.049999999999997</v>
      </c>
      <c r="N2692" s="7">
        <v>260.35000000000002</v>
      </c>
      <c r="O2692" s="7">
        <f t="shared" si="208"/>
        <v>107.87401574803151</v>
      </c>
      <c r="P2692" s="7">
        <f t="shared" si="209"/>
        <v>0.74999999999999989</v>
      </c>
      <c r="Q2692" s="7">
        <f t="shared" si="209"/>
        <v>10.250000000000002</v>
      </c>
      <c r="R2692" s="6">
        <f t="shared" si="210"/>
        <v>661.50400000000002</v>
      </c>
      <c r="S2692" s="6">
        <f t="shared" si="211"/>
        <v>1.3589488949999999E-2</v>
      </c>
      <c r="T2692" t="str">
        <f t="shared" si="212"/>
        <v>Maximo Thermo Ayous JPL S4S E4E 1x10 Long</v>
      </c>
    </row>
    <row r="2693" spans="1:20" x14ac:dyDescent="0.25">
      <c r="A2693" t="s">
        <v>3414</v>
      </c>
      <c r="B2693" t="s">
        <v>3447</v>
      </c>
      <c r="C2693" t="s">
        <v>283</v>
      </c>
      <c r="D2693" t="s">
        <v>3044</v>
      </c>
      <c r="E2693" t="s">
        <v>3448</v>
      </c>
      <c r="F2693" t="s">
        <v>3449</v>
      </c>
      <c r="G2693" t="s">
        <v>3418</v>
      </c>
      <c r="H2693" t="s">
        <v>373</v>
      </c>
      <c r="I2693" t="s">
        <v>289</v>
      </c>
      <c r="J2693" t="s">
        <v>3296</v>
      </c>
      <c r="K2693">
        <v>10</v>
      </c>
      <c r="L2693" s="6">
        <v>3.05</v>
      </c>
      <c r="M2693" s="7">
        <v>19.049999999999997</v>
      </c>
      <c r="N2693" s="7">
        <v>260.35000000000002</v>
      </c>
      <c r="O2693" s="7">
        <f t="shared" si="208"/>
        <v>120.07874015748031</v>
      </c>
      <c r="P2693" s="7">
        <f t="shared" si="209"/>
        <v>0.74999999999999989</v>
      </c>
      <c r="Q2693" s="7">
        <f t="shared" si="209"/>
        <v>10.250000000000002</v>
      </c>
      <c r="R2693" s="6">
        <f t="shared" si="210"/>
        <v>661.50400000000002</v>
      </c>
      <c r="S2693" s="6">
        <f t="shared" si="211"/>
        <v>1.5126985874999997E-2</v>
      </c>
      <c r="T2693" t="str">
        <f t="shared" si="212"/>
        <v>Maximo Thermo Ayous JPL S4S E4E 1x11 Long</v>
      </c>
    </row>
    <row r="2694" spans="1:20" x14ac:dyDescent="0.25">
      <c r="A2694" t="s">
        <v>3414</v>
      </c>
      <c r="B2694" t="s">
        <v>3447</v>
      </c>
      <c r="C2694" t="s">
        <v>283</v>
      </c>
      <c r="D2694" t="s">
        <v>3044</v>
      </c>
      <c r="E2694" t="s">
        <v>3450</v>
      </c>
      <c r="F2694" t="s">
        <v>3449</v>
      </c>
      <c r="G2694" t="s">
        <v>3418</v>
      </c>
      <c r="H2694" t="s">
        <v>373</v>
      </c>
      <c r="I2694" t="s">
        <v>289</v>
      </c>
      <c r="J2694" t="s">
        <v>3296</v>
      </c>
      <c r="K2694">
        <v>11</v>
      </c>
      <c r="L2694" s="6">
        <v>3.35</v>
      </c>
      <c r="M2694" s="7">
        <v>19.049999999999997</v>
      </c>
      <c r="N2694" s="7">
        <v>260.35000000000002</v>
      </c>
      <c r="O2694" s="7">
        <f t="shared" si="208"/>
        <v>131.88976377952756</v>
      </c>
      <c r="P2694" s="7">
        <f t="shared" si="209"/>
        <v>0.74999999999999989</v>
      </c>
      <c r="Q2694" s="7">
        <f t="shared" si="209"/>
        <v>10.250000000000002</v>
      </c>
      <c r="R2694" s="6">
        <f t="shared" si="210"/>
        <v>661.50400000000002</v>
      </c>
      <c r="S2694" s="6">
        <f t="shared" si="211"/>
        <v>1.6614886125000002E-2</v>
      </c>
      <c r="T2694" t="str">
        <f t="shared" si="212"/>
        <v>Maximo Thermo Ayous JPL S4S E4E 1x11 Long</v>
      </c>
    </row>
    <row r="2695" spans="1:20" x14ac:dyDescent="0.25">
      <c r="A2695" t="s">
        <v>3414</v>
      </c>
      <c r="B2695" t="s">
        <v>3447</v>
      </c>
      <c r="C2695" t="s">
        <v>283</v>
      </c>
      <c r="D2695" t="s">
        <v>3044</v>
      </c>
      <c r="E2695" t="s">
        <v>3451</v>
      </c>
      <c r="F2695" t="s">
        <v>3449</v>
      </c>
      <c r="G2695" t="s">
        <v>3418</v>
      </c>
      <c r="H2695" t="s">
        <v>373</v>
      </c>
      <c r="I2695" t="s">
        <v>289</v>
      </c>
      <c r="J2695" t="s">
        <v>3296</v>
      </c>
      <c r="K2695">
        <v>12</v>
      </c>
      <c r="L2695" s="6">
        <v>3.66</v>
      </c>
      <c r="M2695" s="7">
        <v>19.049999999999997</v>
      </c>
      <c r="N2695" s="7">
        <v>260.35000000000002</v>
      </c>
      <c r="O2695" s="7">
        <f t="shared" si="208"/>
        <v>144.09448818897638</v>
      </c>
      <c r="P2695" s="7">
        <f t="shared" si="209"/>
        <v>0.74999999999999989</v>
      </c>
      <c r="Q2695" s="7">
        <f t="shared" si="209"/>
        <v>10.250000000000002</v>
      </c>
      <c r="R2695" s="6">
        <f t="shared" si="210"/>
        <v>661.50400000000002</v>
      </c>
      <c r="S2695" s="6">
        <f t="shared" si="211"/>
        <v>1.8152383050000002E-2</v>
      </c>
      <c r="T2695" t="str">
        <f t="shared" si="212"/>
        <v>Maximo Thermo Ayous JPL S4S E4E 1x11 Long</v>
      </c>
    </row>
    <row r="2696" spans="1:20" x14ac:dyDescent="0.25">
      <c r="A2696" t="s">
        <v>3414</v>
      </c>
      <c r="B2696" t="s">
        <v>3447</v>
      </c>
      <c r="C2696" t="s">
        <v>283</v>
      </c>
      <c r="D2696" t="s">
        <v>3044</v>
      </c>
      <c r="E2696" t="s">
        <v>3452</v>
      </c>
      <c r="F2696" t="s">
        <v>3449</v>
      </c>
      <c r="G2696" t="s">
        <v>3418</v>
      </c>
      <c r="H2696" t="s">
        <v>373</v>
      </c>
      <c r="I2696" t="s">
        <v>289</v>
      </c>
      <c r="J2696" t="s">
        <v>3296</v>
      </c>
      <c r="K2696">
        <v>13</v>
      </c>
      <c r="L2696" s="6">
        <v>3.96</v>
      </c>
      <c r="M2696" s="7">
        <v>19.049999999999997</v>
      </c>
      <c r="N2696" s="7">
        <v>260.35000000000002</v>
      </c>
      <c r="O2696" s="7">
        <f t="shared" si="208"/>
        <v>155.90551181102362</v>
      </c>
      <c r="P2696" s="7">
        <f t="shared" si="209"/>
        <v>0.74999999999999989</v>
      </c>
      <c r="Q2696" s="7">
        <f t="shared" si="209"/>
        <v>10.250000000000002</v>
      </c>
      <c r="R2696" s="6">
        <f t="shared" si="210"/>
        <v>661.50400000000002</v>
      </c>
      <c r="S2696" s="6">
        <f t="shared" si="211"/>
        <v>1.9640283299999999E-2</v>
      </c>
      <c r="T2696" t="str">
        <f t="shared" si="212"/>
        <v>Maximo Thermo Ayous JPL S4S E4E 1x11 Long</v>
      </c>
    </row>
    <row r="2697" spans="1:20" x14ac:dyDescent="0.25">
      <c r="A2697" t="s">
        <v>3414</v>
      </c>
      <c r="B2697" t="s">
        <v>3447</v>
      </c>
      <c r="C2697" t="s">
        <v>283</v>
      </c>
      <c r="D2697" t="s">
        <v>3044</v>
      </c>
      <c r="E2697" t="s">
        <v>3453</v>
      </c>
      <c r="F2697" t="s">
        <v>3449</v>
      </c>
      <c r="G2697" t="s">
        <v>3418</v>
      </c>
      <c r="H2697" t="s">
        <v>373</v>
      </c>
      <c r="I2697" t="s">
        <v>289</v>
      </c>
      <c r="J2697" t="s">
        <v>3296</v>
      </c>
      <c r="K2697">
        <v>14</v>
      </c>
      <c r="L2697" s="6">
        <v>4.2699999999999996</v>
      </c>
      <c r="M2697" s="7">
        <v>19.049999999999997</v>
      </c>
      <c r="N2697" s="7">
        <v>260.35000000000002</v>
      </c>
      <c r="O2697" s="7">
        <f t="shared" si="208"/>
        <v>168.11023622047244</v>
      </c>
      <c r="P2697" s="7">
        <f t="shared" si="209"/>
        <v>0.74999999999999989</v>
      </c>
      <c r="Q2697" s="7">
        <f t="shared" si="209"/>
        <v>10.250000000000002</v>
      </c>
      <c r="R2697" s="6">
        <f t="shared" si="210"/>
        <v>661.50400000000002</v>
      </c>
      <c r="S2697" s="6">
        <f t="shared" si="211"/>
        <v>2.1177780224999995E-2</v>
      </c>
      <c r="T2697" t="str">
        <f t="shared" si="212"/>
        <v>Maximo Thermo Ayous JPL S4S E4E 1x11 Long</v>
      </c>
    </row>
    <row r="2698" spans="1:20" x14ac:dyDescent="0.25">
      <c r="A2698" t="s">
        <v>3414</v>
      </c>
      <c r="B2698" t="s">
        <v>3447</v>
      </c>
      <c r="C2698" t="s">
        <v>283</v>
      </c>
      <c r="D2698" t="s">
        <v>3044</v>
      </c>
      <c r="E2698" t="s">
        <v>3454</v>
      </c>
      <c r="F2698" t="s">
        <v>3449</v>
      </c>
      <c r="G2698" t="s">
        <v>3418</v>
      </c>
      <c r="H2698" t="s">
        <v>373</v>
      </c>
      <c r="I2698" t="s">
        <v>289</v>
      </c>
      <c r="J2698" t="s">
        <v>3296</v>
      </c>
      <c r="K2698">
        <v>15</v>
      </c>
      <c r="L2698" s="6">
        <v>4.57</v>
      </c>
      <c r="M2698" s="7">
        <v>19.049999999999997</v>
      </c>
      <c r="N2698" s="7">
        <v>260.35000000000002</v>
      </c>
      <c r="O2698" s="7">
        <f t="shared" si="208"/>
        <v>179.9212598425197</v>
      </c>
      <c r="P2698" s="7">
        <f t="shared" si="209"/>
        <v>0.74999999999999989</v>
      </c>
      <c r="Q2698" s="7">
        <f t="shared" si="209"/>
        <v>10.250000000000002</v>
      </c>
      <c r="R2698" s="6">
        <f t="shared" si="210"/>
        <v>661.50400000000002</v>
      </c>
      <c r="S2698" s="6">
        <f t="shared" si="211"/>
        <v>2.2665680475000002E-2</v>
      </c>
      <c r="T2698" t="str">
        <f t="shared" si="212"/>
        <v>Maximo Thermo Ayous JPL S4S E4E 1x11 Long</v>
      </c>
    </row>
    <row r="2699" spans="1:20" x14ac:dyDescent="0.25">
      <c r="A2699" t="s">
        <v>3414</v>
      </c>
      <c r="B2699" t="s">
        <v>3447</v>
      </c>
      <c r="C2699" t="s">
        <v>283</v>
      </c>
      <c r="D2699" t="s">
        <v>3044</v>
      </c>
      <c r="E2699" t="s">
        <v>3455</v>
      </c>
      <c r="F2699" t="s">
        <v>3449</v>
      </c>
      <c r="G2699" t="s">
        <v>3418</v>
      </c>
      <c r="H2699" t="s">
        <v>373</v>
      </c>
      <c r="I2699" t="s">
        <v>289</v>
      </c>
      <c r="J2699" t="s">
        <v>3296</v>
      </c>
      <c r="K2699">
        <v>16</v>
      </c>
      <c r="L2699" s="6">
        <v>4.88</v>
      </c>
      <c r="M2699" s="7">
        <v>19.049999999999997</v>
      </c>
      <c r="N2699" s="7">
        <v>260.35000000000002</v>
      </c>
      <c r="O2699" s="7">
        <f t="shared" si="208"/>
        <v>192.1259842519685</v>
      </c>
      <c r="P2699" s="7">
        <f t="shared" si="209"/>
        <v>0.74999999999999989</v>
      </c>
      <c r="Q2699" s="7">
        <f t="shared" si="209"/>
        <v>10.250000000000002</v>
      </c>
      <c r="R2699" s="6">
        <f t="shared" si="210"/>
        <v>661.50400000000002</v>
      </c>
      <c r="S2699" s="6">
        <f t="shared" si="211"/>
        <v>2.4203177400000001E-2</v>
      </c>
      <c r="T2699" t="str">
        <f t="shared" si="212"/>
        <v>Maximo Thermo Ayous JPL S4S E4E 1x11 Long</v>
      </c>
    </row>
    <row r="2700" spans="1:20" x14ac:dyDescent="0.25">
      <c r="A2700" t="s">
        <v>3414</v>
      </c>
      <c r="B2700" t="s">
        <v>3447</v>
      </c>
      <c r="C2700" t="s">
        <v>283</v>
      </c>
      <c r="D2700" t="s">
        <v>3044</v>
      </c>
      <c r="E2700" t="s">
        <v>3456</v>
      </c>
      <c r="F2700" t="s">
        <v>3449</v>
      </c>
      <c r="G2700" t="s">
        <v>3418</v>
      </c>
      <c r="H2700" t="s">
        <v>373</v>
      </c>
      <c r="I2700" t="s">
        <v>289</v>
      </c>
      <c r="J2700" t="s">
        <v>3296</v>
      </c>
      <c r="K2700">
        <v>17</v>
      </c>
      <c r="L2700" s="6">
        <v>5.18</v>
      </c>
      <c r="M2700" s="7">
        <v>19.049999999999997</v>
      </c>
      <c r="N2700" s="7">
        <v>260.35000000000002</v>
      </c>
      <c r="O2700" s="7">
        <f t="shared" si="208"/>
        <v>203.93700787401573</v>
      </c>
      <c r="P2700" s="7">
        <f t="shared" si="209"/>
        <v>0.74999999999999989</v>
      </c>
      <c r="Q2700" s="7">
        <f t="shared" si="209"/>
        <v>10.250000000000002</v>
      </c>
      <c r="R2700" s="6">
        <f t="shared" si="210"/>
        <v>661.50400000000002</v>
      </c>
      <c r="S2700" s="6">
        <f t="shared" si="211"/>
        <v>2.5691077649999998E-2</v>
      </c>
      <c r="T2700" t="str">
        <f t="shared" si="212"/>
        <v>Maximo Thermo Ayous JPL S4S E4E 1x11 Long</v>
      </c>
    </row>
    <row r="2701" spans="1:20" x14ac:dyDescent="0.25">
      <c r="A2701" t="s">
        <v>3414</v>
      </c>
      <c r="B2701" t="s">
        <v>3447</v>
      </c>
      <c r="C2701" t="s">
        <v>283</v>
      </c>
      <c r="D2701" t="s">
        <v>3044</v>
      </c>
      <c r="E2701" t="s">
        <v>3457</v>
      </c>
      <c r="F2701" t="s">
        <v>3449</v>
      </c>
      <c r="G2701" t="s">
        <v>3418</v>
      </c>
      <c r="H2701" t="s">
        <v>373</v>
      </c>
      <c r="I2701" t="s">
        <v>289</v>
      </c>
      <c r="J2701" t="s">
        <v>3296</v>
      </c>
      <c r="K2701">
        <v>18</v>
      </c>
      <c r="L2701" s="6">
        <v>5.49</v>
      </c>
      <c r="M2701" s="7">
        <v>19.049999999999997</v>
      </c>
      <c r="N2701" s="7">
        <v>260.35000000000002</v>
      </c>
      <c r="O2701" s="7">
        <f t="shared" si="208"/>
        <v>216.14173228346459</v>
      </c>
      <c r="P2701" s="7">
        <f t="shared" si="209"/>
        <v>0.74999999999999989</v>
      </c>
      <c r="Q2701" s="7">
        <f t="shared" si="209"/>
        <v>10.250000000000002</v>
      </c>
      <c r="R2701" s="6">
        <f t="shared" si="210"/>
        <v>661.50400000000002</v>
      </c>
      <c r="S2701" s="6">
        <f t="shared" si="211"/>
        <v>2.7228574575000004E-2</v>
      </c>
      <c r="T2701" t="str">
        <f t="shared" si="212"/>
        <v>Maximo Thermo Ayous JPL S4S E4E 1x11 Long</v>
      </c>
    </row>
    <row r="2702" spans="1:20" x14ac:dyDescent="0.25">
      <c r="A2702" t="s">
        <v>3414</v>
      </c>
      <c r="B2702" t="s">
        <v>3447</v>
      </c>
      <c r="C2702" t="s">
        <v>524</v>
      </c>
      <c r="D2702" t="s">
        <v>3044</v>
      </c>
      <c r="E2702" t="s">
        <v>3458</v>
      </c>
      <c r="F2702" t="s">
        <v>3449</v>
      </c>
      <c r="G2702" t="s">
        <v>3418</v>
      </c>
      <c r="H2702" t="s">
        <v>373</v>
      </c>
      <c r="I2702" t="s">
        <v>289</v>
      </c>
      <c r="J2702" t="s">
        <v>3296</v>
      </c>
      <c r="K2702">
        <v>4</v>
      </c>
      <c r="L2702" s="6">
        <v>1.22</v>
      </c>
      <c r="M2702" s="7">
        <v>19.049999999999997</v>
      </c>
      <c r="N2702" s="7">
        <v>260.35000000000002</v>
      </c>
      <c r="O2702" s="7">
        <f t="shared" si="208"/>
        <v>48.031496062992126</v>
      </c>
      <c r="P2702" s="7">
        <f t="shared" si="209"/>
        <v>0.74999999999999989</v>
      </c>
      <c r="Q2702" s="7">
        <f t="shared" si="209"/>
        <v>10.250000000000002</v>
      </c>
      <c r="R2702" s="6">
        <f t="shared" si="210"/>
        <v>661.50400000000002</v>
      </c>
      <c r="S2702" s="6">
        <f t="shared" si="211"/>
        <v>6.0507943500000003E-3</v>
      </c>
      <c r="T2702" t="str">
        <f t="shared" si="212"/>
        <v>Maximo Thermo Ayous JPL S4S E4E 1x11 Short</v>
      </c>
    </row>
    <row r="2703" spans="1:20" x14ac:dyDescent="0.25">
      <c r="A2703" t="s">
        <v>3414</v>
      </c>
      <c r="B2703" t="s">
        <v>3447</v>
      </c>
      <c r="C2703" t="s">
        <v>524</v>
      </c>
      <c r="D2703" t="s">
        <v>3044</v>
      </c>
      <c r="E2703" t="s">
        <v>3459</v>
      </c>
      <c r="F2703" t="s">
        <v>3449</v>
      </c>
      <c r="G2703" t="s">
        <v>3418</v>
      </c>
      <c r="H2703" t="s">
        <v>373</v>
      </c>
      <c r="I2703" t="s">
        <v>289</v>
      </c>
      <c r="J2703" t="s">
        <v>3296</v>
      </c>
      <c r="K2703">
        <v>5</v>
      </c>
      <c r="L2703" s="6">
        <v>1.52</v>
      </c>
      <c r="M2703" s="7">
        <v>19.049999999999997</v>
      </c>
      <c r="N2703" s="7">
        <v>260.35000000000002</v>
      </c>
      <c r="O2703" s="7">
        <f t="shared" si="208"/>
        <v>59.84251968503937</v>
      </c>
      <c r="P2703" s="7">
        <f t="shared" si="209"/>
        <v>0.74999999999999989</v>
      </c>
      <c r="Q2703" s="7">
        <f t="shared" si="209"/>
        <v>10.250000000000002</v>
      </c>
      <c r="R2703" s="6">
        <f t="shared" si="210"/>
        <v>661.50400000000002</v>
      </c>
      <c r="S2703" s="6">
        <f t="shared" si="211"/>
        <v>7.5386945999999996E-3</v>
      </c>
      <c r="T2703" t="str">
        <f t="shared" si="212"/>
        <v>Maximo Thermo Ayous JPL S4S E4E 1x11 Short</v>
      </c>
    </row>
    <row r="2704" spans="1:20" x14ac:dyDescent="0.25">
      <c r="A2704" t="s">
        <v>3414</v>
      </c>
      <c r="B2704" t="s">
        <v>3447</v>
      </c>
      <c r="C2704" t="s">
        <v>524</v>
      </c>
      <c r="D2704" t="s">
        <v>3044</v>
      </c>
      <c r="E2704" t="s">
        <v>3460</v>
      </c>
      <c r="F2704" t="s">
        <v>3449</v>
      </c>
      <c r="G2704" t="s">
        <v>3418</v>
      </c>
      <c r="H2704" t="s">
        <v>373</v>
      </c>
      <c r="I2704" t="s">
        <v>289</v>
      </c>
      <c r="J2704" t="s">
        <v>3296</v>
      </c>
      <c r="K2704">
        <v>6</v>
      </c>
      <c r="L2704" s="6">
        <v>1.83</v>
      </c>
      <c r="M2704" s="7">
        <v>19.049999999999997</v>
      </c>
      <c r="N2704" s="7">
        <v>260.35000000000002</v>
      </c>
      <c r="O2704" s="7">
        <f t="shared" si="208"/>
        <v>72.047244094488192</v>
      </c>
      <c r="P2704" s="7">
        <f t="shared" si="209"/>
        <v>0.74999999999999989</v>
      </c>
      <c r="Q2704" s="7">
        <f t="shared" si="209"/>
        <v>10.250000000000002</v>
      </c>
      <c r="R2704" s="6">
        <f t="shared" si="210"/>
        <v>661.50400000000002</v>
      </c>
      <c r="S2704" s="6">
        <f t="shared" si="211"/>
        <v>9.0761915250000009E-3</v>
      </c>
      <c r="T2704" t="str">
        <f t="shared" si="212"/>
        <v>Maximo Thermo Ayous JPL S4S E4E 1x11 Short</v>
      </c>
    </row>
    <row r="2705" spans="1:20" x14ac:dyDescent="0.25">
      <c r="A2705" t="s">
        <v>3414</v>
      </c>
      <c r="B2705" t="s">
        <v>3447</v>
      </c>
      <c r="C2705" t="s">
        <v>524</v>
      </c>
      <c r="D2705" t="s">
        <v>3044</v>
      </c>
      <c r="E2705" t="s">
        <v>3461</v>
      </c>
      <c r="F2705" t="s">
        <v>3449</v>
      </c>
      <c r="G2705" t="s">
        <v>3418</v>
      </c>
      <c r="H2705" t="s">
        <v>373</v>
      </c>
      <c r="I2705" t="s">
        <v>289</v>
      </c>
      <c r="J2705" t="s">
        <v>3296</v>
      </c>
      <c r="K2705">
        <v>7</v>
      </c>
      <c r="L2705" s="6">
        <v>2.13</v>
      </c>
      <c r="M2705" s="7">
        <v>19.049999999999997</v>
      </c>
      <c r="N2705" s="7">
        <v>260.35000000000002</v>
      </c>
      <c r="O2705" s="7">
        <f t="shared" si="208"/>
        <v>83.858267716535437</v>
      </c>
      <c r="P2705" s="7">
        <f t="shared" si="209"/>
        <v>0.74999999999999989</v>
      </c>
      <c r="Q2705" s="7">
        <f t="shared" si="209"/>
        <v>10.250000000000002</v>
      </c>
      <c r="R2705" s="6">
        <f t="shared" si="210"/>
        <v>661.50400000000002</v>
      </c>
      <c r="S2705" s="6">
        <f t="shared" si="211"/>
        <v>1.0564091774999998E-2</v>
      </c>
      <c r="T2705" t="str">
        <f t="shared" si="212"/>
        <v>Maximo Thermo Ayous JPL S4S E4E 1x11 Short</v>
      </c>
    </row>
    <row r="2706" spans="1:20" x14ac:dyDescent="0.25">
      <c r="A2706" t="s">
        <v>3414</v>
      </c>
      <c r="B2706" t="s">
        <v>3447</v>
      </c>
      <c r="C2706" t="s">
        <v>283</v>
      </c>
      <c r="D2706" t="s">
        <v>3044</v>
      </c>
      <c r="E2706" t="s">
        <v>3462</v>
      </c>
      <c r="F2706" t="s">
        <v>3449</v>
      </c>
      <c r="G2706" t="s">
        <v>3418</v>
      </c>
      <c r="H2706" t="s">
        <v>373</v>
      </c>
      <c r="I2706" t="s">
        <v>289</v>
      </c>
      <c r="J2706" t="s">
        <v>3296</v>
      </c>
      <c r="K2706">
        <v>8</v>
      </c>
      <c r="L2706" s="6">
        <v>2.44</v>
      </c>
      <c r="M2706" s="7">
        <v>19.049999999999997</v>
      </c>
      <c r="N2706" s="7">
        <v>260.35000000000002</v>
      </c>
      <c r="O2706" s="7">
        <f t="shared" si="208"/>
        <v>96.062992125984252</v>
      </c>
      <c r="P2706" s="7">
        <f t="shared" si="209"/>
        <v>0.74999999999999989</v>
      </c>
      <c r="Q2706" s="7">
        <f t="shared" si="209"/>
        <v>10.250000000000002</v>
      </c>
      <c r="R2706" s="6">
        <f t="shared" si="210"/>
        <v>661.50400000000002</v>
      </c>
      <c r="S2706" s="6">
        <f t="shared" si="211"/>
        <v>1.2101588700000001E-2</v>
      </c>
      <c r="T2706" t="str">
        <f t="shared" si="212"/>
        <v>Maximo Thermo Ayous JPL S4S E4E 1x11 Long</v>
      </c>
    </row>
    <row r="2707" spans="1:20" x14ac:dyDescent="0.25">
      <c r="A2707" t="s">
        <v>3414</v>
      </c>
      <c r="B2707" t="s">
        <v>3447</v>
      </c>
      <c r="C2707" t="s">
        <v>283</v>
      </c>
      <c r="D2707" t="s">
        <v>3044</v>
      </c>
      <c r="E2707" t="s">
        <v>3463</v>
      </c>
      <c r="F2707" t="s">
        <v>3449</v>
      </c>
      <c r="G2707" t="s">
        <v>3418</v>
      </c>
      <c r="H2707" t="s">
        <v>373</v>
      </c>
      <c r="I2707" t="s">
        <v>289</v>
      </c>
      <c r="J2707" t="s">
        <v>3296</v>
      </c>
      <c r="K2707">
        <v>9</v>
      </c>
      <c r="L2707" s="6">
        <v>2.74</v>
      </c>
      <c r="M2707" s="7">
        <v>19.049999999999997</v>
      </c>
      <c r="N2707" s="7">
        <v>260.35000000000002</v>
      </c>
      <c r="O2707" s="7">
        <f t="shared" si="208"/>
        <v>107.87401574803151</v>
      </c>
      <c r="P2707" s="7">
        <f t="shared" si="209"/>
        <v>0.74999999999999989</v>
      </c>
      <c r="Q2707" s="7">
        <f t="shared" si="209"/>
        <v>10.250000000000002</v>
      </c>
      <c r="R2707" s="6">
        <f t="shared" si="210"/>
        <v>661.50400000000002</v>
      </c>
      <c r="S2707" s="6">
        <f t="shared" si="211"/>
        <v>1.3589488949999999E-2</v>
      </c>
      <c r="T2707" t="str">
        <f t="shared" si="212"/>
        <v>Maximo Thermo Ayous JPL S4S E4E 1x11 Long</v>
      </c>
    </row>
    <row r="2708" spans="1:20" x14ac:dyDescent="0.25">
      <c r="A2708" t="s">
        <v>3414</v>
      </c>
      <c r="B2708" t="s">
        <v>3464</v>
      </c>
      <c r="C2708" t="s">
        <v>283</v>
      </c>
      <c r="D2708" t="s">
        <v>3044</v>
      </c>
      <c r="E2708" t="s">
        <v>3465</v>
      </c>
      <c r="F2708" t="s">
        <v>3466</v>
      </c>
      <c r="G2708" t="s">
        <v>3418</v>
      </c>
      <c r="H2708" t="s">
        <v>373</v>
      </c>
      <c r="I2708" t="s">
        <v>289</v>
      </c>
      <c r="J2708" t="s">
        <v>1382</v>
      </c>
      <c r="K2708">
        <v>10</v>
      </c>
      <c r="L2708" s="6">
        <v>3.05</v>
      </c>
      <c r="M2708" s="7">
        <v>19.049999999999997</v>
      </c>
      <c r="N2708" s="7">
        <v>285.75</v>
      </c>
      <c r="O2708" s="7">
        <f t="shared" si="208"/>
        <v>120.07874015748031</v>
      </c>
      <c r="P2708" s="7">
        <f t="shared" si="209"/>
        <v>0.74999999999999989</v>
      </c>
      <c r="Q2708" s="7">
        <f t="shared" si="209"/>
        <v>11.25</v>
      </c>
      <c r="R2708" s="6">
        <f t="shared" si="210"/>
        <v>602.70399999999995</v>
      </c>
      <c r="S2708" s="6">
        <f t="shared" si="211"/>
        <v>1.6602789374999996E-2</v>
      </c>
      <c r="T2708" t="str">
        <f t="shared" si="212"/>
        <v>Maximo Thermo Ayous JPL S4S E4E 1x12 Long</v>
      </c>
    </row>
    <row r="2709" spans="1:20" x14ac:dyDescent="0.25">
      <c r="A2709" t="s">
        <v>3414</v>
      </c>
      <c r="B2709" t="s">
        <v>3464</v>
      </c>
      <c r="C2709" t="s">
        <v>283</v>
      </c>
      <c r="D2709" t="s">
        <v>3044</v>
      </c>
      <c r="E2709" t="s">
        <v>3467</v>
      </c>
      <c r="F2709" t="s">
        <v>3466</v>
      </c>
      <c r="G2709" t="s">
        <v>3418</v>
      </c>
      <c r="H2709" t="s">
        <v>373</v>
      </c>
      <c r="I2709" t="s">
        <v>289</v>
      </c>
      <c r="J2709" t="s">
        <v>1382</v>
      </c>
      <c r="K2709">
        <v>11</v>
      </c>
      <c r="L2709" s="6">
        <v>3.35</v>
      </c>
      <c r="M2709" s="7">
        <v>19.049999999999997</v>
      </c>
      <c r="N2709" s="7">
        <v>285.75</v>
      </c>
      <c r="O2709" s="7">
        <f t="shared" si="208"/>
        <v>131.88976377952756</v>
      </c>
      <c r="P2709" s="7">
        <f t="shared" si="209"/>
        <v>0.74999999999999989</v>
      </c>
      <c r="Q2709" s="7">
        <f t="shared" si="209"/>
        <v>11.25</v>
      </c>
      <c r="R2709" s="6">
        <f t="shared" si="210"/>
        <v>602.70399999999995</v>
      </c>
      <c r="S2709" s="6">
        <f t="shared" si="211"/>
        <v>1.8235850625000001E-2</v>
      </c>
      <c r="T2709" t="str">
        <f t="shared" si="212"/>
        <v>Maximo Thermo Ayous JPL S4S E4E 1x12 Long</v>
      </c>
    </row>
    <row r="2710" spans="1:20" x14ac:dyDescent="0.25">
      <c r="A2710" t="s">
        <v>3414</v>
      </c>
      <c r="B2710" t="s">
        <v>3464</v>
      </c>
      <c r="C2710" t="s">
        <v>283</v>
      </c>
      <c r="D2710" t="s">
        <v>3044</v>
      </c>
      <c r="E2710" t="s">
        <v>3468</v>
      </c>
      <c r="F2710" t="s">
        <v>3466</v>
      </c>
      <c r="G2710" t="s">
        <v>3418</v>
      </c>
      <c r="H2710" t="s">
        <v>373</v>
      </c>
      <c r="I2710" t="s">
        <v>289</v>
      </c>
      <c r="J2710" t="s">
        <v>1382</v>
      </c>
      <c r="K2710">
        <v>12</v>
      </c>
      <c r="L2710" s="6">
        <v>3.66</v>
      </c>
      <c r="M2710" s="7">
        <v>19.049999999999997</v>
      </c>
      <c r="N2710" s="7">
        <v>285.75</v>
      </c>
      <c r="O2710" s="7">
        <f t="shared" si="208"/>
        <v>144.09448818897638</v>
      </c>
      <c r="P2710" s="7">
        <f t="shared" si="209"/>
        <v>0.74999999999999989</v>
      </c>
      <c r="Q2710" s="7">
        <f t="shared" si="209"/>
        <v>11.25</v>
      </c>
      <c r="R2710" s="6">
        <f t="shared" si="210"/>
        <v>602.70399999999995</v>
      </c>
      <c r="S2710" s="6">
        <f t="shared" si="211"/>
        <v>1.9923347249999997E-2</v>
      </c>
      <c r="T2710" t="str">
        <f t="shared" si="212"/>
        <v>Maximo Thermo Ayous JPL S4S E4E 1x12 Long</v>
      </c>
    </row>
    <row r="2711" spans="1:20" x14ac:dyDescent="0.25">
      <c r="A2711" t="s">
        <v>3414</v>
      </c>
      <c r="B2711" t="s">
        <v>3464</v>
      </c>
      <c r="C2711" t="s">
        <v>283</v>
      </c>
      <c r="D2711" t="s">
        <v>3044</v>
      </c>
      <c r="E2711" t="s">
        <v>3469</v>
      </c>
      <c r="F2711" t="s">
        <v>3466</v>
      </c>
      <c r="G2711" t="s">
        <v>3418</v>
      </c>
      <c r="H2711" t="s">
        <v>373</v>
      </c>
      <c r="I2711" t="s">
        <v>289</v>
      </c>
      <c r="J2711" t="s">
        <v>1382</v>
      </c>
      <c r="K2711">
        <v>13</v>
      </c>
      <c r="L2711" s="6">
        <v>3.96</v>
      </c>
      <c r="M2711" s="7">
        <v>19.049999999999997</v>
      </c>
      <c r="N2711" s="7">
        <v>285.75</v>
      </c>
      <c r="O2711" s="7">
        <f t="shared" si="208"/>
        <v>155.90551181102362</v>
      </c>
      <c r="P2711" s="7">
        <f t="shared" si="209"/>
        <v>0.74999999999999989</v>
      </c>
      <c r="Q2711" s="7">
        <f t="shared" si="209"/>
        <v>11.25</v>
      </c>
      <c r="R2711" s="6">
        <f t="shared" si="210"/>
        <v>602.70399999999995</v>
      </c>
      <c r="S2711" s="6">
        <f t="shared" si="211"/>
        <v>2.1556408499999995E-2</v>
      </c>
      <c r="T2711" t="str">
        <f t="shared" si="212"/>
        <v>Maximo Thermo Ayous JPL S4S E4E 1x12 Long</v>
      </c>
    </row>
    <row r="2712" spans="1:20" x14ac:dyDescent="0.25">
      <c r="A2712" t="s">
        <v>3414</v>
      </c>
      <c r="B2712" t="s">
        <v>3464</v>
      </c>
      <c r="C2712" t="s">
        <v>283</v>
      </c>
      <c r="D2712" t="s">
        <v>3044</v>
      </c>
      <c r="E2712" t="s">
        <v>3470</v>
      </c>
      <c r="F2712" t="s">
        <v>3466</v>
      </c>
      <c r="G2712" t="s">
        <v>3418</v>
      </c>
      <c r="H2712" t="s">
        <v>373</v>
      </c>
      <c r="I2712" t="s">
        <v>289</v>
      </c>
      <c r="J2712" t="s">
        <v>1382</v>
      </c>
      <c r="K2712">
        <v>14</v>
      </c>
      <c r="L2712" s="6">
        <v>4.2699999999999996</v>
      </c>
      <c r="M2712" s="7">
        <v>19.049999999999997</v>
      </c>
      <c r="N2712" s="7">
        <v>285.75</v>
      </c>
      <c r="O2712" s="7">
        <f t="shared" si="208"/>
        <v>168.11023622047244</v>
      </c>
      <c r="P2712" s="7">
        <f t="shared" si="209"/>
        <v>0.74999999999999989</v>
      </c>
      <c r="Q2712" s="7">
        <f t="shared" si="209"/>
        <v>11.25</v>
      </c>
      <c r="R2712" s="6">
        <f t="shared" si="210"/>
        <v>602.70399999999995</v>
      </c>
      <c r="S2712" s="6">
        <f t="shared" si="211"/>
        <v>2.3243905124999992E-2</v>
      </c>
      <c r="T2712" t="str">
        <f t="shared" si="212"/>
        <v>Maximo Thermo Ayous JPL S4S E4E 1x12 Long</v>
      </c>
    </row>
    <row r="2713" spans="1:20" x14ac:dyDescent="0.25">
      <c r="A2713" t="s">
        <v>3414</v>
      </c>
      <c r="B2713" t="s">
        <v>3464</v>
      </c>
      <c r="C2713" t="s">
        <v>283</v>
      </c>
      <c r="D2713" t="s">
        <v>3044</v>
      </c>
      <c r="E2713" t="s">
        <v>3471</v>
      </c>
      <c r="F2713" t="s">
        <v>3466</v>
      </c>
      <c r="G2713" t="s">
        <v>3418</v>
      </c>
      <c r="H2713" t="s">
        <v>373</v>
      </c>
      <c r="I2713" t="s">
        <v>289</v>
      </c>
      <c r="J2713" t="s">
        <v>1382</v>
      </c>
      <c r="K2713">
        <v>15</v>
      </c>
      <c r="L2713" s="6">
        <v>4.57</v>
      </c>
      <c r="M2713" s="7">
        <v>19.049999999999997</v>
      </c>
      <c r="N2713" s="7">
        <v>285.75</v>
      </c>
      <c r="O2713" s="7">
        <f t="shared" si="208"/>
        <v>179.9212598425197</v>
      </c>
      <c r="P2713" s="7">
        <f t="shared" si="209"/>
        <v>0.74999999999999989</v>
      </c>
      <c r="Q2713" s="7">
        <f t="shared" si="209"/>
        <v>11.25</v>
      </c>
      <c r="R2713" s="6">
        <f t="shared" si="210"/>
        <v>602.70399999999995</v>
      </c>
      <c r="S2713" s="6">
        <f t="shared" si="211"/>
        <v>2.4876966375E-2</v>
      </c>
      <c r="T2713" t="str">
        <f t="shared" si="212"/>
        <v>Maximo Thermo Ayous JPL S4S E4E 1x12 Long</v>
      </c>
    </row>
    <row r="2714" spans="1:20" x14ac:dyDescent="0.25">
      <c r="A2714" t="s">
        <v>3414</v>
      </c>
      <c r="B2714" t="s">
        <v>3464</v>
      </c>
      <c r="C2714" t="s">
        <v>283</v>
      </c>
      <c r="D2714" t="s">
        <v>3044</v>
      </c>
      <c r="E2714" t="s">
        <v>3472</v>
      </c>
      <c r="F2714" t="s">
        <v>3466</v>
      </c>
      <c r="G2714" t="s">
        <v>3418</v>
      </c>
      <c r="H2714" t="s">
        <v>373</v>
      </c>
      <c r="I2714" t="s">
        <v>289</v>
      </c>
      <c r="J2714" t="s">
        <v>1382</v>
      </c>
      <c r="K2714">
        <v>16</v>
      </c>
      <c r="L2714" s="6">
        <v>4.88</v>
      </c>
      <c r="M2714" s="7">
        <v>19.049999999999997</v>
      </c>
      <c r="N2714" s="7">
        <v>285.75</v>
      </c>
      <c r="O2714" s="7">
        <f t="shared" si="208"/>
        <v>192.1259842519685</v>
      </c>
      <c r="P2714" s="7">
        <f t="shared" si="209"/>
        <v>0.74999999999999989</v>
      </c>
      <c r="Q2714" s="7">
        <f t="shared" si="209"/>
        <v>11.25</v>
      </c>
      <c r="R2714" s="6">
        <f t="shared" si="210"/>
        <v>602.70399999999995</v>
      </c>
      <c r="S2714" s="6">
        <f t="shared" si="211"/>
        <v>2.6564462999999996E-2</v>
      </c>
      <c r="T2714" t="str">
        <f t="shared" si="212"/>
        <v>Maximo Thermo Ayous JPL S4S E4E 1x12 Long</v>
      </c>
    </row>
    <row r="2715" spans="1:20" x14ac:dyDescent="0.25">
      <c r="A2715" t="s">
        <v>3414</v>
      </c>
      <c r="B2715" t="s">
        <v>3464</v>
      </c>
      <c r="C2715" t="s">
        <v>283</v>
      </c>
      <c r="D2715" t="s">
        <v>3044</v>
      </c>
      <c r="E2715" t="s">
        <v>3473</v>
      </c>
      <c r="F2715" t="s">
        <v>3466</v>
      </c>
      <c r="G2715" t="s">
        <v>3418</v>
      </c>
      <c r="H2715" t="s">
        <v>373</v>
      </c>
      <c r="I2715" t="s">
        <v>289</v>
      </c>
      <c r="J2715" t="s">
        <v>1382</v>
      </c>
      <c r="K2715">
        <v>17</v>
      </c>
      <c r="L2715" s="6">
        <v>5.18</v>
      </c>
      <c r="M2715" s="7">
        <v>19.049999999999997</v>
      </c>
      <c r="N2715" s="7">
        <v>285.75</v>
      </c>
      <c r="O2715" s="7">
        <f t="shared" si="208"/>
        <v>203.93700787401573</v>
      </c>
      <c r="P2715" s="7">
        <f t="shared" si="209"/>
        <v>0.74999999999999989</v>
      </c>
      <c r="Q2715" s="7">
        <f t="shared" si="209"/>
        <v>11.25</v>
      </c>
      <c r="R2715" s="6">
        <f t="shared" si="210"/>
        <v>602.70399999999995</v>
      </c>
      <c r="S2715" s="6">
        <f t="shared" si="211"/>
        <v>2.8197524249999995E-2</v>
      </c>
      <c r="T2715" t="str">
        <f t="shared" si="212"/>
        <v>Maximo Thermo Ayous JPL S4S E4E 1x12 Long</v>
      </c>
    </row>
    <row r="2716" spans="1:20" x14ac:dyDescent="0.25">
      <c r="A2716" t="s">
        <v>3414</v>
      </c>
      <c r="B2716" t="s">
        <v>3464</v>
      </c>
      <c r="C2716" t="s">
        <v>283</v>
      </c>
      <c r="D2716" t="s">
        <v>3044</v>
      </c>
      <c r="E2716" t="s">
        <v>3474</v>
      </c>
      <c r="F2716" t="s">
        <v>3466</v>
      </c>
      <c r="G2716" t="s">
        <v>3418</v>
      </c>
      <c r="H2716" t="s">
        <v>373</v>
      </c>
      <c r="I2716" t="s">
        <v>289</v>
      </c>
      <c r="J2716" t="s">
        <v>1382</v>
      </c>
      <c r="K2716">
        <v>18</v>
      </c>
      <c r="L2716" s="6">
        <v>5.49</v>
      </c>
      <c r="M2716" s="7">
        <v>19.049999999999997</v>
      </c>
      <c r="N2716" s="7">
        <v>285.75</v>
      </c>
      <c r="O2716" s="7">
        <f t="shared" si="208"/>
        <v>216.14173228346459</v>
      </c>
      <c r="P2716" s="7">
        <f t="shared" si="209"/>
        <v>0.74999999999999989</v>
      </c>
      <c r="Q2716" s="7">
        <f t="shared" si="209"/>
        <v>11.25</v>
      </c>
      <c r="R2716" s="6">
        <f t="shared" si="210"/>
        <v>602.70399999999995</v>
      </c>
      <c r="S2716" s="6">
        <f t="shared" si="211"/>
        <v>2.9885020874999998E-2</v>
      </c>
      <c r="T2716" t="str">
        <f t="shared" si="212"/>
        <v>Maximo Thermo Ayous JPL S4S E4E 1x12 Long</v>
      </c>
    </row>
    <row r="2717" spans="1:20" x14ac:dyDescent="0.25">
      <c r="A2717" t="s">
        <v>3414</v>
      </c>
      <c r="B2717" t="s">
        <v>3464</v>
      </c>
      <c r="C2717" t="s">
        <v>283</v>
      </c>
      <c r="D2717" t="s">
        <v>3044</v>
      </c>
      <c r="E2717" t="s">
        <v>3475</v>
      </c>
      <c r="F2717" t="s">
        <v>3466</v>
      </c>
      <c r="G2717" t="s">
        <v>3418</v>
      </c>
      <c r="H2717" t="s">
        <v>373</v>
      </c>
      <c r="I2717" t="s">
        <v>289</v>
      </c>
      <c r="J2717" t="s">
        <v>1382</v>
      </c>
      <c r="K2717">
        <v>19</v>
      </c>
      <c r="L2717" s="6">
        <v>5.79</v>
      </c>
      <c r="M2717" s="7">
        <v>19.049999999999997</v>
      </c>
      <c r="N2717" s="7">
        <v>285.75</v>
      </c>
      <c r="O2717" s="7">
        <f t="shared" si="208"/>
        <v>227.95275590551182</v>
      </c>
      <c r="P2717" s="7">
        <f t="shared" si="209"/>
        <v>0.74999999999999989</v>
      </c>
      <c r="Q2717" s="7">
        <f t="shared" si="209"/>
        <v>11.25</v>
      </c>
      <c r="R2717" s="6">
        <f t="shared" si="210"/>
        <v>602.70399999999995</v>
      </c>
      <c r="S2717" s="6">
        <f t="shared" si="211"/>
        <v>3.1518082124999999E-2</v>
      </c>
      <c r="T2717" t="str">
        <f t="shared" si="212"/>
        <v>Maximo Thermo Ayous JPL S4S E4E 1x12 Long</v>
      </c>
    </row>
    <row r="2718" spans="1:20" x14ac:dyDescent="0.25">
      <c r="A2718" t="s">
        <v>3414</v>
      </c>
      <c r="B2718" t="s">
        <v>3464</v>
      </c>
      <c r="C2718" t="s">
        <v>283</v>
      </c>
      <c r="D2718" t="s">
        <v>3044</v>
      </c>
      <c r="E2718" t="s">
        <v>3476</v>
      </c>
      <c r="F2718" t="s">
        <v>3466</v>
      </c>
      <c r="G2718" t="s">
        <v>3418</v>
      </c>
      <c r="H2718" t="s">
        <v>373</v>
      </c>
      <c r="I2718" t="s">
        <v>289</v>
      </c>
      <c r="J2718" t="s">
        <v>1382</v>
      </c>
      <c r="K2718">
        <v>20</v>
      </c>
      <c r="L2718" s="6">
        <v>6.09</v>
      </c>
      <c r="M2718" s="7">
        <v>19.049999999999997</v>
      </c>
      <c r="N2718" s="7">
        <v>285.75</v>
      </c>
      <c r="O2718" s="7">
        <f t="shared" si="208"/>
        <v>239.76377952755905</v>
      </c>
      <c r="P2718" s="7">
        <f t="shared" si="209"/>
        <v>0.74999999999999989</v>
      </c>
      <c r="Q2718" s="7">
        <f t="shared" si="209"/>
        <v>11.25</v>
      </c>
      <c r="R2718" s="6">
        <f t="shared" si="210"/>
        <v>602.70399999999995</v>
      </c>
      <c r="S2718" s="6">
        <f t="shared" si="211"/>
        <v>3.3151143374999997E-2</v>
      </c>
      <c r="T2718" t="str">
        <f t="shared" si="212"/>
        <v>Maximo Thermo Ayous JPL S4S E4E 1x12 Long</v>
      </c>
    </row>
    <row r="2719" spans="1:20" x14ac:dyDescent="0.25">
      <c r="A2719" t="s">
        <v>3414</v>
      </c>
      <c r="B2719" t="s">
        <v>3464</v>
      </c>
      <c r="C2719" t="s">
        <v>524</v>
      </c>
      <c r="D2719" t="s">
        <v>3044</v>
      </c>
      <c r="E2719" t="s">
        <v>3477</v>
      </c>
      <c r="F2719" t="s">
        <v>3466</v>
      </c>
      <c r="G2719" t="s">
        <v>3418</v>
      </c>
      <c r="H2719" t="s">
        <v>373</v>
      </c>
      <c r="I2719" t="s">
        <v>289</v>
      </c>
      <c r="J2719" t="s">
        <v>1382</v>
      </c>
      <c r="K2719">
        <v>4</v>
      </c>
      <c r="L2719" s="6">
        <v>1.22</v>
      </c>
      <c r="M2719" s="7">
        <v>19.049999999999997</v>
      </c>
      <c r="N2719" s="7">
        <v>285.75</v>
      </c>
      <c r="O2719" s="7">
        <f t="shared" si="208"/>
        <v>48.031496062992126</v>
      </c>
      <c r="P2719" s="7">
        <f t="shared" si="209"/>
        <v>0.74999999999999989</v>
      </c>
      <c r="Q2719" s="7">
        <f t="shared" si="209"/>
        <v>11.25</v>
      </c>
      <c r="R2719" s="6">
        <f t="shared" si="210"/>
        <v>602.70399999999995</v>
      </c>
      <c r="S2719" s="6">
        <f t="shared" si="211"/>
        <v>6.6411157499999991E-3</v>
      </c>
      <c r="T2719" t="str">
        <f t="shared" si="212"/>
        <v>Maximo Thermo Ayous JPL S4S E4E 1x12 Short</v>
      </c>
    </row>
    <row r="2720" spans="1:20" x14ac:dyDescent="0.25">
      <c r="A2720" t="s">
        <v>3414</v>
      </c>
      <c r="B2720" t="s">
        <v>3464</v>
      </c>
      <c r="C2720" t="s">
        <v>524</v>
      </c>
      <c r="D2720" t="s">
        <v>3044</v>
      </c>
      <c r="E2720" t="s">
        <v>3478</v>
      </c>
      <c r="F2720" t="s">
        <v>3466</v>
      </c>
      <c r="G2720" t="s">
        <v>3418</v>
      </c>
      <c r="H2720" t="s">
        <v>373</v>
      </c>
      <c r="I2720" t="s">
        <v>289</v>
      </c>
      <c r="J2720" t="s">
        <v>1382</v>
      </c>
      <c r="K2720">
        <v>5</v>
      </c>
      <c r="L2720" s="6">
        <v>1.52</v>
      </c>
      <c r="M2720" s="7">
        <v>19.049999999999997</v>
      </c>
      <c r="N2720" s="7">
        <v>285.75</v>
      </c>
      <c r="O2720" s="7">
        <f t="shared" si="208"/>
        <v>59.84251968503937</v>
      </c>
      <c r="P2720" s="7">
        <f t="shared" si="209"/>
        <v>0.74999999999999989</v>
      </c>
      <c r="Q2720" s="7">
        <f t="shared" si="209"/>
        <v>11.25</v>
      </c>
      <c r="R2720" s="6">
        <f t="shared" si="210"/>
        <v>602.70399999999995</v>
      </c>
      <c r="S2720" s="6">
        <f t="shared" si="211"/>
        <v>8.2741769999999989E-3</v>
      </c>
      <c r="T2720" t="str">
        <f t="shared" si="212"/>
        <v>Maximo Thermo Ayous JPL S4S E4E 1x12 Short</v>
      </c>
    </row>
    <row r="2721" spans="1:20" x14ac:dyDescent="0.25">
      <c r="A2721" t="s">
        <v>3414</v>
      </c>
      <c r="B2721" t="s">
        <v>3464</v>
      </c>
      <c r="C2721" t="s">
        <v>524</v>
      </c>
      <c r="D2721" t="s">
        <v>3044</v>
      </c>
      <c r="E2721" t="s">
        <v>3479</v>
      </c>
      <c r="F2721" t="s">
        <v>3466</v>
      </c>
      <c r="G2721" t="s">
        <v>3418</v>
      </c>
      <c r="H2721" t="s">
        <v>373</v>
      </c>
      <c r="I2721" t="s">
        <v>289</v>
      </c>
      <c r="J2721" t="s">
        <v>1382</v>
      </c>
      <c r="K2721">
        <v>6</v>
      </c>
      <c r="L2721" s="6">
        <v>1.83</v>
      </c>
      <c r="M2721" s="7">
        <v>19.049999999999997</v>
      </c>
      <c r="N2721" s="7">
        <v>285.75</v>
      </c>
      <c r="O2721" s="7">
        <f t="shared" si="208"/>
        <v>72.047244094488192</v>
      </c>
      <c r="P2721" s="7">
        <f t="shared" si="209"/>
        <v>0.74999999999999989</v>
      </c>
      <c r="Q2721" s="7">
        <f t="shared" si="209"/>
        <v>11.25</v>
      </c>
      <c r="R2721" s="6">
        <f t="shared" si="210"/>
        <v>602.70399999999995</v>
      </c>
      <c r="S2721" s="6">
        <f t="shared" si="211"/>
        <v>9.9616736249999987E-3</v>
      </c>
      <c r="T2721" t="str">
        <f t="shared" si="212"/>
        <v>Maximo Thermo Ayous JPL S4S E4E 1x12 Short</v>
      </c>
    </row>
    <row r="2722" spans="1:20" x14ac:dyDescent="0.25">
      <c r="A2722" t="s">
        <v>3414</v>
      </c>
      <c r="B2722" t="s">
        <v>3464</v>
      </c>
      <c r="C2722" t="s">
        <v>524</v>
      </c>
      <c r="D2722" t="s">
        <v>3044</v>
      </c>
      <c r="E2722" t="s">
        <v>3480</v>
      </c>
      <c r="F2722" t="s">
        <v>3466</v>
      </c>
      <c r="G2722" t="s">
        <v>3418</v>
      </c>
      <c r="H2722" t="s">
        <v>373</v>
      </c>
      <c r="I2722" t="s">
        <v>289</v>
      </c>
      <c r="J2722" t="s">
        <v>1382</v>
      </c>
      <c r="K2722">
        <v>7</v>
      </c>
      <c r="L2722" s="6">
        <v>2.13</v>
      </c>
      <c r="M2722" s="7">
        <v>19.049999999999997</v>
      </c>
      <c r="N2722" s="7">
        <v>285.75</v>
      </c>
      <c r="O2722" s="7">
        <f t="shared" si="208"/>
        <v>83.858267716535437</v>
      </c>
      <c r="P2722" s="7">
        <f t="shared" si="209"/>
        <v>0.74999999999999989</v>
      </c>
      <c r="Q2722" s="7">
        <f t="shared" si="209"/>
        <v>11.25</v>
      </c>
      <c r="R2722" s="6">
        <f t="shared" si="210"/>
        <v>602.70399999999995</v>
      </c>
      <c r="S2722" s="6">
        <f t="shared" si="211"/>
        <v>1.1594734874999997E-2</v>
      </c>
      <c r="T2722" t="str">
        <f t="shared" si="212"/>
        <v>Maximo Thermo Ayous JPL S4S E4E 1x12 Short</v>
      </c>
    </row>
    <row r="2723" spans="1:20" x14ac:dyDescent="0.25">
      <c r="A2723" t="s">
        <v>3414</v>
      </c>
      <c r="B2723" t="s">
        <v>3464</v>
      </c>
      <c r="C2723" t="s">
        <v>283</v>
      </c>
      <c r="D2723" t="s">
        <v>3044</v>
      </c>
      <c r="E2723" t="s">
        <v>3481</v>
      </c>
      <c r="F2723" t="s">
        <v>3466</v>
      </c>
      <c r="G2723" t="s">
        <v>3418</v>
      </c>
      <c r="H2723" t="s">
        <v>373</v>
      </c>
      <c r="I2723" t="s">
        <v>289</v>
      </c>
      <c r="J2723" t="s">
        <v>1382</v>
      </c>
      <c r="K2723">
        <v>8</v>
      </c>
      <c r="L2723" s="6">
        <v>2.44</v>
      </c>
      <c r="M2723" s="7">
        <v>19.049999999999997</v>
      </c>
      <c r="N2723" s="7">
        <v>285.75</v>
      </c>
      <c r="O2723" s="7">
        <f t="shared" si="208"/>
        <v>96.062992125984252</v>
      </c>
      <c r="P2723" s="7">
        <f t="shared" si="209"/>
        <v>0.74999999999999989</v>
      </c>
      <c r="Q2723" s="7">
        <f t="shared" si="209"/>
        <v>11.25</v>
      </c>
      <c r="R2723" s="6">
        <f t="shared" si="210"/>
        <v>602.70399999999995</v>
      </c>
      <c r="S2723" s="6">
        <f t="shared" si="211"/>
        <v>1.3282231499999998E-2</v>
      </c>
      <c r="T2723" t="str">
        <f t="shared" si="212"/>
        <v>Maximo Thermo Ayous JPL S4S E4E 1x12 Long</v>
      </c>
    </row>
    <row r="2724" spans="1:20" x14ac:dyDescent="0.25">
      <c r="A2724" t="s">
        <v>3414</v>
      </c>
      <c r="B2724" t="s">
        <v>3464</v>
      </c>
      <c r="C2724" t="s">
        <v>283</v>
      </c>
      <c r="D2724" t="s">
        <v>3044</v>
      </c>
      <c r="E2724" t="s">
        <v>3482</v>
      </c>
      <c r="F2724" t="s">
        <v>3466</v>
      </c>
      <c r="G2724" t="s">
        <v>3418</v>
      </c>
      <c r="H2724" t="s">
        <v>373</v>
      </c>
      <c r="I2724" t="s">
        <v>289</v>
      </c>
      <c r="J2724" t="s">
        <v>1382</v>
      </c>
      <c r="K2724">
        <v>9</v>
      </c>
      <c r="L2724" s="6">
        <v>2.74</v>
      </c>
      <c r="M2724" s="7">
        <v>19.049999999999997</v>
      </c>
      <c r="N2724" s="7">
        <v>285.75</v>
      </c>
      <c r="O2724" s="7">
        <f t="shared" si="208"/>
        <v>107.87401574803151</v>
      </c>
      <c r="P2724" s="7">
        <f t="shared" si="209"/>
        <v>0.74999999999999989</v>
      </c>
      <c r="Q2724" s="7">
        <f t="shared" si="209"/>
        <v>11.25</v>
      </c>
      <c r="R2724" s="6">
        <f t="shared" si="210"/>
        <v>602.70399999999995</v>
      </c>
      <c r="S2724" s="6">
        <f t="shared" si="211"/>
        <v>1.491529275E-2</v>
      </c>
      <c r="T2724" t="str">
        <f t="shared" si="212"/>
        <v>Maximo Thermo Ayous JPL S4S E4E 1x12 Long</v>
      </c>
    </row>
    <row r="2725" spans="1:20" x14ac:dyDescent="0.25">
      <c r="A2725" t="s">
        <v>3414</v>
      </c>
      <c r="B2725" t="s">
        <v>3483</v>
      </c>
      <c r="C2725" t="s">
        <v>283</v>
      </c>
      <c r="D2725" t="s">
        <v>3044</v>
      </c>
      <c r="E2725" t="s">
        <v>3484</v>
      </c>
      <c r="F2725" t="s">
        <v>3485</v>
      </c>
      <c r="G2725" t="s">
        <v>3418</v>
      </c>
      <c r="H2725" t="s">
        <v>373</v>
      </c>
      <c r="I2725" t="s">
        <v>289</v>
      </c>
      <c r="J2725" t="s">
        <v>613</v>
      </c>
      <c r="K2725">
        <v>10</v>
      </c>
      <c r="L2725" s="6">
        <v>3.05</v>
      </c>
      <c r="M2725" s="7">
        <v>19.049999999999997</v>
      </c>
      <c r="N2725" s="7">
        <v>88.899999999999991</v>
      </c>
      <c r="O2725" s="7">
        <f t="shared" si="208"/>
        <v>120.07874015748031</v>
      </c>
      <c r="P2725" s="7">
        <f t="shared" si="209"/>
        <v>0.74999999999999989</v>
      </c>
      <c r="Q2725" s="7">
        <f t="shared" si="209"/>
        <v>3.5</v>
      </c>
      <c r="R2725" s="6">
        <f t="shared" si="210"/>
        <v>1937.2619999999999</v>
      </c>
      <c r="S2725" s="6">
        <f t="shared" si="211"/>
        <v>5.165312249999999E-3</v>
      </c>
      <c r="T2725" t="str">
        <f t="shared" si="212"/>
        <v>Maximo Thermo Ayous JPL S4S E4E 1x4 Long</v>
      </c>
    </row>
    <row r="2726" spans="1:20" x14ac:dyDescent="0.25">
      <c r="A2726" t="s">
        <v>3414</v>
      </c>
      <c r="B2726" t="s">
        <v>3483</v>
      </c>
      <c r="C2726" t="s">
        <v>283</v>
      </c>
      <c r="D2726" t="s">
        <v>3044</v>
      </c>
      <c r="E2726" t="s">
        <v>3486</v>
      </c>
      <c r="F2726" t="s">
        <v>3485</v>
      </c>
      <c r="G2726" t="s">
        <v>3418</v>
      </c>
      <c r="H2726" t="s">
        <v>373</v>
      </c>
      <c r="I2726" t="s">
        <v>289</v>
      </c>
      <c r="J2726" t="s">
        <v>613</v>
      </c>
      <c r="K2726">
        <v>11</v>
      </c>
      <c r="L2726" s="6">
        <v>3.35</v>
      </c>
      <c r="M2726" s="7">
        <v>19.049999999999997</v>
      </c>
      <c r="N2726" s="7">
        <v>88.899999999999991</v>
      </c>
      <c r="O2726" s="7">
        <f t="shared" si="208"/>
        <v>131.88976377952756</v>
      </c>
      <c r="P2726" s="7">
        <f t="shared" si="209"/>
        <v>0.74999999999999989</v>
      </c>
      <c r="Q2726" s="7">
        <f t="shared" si="209"/>
        <v>3.5</v>
      </c>
      <c r="R2726" s="6">
        <f t="shared" si="210"/>
        <v>1937.2619999999999</v>
      </c>
      <c r="S2726" s="6">
        <f t="shared" si="211"/>
        <v>5.6733757499999992E-3</v>
      </c>
      <c r="T2726" t="str">
        <f t="shared" si="212"/>
        <v>Maximo Thermo Ayous JPL S4S E4E 1x4 Long</v>
      </c>
    </row>
    <row r="2727" spans="1:20" x14ac:dyDescent="0.25">
      <c r="A2727" t="s">
        <v>3414</v>
      </c>
      <c r="B2727" t="s">
        <v>3483</v>
      </c>
      <c r="C2727" t="s">
        <v>283</v>
      </c>
      <c r="D2727" t="s">
        <v>3044</v>
      </c>
      <c r="E2727" t="s">
        <v>3487</v>
      </c>
      <c r="F2727" t="s">
        <v>3485</v>
      </c>
      <c r="G2727" t="s">
        <v>3418</v>
      </c>
      <c r="H2727" t="s">
        <v>373</v>
      </c>
      <c r="I2727" t="s">
        <v>289</v>
      </c>
      <c r="J2727" t="s">
        <v>613</v>
      </c>
      <c r="K2727">
        <v>12</v>
      </c>
      <c r="L2727" s="6">
        <v>3.66</v>
      </c>
      <c r="M2727" s="7">
        <v>19.049999999999997</v>
      </c>
      <c r="N2727" s="7">
        <v>88.899999999999991</v>
      </c>
      <c r="O2727" s="7">
        <f t="shared" si="208"/>
        <v>144.09448818897638</v>
      </c>
      <c r="P2727" s="7">
        <f t="shared" si="209"/>
        <v>0.74999999999999989</v>
      </c>
      <c r="Q2727" s="7">
        <f t="shared" si="209"/>
        <v>3.5</v>
      </c>
      <c r="R2727" s="6">
        <f t="shared" si="210"/>
        <v>1937.2619999999999</v>
      </c>
      <c r="S2727" s="6">
        <f t="shared" si="211"/>
        <v>6.1983746999999985E-3</v>
      </c>
      <c r="T2727" t="str">
        <f t="shared" si="212"/>
        <v>Maximo Thermo Ayous JPL S4S E4E 1x4 Long</v>
      </c>
    </row>
    <row r="2728" spans="1:20" x14ac:dyDescent="0.25">
      <c r="A2728" t="s">
        <v>3414</v>
      </c>
      <c r="B2728" t="s">
        <v>3483</v>
      </c>
      <c r="C2728" t="s">
        <v>283</v>
      </c>
      <c r="D2728" t="s">
        <v>3044</v>
      </c>
      <c r="E2728" t="s">
        <v>3488</v>
      </c>
      <c r="F2728" t="s">
        <v>3485</v>
      </c>
      <c r="G2728" t="s">
        <v>3418</v>
      </c>
      <c r="H2728" t="s">
        <v>373</v>
      </c>
      <c r="I2728" t="s">
        <v>289</v>
      </c>
      <c r="J2728" t="s">
        <v>613</v>
      </c>
      <c r="K2728">
        <v>13</v>
      </c>
      <c r="L2728" s="6">
        <v>3.96</v>
      </c>
      <c r="M2728" s="7">
        <v>19.049999999999997</v>
      </c>
      <c r="N2728" s="7">
        <v>88.899999999999991</v>
      </c>
      <c r="O2728" s="7">
        <f t="shared" si="208"/>
        <v>155.90551181102362</v>
      </c>
      <c r="P2728" s="7">
        <f t="shared" si="209"/>
        <v>0.74999999999999989</v>
      </c>
      <c r="Q2728" s="7">
        <f t="shared" si="209"/>
        <v>3.5</v>
      </c>
      <c r="R2728" s="6">
        <f t="shared" si="210"/>
        <v>1937.2619999999999</v>
      </c>
      <c r="S2728" s="6">
        <f t="shared" si="211"/>
        <v>6.7064381999999987E-3</v>
      </c>
      <c r="T2728" t="str">
        <f t="shared" si="212"/>
        <v>Maximo Thermo Ayous JPL S4S E4E 1x4 Long</v>
      </c>
    </row>
    <row r="2729" spans="1:20" x14ac:dyDescent="0.25">
      <c r="A2729" t="s">
        <v>3414</v>
      </c>
      <c r="B2729" t="s">
        <v>3483</v>
      </c>
      <c r="C2729" t="s">
        <v>283</v>
      </c>
      <c r="D2729" t="s">
        <v>3044</v>
      </c>
      <c r="E2729" t="s">
        <v>3489</v>
      </c>
      <c r="F2729" t="s">
        <v>3485</v>
      </c>
      <c r="G2729" t="s">
        <v>3418</v>
      </c>
      <c r="H2729" t="s">
        <v>373</v>
      </c>
      <c r="I2729" t="s">
        <v>289</v>
      </c>
      <c r="J2729" t="s">
        <v>613</v>
      </c>
      <c r="K2729">
        <v>14</v>
      </c>
      <c r="L2729" s="6">
        <v>4.2699999999999996</v>
      </c>
      <c r="M2729" s="7">
        <v>19.049999999999997</v>
      </c>
      <c r="N2729" s="7">
        <v>88.899999999999991</v>
      </c>
      <c r="O2729" s="7">
        <f t="shared" si="208"/>
        <v>168.11023622047244</v>
      </c>
      <c r="P2729" s="7">
        <f t="shared" si="209"/>
        <v>0.74999999999999989</v>
      </c>
      <c r="Q2729" s="7">
        <f t="shared" si="209"/>
        <v>3.5</v>
      </c>
      <c r="R2729" s="6">
        <f t="shared" si="210"/>
        <v>1937.2619999999999</v>
      </c>
      <c r="S2729" s="6">
        <f t="shared" si="211"/>
        <v>7.2314371499999971E-3</v>
      </c>
      <c r="T2729" t="str">
        <f t="shared" si="212"/>
        <v>Maximo Thermo Ayous JPL S4S E4E 1x4 Long</v>
      </c>
    </row>
    <row r="2730" spans="1:20" x14ac:dyDescent="0.25">
      <c r="A2730" t="s">
        <v>3414</v>
      </c>
      <c r="B2730" t="s">
        <v>3483</v>
      </c>
      <c r="C2730" t="s">
        <v>283</v>
      </c>
      <c r="D2730" t="s">
        <v>3044</v>
      </c>
      <c r="E2730" t="s">
        <v>3490</v>
      </c>
      <c r="F2730" t="s">
        <v>3485</v>
      </c>
      <c r="G2730" t="s">
        <v>3418</v>
      </c>
      <c r="H2730" t="s">
        <v>373</v>
      </c>
      <c r="I2730" t="s">
        <v>289</v>
      </c>
      <c r="J2730" t="s">
        <v>613</v>
      </c>
      <c r="K2730">
        <v>15</v>
      </c>
      <c r="L2730" s="6">
        <v>4.57</v>
      </c>
      <c r="M2730" s="7">
        <v>19.049999999999997</v>
      </c>
      <c r="N2730" s="7">
        <v>88.899999999999991</v>
      </c>
      <c r="O2730" s="7">
        <f t="shared" si="208"/>
        <v>179.9212598425197</v>
      </c>
      <c r="P2730" s="7">
        <f t="shared" si="209"/>
        <v>0.74999999999999989</v>
      </c>
      <c r="Q2730" s="7">
        <f t="shared" si="209"/>
        <v>3.5</v>
      </c>
      <c r="R2730" s="6">
        <f t="shared" si="210"/>
        <v>1937.2619999999999</v>
      </c>
      <c r="S2730" s="6">
        <f t="shared" si="211"/>
        <v>7.739500649999999E-3</v>
      </c>
      <c r="T2730" t="str">
        <f t="shared" si="212"/>
        <v>Maximo Thermo Ayous JPL S4S E4E 1x4 Long</v>
      </c>
    </row>
    <row r="2731" spans="1:20" x14ac:dyDescent="0.25">
      <c r="A2731" t="s">
        <v>3414</v>
      </c>
      <c r="B2731" t="s">
        <v>3483</v>
      </c>
      <c r="C2731" t="s">
        <v>283</v>
      </c>
      <c r="D2731" t="s">
        <v>3044</v>
      </c>
      <c r="E2731" t="s">
        <v>3491</v>
      </c>
      <c r="F2731" t="s">
        <v>3485</v>
      </c>
      <c r="G2731" t="s">
        <v>3418</v>
      </c>
      <c r="H2731" t="s">
        <v>373</v>
      </c>
      <c r="I2731" t="s">
        <v>289</v>
      </c>
      <c r="J2731" t="s">
        <v>613</v>
      </c>
      <c r="K2731">
        <v>16</v>
      </c>
      <c r="L2731" s="6">
        <v>4.88</v>
      </c>
      <c r="M2731" s="7">
        <v>19.049999999999997</v>
      </c>
      <c r="N2731" s="7">
        <v>88.899999999999991</v>
      </c>
      <c r="O2731" s="7">
        <f t="shared" si="208"/>
        <v>192.1259842519685</v>
      </c>
      <c r="P2731" s="7">
        <f t="shared" si="209"/>
        <v>0.74999999999999989</v>
      </c>
      <c r="Q2731" s="7">
        <f t="shared" si="209"/>
        <v>3.5</v>
      </c>
      <c r="R2731" s="6">
        <f t="shared" si="210"/>
        <v>1937.2619999999999</v>
      </c>
      <c r="S2731" s="6">
        <f t="shared" si="211"/>
        <v>8.2644995999999991E-3</v>
      </c>
      <c r="T2731" t="str">
        <f t="shared" si="212"/>
        <v>Maximo Thermo Ayous JPL S4S E4E 1x4 Long</v>
      </c>
    </row>
    <row r="2732" spans="1:20" x14ac:dyDescent="0.25">
      <c r="A2732" t="s">
        <v>3414</v>
      </c>
      <c r="B2732" t="s">
        <v>3483</v>
      </c>
      <c r="C2732" t="s">
        <v>283</v>
      </c>
      <c r="D2732" t="s">
        <v>3044</v>
      </c>
      <c r="E2732" t="s">
        <v>3492</v>
      </c>
      <c r="F2732" t="s">
        <v>3485</v>
      </c>
      <c r="G2732" t="s">
        <v>3418</v>
      </c>
      <c r="H2732" t="s">
        <v>373</v>
      </c>
      <c r="I2732" t="s">
        <v>289</v>
      </c>
      <c r="J2732" t="s">
        <v>613</v>
      </c>
      <c r="K2732">
        <v>17</v>
      </c>
      <c r="L2732" s="6">
        <v>5.18</v>
      </c>
      <c r="M2732" s="7">
        <v>19.049999999999997</v>
      </c>
      <c r="N2732" s="7">
        <v>88.899999999999991</v>
      </c>
      <c r="O2732" s="7">
        <f t="shared" si="208"/>
        <v>203.93700787401573</v>
      </c>
      <c r="P2732" s="7">
        <f t="shared" si="209"/>
        <v>0.74999999999999989</v>
      </c>
      <c r="Q2732" s="7">
        <f t="shared" si="209"/>
        <v>3.5</v>
      </c>
      <c r="R2732" s="6">
        <f t="shared" si="210"/>
        <v>1937.2619999999999</v>
      </c>
      <c r="S2732" s="6">
        <f t="shared" si="211"/>
        <v>8.7725630999999967E-3</v>
      </c>
      <c r="T2732" t="str">
        <f t="shared" si="212"/>
        <v>Maximo Thermo Ayous JPL S4S E4E 1x4 Long</v>
      </c>
    </row>
    <row r="2733" spans="1:20" x14ac:dyDescent="0.25">
      <c r="A2733" t="s">
        <v>3414</v>
      </c>
      <c r="B2733" t="s">
        <v>3483</v>
      </c>
      <c r="C2733" t="s">
        <v>283</v>
      </c>
      <c r="D2733" t="s">
        <v>3044</v>
      </c>
      <c r="E2733" t="s">
        <v>3493</v>
      </c>
      <c r="F2733" t="s">
        <v>3485</v>
      </c>
      <c r="G2733" t="s">
        <v>3418</v>
      </c>
      <c r="H2733" t="s">
        <v>373</v>
      </c>
      <c r="I2733" t="s">
        <v>289</v>
      </c>
      <c r="J2733" t="s">
        <v>613</v>
      </c>
      <c r="K2733">
        <v>18</v>
      </c>
      <c r="L2733" s="6">
        <v>5.49</v>
      </c>
      <c r="M2733" s="7">
        <v>19.049999999999997</v>
      </c>
      <c r="N2733" s="7">
        <v>88.899999999999991</v>
      </c>
      <c r="O2733" s="7">
        <f t="shared" si="208"/>
        <v>216.14173228346459</v>
      </c>
      <c r="P2733" s="7">
        <f t="shared" si="209"/>
        <v>0.74999999999999989</v>
      </c>
      <c r="Q2733" s="7">
        <f t="shared" si="209"/>
        <v>3.5</v>
      </c>
      <c r="R2733" s="6">
        <f t="shared" si="210"/>
        <v>1937.2619999999999</v>
      </c>
      <c r="S2733" s="6">
        <f t="shared" si="211"/>
        <v>9.2975620499999977E-3</v>
      </c>
      <c r="T2733" t="str">
        <f t="shared" si="212"/>
        <v>Maximo Thermo Ayous JPL S4S E4E 1x4 Long</v>
      </c>
    </row>
    <row r="2734" spans="1:20" x14ac:dyDescent="0.25">
      <c r="A2734" t="s">
        <v>3414</v>
      </c>
      <c r="B2734" t="s">
        <v>3483</v>
      </c>
      <c r="C2734" t="s">
        <v>524</v>
      </c>
      <c r="D2734" t="s">
        <v>3044</v>
      </c>
      <c r="E2734" t="s">
        <v>3494</v>
      </c>
      <c r="F2734" t="s">
        <v>3485</v>
      </c>
      <c r="G2734" t="s">
        <v>3418</v>
      </c>
      <c r="H2734" t="s">
        <v>373</v>
      </c>
      <c r="I2734" t="s">
        <v>289</v>
      </c>
      <c r="J2734" t="s">
        <v>613</v>
      </c>
      <c r="K2734">
        <v>4</v>
      </c>
      <c r="L2734" s="6">
        <v>1.22</v>
      </c>
      <c r="M2734" s="7">
        <v>19.049999999999997</v>
      </c>
      <c r="N2734" s="7">
        <v>88.899999999999991</v>
      </c>
      <c r="O2734" s="7">
        <f t="shared" si="208"/>
        <v>48.031496062992126</v>
      </c>
      <c r="P2734" s="7">
        <f t="shared" si="209"/>
        <v>0.74999999999999989</v>
      </c>
      <c r="Q2734" s="7">
        <f t="shared" si="209"/>
        <v>3.5</v>
      </c>
      <c r="R2734" s="6">
        <f t="shared" si="210"/>
        <v>1937.2619999999999</v>
      </c>
      <c r="S2734" s="6">
        <f t="shared" si="211"/>
        <v>2.0661248999999998E-3</v>
      </c>
      <c r="T2734" t="str">
        <f t="shared" si="212"/>
        <v>Maximo Thermo Ayous JPL S4S E4E 1x4 Short</v>
      </c>
    </row>
    <row r="2735" spans="1:20" x14ac:dyDescent="0.25">
      <c r="A2735" t="s">
        <v>3414</v>
      </c>
      <c r="B2735" t="s">
        <v>3483</v>
      </c>
      <c r="C2735" t="s">
        <v>524</v>
      </c>
      <c r="D2735" t="s">
        <v>3044</v>
      </c>
      <c r="E2735" t="s">
        <v>3495</v>
      </c>
      <c r="F2735" t="s">
        <v>3485</v>
      </c>
      <c r="G2735" t="s">
        <v>3418</v>
      </c>
      <c r="H2735" t="s">
        <v>373</v>
      </c>
      <c r="I2735" t="s">
        <v>289</v>
      </c>
      <c r="J2735" t="s">
        <v>613</v>
      </c>
      <c r="K2735">
        <v>5</v>
      </c>
      <c r="L2735" s="6">
        <v>1.52</v>
      </c>
      <c r="M2735" s="7">
        <v>19.049999999999997</v>
      </c>
      <c r="N2735" s="7">
        <v>88.899999999999991</v>
      </c>
      <c r="O2735" s="7">
        <f t="shared" si="208"/>
        <v>59.84251968503937</v>
      </c>
      <c r="P2735" s="7">
        <f t="shared" si="209"/>
        <v>0.74999999999999989</v>
      </c>
      <c r="Q2735" s="7">
        <f t="shared" si="209"/>
        <v>3.5</v>
      </c>
      <c r="R2735" s="6">
        <f t="shared" si="210"/>
        <v>1937.2619999999999</v>
      </c>
      <c r="S2735" s="6">
        <f t="shared" si="211"/>
        <v>2.5741883999999991E-3</v>
      </c>
      <c r="T2735" t="str">
        <f t="shared" si="212"/>
        <v>Maximo Thermo Ayous JPL S4S E4E 1x4 Short</v>
      </c>
    </row>
    <row r="2736" spans="1:20" x14ac:dyDescent="0.25">
      <c r="A2736" t="s">
        <v>3414</v>
      </c>
      <c r="B2736" t="s">
        <v>3483</v>
      </c>
      <c r="C2736" t="s">
        <v>524</v>
      </c>
      <c r="D2736" t="s">
        <v>3044</v>
      </c>
      <c r="E2736" t="s">
        <v>3496</v>
      </c>
      <c r="F2736" t="s">
        <v>3485</v>
      </c>
      <c r="G2736" t="s">
        <v>3418</v>
      </c>
      <c r="H2736" t="s">
        <v>373</v>
      </c>
      <c r="I2736" t="s">
        <v>289</v>
      </c>
      <c r="J2736" t="s">
        <v>613</v>
      </c>
      <c r="K2736">
        <v>6</v>
      </c>
      <c r="L2736" s="6">
        <v>1.83</v>
      </c>
      <c r="M2736" s="7">
        <v>19.049999999999997</v>
      </c>
      <c r="N2736" s="7">
        <v>88.899999999999991</v>
      </c>
      <c r="O2736" s="7">
        <f t="shared" ref="O2736:O2799" si="213">L2736/0.0254</f>
        <v>72.047244094488192</v>
      </c>
      <c r="P2736" s="7">
        <f t="shared" ref="P2736:Q2799" si="214">M2736/25.4</f>
        <v>0.74999999999999989</v>
      </c>
      <c r="Q2736" s="7">
        <f t="shared" si="214"/>
        <v>3.5</v>
      </c>
      <c r="R2736" s="6">
        <f t="shared" ref="R2736:R2799" si="215">ROUND(IFERROR(1/((M2736*N2736*0.3048)/1000000),0),3)</f>
        <v>1937.2619999999999</v>
      </c>
      <c r="S2736" s="6">
        <f t="shared" ref="S2736:S2799" si="216">L2736*M2736/1000*N2736/1000</f>
        <v>3.0991873499999992E-3</v>
      </c>
      <c r="T2736" t="str">
        <f t="shared" si="212"/>
        <v>Maximo Thermo Ayous JPL S4S E4E 1x4 Short</v>
      </c>
    </row>
    <row r="2737" spans="1:20" x14ac:dyDescent="0.25">
      <c r="A2737" t="s">
        <v>3414</v>
      </c>
      <c r="B2737" t="s">
        <v>3483</v>
      </c>
      <c r="C2737" t="s">
        <v>524</v>
      </c>
      <c r="D2737" t="s">
        <v>3044</v>
      </c>
      <c r="E2737" t="s">
        <v>3497</v>
      </c>
      <c r="F2737" t="s">
        <v>3485</v>
      </c>
      <c r="G2737" t="s">
        <v>3418</v>
      </c>
      <c r="H2737" t="s">
        <v>373</v>
      </c>
      <c r="I2737" t="s">
        <v>289</v>
      </c>
      <c r="J2737" t="s">
        <v>613</v>
      </c>
      <c r="K2737">
        <v>7</v>
      </c>
      <c r="L2737" s="6">
        <v>2.13</v>
      </c>
      <c r="M2737" s="7">
        <v>19.049999999999997</v>
      </c>
      <c r="N2737" s="7">
        <v>88.899999999999991</v>
      </c>
      <c r="O2737" s="7">
        <f t="shared" si="213"/>
        <v>83.858267716535437</v>
      </c>
      <c r="P2737" s="7">
        <f t="shared" si="214"/>
        <v>0.74999999999999989</v>
      </c>
      <c r="Q2737" s="7">
        <f t="shared" si="214"/>
        <v>3.5</v>
      </c>
      <c r="R2737" s="6">
        <f t="shared" si="215"/>
        <v>1937.2619999999999</v>
      </c>
      <c r="S2737" s="6">
        <f t="shared" si="216"/>
        <v>3.6072508499999986E-3</v>
      </c>
      <c r="T2737" t="str">
        <f t="shared" si="212"/>
        <v>Maximo Thermo Ayous JPL S4S E4E 1x4 Short</v>
      </c>
    </row>
    <row r="2738" spans="1:20" x14ac:dyDescent="0.25">
      <c r="A2738" t="s">
        <v>3414</v>
      </c>
      <c r="B2738" t="s">
        <v>3483</v>
      </c>
      <c r="C2738" t="s">
        <v>283</v>
      </c>
      <c r="D2738" t="s">
        <v>3044</v>
      </c>
      <c r="E2738" t="s">
        <v>3498</v>
      </c>
      <c r="F2738" t="s">
        <v>3485</v>
      </c>
      <c r="G2738" t="s">
        <v>3418</v>
      </c>
      <c r="H2738" t="s">
        <v>373</v>
      </c>
      <c r="I2738" t="s">
        <v>289</v>
      </c>
      <c r="J2738" t="s">
        <v>613</v>
      </c>
      <c r="K2738">
        <v>8</v>
      </c>
      <c r="L2738" s="6">
        <v>2.44</v>
      </c>
      <c r="M2738" s="7">
        <v>19.049999999999997</v>
      </c>
      <c r="N2738" s="7">
        <v>88.899999999999991</v>
      </c>
      <c r="O2738" s="7">
        <f t="shared" si="213"/>
        <v>96.062992125984252</v>
      </c>
      <c r="P2738" s="7">
        <f t="shared" si="214"/>
        <v>0.74999999999999989</v>
      </c>
      <c r="Q2738" s="7">
        <f t="shared" si="214"/>
        <v>3.5</v>
      </c>
      <c r="R2738" s="6">
        <f t="shared" si="215"/>
        <v>1937.2619999999999</v>
      </c>
      <c r="S2738" s="6">
        <f t="shared" si="216"/>
        <v>4.1322497999999996E-3</v>
      </c>
      <c r="T2738" t="str">
        <f t="shared" si="212"/>
        <v>Maximo Thermo Ayous JPL S4S E4E 1x4 Long</v>
      </c>
    </row>
    <row r="2739" spans="1:20" x14ac:dyDescent="0.25">
      <c r="A2739" t="s">
        <v>3414</v>
      </c>
      <c r="B2739" t="s">
        <v>3483</v>
      </c>
      <c r="C2739" t="s">
        <v>283</v>
      </c>
      <c r="D2739" t="s">
        <v>3044</v>
      </c>
      <c r="E2739" t="s">
        <v>3499</v>
      </c>
      <c r="F2739" t="s">
        <v>3485</v>
      </c>
      <c r="G2739" t="s">
        <v>3418</v>
      </c>
      <c r="H2739" t="s">
        <v>373</v>
      </c>
      <c r="I2739" t="s">
        <v>289</v>
      </c>
      <c r="J2739" t="s">
        <v>613</v>
      </c>
      <c r="K2739">
        <v>9</v>
      </c>
      <c r="L2739" s="6">
        <v>2.74</v>
      </c>
      <c r="M2739" s="7">
        <v>19.049999999999997</v>
      </c>
      <c r="N2739" s="7">
        <v>88.899999999999991</v>
      </c>
      <c r="O2739" s="7">
        <f t="shared" si="213"/>
        <v>107.87401574803151</v>
      </c>
      <c r="P2739" s="7">
        <f t="shared" si="214"/>
        <v>0.74999999999999989</v>
      </c>
      <c r="Q2739" s="7">
        <f t="shared" si="214"/>
        <v>3.5</v>
      </c>
      <c r="R2739" s="6">
        <f t="shared" si="215"/>
        <v>1937.2619999999999</v>
      </c>
      <c r="S2739" s="6">
        <f t="shared" si="216"/>
        <v>4.6403132999999989E-3</v>
      </c>
      <c r="T2739" t="str">
        <f t="shared" si="212"/>
        <v>Maximo Thermo Ayous JPL S4S E4E 1x4 Long</v>
      </c>
    </row>
    <row r="2740" spans="1:20" x14ac:dyDescent="0.25">
      <c r="A2740" t="s">
        <v>3414</v>
      </c>
      <c r="B2740" t="s">
        <v>3415</v>
      </c>
      <c r="C2740" t="s">
        <v>283</v>
      </c>
      <c r="D2740" t="s">
        <v>3044</v>
      </c>
      <c r="E2740" t="s">
        <v>3500</v>
      </c>
      <c r="F2740" t="s">
        <v>3501</v>
      </c>
      <c r="G2740" t="s">
        <v>3418</v>
      </c>
      <c r="H2740" t="s">
        <v>373</v>
      </c>
      <c r="I2740" t="s">
        <v>289</v>
      </c>
      <c r="J2740" t="s">
        <v>344</v>
      </c>
      <c r="K2740">
        <v>10</v>
      </c>
      <c r="L2740" s="6">
        <v>3.05</v>
      </c>
      <c r="M2740" s="7">
        <v>19.049999999999997</v>
      </c>
      <c r="N2740" s="7">
        <v>139.69999999999999</v>
      </c>
      <c r="O2740" s="7">
        <f t="shared" si="213"/>
        <v>120.07874015748031</v>
      </c>
      <c r="P2740" s="7">
        <f t="shared" si="214"/>
        <v>0.74999999999999989</v>
      </c>
      <c r="Q2740" s="7">
        <f t="shared" si="214"/>
        <v>5.5</v>
      </c>
      <c r="R2740" s="6">
        <f t="shared" si="215"/>
        <v>1232.8030000000001</v>
      </c>
      <c r="S2740" s="6">
        <f t="shared" si="216"/>
        <v>8.1169192499999966E-3</v>
      </c>
      <c r="T2740" t="str">
        <f t="shared" si="212"/>
        <v>Maximo Thermo Ayous JPL S4S E4E 1x6 Long</v>
      </c>
    </row>
    <row r="2741" spans="1:20" x14ac:dyDescent="0.25">
      <c r="A2741" t="s">
        <v>3414</v>
      </c>
      <c r="B2741" t="s">
        <v>3415</v>
      </c>
      <c r="C2741" t="s">
        <v>283</v>
      </c>
      <c r="D2741" t="s">
        <v>3044</v>
      </c>
      <c r="E2741" t="s">
        <v>3502</v>
      </c>
      <c r="F2741" t="s">
        <v>3501</v>
      </c>
      <c r="G2741" t="s">
        <v>3418</v>
      </c>
      <c r="H2741" t="s">
        <v>373</v>
      </c>
      <c r="I2741" t="s">
        <v>289</v>
      </c>
      <c r="J2741" t="s">
        <v>344</v>
      </c>
      <c r="K2741">
        <v>11</v>
      </c>
      <c r="L2741" s="6">
        <v>3.35</v>
      </c>
      <c r="M2741" s="7">
        <v>19.049999999999997</v>
      </c>
      <c r="N2741" s="7">
        <v>139.69999999999999</v>
      </c>
      <c r="O2741" s="7">
        <f t="shared" si="213"/>
        <v>131.88976377952756</v>
      </c>
      <c r="P2741" s="7">
        <f t="shared" si="214"/>
        <v>0.74999999999999989</v>
      </c>
      <c r="Q2741" s="7">
        <f t="shared" si="214"/>
        <v>5.5</v>
      </c>
      <c r="R2741" s="6">
        <f t="shared" si="215"/>
        <v>1232.8030000000001</v>
      </c>
      <c r="S2741" s="6">
        <f t="shared" si="216"/>
        <v>8.9153047499999985E-3</v>
      </c>
      <c r="T2741" t="str">
        <f t="shared" si="212"/>
        <v>Maximo Thermo Ayous JPL S4S E4E 1x6 Long</v>
      </c>
    </row>
    <row r="2742" spans="1:20" x14ac:dyDescent="0.25">
      <c r="A2742" t="s">
        <v>3414</v>
      </c>
      <c r="B2742" t="s">
        <v>3415</v>
      </c>
      <c r="C2742" t="s">
        <v>283</v>
      </c>
      <c r="D2742" t="s">
        <v>3044</v>
      </c>
      <c r="E2742" t="s">
        <v>3503</v>
      </c>
      <c r="F2742" t="s">
        <v>3501</v>
      </c>
      <c r="G2742" t="s">
        <v>3418</v>
      </c>
      <c r="H2742" t="s">
        <v>373</v>
      </c>
      <c r="I2742" t="s">
        <v>289</v>
      </c>
      <c r="J2742" t="s">
        <v>344</v>
      </c>
      <c r="K2742">
        <v>12</v>
      </c>
      <c r="L2742" s="6">
        <v>3.66</v>
      </c>
      <c r="M2742" s="7">
        <v>19.049999999999997</v>
      </c>
      <c r="N2742" s="7">
        <v>139.69999999999999</v>
      </c>
      <c r="O2742" s="7">
        <f t="shared" si="213"/>
        <v>144.09448818897638</v>
      </c>
      <c r="P2742" s="7">
        <f t="shared" si="214"/>
        <v>0.74999999999999989</v>
      </c>
      <c r="Q2742" s="7">
        <f t="shared" si="214"/>
        <v>5.5</v>
      </c>
      <c r="R2742" s="6">
        <f t="shared" si="215"/>
        <v>1232.8030000000001</v>
      </c>
      <c r="S2742" s="6">
        <f t="shared" si="216"/>
        <v>9.7403030999999984E-3</v>
      </c>
      <c r="T2742" t="str">
        <f t="shared" si="212"/>
        <v>Maximo Thermo Ayous JPL S4S E4E 1x6 Long</v>
      </c>
    </row>
    <row r="2743" spans="1:20" x14ac:dyDescent="0.25">
      <c r="A2743" t="s">
        <v>3414</v>
      </c>
      <c r="B2743" t="s">
        <v>3415</v>
      </c>
      <c r="C2743" t="s">
        <v>283</v>
      </c>
      <c r="D2743" t="s">
        <v>3044</v>
      </c>
      <c r="E2743" t="s">
        <v>3504</v>
      </c>
      <c r="F2743" t="s">
        <v>3501</v>
      </c>
      <c r="G2743" t="s">
        <v>3418</v>
      </c>
      <c r="H2743" t="s">
        <v>373</v>
      </c>
      <c r="I2743" t="s">
        <v>289</v>
      </c>
      <c r="J2743" t="s">
        <v>344</v>
      </c>
      <c r="K2743">
        <v>13</v>
      </c>
      <c r="L2743" s="6">
        <v>3.96</v>
      </c>
      <c r="M2743" s="7">
        <v>19.049999999999997</v>
      </c>
      <c r="N2743" s="7">
        <v>139.69999999999999</v>
      </c>
      <c r="O2743" s="7">
        <f t="shared" si="213"/>
        <v>155.90551181102362</v>
      </c>
      <c r="P2743" s="7">
        <f t="shared" si="214"/>
        <v>0.74999999999999989</v>
      </c>
      <c r="Q2743" s="7">
        <f t="shared" si="214"/>
        <v>5.5</v>
      </c>
      <c r="R2743" s="6">
        <f t="shared" si="215"/>
        <v>1232.8030000000001</v>
      </c>
      <c r="S2743" s="6">
        <f t="shared" si="216"/>
        <v>1.0538688599999999E-2</v>
      </c>
      <c r="T2743" t="str">
        <f t="shared" si="212"/>
        <v>Maximo Thermo Ayous JPL S4S E4E 1x6 Long</v>
      </c>
    </row>
    <row r="2744" spans="1:20" x14ac:dyDescent="0.25">
      <c r="A2744" t="s">
        <v>3414</v>
      </c>
      <c r="B2744" t="s">
        <v>3415</v>
      </c>
      <c r="C2744" t="s">
        <v>283</v>
      </c>
      <c r="D2744" t="s">
        <v>3044</v>
      </c>
      <c r="E2744" t="s">
        <v>3505</v>
      </c>
      <c r="F2744" t="s">
        <v>3501</v>
      </c>
      <c r="G2744" t="s">
        <v>3418</v>
      </c>
      <c r="H2744" t="s">
        <v>373</v>
      </c>
      <c r="I2744" t="s">
        <v>289</v>
      </c>
      <c r="J2744" t="s">
        <v>344</v>
      </c>
      <c r="K2744">
        <v>14</v>
      </c>
      <c r="L2744" s="6">
        <v>4.2699999999999996</v>
      </c>
      <c r="M2744" s="7">
        <v>19.049999999999997</v>
      </c>
      <c r="N2744" s="7">
        <v>139.69999999999999</v>
      </c>
      <c r="O2744" s="7">
        <f t="shared" si="213"/>
        <v>168.11023622047244</v>
      </c>
      <c r="P2744" s="7">
        <f t="shared" si="214"/>
        <v>0.74999999999999989</v>
      </c>
      <c r="Q2744" s="7">
        <f t="shared" si="214"/>
        <v>5.5</v>
      </c>
      <c r="R2744" s="6">
        <f t="shared" si="215"/>
        <v>1232.8030000000001</v>
      </c>
      <c r="S2744" s="6">
        <f t="shared" si="216"/>
        <v>1.1363686949999995E-2</v>
      </c>
      <c r="T2744" t="str">
        <f t="shared" si="212"/>
        <v>Maximo Thermo Ayous JPL S4S E4E 1x6 Long</v>
      </c>
    </row>
    <row r="2745" spans="1:20" x14ac:dyDescent="0.25">
      <c r="A2745" t="s">
        <v>3414</v>
      </c>
      <c r="B2745" t="s">
        <v>3415</v>
      </c>
      <c r="C2745" t="s">
        <v>283</v>
      </c>
      <c r="D2745" t="s">
        <v>3044</v>
      </c>
      <c r="E2745" t="s">
        <v>3506</v>
      </c>
      <c r="F2745" t="s">
        <v>3501</v>
      </c>
      <c r="G2745" t="s">
        <v>3418</v>
      </c>
      <c r="H2745" t="s">
        <v>373</v>
      </c>
      <c r="I2745" t="s">
        <v>289</v>
      </c>
      <c r="J2745" t="s">
        <v>344</v>
      </c>
      <c r="K2745">
        <v>15</v>
      </c>
      <c r="L2745" s="6">
        <v>4.57</v>
      </c>
      <c r="M2745" s="7">
        <v>19.049999999999997</v>
      </c>
      <c r="N2745" s="7">
        <v>139.69999999999999</v>
      </c>
      <c r="O2745" s="7">
        <f t="shared" si="213"/>
        <v>179.9212598425197</v>
      </c>
      <c r="P2745" s="7">
        <f t="shared" si="214"/>
        <v>0.74999999999999989</v>
      </c>
      <c r="Q2745" s="7">
        <f t="shared" si="214"/>
        <v>5.5</v>
      </c>
      <c r="R2745" s="6">
        <f t="shared" si="215"/>
        <v>1232.8030000000001</v>
      </c>
      <c r="S2745" s="6">
        <f t="shared" si="216"/>
        <v>1.2162072449999999E-2</v>
      </c>
      <c r="T2745" t="str">
        <f t="shared" si="212"/>
        <v>Maximo Thermo Ayous JPL S4S E4E 1x6 Long</v>
      </c>
    </row>
    <row r="2746" spans="1:20" x14ac:dyDescent="0.25">
      <c r="A2746" t="s">
        <v>3414</v>
      </c>
      <c r="B2746" t="s">
        <v>3415</v>
      </c>
      <c r="C2746" t="s">
        <v>283</v>
      </c>
      <c r="D2746" t="s">
        <v>3044</v>
      </c>
      <c r="E2746" t="s">
        <v>3507</v>
      </c>
      <c r="F2746" t="s">
        <v>3501</v>
      </c>
      <c r="G2746" t="s">
        <v>3418</v>
      </c>
      <c r="H2746" t="s">
        <v>373</v>
      </c>
      <c r="I2746" t="s">
        <v>289</v>
      </c>
      <c r="J2746" t="s">
        <v>344</v>
      </c>
      <c r="K2746">
        <v>16</v>
      </c>
      <c r="L2746" s="6">
        <v>4.88</v>
      </c>
      <c r="M2746" s="7">
        <v>19.049999999999997</v>
      </c>
      <c r="N2746" s="7">
        <v>139.69999999999999</v>
      </c>
      <c r="O2746" s="7">
        <f t="shared" si="213"/>
        <v>192.1259842519685</v>
      </c>
      <c r="P2746" s="7">
        <f t="shared" si="214"/>
        <v>0.74999999999999989</v>
      </c>
      <c r="Q2746" s="7">
        <f t="shared" si="214"/>
        <v>5.5</v>
      </c>
      <c r="R2746" s="6">
        <f t="shared" si="215"/>
        <v>1232.8030000000001</v>
      </c>
      <c r="S2746" s="6">
        <f t="shared" si="216"/>
        <v>1.2987070799999998E-2</v>
      </c>
      <c r="T2746" t="str">
        <f t="shared" si="212"/>
        <v>Maximo Thermo Ayous JPL S4S E4E 1x6 Long</v>
      </c>
    </row>
    <row r="2747" spans="1:20" x14ac:dyDescent="0.25">
      <c r="A2747" t="s">
        <v>3414</v>
      </c>
      <c r="B2747" t="s">
        <v>3415</v>
      </c>
      <c r="C2747" t="s">
        <v>283</v>
      </c>
      <c r="D2747" t="s">
        <v>3044</v>
      </c>
      <c r="E2747" t="s">
        <v>3508</v>
      </c>
      <c r="F2747" t="s">
        <v>3501</v>
      </c>
      <c r="G2747" t="s">
        <v>3418</v>
      </c>
      <c r="H2747" t="s">
        <v>373</v>
      </c>
      <c r="I2747" t="s">
        <v>289</v>
      </c>
      <c r="J2747" t="s">
        <v>344</v>
      </c>
      <c r="K2747">
        <v>17</v>
      </c>
      <c r="L2747" s="6">
        <v>5.18</v>
      </c>
      <c r="M2747" s="7">
        <v>19.049999999999997</v>
      </c>
      <c r="N2747" s="7">
        <v>139.69999999999999</v>
      </c>
      <c r="O2747" s="7">
        <f t="shared" si="213"/>
        <v>203.93700787401573</v>
      </c>
      <c r="P2747" s="7">
        <f t="shared" si="214"/>
        <v>0.74999999999999989</v>
      </c>
      <c r="Q2747" s="7">
        <f t="shared" si="214"/>
        <v>5.5</v>
      </c>
      <c r="R2747" s="6">
        <f t="shared" si="215"/>
        <v>1232.8030000000001</v>
      </c>
      <c r="S2747" s="6">
        <f t="shared" si="216"/>
        <v>1.3785456299999995E-2</v>
      </c>
      <c r="T2747" t="str">
        <f t="shared" si="212"/>
        <v>Maximo Thermo Ayous JPL S4S E4E 1x6 Long</v>
      </c>
    </row>
    <row r="2748" spans="1:20" x14ac:dyDescent="0.25">
      <c r="A2748" t="s">
        <v>3414</v>
      </c>
      <c r="B2748" t="s">
        <v>3415</v>
      </c>
      <c r="C2748" t="s">
        <v>283</v>
      </c>
      <c r="D2748" t="s">
        <v>3044</v>
      </c>
      <c r="E2748" t="s">
        <v>3509</v>
      </c>
      <c r="F2748" t="s">
        <v>3501</v>
      </c>
      <c r="G2748" t="s">
        <v>3418</v>
      </c>
      <c r="H2748" t="s">
        <v>373</v>
      </c>
      <c r="I2748" t="s">
        <v>289</v>
      </c>
      <c r="J2748" t="s">
        <v>344</v>
      </c>
      <c r="K2748">
        <v>18</v>
      </c>
      <c r="L2748" s="6">
        <v>5.49</v>
      </c>
      <c r="M2748" s="7">
        <v>19.049999999999997</v>
      </c>
      <c r="N2748" s="7">
        <v>139.69999999999999</v>
      </c>
      <c r="O2748" s="7">
        <f t="shared" si="213"/>
        <v>216.14173228346459</v>
      </c>
      <c r="P2748" s="7">
        <f t="shared" si="214"/>
        <v>0.74999999999999989</v>
      </c>
      <c r="Q2748" s="7">
        <f t="shared" si="214"/>
        <v>5.5</v>
      </c>
      <c r="R2748" s="6">
        <f t="shared" si="215"/>
        <v>1232.8030000000001</v>
      </c>
      <c r="S2748" s="6">
        <f t="shared" si="216"/>
        <v>1.4610454649999998E-2</v>
      </c>
      <c r="T2748" t="str">
        <f t="shared" si="212"/>
        <v>Maximo Thermo Ayous JPL S4S E4E 1x6 Long</v>
      </c>
    </row>
    <row r="2749" spans="1:20" x14ac:dyDescent="0.25">
      <c r="A2749" t="s">
        <v>3414</v>
      </c>
      <c r="B2749" t="s">
        <v>3415</v>
      </c>
      <c r="C2749" t="s">
        <v>524</v>
      </c>
      <c r="D2749" t="s">
        <v>3044</v>
      </c>
      <c r="E2749" t="s">
        <v>3510</v>
      </c>
      <c r="F2749" t="s">
        <v>3501</v>
      </c>
      <c r="G2749" t="s">
        <v>3418</v>
      </c>
      <c r="H2749" t="s">
        <v>373</v>
      </c>
      <c r="I2749" t="s">
        <v>289</v>
      </c>
      <c r="J2749" t="s">
        <v>344</v>
      </c>
      <c r="K2749">
        <v>4</v>
      </c>
      <c r="L2749" s="6">
        <v>1.22</v>
      </c>
      <c r="M2749" s="7">
        <v>19.049999999999997</v>
      </c>
      <c r="N2749" s="7">
        <v>139.69999999999999</v>
      </c>
      <c r="O2749" s="7">
        <f t="shared" si="213"/>
        <v>48.031496062992126</v>
      </c>
      <c r="P2749" s="7">
        <f t="shared" si="214"/>
        <v>0.74999999999999989</v>
      </c>
      <c r="Q2749" s="7">
        <f t="shared" si="214"/>
        <v>5.5</v>
      </c>
      <c r="R2749" s="6">
        <f t="shared" si="215"/>
        <v>1232.8030000000001</v>
      </c>
      <c r="S2749" s="6">
        <f t="shared" si="216"/>
        <v>3.2467676999999996E-3</v>
      </c>
      <c r="T2749" t="str">
        <f t="shared" si="212"/>
        <v>Maximo Thermo Ayous JPL S4S E4E 1x6 Short</v>
      </c>
    </row>
    <row r="2750" spans="1:20" x14ac:dyDescent="0.25">
      <c r="A2750" t="s">
        <v>3414</v>
      </c>
      <c r="B2750" t="s">
        <v>3415</v>
      </c>
      <c r="C2750" t="s">
        <v>524</v>
      </c>
      <c r="D2750" t="s">
        <v>3044</v>
      </c>
      <c r="E2750" t="s">
        <v>3511</v>
      </c>
      <c r="F2750" t="s">
        <v>3501</v>
      </c>
      <c r="G2750" t="s">
        <v>3418</v>
      </c>
      <c r="H2750" t="s">
        <v>373</v>
      </c>
      <c r="I2750" t="s">
        <v>289</v>
      </c>
      <c r="J2750" t="s">
        <v>344</v>
      </c>
      <c r="K2750">
        <v>5</v>
      </c>
      <c r="L2750" s="6">
        <v>1.52</v>
      </c>
      <c r="M2750" s="7">
        <v>19.049999999999997</v>
      </c>
      <c r="N2750" s="7">
        <v>139.69999999999999</v>
      </c>
      <c r="O2750" s="7">
        <f t="shared" si="213"/>
        <v>59.84251968503937</v>
      </c>
      <c r="P2750" s="7">
        <f t="shared" si="214"/>
        <v>0.74999999999999989</v>
      </c>
      <c r="Q2750" s="7">
        <f t="shared" si="214"/>
        <v>5.5</v>
      </c>
      <c r="R2750" s="6">
        <f t="shared" si="215"/>
        <v>1232.8030000000001</v>
      </c>
      <c r="S2750" s="6">
        <f t="shared" si="216"/>
        <v>4.0451531999999985E-3</v>
      </c>
      <c r="T2750" t="str">
        <f t="shared" si="212"/>
        <v>Maximo Thermo Ayous JPL S4S E4E 1x6 Short</v>
      </c>
    </row>
    <row r="2751" spans="1:20" x14ac:dyDescent="0.25">
      <c r="A2751" t="s">
        <v>3414</v>
      </c>
      <c r="B2751" t="s">
        <v>3415</v>
      </c>
      <c r="C2751" t="s">
        <v>524</v>
      </c>
      <c r="D2751" t="s">
        <v>3044</v>
      </c>
      <c r="E2751" t="s">
        <v>3512</v>
      </c>
      <c r="F2751" t="s">
        <v>3501</v>
      </c>
      <c r="G2751" t="s">
        <v>3418</v>
      </c>
      <c r="H2751" t="s">
        <v>373</v>
      </c>
      <c r="I2751" t="s">
        <v>289</v>
      </c>
      <c r="J2751" t="s">
        <v>344</v>
      </c>
      <c r="K2751">
        <v>6</v>
      </c>
      <c r="L2751" s="6">
        <v>1.83</v>
      </c>
      <c r="M2751" s="7">
        <v>19.049999999999997</v>
      </c>
      <c r="N2751" s="7">
        <v>139.69999999999999</v>
      </c>
      <c r="O2751" s="7">
        <f t="shared" si="213"/>
        <v>72.047244094488192</v>
      </c>
      <c r="P2751" s="7">
        <f t="shared" si="214"/>
        <v>0.74999999999999989</v>
      </c>
      <c r="Q2751" s="7">
        <f t="shared" si="214"/>
        <v>5.5</v>
      </c>
      <c r="R2751" s="6">
        <f t="shared" si="215"/>
        <v>1232.8030000000001</v>
      </c>
      <c r="S2751" s="6">
        <f t="shared" si="216"/>
        <v>4.8701515499999992E-3</v>
      </c>
      <c r="T2751" t="str">
        <f t="shared" si="212"/>
        <v>Maximo Thermo Ayous JPL S4S E4E 1x6 Short</v>
      </c>
    </row>
    <row r="2752" spans="1:20" x14ac:dyDescent="0.25">
      <c r="A2752" t="s">
        <v>3414</v>
      </c>
      <c r="B2752" t="s">
        <v>3415</v>
      </c>
      <c r="C2752" t="s">
        <v>524</v>
      </c>
      <c r="D2752" t="s">
        <v>3044</v>
      </c>
      <c r="E2752" t="s">
        <v>3513</v>
      </c>
      <c r="F2752" t="s">
        <v>3501</v>
      </c>
      <c r="G2752" t="s">
        <v>3418</v>
      </c>
      <c r="H2752" t="s">
        <v>373</v>
      </c>
      <c r="I2752" t="s">
        <v>289</v>
      </c>
      <c r="J2752" t="s">
        <v>344</v>
      </c>
      <c r="K2752">
        <v>7</v>
      </c>
      <c r="L2752" s="6">
        <v>2.13</v>
      </c>
      <c r="M2752" s="7">
        <v>19.049999999999997</v>
      </c>
      <c r="N2752" s="7">
        <v>139.69999999999999</v>
      </c>
      <c r="O2752" s="7">
        <f t="shared" si="213"/>
        <v>83.858267716535437</v>
      </c>
      <c r="P2752" s="7">
        <f t="shared" si="214"/>
        <v>0.74999999999999989</v>
      </c>
      <c r="Q2752" s="7">
        <f t="shared" si="214"/>
        <v>5.5</v>
      </c>
      <c r="R2752" s="6">
        <f t="shared" si="215"/>
        <v>1232.8030000000001</v>
      </c>
      <c r="S2752" s="6">
        <f t="shared" si="216"/>
        <v>5.6685370499999976E-3</v>
      </c>
      <c r="T2752" t="str">
        <f t="shared" si="212"/>
        <v>Maximo Thermo Ayous JPL S4S E4E 1x6 Short</v>
      </c>
    </row>
    <row r="2753" spans="1:20" x14ac:dyDescent="0.25">
      <c r="A2753" t="s">
        <v>3414</v>
      </c>
      <c r="B2753" t="s">
        <v>3415</v>
      </c>
      <c r="C2753" t="s">
        <v>283</v>
      </c>
      <c r="D2753" t="s">
        <v>3044</v>
      </c>
      <c r="E2753" t="s">
        <v>3514</v>
      </c>
      <c r="F2753" t="s">
        <v>3501</v>
      </c>
      <c r="G2753" t="s">
        <v>3418</v>
      </c>
      <c r="H2753" t="s">
        <v>373</v>
      </c>
      <c r="I2753" t="s">
        <v>289</v>
      </c>
      <c r="J2753" t="s">
        <v>344</v>
      </c>
      <c r="K2753">
        <v>8</v>
      </c>
      <c r="L2753" s="6">
        <v>2.44</v>
      </c>
      <c r="M2753" s="7">
        <v>19.049999999999997</v>
      </c>
      <c r="N2753" s="7">
        <v>139.69999999999999</v>
      </c>
      <c r="O2753" s="7">
        <f t="shared" si="213"/>
        <v>96.062992125984252</v>
      </c>
      <c r="P2753" s="7">
        <f t="shared" si="214"/>
        <v>0.74999999999999989</v>
      </c>
      <c r="Q2753" s="7">
        <f t="shared" si="214"/>
        <v>5.5</v>
      </c>
      <c r="R2753" s="6">
        <f t="shared" si="215"/>
        <v>1232.8030000000001</v>
      </c>
      <c r="S2753" s="6">
        <f t="shared" si="216"/>
        <v>6.4935353999999992E-3</v>
      </c>
      <c r="T2753" t="str">
        <f t="shared" si="212"/>
        <v>Maximo Thermo Ayous JPL S4S E4E 1x6 Long</v>
      </c>
    </row>
    <row r="2754" spans="1:20" x14ac:dyDescent="0.25">
      <c r="A2754" t="s">
        <v>3414</v>
      </c>
      <c r="B2754" t="s">
        <v>3415</v>
      </c>
      <c r="C2754" t="s">
        <v>283</v>
      </c>
      <c r="D2754" t="s">
        <v>3044</v>
      </c>
      <c r="E2754" t="s">
        <v>3515</v>
      </c>
      <c r="F2754" t="s">
        <v>3501</v>
      </c>
      <c r="G2754" t="s">
        <v>3418</v>
      </c>
      <c r="H2754" t="s">
        <v>373</v>
      </c>
      <c r="I2754" t="s">
        <v>289</v>
      </c>
      <c r="J2754" t="s">
        <v>344</v>
      </c>
      <c r="K2754">
        <v>9</v>
      </c>
      <c r="L2754" s="6">
        <v>2.74</v>
      </c>
      <c r="M2754" s="7">
        <v>19.049999999999997</v>
      </c>
      <c r="N2754" s="7">
        <v>139.69999999999999</v>
      </c>
      <c r="O2754" s="7">
        <f t="shared" si="213"/>
        <v>107.87401574803151</v>
      </c>
      <c r="P2754" s="7">
        <f t="shared" si="214"/>
        <v>0.74999999999999989</v>
      </c>
      <c r="Q2754" s="7">
        <f t="shared" si="214"/>
        <v>5.5</v>
      </c>
      <c r="R2754" s="6">
        <f t="shared" si="215"/>
        <v>1232.8030000000001</v>
      </c>
      <c r="S2754" s="6">
        <f t="shared" si="216"/>
        <v>7.2919208999999985E-3</v>
      </c>
      <c r="T2754" t="str">
        <f t="shared" ref="T2754:T2817" si="217">F2754&amp;" "&amp;C2754</f>
        <v>Maximo Thermo Ayous JPL S4S E4E 1x6 Long</v>
      </c>
    </row>
    <row r="2755" spans="1:20" x14ac:dyDescent="0.25">
      <c r="A2755" t="s">
        <v>3414</v>
      </c>
      <c r="B2755" t="s">
        <v>3516</v>
      </c>
      <c r="C2755" t="s">
        <v>283</v>
      </c>
      <c r="D2755" t="s">
        <v>3044</v>
      </c>
      <c r="E2755" t="s">
        <v>3517</v>
      </c>
      <c r="F2755" t="s">
        <v>3518</v>
      </c>
      <c r="G2755" t="s">
        <v>3418</v>
      </c>
      <c r="H2755" t="s">
        <v>373</v>
      </c>
      <c r="I2755" t="s">
        <v>289</v>
      </c>
      <c r="J2755" t="s">
        <v>672</v>
      </c>
      <c r="K2755">
        <v>10</v>
      </c>
      <c r="L2755" s="6">
        <v>3.05</v>
      </c>
      <c r="M2755" s="7">
        <v>19.049999999999997</v>
      </c>
      <c r="N2755" s="7">
        <v>184.14999999999998</v>
      </c>
      <c r="O2755" s="7">
        <f t="shared" si="213"/>
        <v>120.07874015748031</v>
      </c>
      <c r="P2755" s="7">
        <f t="shared" si="214"/>
        <v>0.74999999999999989</v>
      </c>
      <c r="Q2755" s="7">
        <f t="shared" si="214"/>
        <v>7.2499999999999991</v>
      </c>
      <c r="R2755" s="6">
        <f t="shared" si="215"/>
        <v>935.23</v>
      </c>
      <c r="S2755" s="6">
        <f t="shared" si="216"/>
        <v>1.0699575374999997E-2</v>
      </c>
      <c r="T2755" t="str">
        <f t="shared" si="217"/>
        <v>Maximo Thermo Ayous JPL S4S E4E 1x8 Long</v>
      </c>
    </row>
    <row r="2756" spans="1:20" x14ac:dyDescent="0.25">
      <c r="A2756" t="s">
        <v>3414</v>
      </c>
      <c r="B2756" t="s">
        <v>3516</v>
      </c>
      <c r="C2756" t="s">
        <v>283</v>
      </c>
      <c r="D2756" t="s">
        <v>3044</v>
      </c>
      <c r="E2756" t="s">
        <v>3519</v>
      </c>
      <c r="F2756" t="s">
        <v>3518</v>
      </c>
      <c r="G2756" t="s">
        <v>3418</v>
      </c>
      <c r="H2756" t="s">
        <v>373</v>
      </c>
      <c r="I2756" t="s">
        <v>289</v>
      </c>
      <c r="J2756" t="s">
        <v>672</v>
      </c>
      <c r="K2756">
        <v>11</v>
      </c>
      <c r="L2756" s="6">
        <v>3.35</v>
      </c>
      <c r="M2756" s="7">
        <v>19.049999999999997</v>
      </c>
      <c r="N2756" s="7">
        <v>184.14999999999998</v>
      </c>
      <c r="O2756" s="7">
        <f t="shared" si="213"/>
        <v>131.88976377952756</v>
      </c>
      <c r="P2756" s="7">
        <f t="shared" si="214"/>
        <v>0.74999999999999989</v>
      </c>
      <c r="Q2756" s="7">
        <f t="shared" si="214"/>
        <v>7.2499999999999991</v>
      </c>
      <c r="R2756" s="6">
        <f t="shared" si="215"/>
        <v>935.23</v>
      </c>
      <c r="S2756" s="6">
        <f t="shared" si="216"/>
        <v>1.1751992624999997E-2</v>
      </c>
      <c r="T2756" t="str">
        <f t="shared" si="217"/>
        <v>Maximo Thermo Ayous JPL S4S E4E 1x8 Long</v>
      </c>
    </row>
    <row r="2757" spans="1:20" x14ac:dyDescent="0.25">
      <c r="A2757" t="s">
        <v>3414</v>
      </c>
      <c r="B2757" t="s">
        <v>3516</v>
      </c>
      <c r="C2757" t="s">
        <v>283</v>
      </c>
      <c r="D2757" t="s">
        <v>3044</v>
      </c>
      <c r="E2757" t="s">
        <v>3520</v>
      </c>
      <c r="F2757" t="s">
        <v>3518</v>
      </c>
      <c r="G2757" t="s">
        <v>3418</v>
      </c>
      <c r="H2757" t="s">
        <v>373</v>
      </c>
      <c r="I2757" t="s">
        <v>289</v>
      </c>
      <c r="J2757" t="s">
        <v>672</v>
      </c>
      <c r="K2757">
        <v>12</v>
      </c>
      <c r="L2757" s="6">
        <v>3.66</v>
      </c>
      <c r="M2757" s="7">
        <v>19.049999999999997</v>
      </c>
      <c r="N2757" s="7">
        <v>184.14999999999998</v>
      </c>
      <c r="O2757" s="7">
        <f t="shared" si="213"/>
        <v>144.09448818897638</v>
      </c>
      <c r="P2757" s="7">
        <f t="shared" si="214"/>
        <v>0.74999999999999989</v>
      </c>
      <c r="Q2757" s="7">
        <f t="shared" si="214"/>
        <v>7.2499999999999991</v>
      </c>
      <c r="R2757" s="6">
        <f t="shared" si="215"/>
        <v>935.23</v>
      </c>
      <c r="S2757" s="6">
        <f t="shared" si="216"/>
        <v>1.2839490449999998E-2</v>
      </c>
      <c r="T2757" t="str">
        <f t="shared" si="217"/>
        <v>Maximo Thermo Ayous JPL S4S E4E 1x8 Long</v>
      </c>
    </row>
    <row r="2758" spans="1:20" x14ac:dyDescent="0.25">
      <c r="A2758" t="s">
        <v>3414</v>
      </c>
      <c r="B2758" t="s">
        <v>3516</v>
      </c>
      <c r="C2758" t="s">
        <v>283</v>
      </c>
      <c r="D2758" t="s">
        <v>3044</v>
      </c>
      <c r="E2758" t="s">
        <v>3521</v>
      </c>
      <c r="F2758" t="s">
        <v>3518</v>
      </c>
      <c r="G2758" t="s">
        <v>3418</v>
      </c>
      <c r="H2758" t="s">
        <v>373</v>
      </c>
      <c r="I2758" t="s">
        <v>289</v>
      </c>
      <c r="J2758" t="s">
        <v>672</v>
      </c>
      <c r="K2758">
        <v>13</v>
      </c>
      <c r="L2758" s="6">
        <v>3.96</v>
      </c>
      <c r="M2758" s="7">
        <v>19.049999999999997</v>
      </c>
      <c r="N2758" s="7">
        <v>184.14999999999998</v>
      </c>
      <c r="O2758" s="7">
        <f t="shared" si="213"/>
        <v>155.90551181102362</v>
      </c>
      <c r="P2758" s="7">
        <f t="shared" si="214"/>
        <v>0.74999999999999989</v>
      </c>
      <c r="Q2758" s="7">
        <f t="shared" si="214"/>
        <v>7.2499999999999991</v>
      </c>
      <c r="R2758" s="6">
        <f t="shared" si="215"/>
        <v>935.23</v>
      </c>
      <c r="S2758" s="6">
        <f t="shared" si="216"/>
        <v>1.3891907699999997E-2</v>
      </c>
      <c r="T2758" t="str">
        <f t="shared" si="217"/>
        <v>Maximo Thermo Ayous JPL S4S E4E 1x8 Long</v>
      </c>
    </row>
    <row r="2759" spans="1:20" x14ac:dyDescent="0.25">
      <c r="A2759" t="s">
        <v>3414</v>
      </c>
      <c r="B2759" t="s">
        <v>3516</v>
      </c>
      <c r="C2759" t="s">
        <v>283</v>
      </c>
      <c r="D2759" t="s">
        <v>3044</v>
      </c>
      <c r="E2759" t="s">
        <v>3522</v>
      </c>
      <c r="F2759" t="s">
        <v>3518</v>
      </c>
      <c r="G2759" t="s">
        <v>3418</v>
      </c>
      <c r="H2759" t="s">
        <v>373</v>
      </c>
      <c r="I2759" t="s">
        <v>289</v>
      </c>
      <c r="J2759" t="s">
        <v>672</v>
      </c>
      <c r="K2759">
        <v>14</v>
      </c>
      <c r="L2759" s="6">
        <v>4.2699999999999996</v>
      </c>
      <c r="M2759" s="7">
        <v>19.049999999999997</v>
      </c>
      <c r="N2759" s="7">
        <v>184.14999999999998</v>
      </c>
      <c r="O2759" s="7">
        <f t="shared" si="213"/>
        <v>168.11023622047244</v>
      </c>
      <c r="P2759" s="7">
        <f t="shared" si="214"/>
        <v>0.74999999999999989</v>
      </c>
      <c r="Q2759" s="7">
        <f t="shared" si="214"/>
        <v>7.2499999999999991</v>
      </c>
      <c r="R2759" s="6">
        <f t="shared" si="215"/>
        <v>935.23</v>
      </c>
      <c r="S2759" s="6">
        <f t="shared" si="216"/>
        <v>1.4979405524999994E-2</v>
      </c>
      <c r="T2759" t="str">
        <f t="shared" si="217"/>
        <v>Maximo Thermo Ayous JPL S4S E4E 1x8 Long</v>
      </c>
    </row>
    <row r="2760" spans="1:20" x14ac:dyDescent="0.25">
      <c r="A2760" t="s">
        <v>3414</v>
      </c>
      <c r="B2760" t="s">
        <v>3516</v>
      </c>
      <c r="C2760" t="s">
        <v>283</v>
      </c>
      <c r="D2760" t="s">
        <v>3044</v>
      </c>
      <c r="E2760" t="s">
        <v>3523</v>
      </c>
      <c r="F2760" t="s">
        <v>3518</v>
      </c>
      <c r="G2760" t="s">
        <v>3418</v>
      </c>
      <c r="H2760" t="s">
        <v>373</v>
      </c>
      <c r="I2760" t="s">
        <v>289</v>
      </c>
      <c r="J2760" t="s">
        <v>672</v>
      </c>
      <c r="K2760">
        <v>15</v>
      </c>
      <c r="L2760" s="6">
        <v>4.57</v>
      </c>
      <c r="M2760" s="7">
        <v>19.049999999999997</v>
      </c>
      <c r="N2760" s="7">
        <v>184.14999999999998</v>
      </c>
      <c r="O2760" s="7">
        <f t="shared" si="213"/>
        <v>179.9212598425197</v>
      </c>
      <c r="P2760" s="7">
        <f t="shared" si="214"/>
        <v>0.74999999999999989</v>
      </c>
      <c r="Q2760" s="7">
        <f t="shared" si="214"/>
        <v>7.2499999999999991</v>
      </c>
      <c r="R2760" s="6">
        <f t="shared" si="215"/>
        <v>935.23</v>
      </c>
      <c r="S2760" s="6">
        <f t="shared" si="216"/>
        <v>1.6031822774999999E-2</v>
      </c>
      <c r="T2760" t="str">
        <f t="shared" si="217"/>
        <v>Maximo Thermo Ayous JPL S4S E4E 1x8 Long</v>
      </c>
    </row>
    <row r="2761" spans="1:20" x14ac:dyDescent="0.25">
      <c r="A2761" t="s">
        <v>3414</v>
      </c>
      <c r="B2761" t="s">
        <v>3516</v>
      </c>
      <c r="C2761" t="s">
        <v>283</v>
      </c>
      <c r="D2761" t="s">
        <v>3044</v>
      </c>
      <c r="E2761" t="s">
        <v>3524</v>
      </c>
      <c r="F2761" t="s">
        <v>3518</v>
      </c>
      <c r="G2761" t="s">
        <v>3418</v>
      </c>
      <c r="H2761" t="s">
        <v>373</v>
      </c>
      <c r="I2761" t="s">
        <v>289</v>
      </c>
      <c r="J2761" t="s">
        <v>672</v>
      </c>
      <c r="K2761">
        <v>16</v>
      </c>
      <c r="L2761" s="6">
        <v>4.88</v>
      </c>
      <c r="M2761" s="7">
        <v>19.049999999999997</v>
      </c>
      <c r="N2761" s="7">
        <v>184.14999999999998</v>
      </c>
      <c r="O2761" s="7">
        <f t="shared" si="213"/>
        <v>192.1259842519685</v>
      </c>
      <c r="P2761" s="7">
        <f t="shared" si="214"/>
        <v>0.74999999999999989</v>
      </c>
      <c r="Q2761" s="7">
        <f t="shared" si="214"/>
        <v>7.2499999999999991</v>
      </c>
      <c r="R2761" s="6">
        <f t="shared" si="215"/>
        <v>935.23</v>
      </c>
      <c r="S2761" s="6">
        <f t="shared" si="216"/>
        <v>1.7119320599999995E-2</v>
      </c>
      <c r="T2761" t="str">
        <f t="shared" si="217"/>
        <v>Maximo Thermo Ayous JPL S4S E4E 1x8 Long</v>
      </c>
    </row>
    <row r="2762" spans="1:20" x14ac:dyDescent="0.25">
      <c r="A2762" t="s">
        <v>3414</v>
      </c>
      <c r="B2762" t="s">
        <v>3516</v>
      </c>
      <c r="C2762" t="s">
        <v>283</v>
      </c>
      <c r="D2762" t="s">
        <v>3044</v>
      </c>
      <c r="E2762" t="s">
        <v>3525</v>
      </c>
      <c r="F2762" t="s">
        <v>3518</v>
      </c>
      <c r="G2762" t="s">
        <v>3418</v>
      </c>
      <c r="H2762" t="s">
        <v>373</v>
      </c>
      <c r="I2762" t="s">
        <v>289</v>
      </c>
      <c r="J2762" t="s">
        <v>672</v>
      </c>
      <c r="K2762">
        <v>17</v>
      </c>
      <c r="L2762" s="6">
        <v>5.18</v>
      </c>
      <c r="M2762" s="7">
        <v>19.049999999999997</v>
      </c>
      <c r="N2762" s="7">
        <v>184.14999999999998</v>
      </c>
      <c r="O2762" s="7">
        <f t="shared" si="213"/>
        <v>203.93700787401573</v>
      </c>
      <c r="P2762" s="7">
        <f t="shared" si="214"/>
        <v>0.74999999999999989</v>
      </c>
      <c r="Q2762" s="7">
        <f t="shared" si="214"/>
        <v>7.2499999999999991</v>
      </c>
      <c r="R2762" s="6">
        <f t="shared" si="215"/>
        <v>935.23</v>
      </c>
      <c r="S2762" s="6">
        <f t="shared" si="216"/>
        <v>1.8171737849999991E-2</v>
      </c>
      <c r="T2762" t="str">
        <f t="shared" si="217"/>
        <v>Maximo Thermo Ayous JPL S4S E4E 1x8 Long</v>
      </c>
    </row>
    <row r="2763" spans="1:20" x14ac:dyDescent="0.25">
      <c r="A2763" t="s">
        <v>3414</v>
      </c>
      <c r="B2763" t="s">
        <v>3516</v>
      </c>
      <c r="C2763" t="s">
        <v>283</v>
      </c>
      <c r="D2763" t="s">
        <v>3044</v>
      </c>
      <c r="E2763" t="s">
        <v>3526</v>
      </c>
      <c r="F2763" t="s">
        <v>3518</v>
      </c>
      <c r="G2763" t="s">
        <v>3418</v>
      </c>
      <c r="H2763" t="s">
        <v>373</v>
      </c>
      <c r="I2763" t="s">
        <v>289</v>
      </c>
      <c r="J2763" t="s">
        <v>672</v>
      </c>
      <c r="K2763">
        <v>18</v>
      </c>
      <c r="L2763" s="6">
        <v>5.49</v>
      </c>
      <c r="M2763" s="7">
        <v>19.049999999999997</v>
      </c>
      <c r="N2763" s="7">
        <v>184.14999999999998</v>
      </c>
      <c r="O2763" s="7">
        <f t="shared" si="213"/>
        <v>216.14173228346459</v>
      </c>
      <c r="P2763" s="7">
        <f t="shared" si="214"/>
        <v>0.74999999999999989</v>
      </c>
      <c r="Q2763" s="7">
        <f t="shared" si="214"/>
        <v>7.2499999999999991</v>
      </c>
      <c r="R2763" s="6">
        <f t="shared" si="215"/>
        <v>935.23</v>
      </c>
      <c r="S2763" s="6">
        <f t="shared" si="216"/>
        <v>1.9259235674999996E-2</v>
      </c>
      <c r="T2763" t="str">
        <f t="shared" si="217"/>
        <v>Maximo Thermo Ayous JPL S4S E4E 1x8 Long</v>
      </c>
    </row>
    <row r="2764" spans="1:20" x14ac:dyDescent="0.25">
      <c r="A2764" t="s">
        <v>3414</v>
      </c>
      <c r="B2764" t="s">
        <v>3516</v>
      </c>
      <c r="C2764" t="s">
        <v>283</v>
      </c>
      <c r="D2764" t="s">
        <v>3044</v>
      </c>
      <c r="E2764" t="s">
        <v>3527</v>
      </c>
      <c r="F2764" t="s">
        <v>3518</v>
      </c>
      <c r="G2764" t="s">
        <v>3418</v>
      </c>
      <c r="H2764" t="s">
        <v>373</v>
      </c>
      <c r="I2764" t="s">
        <v>289</v>
      </c>
      <c r="J2764" t="s">
        <v>672</v>
      </c>
      <c r="K2764">
        <v>19</v>
      </c>
      <c r="L2764" s="6">
        <v>5.79</v>
      </c>
      <c r="M2764" s="7">
        <v>19.049999999999997</v>
      </c>
      <c r="N2764" s="7">
        <v>184.14999999999998</v>
      </c>
      <c r="O2764" s="7">
        <f t="shared" si="213"/>
        <v>227.95275590551182</v>
      </c>
      <c r="P2764" s="7">
        <f t="shared" si="214"/>
        <v>0.74999999999999989</v>
      </c>
      <c r="Q2764" s="7">
        <f t="shared" si="214"/>
        <v>7.2499999999999991</v>
      </c>
      <c r="R2764" s="6">
        <f t="shared" si="215"/>
        <v>935.23</v>
      </c>
      <c r="S2764" s="6">
        <f t="shared" si="216"/>
        <v>2.0311652924999993E-2</v>
      </c>
      <c r="T2764" t="str">
        <f t="shared" si="217"/>
        <v>Maximo Thermo Ayous JPL S4S E4E 1x8 Long</v>
      </c>
    </row>
    <row r="2765" spans="1:20" x14ac:dyDescent="0.25">
      <c r="A2765" t="s">
        <v>3414</v>
      </c>
      <c r="B2765" t="s">
        <v>3516</v>
      </c>
      <c r="C2765" t="s">
        <v>524</v>
      </c>
      <c r="D2765" t="s">
        <v>3044</v>
      </c>
      <c r="E2765" t="s">
        <v>3528</v>
      </c>
      <c r="F2765" t="s">
        <v>3518</v>
      </c>
      <c r="G2765" t="s">
        <v>3418</v>
      </c>
      <c r="H2765" t="s">
        <v>373</v>
      </c>
      <c r="I2765" t="s">
        <v>289</v>
      </c>
      <c r="J2765" t="s">
        <v>672</v>
      </c>
      <c r="K2765">
        <v>4</v>
      </c>
      <c r="L2765" s="6">
        <v>1.22</v>
      </c>
      <c r="M2765" s="7">
        <v>19.049999999999997</v>
      </c>
      <c r="N2765" s="7">
        <v>184.14999999999998</v>
      </c>
      <c r="O2765" s="7">
        <f t="shared" si="213"/>
        <v>48.031496062992126</v>
      </c>
      <c r="P2765" s="7">
        <f t="shared" si="214"/>
        <v>0.74999999999999989</v>
      </c>
      <c r="Q2765" s="7">
        <f t="shared" si="214"/>
        <v>7.2499999999999991</v>
      </c>
      <c r="R2765" s="6">
        <f t="shared" si="215"/>
        <v>935.23</v>
      </c>
      <c r="S2765" s="6">
        <f t="shared" si="216"/>
        <v>4.2798301499999986E-3</v>
      </c>
      <c r="T2765" t="str">
        <f t="shared" si="217"/>
        <v>Maximo Thermo Ayous JPL S4S E4E 1x8 Short</v>
      </c>
    </row>
    <row r="2766" spans="1:20" x14ac:dyDescent="0.25">
      <c r="A2766" t="s">
        <v>3414</v>
      </c>
      <c r="B2766" t="s">
        <v>3516</v>
      </c>
      <c r="C2766" t="s">
        <v>524</v>
      </c>
      <c r="D2766" t="s">
        <v>3044</v>
      </c>
      <c r="E2766" t="s">
        <v>3529</v>
      </c>
      <c r="F2766" t="s">
        <v>3518</v>
      </c>
      <c r="G2766" t="s">
        <v>3418</v>
      </c>
      <c r="H2766" t="s">
        <v>373</v>
      </c>
      <c r="I2766" t="s">
        <v>289</v>
      </c>
      <c r="J2766" t="s">
        <v>672</v>
      </c>
      <c r="K2766">
        <v>5</v>
      </c>
      <c r="L2766" s="6">
        <v>1.52</v>
      </c>
      <c r="M2766" s="7">
        <v>19.049999999999997</v>
      </c>
      <c r="N2766" s="7">
        <v>184.14999999999998</v>
      </c>
      <c r="O2766" s="7">
        <f t="shared" si="213"/>
        <v>59.84251968503937</v>
      </c>
      <c r="P2766" s="7">
        <f t="shared" si="214"/>
        <v>0.74999999999999989</v>
      </c>
      <c r="Q2766" s="7">
        <f t="shared" si="214"/>
        <v>7.2499999999999991</v>
      </c>
      <c r="R2766" s="6">
        <f t="shared" si="215"/>
        <v>935.23</v>
      </c>
      <c r="S2766" s="6">
        <f t="shared" si="216"/>
        <v>5.3322473999999984E-3</v>
      </c>
      <c r="T2766" t="str">
        <f t="shared" si="217"/>
        <v>Maximo Thermo Ayous JPL S4S E4E 1x8 Short</v>
      </c>
    </row>
    <row r="2767" spans="1:20" x14ac:dyDescent="0.25">
      <c r="A2767" t="s">
        <v>3414</v>
      </c>
      <c r="B2767" t="s">
        <v>3516</v>
      </c>
      <c r="C2767" t="s">
        <v>524</v>
      </c>
      <c r="D2767" t="s">
        <v>3044</v>
      </c>
      <c r="E2767" t="s">
        <v>3530</v>
      </c>
      <c r="F2767" t="s">
        <v>3518</v>
      </c>
      <c r="G2767" t="s">
        <v>3418</v>
      </c>
      <c r="H2767" t="s">
        <v>373</v>
      </c>
      <c r="I2767" t="s">
        <v>289</v>
      </c>
      <c r="J2767" t="s">
        <v>672</v>
      </c>
      <c r="K2767">
        <v>6</v>
      </c>
      <c r="L2767" s="6">
        <v>1.83</v>
      </c>
      <c r="M2767" s="7">
        <v>19.049999999999997</v>
      </c>
      <c r="N2767" s="7">
        <v>184.14999999999998</v>
      </c>
      <c r="O2767" s="7">
        <f t="shared" si="213"/>
        <v>72.047244094488192</v>
      </c>
      <c r="P2767" s="7">
        <f t="shared" si="214"/>
        <v>0.74999999999999989</v>
      </c>
      <c r="Q2767" s="7">
        <f t="shared" si="214"/>
        <v>7.2499999999999991</v>
      </c>
      <c r="R2767" s="6">
        <f t="shared" si="215"/>
        <v>935.23</v>
      </c>
      <c r="S2767" s="6">
        <f t="shared" si="216"/>
        <v>6.4197452249999988E-3</v>
      </c>
      <c r="T2767" t="str">
        <f t="shared" si="217"/>
        <v>Maximo Thermo Ayous JPL S4S E4E 1x8 Short</v>
      </c>
    </row>
    <row r="2768" spans="1:20" x14ac:dyDescent="0.25">
      <c r="A2768" t="s">
        <v>3414</v>
      </c>
      <c r="B2768" t="s">
        <v>3516</v>
      </c>
      <c r="C2768" t="s">
        <v>524</v>
      </c>
      <c r="D2768" t="s">
        <v>3044</v>
      </c>
      <c r="E2768" t="s">
        <v>3531</v>
      </c>
      <c r="F2768" t="s">
        <v>3518</v>
      </c>
      <c r="G2768" t="s">
        <v>3418</v>
      </c>
      <c r="H2768" t="s">
        <v>373</v>
      </c>
      <c r="I2768" t="s">
        <v>289</v>
      </c>
      <c r="J2768" t="s">
        <v>672</v>
      </c>
      <c r="K2768">
        <v>7</v>
      </c>
      <c r="L2768" s="6">
        <v>2.13</v>
      </c>
      <c r="M2768" s="7">
        <v>19.049999999999997</v>
      </c>
      <c r="N2768" s="7">
        <v>184.14999999999998</v>
      </c>
      <c r="O2768" s="7">
        <f t="shared" si="213"/>
        <v>83.858267716535437</v>
      </c>
      <c r="P2768" s="7">
        <f t="shared" si="214"/>
        <v>0.74999999999999989</v>
      </c>
      <c r="Q2768" s="7">
        <f t="shared" si="214"/>
        <v>7.2499999999999991</v>
      </c>
      <c r="R2768" s="6">
        <f t="shared" si="215"/>
        <v>935.23</v>
      </c>
      <c r="S2768" s="6">
        <f t="shared" si="216"/>
        <v>7.4721624749999969E-3</v>
      </c>
      <c r="T2768" t="str">
        <f t="shared" si="217"/>
        <v>Maximo Thermo Ayous JPL S4S E4E 1x8 Short</v>
      </c>
    </row>
    <row r="2769" spans="1:20" x14ac:dyDescent="0.25">
      <c r="A2769" t="s">
        <v>3414</v>
      </c>
      <c r="B2769" t="s">
        <v>3516</v>
      </c>
      <c r="C2769" t="s">
        <v>283</v>
      </c>
      <c r="D2769" t="s">
        <v>3044</v>
      </c>
      <c r="E2769" t="s">
        <v>3532</v>
      </c>
      <c r="F2769" t="s">
        <v>3518</v>
      </c>
      <c r="G2769" t="s">
        <v>3418</v>
      </c>
      <c r="H2769" t="s">
        <v>373</v>
      </c>
      <c r="I2769" t="s">
        <v>289</v>
      </c>
      <c r="J2769" t="s">
        <v>672</v>
      </c>
      <c r="K2769">
        <v>8</v>
      </c>
      <c r="L2769" s="6">
        <v>2.44</v>
      </c>
      <c r="M2769" s="7">
        <v>19.049999999999997</v>
      </c>
      <c r="N2769" s="7">
        <v>184.14999999999998</v>
      </c>
      <c r="O2769" s="7">
        <f t="shared" si="213"/>
        <v>96.062992125984252</v>
      </c>
      <c r="P2769" s="7">
        <f t="shared" si="214"/>
        <v>0.74999999999999989</v>
      </c>
      <c r="Q2769" s="7">
        <f t="shared" si="214"/>
        <v>7.2499999999999991</v>
      </c>
      <c r="R2769" s="6">
        <f t="shared" si="215"/>
        <v>935.23</v>
      </c>
      <c r="S2769" s="6">
        <f t="shared" si="216"/>
        <v>8.5596602999999973E-3</v>
      </c>
      <c r="T2769" t="str">
        <f t="shared" si="217"/>
        <v>Maximo Thermo Ayous JPL S4S E4E 1x8 Long</v>
      </c>
    </row>
    <row r="2770" spans="1:20" x14ac:dyDescent="0.25">
      <c r="A2770" t="s">
        <v>3414</v>
      </c>
      <c r="B2770" t="s">
        <v>3516</v>
      </c>
      <c r="C2770" t="s">
        <v>283</v>
      </c>
      <c r="D2770" t="s">
        <v>3044</v>
      </c>
      <c r="E2770" t="s">
        <v>3533</v>
      </c>
      <c r="F2770" t="s">
        <v>3518</v>
      </c>
      <c r="G2770" t="s">
        <v>3418</v>
      </c>
      <c r="H2770" t="s">
        <v>373</v>
      </c>
      <c r="I2770" t="s">
        <v>289</v>
      </c>
      <c r="J2770" t="s">
        <v>672</v>
      </c>
      <c r="K2770">
        <v>9</v>
      </c>
      <c r="L2770" s="6">
        <v>2.74</v>
      </c>
      <c r="M2770" s="7">
        <v>19.049999999999997</v>
      </c>
      <c r="N2770" s="7">
        <v>184.14999999999998</v>
      </c>
      <c r="O2770" s="7">
        <f t="shared" si="213"/>
        <v>107.87401574803151</v>
      </c>
      <c r="P2770" s="7">
        <f t="shared" si="214"/>
        <v>0.74999999999999989</v>
      </c>
      <c r="Q2770" s="7">
        <f t="shared" si="214"/>
        <v>7.2499999999999991</v>
      </c>
      <c r="R2770" s="6">
        <f t="shared" si="215"/>
        <v>935.23</v>
      </c>
      <c r="S2770" s="6">
        <f t="shared" si="216"/>
        <v>9.6120775499999971E-3</v>
      </c>
      <c r="T2770" t="str">
        <f t="shared" si="217"/>
        <v>Maximo Thermo Ayous JPL S4S E4E 1x8 Long</v>
      </c>
    </row>
    <row r="2771" spans="1:20" x14ac:dyDescent="0.25">
      <c r="A2771" t="s">
        <v>3414</v>
      </c>
      <c r="B2771" t="s">
        <v>3534</v>
      </c>
      <c r="C2771" t="s">
        <v>283</v>
      </c>
      <c r="D2771" t="s">
        <v>3044</v>
      </c>
      <c r="E2771" t="s">
        <v>3535</v>
      </c>
      <c r="F2771" t="s">
        <v>3536</v>
      </c>
      <c r="G2771" t="s">
        <v>3418</v>
      </c>
      <c r="H2771" t="s">
        <v>373</v>
      </c>
      <c r="I2771" t="s">
        <v>289</v>
      </c>
      <c r="J2771" t="s">
        <v>764</v>
      </c>
      <c r="K2771">
        <v>10</v>
      </c>
      <c r="L2771" s="6">
        <v>3.05</v>
      </c>
      <c r="M2771" s="7">
        <v>38.099999999999994</v>
      </c>
      <c r="N2771" s="7">
        <v>38.099999999999994</v>
      </c>
      <c r="O2771" s="7">
        <f t="shared" si="213"/>
        <v>120.07874015748031</v>
      </c>
      <c r="P2771" s="7">
        <f t="shared" si="214"/>
        <v>1.4999999999999998</v>
      </c>
      <c r="Q2771" s="7">
        <f t="shared" si="214"/>
        <v>1.4999999999999998</v>
      </c>
      <c r="R2771" s="6">
        <f t="shared" si="215"/>
        <v>2260.1390000000001</v>
      </c>
      <c r="S2771" s="6">
        <f t="shared" si="216"/>
        <v>4.4274104999999985E-3</v>
      </c>
      <c r="T2771" t="str">
        <f t="shared" si="217"/>
        <v>Maximo Thermo Ayous JPL S4S E4E 2x2 Long</v>
      </c>
    </row>
    <row r="2772" spans="1:20" x14ac:dyDescent="0.25">
      <c r="A2772" t="s">
        <v>3414</v>
      </c>
      <c r="B2772" t="s">
        <v>3534</v>
      </c>
      <c r="C2772" t="s">
        <v>283</v>
      </c>
      <c r="D2772" t="s">
        <v>3044</v>
      </c>
      <c r="E2772" t="s">
        <v>3537</v>
      </c>
      <c r="F2772" t="s">
        <v>3536</v>
      </c>
      <c r="G2772" t="s">
        <v>3418</v>
      </c>
      <c r="H2772" t="s">
        <v>373</v>
      </c>
      <c r="I2772" t="s">
        <v>289</v>
      </c>
      <c r="J2772" t="s">
        <v>764</v>
      </c>
      <c r="K2772">
        <v>11</v>
      </c>
      <c r="L2772" s="6">
        <v>3.35</v>
      </c>
      <c r="M2772" s="7">
        <v>38.099999999999994</v>
      </c>
      <c r="N2772" s="7">
        <v>38.099999999999994</v>
      </c>
      <c r="O2772" s="7">
        <f t="shared" si="213"/>
        <v>131.88976377952756</v>
      </c>
      <c r="P2772" s="7">
        <f t="shared" si="214"/>
        <v>1.4999999999999998</v>
      </c>
      <c r="Q2772" s="7">
        <f t="shared" si="214"/>
        <v>1.4999999999999998</v>
      </c>
      <c r="R2772" s="6">
        <f t="shared" si="215"/>
        <v>2260.1390000000001</v>
      </c>
      <c r="S2772" s="6">
        <f t="shared" si="216"/>
        <v>4.8628934999999989E-3</v>
      </c>
      <c r="T2772" t="str">
        <f t="shared" si="217"/>
        <v>Maximo Thermo Ayous JPL S4S E4E 2x2 Long</v>
      </c>
    </row>
    <row r="2773" spans="1:20" x14ac:dyDescent="0.25">
      <c r="A2773" t="s">
        <v>3414</v>
      </c>
      <c r="B2773" t="s">
        <v>3534</v>
      </c>
      <c r="C2773" t="s">
        <v>283</v>
      </c>
      <c r="D2773" t="s">
        <v>3044</v>
      </c>
      <c r="E2773" t="s">
        <v>3538</v>
      </c>
      <c r="F2773" t="s">
        <v>3536</v>
      </c>
      <c r="G2773" t="s">
        <v>3418</v>
      </c>
      <c r="H2773" t="s">
        <v>373</v>
      </c>
      <c r="I2773" t="s">
        <v>289</v>
      </c>
      <c r="J2773" t="s">
        <v>764</v>
      </c>
      <c r="K2773">
        <v>12</v>
      </c>
      <c r="L2773" s="6">
        <v>3.66</v>
      </c>
      <c r="M2773" s="7">
        <v>38.099999999999994</v>
      </c>
      <c r="N2773" s="7">
        <v>38.099999999999994</v>
      </c>
      <c r="O2773" s="7">
        <f t="shared" si="213"/>
        <v>144.09448818897638</v>
      </c>
      <c r="P2773" s="7">
        <f t="shared" si="214"/>
        <v>1.4999999999999998</v>
      </c>
      <c r="Q2773" s="7">
        <f t="shared" si="214"/>
        <v>1.4999999999999998</v>
      </c>
      <c r="R2773" s="6">
        <f t="shared" si="215"/>
        <v>2260.1390000000001</v>
      </c>
      <c r="S2773" s="6">
        <f t="shared" si="216"/>
        <v>5.312892599999999E-3</v>
      </c>
      <c r="T2773" t="str">
        <f t="shared" si="217"/>
        <v>Maximo Thermo Ayous JPL S4S E4E 2x2 Long</v>
      </c>
    </row>
    <row r="2774" spans="1:20" x14ac:dyDescent="0.25">
      <c r="A2774" t="s">
        <v>3414</v>
      </c>
      <c r="B2774" t="s">
        <v>3534</v>
      </c>
      <c r="C2774" t="s">
        <v>283</v>
      </c>
      <c r="D2774" t="s">
        <v>3044</v>
      </c>
      <c r="E2774" t="s">
        <v>3539</v>
      </c>
      <c r="F2774" t="s">
        <v>3536</v>
      </c>
      <c r="G2774" t="s">
        <v>3418</v>
      </c>
      <c r="H2774" t="s">
        <v>373</v>
      </c>
      <c r="I2774" t="s">
        <v>289</v>
      </c>
      <c r="J2774" t="s">
        <v>764</v>
      </c>
      <c r="K2774">
        <v>13</v>
      </c>
      <c r="L2774" s="6">
        <v>3.96</v>
      </c>
      <c r="M2774" s="7">
        <v>38.099999999999994</v>
      </c>
      <c r="N2774" s="7">
        <v>38.099999999999994</v>
      </c>
      <c r="O2774" s="7">
        <f t="shared" si="213"/>
        <v>155.90551181102362</v>
      </c>
      <c r="P2774" s="7">
        <f t="shared" si="214"/>
        <v>1.4999999999999998</v>
      </c>
      <c r="Q2774" s="7">
        <f t="shared" si="214"/>
        <v>1.4999999999999998</v>
      </c>
      <c r="R2774" s="6">
        <f t="shared" si="215"/>
        <v>2260.1390000000001</v>
      </c>
      <c r="S2774" s="6">
        <f t="shared" si="216"/>
        <v>5.7483755999999985E-3</v>
      </c>
      <c r="T2774" t="str">
        <f t="shared" si="217"/>
        <v>Maximo Thermo Ayous JPL S4S E4E 2x2 Long</v>
      </c>
    </row>
    <row r="2775" spans="1:20" x14ac:dyDescent="0.25">
      <c r="A2775" t="s">
        <v>3414</v>
      </c>
      <c r="B2775" t="s">
        <v>3534</v>
      </c>
      <c r="C2775" t="s">
        <v>283</v>
      </c>
      <c r="D2775" t="s">
        <v>3044</v>
      </c>
      <c r="E2775" t="s">
        <v>3540</v>
      </c>
      <c r="F2775" t="s">
        <v>3536</v>
      </c>
      <c r="G2775" t="s">
        <v>3418</v>
      </c>
      <c r="H2775" t="s">
        <v>373</v>
      </c>
      <c r="I2775" t="s">
        <v>289</v>
      </c>
      <c r="J2775" t="s">
        <v>764</v>
      </c>
      <c r="K2775">
        <v>14</v>
      </c>
      <c r="L2775" s="6">
        <v>4.2699999999999996</v>
      </c>
      <c r="M2775" s="7">
        <v>38.099999999999994</v>
      </c>
      <c r="N2775" s="7">
        <v>38.099999999999994</v>
      </c>
      <c r="O2775" s="7">
        <f t="shared" si="213"/>
        <v>168.11023622047244</v>
      </c>
      <c r="P2775" s="7">
        <f t="shared" si="214"/>
        <v>1.4999999999999998</v>
      </c>
      <c r="Q2775" s="7">
        <f t="shared" si="214"/>
        <v>1.4999999999999998</v>
      </c>
      <c r="R2775" s="6">
        <f t="shared" si="215"/>
        <v>2260.1390000000001</v>
      </c>
      <c r="S2775" s="6">
        <f t="shared" si="216"/>
        <v>6.1983746999999968E-3</v>
      </c>
      <c r="T2775" t="str">
        <f t="shared" si="217"/>
        <v>Maximo Thermo Ayous JPL S4S E4E 2x2 Long</v>
      </c>
    </row>
    <row r="2776" spans="1:20" x14ac:dyDescent="0.25">
      <c r="A2776" t="s">
        <v>3414</v>
      </c>
      <c r="B2776" t="s">
        <v>3534</v>
      </c>
      <c r="C2776" t="s">
        <v>283</v>
      </c>
      <c r="D2776" t="s">
        <v>3044</v>
      </c>
      <c r="E2776" t="s">
        <v>3541</v>
      </c>
      <c r="F2776" t="s">
        <v>3536</v>
      </c>
      <c r="G2776" t="s">
        <v>3418</v>
      </c>
      <c r="H2776" t="s">
        <v>373</v>
      </c>
      <c r="I2776" t="s">
        <v>289</v>
      </c>
      <c r="J2776" t="s">
        <v>764</v>
      </c>
      <c r="K2776">
        <v>15</v>
      </c>
      <c r="L2776" s="6">
        <v>4.57</v>
      </c>
      <c r="M2776" s="7">
        <v>38.099999999999994</v>
      </c>
      <c r="N2776" s="7">
        <v>38.099999999999994</v>
      </c>
      <c r="O2776" s="7">
        <f t="shared" si="213"/>
        <v>179.9212598425197</v>
      </c>
      <c r="P2776" s="7">
        <f t="shared" si="214"/>
        <v>1.4999999999999998</v>
      </c>
      <c r="Q2776" s="7">
        <f t="shared" si="214"/>
        <v>1.4999999999999998</v>
      </c>
      <c r="R2776" s="6">
        <f t="shared" si="215"/>
        <v>2260.1390000000001</v>
      </c>
      <c r="S2776" s="6">
        <f t="shared" si="216"/>
        <v>6.6338576999999989E-3</v>
      </c>
      <c r="T2776" t="str">
        <f t="shared" si="217"/>
        <v>Maximo Thermo Ayous JPL S4S E4E 2x2 Long</v>
      </c>
    </row>
    <row r="2777" spans="1:20" x14ac:dyDescent="0.25">
      <c r="A2777" t="s">
        <v>3414</v>
      </c>
      <c r="B2777" t="s">
        <v>3534</v>
      </c>
      <c r="C2777" t="s">
        <v>283</v>
      </c>
      <c r="D2777" t="s">
        <v>3044</v>
      </c>
      <c r="E2777" t="s">
        <v>3542</v>
      </c>
      <c r="F2777" t="s">
        <v>3536</v>
      </c>
      <c r="G2777" t="s">
        <v>3418</v>
      </c>
      <c r="H2777" t="s">
        <v>373</v>
      </c>
      <c r="I2777" t="s">
        <v>289</v>
      </c>
      <c r="J2777" t="s">
        <v>764</v>
      </c>
      <c r="K2777">
        <v>16</v>
      </c>
      <c r="L2777" s="6">
        <v>4.88</v>
      </c>
      <c r="M2777" s="7">
        <v>38.099999999999994</v>
      </c>
      <c r="N2777" s="7">
        <v>38.099999999999994</v>
      </c>
      <c r="O2777" s="7">
        <f t="shared" si="213"/>
        <v>192.1259842519685</v>
      </c>
      <c r="P2777" s="7">
        <f t="shared" si="214"/>
        <v>1.4999999999999998</v>
      </c>
      <c r="Q2777" s="7">
        <f t="shared" si="214"/>
        <v>1.4999999999999998</v>
      </c>
      <c r="R2777" s="6">
        <f t="shared" si="215"/>
        <v>2260.1390000000001</v>
      </c>
      <c r="S2777" s="6">
        <f t="shared" si="216"/>
        <v>7.0838567999999989E-3</v>
      </c>
      <c r="T2777" t="str">
        <f t="shared" si="217"/>
        <v>Maximo Thermo Ayous JPL S4S E4E 2x2 Long</v>
      </c>
    </row>
    <row r="2778" spans="1:20" x14ac:dyDescent="0.25">
      <c r="A2778" t="s">
        <v>3414</v>
      </c>
      <c r="B2778" t="s">
        <v>3534</v>
      </c>
      <c r="C2778" t="s">
        <v>283</v>
      </c>
      <c r="D2778" t="s">
        <v>3044</v>
      </c>
      <c r="E2778" t="s">
        <v>3543</v>
      </c>
      <c r="F2778" t="s">
        <v>3536</v>
      </c>
      <c r="G2778" t="s">
        <v>3418</v>
      </c>
      <c r="H2778" t="s">
        <v>373</v>
      </c>
      <c r="I2778" t="s">
        <v>289</v>
      </c>
      <c r="J2778" t="s">
        <v>764</v>
      </c>
      <c r="K2778">
        <v>17</v>
      </c>
      <c r="L2778" s="6">
        <v>5.18</v>
      </c>
      <c r="M2778" s="7">
        <v>38.099999999999994</v>
      </c>
      <c r="N2778" s="7">
        <v>38.099999999999994</v>
      </c>
      <c r="O2778" s="7">
        <f t="shared" si="213"/>
        <v>203.93700787401573</v>
      </c>
      <c r="P2778" s="7">
        <f t="shared" si="214"/>
        <v>1.4999999999999998</v>
      </c>
      <c r="Q2778" s="7">
        <f t="shared" si="214"/>
        <v>1.4999999999999998</v>
      </c>
      <c r="R2778" s="6">
        <f t="shared" si="215"/>
        <v>2260.1390000000001</v>
      </c>
      <c r="S2778" s="6">
        <f t="shared" si="216"/>
        <v>7.5193397999999976E-3</v>
      </c>
      <c r="T2778" t="str">
        <f t="shared" si="217"/>
        <v>Maximo Thermo Ayous JPL S4S E4E 2x2 Long</v>
      </c>
    </row>
    <row r="2779" spans="1:20" x14ac:dyDescent="0.25">
      <c r="A2779" t="s">
        <v>3414</v>
      </c>
      <c r="B2779" t="s">
        <v>3534</v>
      </c>
      <c r="C2779" t="s">
        <v>283</v>
      </c>
      <c r="D2779" t="s">
        <v>3044</v>
      </c>
      <c r="E2779" t="s">
        <v>3544</v>
      </c>
      <c r="F2779" t="s">
        <v>3536</v>
      </c>
      <c r="G2779" t="s">
        <v>3418</v>
      </c>
      <c r="H2779" t="s">
        <v>373</v>
      </c>
      <c r="I2779" t="s">
        <v>289</v>
      </c>
      <c r="J2779" t="s">
        <v>764</v>
      </c>
      <c r="K2779">
        <v>18</v>
      </c>
      <c r="L2779" s="6">
        <v>5.49</v>
      </c>
      <c r="M2779" s="7">
        <v>38.099999999999994</v>
      </c>
      <c r="N2779" s="7">
        <v>38.099999999999994</v>
      </c>
      <c r="O2779" s="7">
        <f t="shared" si="213"/>
        <v>216.14173228346459</v>
      </c>
      <c r="P2779" s="7">
        <f t="shared" si="214"/>
        <v>1.4999999999999998</v>
      </c>
      <c r="Q2779" s="7">
        <f t="shared" si="214"/>
        <v>1.4999999999999998</v>
      </c>
      <c r="R2779" s="6">
        <f t="shared" si="215"/>
        <v>2260.1390000000001</v>
      </c>
      <c r="S2779" s="6">
        <f t="shared" si="216"/>
        <v>7.9693388999999993E-3</v>
      </c>
      <c r="T2779" t="str">
        <f t="shared" si="217"/>
        <v>Maximo Thermo Ayous JPL S4S E4E 2x2 Long</v>
      </c>
    </row>
    <row r="2780" spans="1:20" x14ac:dyDescent="0.25">
      <c r="A2780" t="s">
        <v>3414</v>
      </c>
      <c r="B2780" t="s">
        <v>3534</v>
      </c>
      <c r="C2780" t="s">
        <v>524</v>
      </c>
      <c r="D2780" t="s">
        <v>3044</v>
      </c>
      <c r="E2780" t="s">
        <v>3545</v>
      </c>
      <c r="F2780" t="s">
        <v>3536</v>
      </c>
      <c r="G2780" t="s">
        <v>3418</v>
      </c>
      <c r="H2780" t="s">
        <v>373</v>
      </c>
      <c r="I2780" t="s">
        <v>289</v>
      </c>
      <c r="J2780" t="s">
        <v>764</v>
      </c>
      <c r="K2780">
        <v>4</v>
      </c>
      <c r="L2780" s="6">
        <v>1.22</v>
      </c>
      <c r="M2780" s="7">
        <v>38.099999999999994</v>
      </c>
      <c r="N2780" s="7">
        <v>38.099999999999994</v>
      </c>
      <c r="O2780" s="7">
        <f t="shared" si="213"/>
        <v>48.031496062992126</v>
      </c>
      <c r="P2780" s="7">
        <f t="shared" si="214"/>
        <v>1.4999999999999998</v>
      </c>
      <c r="Q2780" s="7">
        <f t="shared" si="214"/>
        <v>1.4999999999999998</v>
      </c>
      <c r="R2780" s="6">
        <f t="shared" si="215"/>
        <v>2260.1390000000001</v>
      </c>
      <c r="S2780" s="6">
        <f t="shared" si="216"/>
        <v>1.7709641999999997E-3</v>
      </c>
      <c r="T2780" t="str">
        <f t="shared" si="217"/>
        <v>Maximo Thermo Ayous JPL S4S E4E 2x2 Short</v>
      </c>
    </row>
    <row r="2781" spans="1:20" x14ac:dyDescent="0.25">
      <c r="A2781" t="s">
        <v>3414</v>
      </c>
      <c r="B2781" t="s">
        <v>3534</v>
      </c>
      <c r="C2781" t="s">
        <v>524</v>
      </c>
      <c r="D2781" t="s">
        <v>3044</v>
      </c>
      <c r="E2781" t="s">
        <v>3546</v>
      </c>
      <c r="F2781" t="s">
        <v>3536</v>
      </c>
      <c r="G2781" t="s">
        <v>3418</v>
      </c>
      <c r="H2781" t="s">
        <v>373</v>
      </c>
      <c r="I2781" t="s">
        <v>289</v>
      </c>
      <c r="J2781" t="s">
        <v>764</v>
      </c>
      <c r="K2781">
        <v>6</v>
      </c>
      <c r="L2781" s="6">
        <v>1.83</v>
      </c>
      <c r="M2781" s="7">
        <v>38.099999999999994</v>
      </c>
      <c r="N2781" s="7">
        <v>38.099999999999994</v>
      </c>
      <c r="O2781" s="7">
        <f t="shared" si="213"/>
        <v>72.047244094488192</v>
      </c>
      <c r="P2781" s="7">
        <f t="shared" si="214"/>
        <v>1.4999999999999998</v>
      </c>
      <c r="Q2781" s="7">
        <f t="shared" si="214"/>
        <v>1.4999999999999998</v>
      </c>
      <c r="R2781" s="6">
        <f t="shared" si="215"/>
        <v>2260.1390000000001</v>
      </c>
      <c r="S2781" s="6">
        <f t="shared" si="216"/>
        <v>2.6564462999999995E-3</v>
      </c>
      <c r="T2781" t="str">
        <f t="shared" si="217"/>
        <v>Maximo Thermo Ayous JPL S4S E4E 2x2 Short</v>
      </c>
    </row>
    <row r="2782" spans="1:20" x14ac:dyDescent="0.25">
      <c r="A2782" t="s">
        <v>3414</v>
      </c>
      <c r="B2782" t="s">
        <v>3534</v>
      </c>
      <c r="C2782" t="s">
        <v>524</v>
      </c>
      <c r="D2782" t="s">
        <v>3044</v>
      </c>
      <c r="E2782" t="s">
        <v>3547</v>
      </c>
      <c r="F2782" t="s">
        <v>3536</v>
      </c>
      <c r="G2782" t="s">
        <v>3418</v>
      </c>
      <c r="H2782" t="s">
        <v>373</v>
      </c>
      <c r="I2782" t="s">
        <v>289</v>
      </c>
      <c r="J2782" t="s">
        <v>764</v>
      </c>
      <c r="K2782">
        <v>7</v>
      </c>
      <c r="L2782" s="6">
        <v>2.13</v>
      </c>
      <c r="M2782" s="7">
        <v>38.099999999999994</v>
      </c>
      <c r="N2782" s="7">
        <v>38.099999999999994</v>
      </c>
      <c r="O2782" s="7">
        <f t="shared" si="213"/>
        <v>83.858267716535437</v>
      </c>
      <c r="P2782" s="7">
        <f t="shared" si="214"/>
        <v>1.4999999999999998</v>
      </c>
      <c r="Q2782" s="7">
        <f t="shared" si="214"/>
        <v>1.4999999999999998</v>
      </c>
      <c r="R2782" s="6">
        <f t="shared" si="215"/>
        <v>2260.1390000000001</v>
      </c>
      <c r="S2782" s="6">
        <f t="shared" si="216"/>
        <v>3.0919292999999986E-3</v>
      </c>
      <c r="T2782" t="str">
        <f t="shared" si="217"/>
        <v>Maximo Thermo Ayous JPL S4S E4E 2x2 Short</v>
      </c>
    </row>
    <row r="2783" spans="1:20" x14ac:dyDescent="0.25">
      <c r="A2783" t="s">
        <v>3414</v>
      </c>
      <c r="B2783" t="s">
        <v>3534</v>
      </c>
      <c r="C2783" t="s">
        <v>283</v>
      </c>
      <c r="D2783" t="s">
        <v>3044</v>
      </c>
      <c r="E2783" t="s">
        <v>3548</v>
      </c>
      <c r="F2783" t="s">
        <v>3536</v>
      </c>
      <c r="G2783" t="s">
        <v>3418</v>
      </c>
      <c r="H2783" t="s">
        <v>373</v>
      </c>
      <c r="I2783" t="s">
        <v>289</v>
      </c>
      <c r="J2783" t="s">
        <v>764</v>
      </c>
      <c r="K2783">
        <v>8</v>
      </c>
      <c r="L2783" s="6">
        <v>2.44</v>
      </c>
      <c r="M2783" s="7">
        <v>38.099999999999994</v>
      </c>
      <c r="N2783" s="7">
        <v>38.099999999999994</v>
      </c>
      <c r="O2783" s="7">
        <f t="shared" si="213"/>
        <v>96.062992125984252</v>
      </c>
      <c r="P2783" s="7">
        <f t="shared" si="214"/>
        <v>1.4999999999999998</v>
      </c>
      <c r="Q2783" s="7">
        <f t="shared" si="214"/>
        <v>1.4999999999999998</v>
      </c>
      <c r="R2783" s="6">
        <f t="shared" si="215"/>
        <v>2260.1390000000001</v>
      </c>
      <c r="S2783" s="6">
        <f t="shared" si="216"/>
        <v>3.5419283999999994E-3</v>
      </c>
      <c r="T2783" t="str">
        <f t="shared" si="217"/>
        <v>Maximo Thermo Ayous JPL S4S E4E 2x2 Long</v>
      </c>
    </row>
    <row r="2784" spans="1:20" x14ac:dyDescent="0.25">
      <c r="A2784" t="s">
        <v>3414</v>
      </c>
      <c r="B2784" t="s">
        <v>3534</v>
      </c>
      <c r="C2784" t="s">
        <v>283</v>
      </c>
      <c r="D2784" t="s">
        <v>3044</v>
      </c>
      <c r="E2784" t="s">
        <v>3549</v>
      </c>
      <c r="F2784" t="s">
        <v>3536</v>
      </c>
      <c r="G2784" t="s">
        <v>3418</v>
      </c>
      <c r="H2784" t="s">
        <v>373</v>
      </c>
      <c r="I2784" t="s">
        <v>289</v>
      </c>
      <c r="J2784" t="s">
        <v>764</v>
      </c>
      <c r="K2784">
        <v>9</v>
      </c>
      <c r="L2784" s="6">
        <v>2.74</v>
      </c>
      <c r="M2784" s="7">
        <v>38.099999999999994</v>
      </c>
      <c r="N2784" s="7">
        <v>38.099999999999994</v>
      </c>
      <c r="O2784" s="7">
        <f t="shared" si="213"/>
        <v>107.87401574803151</v>
      </c>
      <c r="P2784" s="7">
        <f t="shared" si="214"/>
        <v>1.4999999999999998</v>
      </c>
      <c r="Q2784" s="7">
        <f t="shared" si="214"/>
        <v>1.4999999999999998</v>
      </c>
      <c r="R2784" s="6">
        <f t="shared" si="215"/>
        <v>2260.1390000000001</v>
      </c>
      <c r="S2784" s="6">
        <f t="shared" si="216"/>
        <v>3.9774113999999985E-3</v>
      </c>
      <c r="T2784" t="str">
        <f t="shared" si="217"/>
        <v>Maximo Thermo Ayous JPL S4S E4E 2x2 Long</v>
      </c>
    </row>
    <row r="2785" spans="1:20" x14ac:dyDescent="0.25">
      <c r="A2785" t="s">
        <v>3414</v>
      </c>
      <c r="B2785" t="s">
        <v>3550</v>
      </c>
      <c r="C2785" t="s">
        <v>283</v>
      </c>
      <c r="D2785" t="s">
        <v>3044</v>
      </c>
      <c r="E2785" t="s">
        <v>3551</v>
      </c>
      <c r="F2785" t="s">
        <v>3552</v>
      </c>
      <c r="G2785" t="s">
        <v>3418</v>
      </c>
      <c r="H2785" t="s">
        <v>373</v>
      </c>
      <c r="I2785" t="s">
        <v>289</v>
      </c>
      <c r="J2785" t="s">
        <v>789</v>
      </c>
      <c r="K2785">
        <v>10</v>
      </c>
      <c r="L2785" s="6">
        <v>3.05</v>
      </c>
      <c r="M2785" s="7">
        <v>38.1</v>
      </c>
      <c r="N2785" s="7">
        <v>63.5</v>
      </c>
      <c r="O2785" s="7">
        <f t="shared" si="213"/>
        <v>120.07874015748031</v>
      </c>
      <c r="P2785" s="7">
        <f t="shared" si="214"/>
        <v>1.5000000000000002</v>
      </c>
      <c r="Q2785" s="7">
        <f t="shared" si="214"/>
        <v>2.5</v>
      </c>
      <c r="R2785" s="6">
        <f t="shared" si="215"/>
        <v>1356.0830000000001</v>
      </c>
      <c r="S2785" s="6">
        <f t="shared" si="216"/>
        <v>7.3790174999999996E-3</v>
      </c>
      <c r="T2785" t="str">
        <f t="shared" si="217"/>
        <v>Maximo Thermo Ayous JPL S4S E4E 2x3 Long</v>
      </c>
    </row>
    <row r="2786" spans="1:20" x14ac:dyDescent="0.25">
      <c r="A2786" t="s">
        <v>3414</v>
      </c>
      <c r="B2786" t="s">
        <v>3550</v>
      </c>
      <c r="C2786" t="s">
        <v>283</v>
      </c>
      <c r="D2786" t="s">
        <v>3044</v>
      </c>
      <c r="E2786" t="s">
        <v>3553</v>
      </c>
      <c r="F2786" t="s">
        <v>3552</v>
      </c>
      <c r="G2786" t="s">
        <v>3418</v>
      </c>
      <c r="H2786" t="s">
        <v>373</v>
      </c>
      <c r="I2786" t="s">
        <v>289</v>
      </c>
      <c r="J2786" t="s">
        <v>789</v>
      </c>
      <c r="K2786">
        <v>11</v>
      </c>
      <c r="L2786" s="6">
        <v>3.35</v>
      </c>
      <c r="M2786" s="7">
        <v>38.1</v>
      </c>
      <c r="N2786" s="7">
        <v>63.5</v>
      </c>
      <c r="O2786" s="7">
        <f t="shared" si="213"/>
        <v>131.88976377952756</v>
      </c>
      <c r="P2786" s="7">
        <f t="shared" si="214"/>
        <v>1.5000000000000002</v>
      </c>
      <c r="Q2786" s="7">
        <f t="shared" si="214"/>
        <v>2.5</v>
      </c>
      <c r="R2786" s="6">
        <f t="shared" si="215"/>
        <v>1356.0830000000001</v>
      </c>
      <c r="S2786" s="6">
        <f t="shared" si="216"/>
        <v>8.1048224999999991E-3</v>
      </c>
      <c r="T2786" t="str">
        <f t="shared" si="217"/>
        <v>Maximo Thermo Ayous JPL S4S E4E 2x3 Long</v>
      </c>
    </row>
    <row r="2787" spans="1:20" x14ac:dyDescent="0.25">
      <c r="A2787" t="s">
        <v>3414</v>
      </c>
      <c r="B2787" t="s">
        <v>3550</v>
      </c>
      <c r="C2787" t="s">
        <v>283</v>
      </c>
      <c r="D2787" t="s">
        <v>3044</v>
      </c>
      <c r="E2787" t="s">
        <v>3554</v>
      </c>
      <c r="F2787" t="s">
        <v>3552</v>
      </c>
      <c r="G2787" t="s">
        <v>3418</v>
      </c>
      <c r="H2787" t="s">
        <v>373</v>
      </c>
      <c r="I2787" t="s">
        <v>289</v>
      </c>
      <c r="J2787" t="s">
        <v>789</v>
      </c>
      <c r="K2787">
        <v>12</v>
      </c>
      <c r="L2787" s="6">
        <v>3.66</v>
      </c>
      <c r="M2787" s="7">
        <v>38.1</v>
      </c>
      <c r="N2787" s="7">
        <v>63.5</v>
      </c>
      <c r="O2787" s="7">
        <f t="shared" si="213"/>
        <v>144.09448818897638</v>
      </c>
      <c r="P2787" s="7">
        <f t="shared" si="214"/>
        <v>1.5000000000000002</v>
      </c>
      <c r="Q2787" s="7">
        <f t="shared" si="214"/>
        <v>2.5</v>
      </c>
      <c r="R2787" s="6">
        <f t="shared" si="215"/>
        <v>1356.0830000000001</v>
      </c>
      <c r="S2787" s="6">
        <f t="shared" si="216"/>
        <v>8.8548209999999988E-3</v>
      </c>
      <c r="T2787" t="str">
        <f t="shared" si="217"/>
        <v>Maximo Thermo Ayous JPL S4S E4E 2x3 Long</v>
      </c>
    </row>
    <row r="2788" spans="1:20" x14ac:dyDescent="0.25">
      <c r="A2788" t="s">
        <v>3414</v>
      </c>
      <c r="B2788" t="s">
        <v>3550</v>
      </c>
      <c r="C2788" t="s">
        <v>283</v>
      </c>
      <c r="D2788" t="s">
        <v>3044</v>
      </c>
      <c r="E2788" t="s">
        <v>3555</v>
      </c>
      <c r="F2788" t="s">
        <v>3552</v>
      </c>
      <c r="G2788" t="s">
        <v>3418</v>
      </c>
      <c r="H2788" t="s">
        <v>373</v>
      </c>
      <c r="I2788" t="s">
        <v>289</v>
      </c>
      <c r="J2788" t="s">
        <v>789</v>
      </c>
      <c r="K2788">
        <v>13</v>
      </c>
      <c r="L2788" s="6">
        <v>3.96</v>
      </c>
      <c r="M2788" s="7">
        <v>38.1</v>
      </c>
      <c r="N2788" s="7">
        <v>63.5</v>
      </c>
      <c r="O2788" s="7">
        <f t="shared" si="213"/>
        <v>155.90551181102362</v>
      </c>
      <c r="P2788" s="7">
        <f t="shared" si="214"/>
        <v>1.5000000000000002</v>
      </c>
      <c r="Q2788" s="7">
        <f t="shared" si="214"/>
        <v>2.5</v>
      </c>
      <c r="R2788" s="6">
        <f t="shared" si="215"/>
        <v>1356.0830000000001</v>
      </c>
      <c r="S2788" s="6">
        <f t="shared" si="216"/>
        <v>9.5806260000000001E-3</v>
      </c>
      <c r="T2788" t="str">
        <f t="shared" si="217"/>
        <v>Maximo Thermo Ayous JPL S4S E4E 2x3 Long</v>
      </c>
    </row>
    <row r="2789" spans="1:20" x14ac:dyDescent="0.25">
      <c r="A2789" t="s">
        <v>3414</v>
      </c>
      <c r="B2789" t="s">
        <v>3550</v>
      </c>
      <c r="C2789" t="s">
        <v>283</v>
      </c>
      <c r="D2789" t="s">
        <v>3044</v>
      </c>
      <c r="E2789" t="s">
        <v>3556</v>
      </c>
      <c r="F2789" t="s">
        <v>3552</v>
      </c>
      <c r="G2789" t="s">
        <v>3418</v>
      </c>
      <c r="H2789" t="s">
        <v>373</v>
      </c>
      <c r="I2789" t="s">
        <v>289</v>
      </c>
      <c r="J2789" t="s">
        <v>789</v>
      </c>
      <c r="K2789">
        <v>14</v>
      </c>
      <c r="L2789" s="6">
        <v>4.2699999999999996</v>
      </c>
      <c r="M2789" s="7">
        <v>38.1</v>
      </c>
      <c r="N2789" s="7">
        <v>63.5</v>
      </c>
      <c r="O2789" s="7">
        <f t="shared" si="213"/>
        <v>168.11023622047244</v>
      </c>
      <c r="P2789" s="7">
        <f t="shared" si="214"/>
        <v>1.5000000000000002</v>
      </c>
      <c r="Q2789" s="7">
        <f t="shared" si="214"/>
        <v>2.5</v>
      </c>
      <c r="R2789" s="6">
        <f t="shared" si="215"/>
        <v>1356.0830000000001</v>
      </c>
      <c r="S2789" s="6">
        <f t="shared" si="216"/>
        <v>1.03306245E-2</v>
      </c>
      <c r="T2789" t="str">
        <f t="shared" si="217"/>
        <v>Maximo Thermo Ayous JPL S4S E4E 2x3 Long</v>
      </c>
    </row>
    <row r="2790" spans="1:20" x14ac:dyDescent="0.25">
      <c r="A2790" t="s">
        <v>3414</v>
      </c>
      <c r="B2790" t="s">
        <v>3550</v>
      </c>
      <c r="C2790" t="s">
        <v>283</v>
      </c>
      <c r="D2790" t="s">
        <v>3044</v>
      </c>
      <c r="E2790" t="s">
        <v>3557</v>
      </c>
      <c r="F2790" t="s">
        <v>3552</v>
      </c>
      <c r="G2790" t="s">
        <v>3418</v>
      </c>
      <c r="H2790" t="s">
        <v>373</v>
      </c>
      <c r="I2790" t="s">
        <v>289</v>
      </c>
      <c r="J2790" t="s">
        <v>789</v>
      </c>
      <c r="K2790">
        <v>15</v>
      </c>
      <c r="L2790" s="6">
        <v>4.57</v>
      </c>
      <c r="M2790" s="7">
        <v>38.1</v>
      </c>
      <c r="N2790" s="7">
        <v>63.5</v>
      </c>
      <c r="O2790" s="7">
        <f t="shared" si="213"/>
        <v>179.9212598425197</v>
      </c>
      <c r="P2790" s="7">
        <f t="shared" si="214"/>
        <v>1.5000000000000002</v>
      </c>
      <c r="Q2790" s="7">
        <f t="shared" si="214"/>
        <v>2.5</v>
      </c>
      <c r="R2790" s="6">
        <f t="shared" si="215"/>
        <v>1356.0830000000001</v>
      </c>
      <c r="S2790" s="6">
        <f t="shared" si="216"/>
        <v>1.1056429500000003E-2</v>
      </c>
      <c r="T2790" t="str">
        <f t="shared" si="217"/>
        <v>Maximo Thermo Ayous JPL S4S E4E 2x3 Long</v>
      </c>
    </row>
    <row r="2791" spans="1:20" x14ac:dyDescent="0.25">
      <c r="A2791" t="s">
        <v>3414</v>
      </c>
      <c r="B2791" t="s">
        <v>3550</v>
      </c>
      <c r="C2791" t="s">
        <v>283</v>
      </c>
      <c r="D2791" t="s">
        <v>3044</v>
      </c>
      <c r="E2791" t="s">
        <v>3558</v>
      </c>
      <c r="F2791" t="s">
        <v>3552</v>
      </c>
      <c r="G2791" t="s">
        <v>3418</v>
      </c>
      <c r="H2791" t="s">
        <v>373</v>
      </c>
      <c r="I2791" t="s">
        <v>289</v>
      </c>
      <c r="J2791" t="s">
        <v>789</v>
      </c>
      <c r="K2791">
        <v>16</v>
      </c>
      <c r="L2791" s="6">
        <v>4.88</v>
      </c>
      <c r="M2791" s="7">
        <v>38.1</v>
      </c>
      <c r="N2791" s="7">
        <v>63.5</v>
      </c>
      <c r="O2791" s="7">
        <f t="shared" si="213"/>
        <v>192.1259842519685</v>
      </c>
      <c r="P2791" s="7">
        <f t="shared" si="214"/>
        <v>1.5000000000000002</v>
      </c>
      <c r="Q2791" s="7">
        <f t="shared" si="214"/>
        <v>2.5</v>
      </c>
      <c r="R2791" s="6">
        <f t="shared" si="215"/>
        <v>1356.0830000000001</v>
      </c>
      <c r="S2791" s="6">
        <f t="shared" si="216"/>
        <v>1.1806428000000001E-2</v>
      </c>
      <c r="T2791" t="str">
        <f t="shared" si="217"/>
        <v>Maximo Thermo Ayous JPL S4S E4E 2x3 Long</v>
      </c>
    </row>
    <row r="2792" spans="1:20" x14ac:dyDescent="0.25">
      <c r="A2792" t="s">
        <v>3414</v>
      </c>
      <c r="B2792" t="s">
        <v>3550</v>
      </c>
      <c r="C2792" t="s">
        <v>283</v>
      </c>
      <c r="D2792" t="s">
        <v>3044</v>
      </c>
      <c r="E2792" t="s">
        <v>3559</v>
      </c>
      <c r="F2792" t="s">
        <v>3552</v>
      </c>
      <c r="G2792" t="s">
        <v>3418</v>
      </c>
      <c r="H2792" t="s">
        <v>373</v>
      </c>
      <c r="I2792" t="s">
        <v>289</v>
      </c>
      <c r="J2792" t="s">
        <v>789</v>
      </c>
      <c r="K2792">
        <v>17</v>
      </c>
      <c r="L2792" s="6">
        <v>5.18</v>
      </c>
      <c r="M2792" s="7">
        <v>38.1</v>
      </c>
      <c r="N2792" s="7">
        <v>63.5</v>
      </c>
      <c r="O2792" s="7">
        <f t="shared" si="213"/>
        <v>203.93700787401573</v>
      </c>
      <c r="P2792" s="7">
        <f t="shared" si="214"/>
        <v>1.5000000000000002</v>
      </c>
      <c r="Q2792" s="7">
        <f t="shared" si="214"/>
        <v>2.5</v>
      </c>
      <c r="R2792" s="6">
        <f t="shared" si="215"/>
        <v>1356.0830000000001</v>
      </c>
      <c r="S2792" s="6">
        <f t="shared" si="216"/>
        <v>1.2532233E-2</v>
      </c>
      <c r="T2792" t="str">
        <f t="shared" si="217"/>
        <v>Maximo Thermo Ayous JPL S4S E4E 2x3 Long</v>
      </c>
    </row>
    <row r="2793" spans="1:20" x14ac:dyDescent="0.25">
      <c r="A2793" t="s">
        <v>3414</v>
      </c>
      <c r="B2793" t="s">
        <v>3550</v>
      </c>
      <c r="C2793" t="s">
        <v>283</v>
      </c>
      <c r="D2793" t="s">
        <v>3044</v>
      </c>
      <c r="E2793" t="s">
        <v>3560</v>
      </c>
      <c r="F2793" t="s">
        <v>3552</v>
      </c>
      <c r="G2793" t="s">
        <v>3418</v>
      </c>
      <c r="H2793" t="s">
        <v>373</v>
      </c>
      <c r="I2793" t="s">
        <v>289</v>
      </c>
      <c r="J2793" t="s">
        <v>789</v>
      </c>
      <c r="K2793">
        <v>18</v>
      </c>
      <c r="L2793" s="6">
        <v>5.49</v>
      </c>
      <c r="M2793" s="7">
        <v>38.1</v>
      </c>
      <c r="N2793" s="7">
        <v>63.5</v>
      </c>
      <c r="O2793" s="7">
        <f t="shared" si="213"/>
        <v>216.14173228346459</v>
      </c>
      <c r="P2793" s="7">
        <f t="shared" si="214"/>
        <v>1.5000000000000002</v>
      </c>
      <c r="Q2793" s="7">
        <f t="shared" si="214"/>
        <v>2.5</v>
      </c>
      <c r="R2793" s="6">
        <f t="shared" si="215"/>
        <v>1356.0830000000001</v>
      </c>
      <c r="S2793" s="6">
        <f t="shared" si="216"/>
        <v>1.3282231500000002E-2</v>
      </c>
      <c r="T2793" t="str">
        <f t="shared" si="217"/>
        <v>Maximo Thermo Ayous JPL S4S E4E 2x3 Long</v>
      </c>
    </row>
    <row r="2794" spans="1:20" x14ac:dyDescent="0.25">
      <c r="A2794" t="s">
        <v>3414</v>
      </c>
      <c r="B2794" t="s">
        <v>3550</v>
      </c>
      <c r="C2794" t="s">
        <v>524</v>
      </c>
      <c r="D2794" t="s">
        <v>3044</v>
      </c>
      <c r="E2794" t="s">
        <v>3561</v>
      </c>
      <c r="F2794" t="s">
        <v>3552</v>
      </c>
      <c r="G2794" t="s">
        <v>3418</v>
      </c>
      <c r="H2794" t="s">
        <v>373</v>
      </c>
      <c r="I2794" t="s">
        <v>289</v>
      </c>
      <c r="J2794" t="s">
        <v>789</v>
      </c>
      <c r="K2794">
        <v>4</v>
      </c>
      <c r="L2794" s="6">
        <v>1.22</v>
      </c>
      <c r="M2794" s="7">
        <v>38.1</v>
      </c>
      <c r="N2794" s="7">
        <v>63.5</v>
      </c>
      <c r="O2794" s="7">
        <f t="shared" si="213"/>
        <v>48.031496062992126</v>
      </c>
      <c r="P2794" s="7">
        <f t="shared" si="214"/>
        <v>1.5000000000000002</v>
      </c>
      <c r="Q2794" s="7">
        <f t="shared" si="214"/>
        <v>2.5</v>
      </c>
      <c r="R2794" s="6">
        <f t="shared" si="215"/>
        <v>1356.0830000000001</v>
      </c>
      <c r="S2794" s="6">
        <f t="shared" si="216"/>
        <v>2.9516070000000002E-3</v>
      </c>
      <c r="T2794" t="str">
        <f t="shared" si="217"/>
        <v>Maximo Thermo Ayous JPL S4S E4E 2x3 Short</v>
      </c>
    </row>
    <row r="2795" spans="1:20" x14ac:dyDescent="0.25">
      <c r="A2795" t="s">
        <v>3414</v>
      </c>
      <c r="B2795" t="s">
        <v>3550</v>
      </c>
      <c r="C2795" t="s">
        <v>524</v>
      </c>
      <c r="D2795" t="s">
        <v>3044</v>
      </c>
      <c r="E2795" t="s">
        <v>3562</v>
      </c>
      <c r="F2795" t="s">
        <v>3552</v>
      </c>
      <c r="G2795" t="s">
        <v>3418</v>
      </c>
      <c r="H2795" t="s">
        <v>373</v>
      </c>
      <c r="I2795" t="s">
        <v>289</v>
      </c>
      <c r="J2795" t="s">
        <v>789</v>
      </c>
      <c r="K2795">
        <v>5</v>
      </c>
      <c r="L2795" s="6">
        <v>1.52</v>
      </c>
      <c r="M2795" s="7">
        <v>38.1</v>
      </c>
      <c r="N2795" s="7">
        <v>63.5</v>
      </c>
      <c r="O2795" s="7">
        <f t="shared" si="213"/>
        <v>59.84251968503937</v>
      </c>
      <c r="P2795" s="7">
        <f t="shared" si="214"/>
        <v>1.5000000000000002</v>
      </c>
      <c r="Q2795" s="7">
        <f t="shared" si="214"/>
        <v>2.5</v>
      </c>
      <c r="R2795" s="6">
        <f t="shared" si="215"/>
        <v>1356.0830000000001</v>
      </c>
      <c r="S2795" s="6">
        <f t="shared" si="216"/>
        <v>3.6774120000000006E-3</v>
      </c>
      <c r="T2795" t="str">
        <f t="shared" si="217"/>
        <v>Maximo Thermo Ayous JPL S4S E4E 2x3 Short</v>
      </c>
    </row>
    <row r="2796" spans="1:20" x14ac:dyDescent="0.25">
      <c r="A2796" t="s">
        <v>3414</v>
      </c>
      <c r="B2796" t="s">
        <v>3550</v>
      </c>
      <c r="C2796" t="s">
        <v>524</v>
      </c>
      <c r="D2796" t="s">
        <v>3044</v>
      </c>
      <c r="E2796" t="s">
        <v>3563</v>
      </c>
      <c r="F2796" t="s">
        <v>3552</v>
      </c>
      <c r="G2796" t="s">
        <v>3418</v>
      </c>
      <c r="H2796" t="s">
        <v>373</v>
      </c>
      <c r="I2796" t="s">
        <v>289</v>
      </c>
      <c r="J2796" t="s">
        <v>789</v>
      </c>
      <c r="K2796">
        <v>6</v>
      </c>
      <c r="L2796" s="6">
        <v>1.83</v>
      </c>
      <c r="M2796" s="7">
        <v>38.1</v>
      </c>
      <c r="N2796" s="7">
        <v>63.5</v>
      </c>
      <c r="O2796" s="7">
        <f t="shared" si="213"/>
        <v>72.047244094488192</v>
      </c>
      <c r="P2796" s="7">
        <f t="shared" si="214"/>
        <v>1.5000000000000002</v>
      </c>
      <c r="Q2796" s="7">
        <f t="shared" si="214"/>
        <v>2.5</v>
      </c>
      <c r="R2796" s="6">
        <f t="shared" si="215"/>
        <v>1356.0830000000001</v>
      </c>
      <c r="S2796" s="6">
        <f t="shared" si="216"/>
        <v>4.4274104999999994E-3</v>
      </c>
      <c r="T2796" t="str">
        <f t="shared" si="217"/>
        <v>Maximo Thermo Ayous JPL S4S E4E 2x3 Short</v>
      </c>
    </row>
    <row r="2797" spans="1:20" x14ac:dyDescent="0.25">
      <c r="A2797" t="s">
        <v>3414</v>
      </c>
      <c r="B2797" t="s">
        <v>3550</v>
      </c>
      <c r="C2797" t="s">
        <v>524</v>
      </c>
      <c r="D2797" t="s">
        <v>3044</v>
      </c>
      <c r="E2797" t="s">
        <v>3564</v>
      </c>
      <c r="F2797" t="s">
        <v>3552</v>
      </c>
      <c r="G2797" t="s">
        <v>3418</v>
      </c>
      <c r="H2797" t="s">
        <v>373</v>
      </c>
      <c r="I2797" t="s">
        <v>289</v>
      </c>
      <c r="J2797" t="s">
        <v>789</v>
      </c>
      <c r="K2797">
        <v>7</v>
      </c>
      <c r="L2797" s="6">
        <v>2.13</v>
      </c>
      <c r="M2797" s="7">
        <v>38.1</v>
      </c>
      <c r="N2797" s="7">
        <v>63.5</v>
      </c>
      <c r="O2797" s="7">
        <f t="shared" si="213"/>
        <v>83.858267716535437</v>
      </c>
      <c r="P2797" s="7">
        <f t="shared" si="214"/>
        <v>1.5000000000000002</v>
      </c>
      <c r="Q2797" s="7">
        <f t="shared" si="214"/>
        <v>2.5</v>
      </c>
      <c r="R2797" s="6">
        <f t="shared" si="215"/>
        <v>1356.0830000000001</v>
      </c>
      <c r="S2797" s="6">
        <f t="shared" si="216"/>
        <v>5.1532154999999998E-3</v>
      </c>
      <c r="T2797" t="str">
        <f t="shared" si="217"/>
        <v>Maximo Thermo Ayous JPL S4S E4E 2x3 Short</v>
      </c>
    </row>
    <row r="2798" spans="1:20" x14ac:dyDescent="0.25">
      <c r="A2798" t="s">
        <v>3414</v>
      </c>
      <c r="B2798" t="s">
        <v>3550</v>
      </c>
      <c r="C2798" t="s">
        <v>283</v>
      </c>
      <c r="D2798" t="s">
        <v>3044</v>
      </c>
      <c r="E2798" t="s">
        <v>3565</v>
      </c>
      <c r="F2798" t="s">
        <v>3552</v>
      </c>
      <c r="G2798" t="s">
        <v>3418</v>
      </c>
      <c r="H2798" t="s">
        <v>373</v>
      </c>
      <c r="I2798" t="s">
        <v>289</v>
      </c>
      <c r="J2798" t="s">
        <v>789</v>
      </c>
      <c r="K2798">
        <v>8</v>
      </c>
      <c r="L2798" s="6">
        <v>2.44</v>
      </c>
      <c r="M2798" s="7">
        <v>38.1</v>
      </c>
      <c r="N2798" s="7">
        <v>63.5</v>
      </c>
      <c r="O2798" s="7">
        <f t="shared" si="213"/>
        <v>96.062992125984252</v>
      </c>
      <c r="P2798" s="7">
        <f t="shared" si="214"/>
        <v>1.5000000000000002</v>
      </c>
      <c r="Q2798" s="7">
        <f t="shared" si="214"/>
        <v>2.5</v>
      </c>
      <c r="R2798" s="6">
        <f t="shared" si="215"/>
        <v>1356.0830000000001</v>
      </c>
      <c r="S2798" s="6">
        <f t="shared" si="216"/>
        <v>5.9032140000000004E-3</v>
      </c>
      <c r="T2798" t="str">
        <f t="shared" si="217"/>
        <v>Maximo Thermo Ayous JPL S4S E4E 2x3 Long</v>
      </c>
    </row>
    <row r="2799" spans="1:20" x14ac:dyDescent="0.25">
      <c r="A2799" t="s">
        <v>3414</v>
      </c>
      <c r="B2799" t="s">
        <v>3550</v>
      </c>
      <c r="C2799" t="s">
        <v>283</v>
      </c>
      <c r="D2799" t="s">
        <v>3044</v>
      </c>
      <c r="E2799" t="s">
        <v>3566</v>
      </c>
      <c r="F2799" t="s">
        <v>3552</v>
      </c>
      <c r="G2799" t="s">
        <v>3418</v>
      </c>
      <c r="H2799" t="s">
        <v>373</v>
      </c>
      <c r="I2799" t="s">
        <v>289</v>
      </c>
      <c r="J2799" t="s">
        <v>789</v>
      </c>
      <c r="K2799">
        <v>9</v>
      </c>
      <c r="L2799" s="6">
        <v>2.74</v>
      </c>
      <c r="M2799" s="7">
        <v>38.1</v>
      </c>
      <c r="N2799" s="7">
        <v>63.5</v>
      </c>
      <c r="O2799" s="7">
        <f t="shared" si="213"/>
        <v>107.87401574803151</v>
      </c>
      <c r="P2799" s="7">
        <f t="shared" si="214"/>
        <v>1.5000000000000002</v>
      </c>
      <c r="Q2799" s="7">
        <f t="shared" si="214"/>
        <v>2.5</v>
      </c>
      <c r="R2799" s="6">
        <f t="shared" si="215"/>
        <v>1356.0830000000001</v>
      </c>
      <c r="S2799" s="6">
        <f t="shared" si="216"/>
        <v>6.6290190000000008E-3</v>
      </c>
      <c r="T2799" t="str">
        <f t="shared" si="217"/>
        <v>Maximo Thermo Ayous JPL S4S E4E 2x3 Long</v>
      </c>
    </row>
    <row r="2800" spans="1:20" x14ac:dyDescent="0.25">
      <c r="A2800" t="s">
        <v>3414</v>
      </c>
      <c r="B2800" t="s">
        <v>3567</v>
      </c>
      <c r="C2800" t="s">
        <v>283</v>
      </c>
      <c r="D2800" t="s">
        <v>3044</v>
      </c>
      <c r="E2800" t="s">
        <v>3568</v>
      </c>
      <c r="F2800" t="s">
        <v>3569</v>
      </c>
      <c r="G2800" t="s">
        <v>3418</v>
      </c>
      <c r="H2800" t="s">
        <v>373</v>
      </c>
      <c r="I2800" t="s">
        <v>289</v>
      </c>
      <c r="J2800" t="s">
        <v>796</v>
      </c>
      <c r="K2800">
        <v>10</v>
      </c>
      <c r="L2800" s="6">
        <v>3.05</v>
      </c>
      <c r="M2800" s="7">
        <v>38.099999999999994</v>
      </c>
      <c r="N2800" s="7">
        <v>88.899999999999991</v>
      </c>
      <c r="O2800" s="7">
        <f t="shared" ref="O2800:O2863" si="218">L2800/0.0254</f>
        <v>120.07874015748031</v>
      </c>
      <c r="P2800" s="7">
        <f t="shared" ref="P2800:Q2863" si="219">M2800/25.4</f>
        <v>1.4999999999999998</v>
      </c>
      <c r="Q2800" s="7">
        <f t="shared" si="219"/>
        <v>3.5</v>
      </c>
      <c r="R2800" s="6">
        <f t="shared" ref="R2800:R2863" si="220">ROUND(IFERROR(1/((M2800*N2800*0.3048)/1000000),0),3)</f>
        <v>968.63099999999997</v>
      </c>
      <c r="S2800" s="6">
        <f t="shared" ref="S2800:S2863" si="221">L2800*M2800/1000*N2800/1000</f>
        <v>1.0330624499999998E-2</v>
      </c>
      <c r="T2800" t="str">
        <f t="shared" si="217"/>
        <v>Maximo Thermo Ayous JPL S4S E4E 2x4 Long</v>
      </c>
    </row>
    <row r="2801" spans="1:20" x14ac:dyDescent="0.25">
      <c r="A2801" t="s">
        <v>3414</v>
      </c>
      <c r="B2801" t="s">
        <v>3567</v>
      </c>
      <c r="C2801" t="s">
        <v>283</v>
      </c>
      <c r="D2801" t="s">
        <v>3044</v>
      </c>
      <c r="E2801" t="s">
        <v>3570</v>
      </c>
      <c r="F2801" t="s">
        <v>3569</v>
      </c>
      <c r="G2801" t="s">
        <v>3418</v>
      </c>
      <c r="H2801" t="s">
        <v>373</v>
      </c>
      <c r="I2801" t="s">
        <v>289</v>
      </c>
      <c r="J2801" t="s">
        <v>796</v>
      </c>
      <c r="K2801">
        <v>11</v>
      </c>
      <c r="L2801" s="6">
        <v>3.35</v>
      </c>
      <c r="M2801" s="7">
        <v>38.099999999999994</v>
      </c>
      <c r="N2801" s="7">
        <v>88.899999999999991</v>
      </c>
      <c r="O2801" s="7">
        <f t="shared" si="218"/>
        <v>131.88976377952756</v>
      </c>
      <c r="P2801" s="7">
        <f t="shared" si="219"/>
        <v>1.4999999999999998</v>
      </c>
      <c r="Q2801" s="7">
        <f t="shared" si="219"/>
        <v>3.5</v>
      </c>
      <c r="R2801" s="6">
        <f t="shared" si="220"/>
        <v>968.63099999999997</v>
      </c>
      <c r="S2801" s="6">
        <f t="shared" si="221"/>
        <v>1.1346751499999998E-2</v>
      </c>
      <c r="T2801" t="str">
        <f t="shared" si="217"/>
        <v>Maximo Thermo Ayous JPL S4S E4E 2x4 Long</v>
      </c>
    </row>
    <row r="2802" spans="1:20" x14ac:dyDescent="0.25">
      <c r="A2802" t="s">
        <v>3414</v>
      </c>
      <c r="B2802" t="s">
        <v>3567</v>
      </c>
      <c r="C2802" t="s">
        <v>283</v>
      </c>
      <c r="D2802" t="s">
        <v>3044</v>
      </c>
      <c r="E2802" t="s">
        <v>3571</v>
      </c>
      <c r="F2802" t="s">
        <v>3569</v>
      </c>
      <c r="G2802" t="s">
        <v>3418</v>
      </c>
      <c r="H2802" t="s">
        <v>373</v>
      </c>
      <c r="I2802" t="s">
        <v>289</v>
      </c>
      <c r="J2802" t="s">
        <v>796</v>
      </c>
      <c r="K2802">
        <v>12</v>
      </c>
      <c r="L2802" s="6">
        <v>3.66</v>
      </c>
      <c r="M2802" s="7">
        <v>38.099999999999994</v>
      </c>
      <c r="N2802" s="7">
        <v>88.899999999999991</v>
      </c>
      <c r="O2802" s="7">
        <f t="shared" si="218"/>
        <v>144.09448818897638</v>
      </c>
      <c r="P2802" s="7">
        <f t="shared" si="219"/>
        <v>1.4999999999999998</v>
      </c>
      <c r="Q2802" s="7">
        <f t="shared" si="219"/>
        <v>3.5</v>
      </c>
      <c r="R2802" s="6">
        <f t="shared" si="220"/>
        <v>968.63099999999997</v>
      </c>
      <c r="S2802" s="6">
        <f t="shared" si="221"/>
        <v>1.2396749399999997E-2</v>
      </c>
      <c r="T2802" t="str">
        <f t="shared" si="217"/>
        <v>Maximo Thermo Ayous JPL S4S E4E 2x4 Long</v>
      </c>
    </row>
    <row r="2803" spans="1:20" x14ac:dyDescent="0.25">
      <c r="A2803" t="s">
        <v>3414</v>
      </c>
      <c r="B2803" t="s">
        <v>3567</v>
      </c>
      <c r="C2803" t="s">
        <v>283</v>
      </c>
      <c r="D2803" t="s">
        <v>3044</v>
      </c>
      <c r="E2803" t="s">
        <v>3572</v>
      </c>
      <c r="F2803" t="s">
        <v>3569</v>
      </c>
      <c r="G2803" t="s">
        <v>3418</v>
      </c>
      <c r="H2803" t="s">
        <v>373</v>
      </c>
      <c r="I2803" t="s">
        <v>289</v>
      </c>
      <c r="J2803" t="s">
        <v>796</v>
      </c>
      <c r="K2803">
        <v>13</v>
      </c>
      <c r="L2803" s="6">
        <v>3.96</v>
      </c>
      <c r="M2803" s="7">
        <v>38.099999999999994</v>
      </c>
      <c r="N2803" s="7">
        <v>88.899999999999991</v>
      </c>
      <c r="O2803" s="7">
        <f t="shared" si="218"/>
        <v>155.90551181102362</v>
      </c>
      <c r="P2803" s="7">
        <f t="shared" si="219"/>
        <v>1.4999999999999998</v>
      </c>
      <c r="Q2803" s="7">
        <f t="shared" si="219"/>
        <v>3.5</v>
      </c>
      <c r="R2803" s="6">
        <f t="shared" si="220"/>
        <v>968.63099999999997</v>
      </c>
      <c r="S2803" s="6">
        <f t="shared" si="221"/>
        <v>1.3412876399999997E-2</v>
      </c>
      <c r="T2803" t="str">
        <f t="shared" si="217"/>
        <v>Maximo Thermo Ayous JPL S4S E4E 2x4 Long</v>
      </c>
    </row>
    <row r="2804" spans="1:20" x14ac:dyDescent="0.25">
      <c r="A2804" t="s">
        <v>3414</v>
      </c>
      <c r="B2804" t="s">
        <v>3567</v>
      </c>
      <c r="C2804" t="s">
        <v>283</v>
      </c>
      <c r="D2804" t="s">
        <v>3044</v>
      </c>
      <c r="E2804" t="s">
        <v>3573</v>
      </c>
      <c r="F2804" t="s">
        <v>3569</v>
      </c>
      <c r="G2804" t="s">
        <v>3418</v>
      </c>
      <c r="H2804" t="s">
        <v>373</v>
      </c>
      <c r="I2804" t="s">
        <v>289</v>
      </c>
      <c r="J2804" t="s">
        <v>796</v>
      </c>
      <c r="K2804">
        <v>14</v>
      </c>
      <c r="L2804" s="6">
        <v>4.2699999999999996</v>
      </c>
      <c r="M2804" s="7">
        <v>38.099999999999994</v>
      </c>
      <c r="N2804" s="7">
        <v>88.899999999999991</v>
      </c>
      <c r="O2804" s="7">
        <f t="shared" si="218"/>
        <v>168.11023622047244</v>
      </c>
      <c r="P2804" s="7">
        <f t="shared" si="219"/>
        <v>1.4999999999999998</v>
      </c>
      <c r="Q2804" s="7">
        <f t="shared" si="219"/>
        <v>3.5</v>
      </c>
      <c r="R2804" s="6">
        <f t="shared" si="220"/>
        <v>968.63099999999997</v>
      </c>
      <c r="S2804" s="6">
        <f t="shared" si="221"/>
        <v>1.4462874299999994E-2</v>
      </c>
      <c r="T2804" t="str">
        <f t="shared" si="217"/>
        <v>Maximo Thermo Ayous JPL S4S E4E 2x4 Long</v>
      </c>
    </row>
    <row r="2805" spans="1:20" x14ac:dyDescent="0.25">
      <c r="A2805" t="s">
        <v>3414</v>
      </c>
      <c r="B2805" t="s">
        <v>3567</v>
      </c>
      <c r="C2805" t="s">
        <v>283</v>
      </c>
      <c r="D2805" t="s">
        <v>3044</v>
      </c>
      <c r="E2805" t="s">
        <v>3574</v>
      </c>
      <c r="F2805" t="s">
        <v>3569</v>
      </c>
      <c r="G2805" t="s">
        <v>3418</v>
      </c>
      <c r="H2805" t="s">
        <v>373</v>
      </c>
      <c r="I2805" t="s">
        <v>289</v>
      </c>
      <c r="J2805" t="s">
        <v>796</v>
      </c>
      <c r="K2805">
        <v>15</v>
      </c>
      <c r="L2805" s="6">
        <v>4.57</v>
      </c>
      <c r="M2805" s="7">
        <v>38.099999999999994</v>
      </c>
      <c r="N2805" s="7">
        <v>88.899999999999991</v>
      </c>
      <c r="O2805" s="7">
        <f t="shared" si="218"/>
        <v>179.9212598425197</v>
      </c>
      <c r="P2805" s="7">
        <f t="shared" si="219"/>
        <v>1.4999999999999998</v>
      </c>
      <c r="Q2805" s="7">
        <f t="shared" si="219"/>
        <v>3.5</v>
      </c>
      <c r="R2805" s="6">
        <f t="shared" si="220"/>
        <v>968.63099999999997</v>
      </c>
      <c r="S2805" s="6">
        <f t="shared" si="221"/>
        <v>1.5479001299999998E-2</v>
      </c>
      <c r="T2805" t="str">
        <f t="shared" si="217"/>
        <v>Maximo Thermo Ayous JPL S4S E4E 2x4 Long</v>
      </c>
    </row>
    <row r="2806" spans="1:20" x14ac:dyDescent="0.25">
      <c r="A2806" t="s">
        <v>3414</v>
      </c>
      <c r="B2806" t="s">
        <v>3567</v>
      </c>
      <c r="C2806" t="s">
        <v>283</v>
      </c>
      <c r="D2806" t="s">
        <v>3044</v>
      </c>
      <c r="E2806" t="s">
        <v>3575</v>
      </c>
      <c r="F2806" t="s">
        <v>3569</v>
      </c>
      <c r="G2806" t="s">
        <v>3418</v>
      </c>
      <c r="H2806" t="s">
        <v>373</v>
      </c>
      <c r="I2806" t="s">
        <v>289</v>
      </c>
      <c r="J2806" t="s">
        <v>796</v>
      </c>
      <c r="K2806">
        <v>16</v>
      </c>
      <c r="L2806" s="6">
        <v>4.88</v>
      </c>
      <c r="M2806" s="7">
        <v>38.099999999999994</v>
      </c>
      <c r="N2806" s="7">
        <v>88.899999999999991</v>
      </c>
      <c r="O2806" s="7">
        <f t="shared" si="218"/>
        <v>192.1259842519685</v>
      </c>
      <c r="P2806" s="7">
        <f t="shared" si="219"/>
        <v>1.4999999999999998</v>
      </c>
      <c r="Q2806" s="7">
        <f t="shared" si="219"/>
        <v>3.5</v>
      </c>
      <c r="R2806" s="6">
        <f t="shared" si="220"/>
        <v>968.63099999999997</v>
      </c>
      <c r="S2806" s="6">
        <f t="shared" si="221"/>
        <v>1.6528999199999998E-2</v>
      </c>
      <c r="T2806" t="str">
        <f t="shared" si="217"/>
        <v>Maximo Thermo Ayous JPL S4S E4E 2x4 Long</v>
      </c>
    </row>
    <row r="2807" spans="1:20" x14ac:dyDescent="0.25">
      <c r="A2807" t="s">
        <v>3414</v>
      </c>
      <c r="B2807" t="s">
        <v>3567</v>
      </c>
      <c r="C2807" t="s">
        <v>283</v>
      </c>
      <c r="D2807" t="s">
        <v>3044</v>
      </c>
      <c r="E2807" t="s">
        <v>3576</v>
      </c>
      <c r="F2807" t="s">
        <v>3569</v>
      </c>
      <c r="G2807" t="s">
        <v>3418</v>
      </c>
      <c r="H2807" t="s">
        <v>373</v>
      </c>
      <c r="I2807" t="s">
        <v>289</v>
      </c>
      <c r="J2807" t="s">
        <v>796</v>
      </c>
      <c r="K2807">
        <v>17</v>
      </c>
      <c r="L2807" s="6">
        <v>5.18</v>
      </c>
      <c r="M2807" s="7">
        <v>38.099999999999994</v>
      </c>
      <c r="N2807" s="7">
        <v>88.899999999999991</v>
      </c>
      <c r="O2807" s="7">
        <f t="shared" si="218"/>
        <v>203.93700787401573</v>
      </c>
      <c r="P2807" s="7">
        <f t="shared" si="219"/>
        <v>1.4999999999999998</v>
      </c>
      <c r="Q2807" s="7">
        <f t="shared" si="219"/>
        <v>3.5</v>
      </c>
      <c r="R2807" s="6">
        <f t="shared" si="220"/>
        <v>968.63099999999997</v>
      </c>
      <c r="S2807" s="6">
        <f t="shared" si="221"/>
        <v>1.7545126199999993E-2</v>
      </c>
      <c r="T2807" t="str">
        <f t="shared" si="217"/>
        <v>Maximo Thermo Ayous JPL S4S E4E 2x4 Long</v>
      </c>
    </row>
    <row r="2808" spans="1:20" x14ac:dyDescent="0.25">
      <c r="A2808" t="s">
        <v>3414</v>
      </c>
      <c r="B2808" t="s">
        <v>3567</v>
      </c>
      <c r="C2808" t="s">
        <v>283</v>
      </c>
      <c r="D2808" t="s">
        <v>3044</v>
      </c>
      <c r="E2808" t="s">
        <v>3577</v>
      </c>
      <c r="F2808" t="s">
        <v>3569</v>
      </c>
      <c r="G2808" t="s">
        <v>3418</v>
      </c>
      <c r="H2808" t="s">
        <v>373</v>
      </c>
      <c r="I2808" t="s">
        <v>289</v>
      </c>
      <c r="J2808" t="s">
        <v>796</v>
      </c>
      <c r="K2808">
        <v>18</v>
      </c>
      <c r="L2808" s="6">
        <v>5.49</v>
      </c>
      <c r="M2808" s="7">
        <v>38.099999999999994</v>
      </c>
      <c r="N2808" s="7">
        <v>88.899999999999991</v>
      </c>
      <c r="O2808" s="7">
        <f t="shared" si="218"/>
        <v>216.14173228346459</v>
      </c>
      <c r="P2808" s="7">
        <f t="shared" si="219"/>
        <v>1.4999999999999998</v>
      </c>
      <c r="Q2808" s="7">
        <f t="shared" si="219"/>
        <v>3.5</v>
      </c>
      <c r="R2808" s="6">
        <f t="shared" si="220"/>
        <v>968.63099999999997</v>
      </c>
      <c r="S2808" s="6">
        <f t="shared" si="221"/>
        <v>1.8595124099999995E-2</v>
      </c>
      <c r="T2808" t="str">
        <f t="shared" si="217"/>
        <v>Maximo Thermo Ayous JPL S4S E4E 2x4 Long</v>
      </c>
    </row>
    <row r="2809" spans="1:20" x14ac:dyDescent="0.25">
      <c r="A2809" t="s">
        <v>3414</v>
      </c>
      <c r="B2809" t="s">
        <v>3567</v>
      </c>
      <c r="C2809" t="s">
        <v>524</v>
      </c>
      <c r="D2809" t="s">
        <v>3044</v>
      </c>
      <c r="E2809" t="s">
        <v>3578</v>
      </c>
      <c r="F2809" t="s">
        <v>3569</v>
      </c>
      <c r="G2809" t="s">
        <v>3418</v>
      </c>
      <c r="H2809" t="s">
        <v>373</v>
      </c>
      <c r="I2809" t="s">
        <v>289</v>
      </c>
      <c r="J2809" t="s">
        <v>796</v>
      </c>
      <c r="K2809">
        <v>4</v>
      </c>
      <c r="L2809" s="6">
        <v>1.22</v>
      </c>
      <c r="M2809" s="7">
        <v>38.099999999999994</v>
      </c>
      <c r="N2809" s="7">
        <v>88.899999999999991</v>
      </c>
      <c r="O2809" s="7">
        <f t="shared" si="218"/>
        <v>48.031496062992126</v>
      </c>
      <c r="P2809" s="7">
        <f t="shared" si="219"/>
        <v>1.4999999999999998</v>
      </c>
      <c r="Q2809" s="7">
        <f t="shared" si="219"/>
        <v>3.5</v>
      </c>
      <c r="R2809" s="6">
        <f t="shared" si="220"/>
        <v>968.63099999999997</v>
      </c>
      <c r="S2809" s="6">
        <f t="shared" si="221"/>
        <v>4.1322497999999996E-3</v>
      </c>
      <c r="T2809" t="str">
        <f t="shared" si="217"/>
        <v>Maximo Thermo Ayous JPL S4S E4E 2x4 Short</v>
      </c>
    </row>
    <row r="2810" spans="1:20" x14ac:dyDescent="0.25">
      <c r="A2810" t="s">
        <v>3414</v>
      </c>
      <c r="B2810" t="s">
        <v>3567</v>
      </c>
      <c r="C2810" t="s">
        <v>524</v>
      </c>
      <c r="D2810" t="s">
        <v>3044</v>
      </c>
      <c r="E2810" t="s">
        <v>3579</v>
      </c>
      <c r="F2810" t="s">
        <v>3569</v>
      </c>
      <c r="G2810" t="s">
        <v>3418</v>
      </c>
      <c r="H2810" t="s">
        <v>373</v>
      </c>
      <c r="I2810" t="s">
        <v>289</v>
      </c>
      <c r="J2810" t="s">
        <v>796</v>
      </c>
      <c r="K2810">
        <v>5</v>
      </c>
      <c r="L2810" s="6">
        <v>1.52</v>
      </c>
      <c r="M2810" s="7">
        <v>38.099999999999994</v>
      </c>
      <c r="N2810" s="7">
        <v>88.899999999999991</v>
      </c>
      <c r="O2810" s="7">
        <f t="shared" si="218"/>
        <v>59.84251968503937</v>
      </c>
      <c r="P2810" s="7">
        <f t="shared" si="219"/>
        <v>1.4999999999999998</v>
      </c>
      <c r="Q2810" s="7">
        <f t="shared" si="219"/>
        <v>3.5</v>
      </c>
      <c r="R2810" s="6">
        <f t="shared" si="220"/>
        <v>968.63099999999997</v>
      </c>
      <c r="S2810" s="6">
        <f t="shared" si="221"/>
        <v>5.1483767999999982E-3</v>
      </c>
      <c r="T2810" t="str">
        <f t="shared" si="217"/>
        <v>Maximo Thermo Ayous JPL S4S E4E 2x4 Short</v>
      </c>
    </row>
    <row r="2811" spans="1:20" x14ac:dyDescent="0.25">
      <c r="A2811" t="s">
        <v>3414</v>
      </c>
      <c r="B2811" t="s">
        <v>3567</v>
      </c>
      <c r="C2811" t="s">
        <v>524</v>
      </c>
      <c r="D2811" t="s">
        <v>3044</v>
      </c>
      <c r="E2811" t="s">
        <v>3580</v>
      </c>
      <c r="F2811" t="s">
        <v>3569</v>
      </c>
      <c r="G2811" t="s">
        <v>3418</v>
      </c>
      <c r="H2811" t="s">
        <v>373</v>
      </c>
      <c r="I2811" t="s">
        <v>289</v>
      </c>
      <c r="J2811" t="s">
        <v>796</v>
      </c>
      <c r="K2811">
        <v>6</v>
      </c>
      <c r="L2811" s="6">
        <v>1.83</v>
      </c>
      <c r="M2811" s="7">
        <v>38.099999999999994</v>
      </c>
      <c r="N2811" s="7">
        <v>88.899999999999991</v>
      </c>
      <c r="O2811" s="7">
        <f t="shared" si="218"/>
        <v>72.047244094488192</v>
      </c>
      <c r="P2811" s="7">
        <f t="shared" si="219"/>
        <v>1.4999999999999998</v>
      </c>
      <c r="Q2811" s="7">
        <f t="shared" si="219"/>
        <v>3.5</v>
      </c>
      <c r="R2811" s="6">
        <f t="shared" si="220"/>
        <v>968.63099999999997</v>
      </c>
      <c r="S2811" s="6">
        <f t="shared" si="221"/>
        <v>6.1983746999999985E-3</v>
      </c>
      <c r="T2811" t="str">
        <f t="shared" si="217"/>
        <v>Maximo Thermo Ayous JPL S4S E4E 2x4 Short</v>
      </c>
    </row>
    <row r="2812" spans="1:20" x14ac:dyDescent="0.25">
      <c r="A2812" t="s">
        <v>3414</v>
      </c>
      <c r="B2812" t="s">
        <v>3567</v>
      </c>
      <c r="C2812" t="s">
        <v>524</v>
      </c>
      <c r="D2812" t="s">
        <v>3044</v>
      </c>
      <c r="E2812" t="s">
        <v>3581</v>
      </c>
      <c r="F2812" t="s">
        <v>3569</v>
      </c>
      <c r="G2812" t="s">
        <v>3418</v>
      </c>
      <c r="H2812" t="s">
        <v>373</v>
      </c>
      <c r="I2812" t="s">
        <v>289</v>
      </c>
      <c r="J2812" t="s">
        <v>796</v>
      </c>
      <c r="K2812">
        <v>7</v>
      </c>
      <c r="L2812" s="6">
        <v>2.13</v>
      </c>
      <c r="M2812" s="7">
        <v>38.099999999999994</v>
      </c>
      <c r="N2812" s="7">
        <v>88.899999999999991</v>
      </c>
      <c r="O2812" s="7">
        <f t="shared" si="218"/>
        <v>83.858267716535437</v>
      </c>
      <c r="P2812" s="7">
        <f t="shared" si="219"/>
        <v>1.4999999999999998</v>
      </c>
      <c r="Q2812" s="7">
        <f t="shared" si="219"/>
        <v>3.5</v>
      </c>
      <c r="R2812" s="6">
        <f t="shared" si="220"/>
        <v>968.63099999999997</v>
      </c>
      <c r="S2812" s="6">
        <f t="shared" si="221"/>
        <v>7.2145016999999971E-3</v>
      </c>
      <c r="T2812" t="str">
        <f t="shared" si="217"/>
        <v>Maximo Thermo Ayous JPL S4S E4E 2x4 Short</v>
      </c>
    </row>
    <row r="2813" spans="1:20" x14ac:dyDescent="0.25">
      <c r="A2813" t="s">
        <v>3414</v>
      </c>
      <c r="B2813" t="s">
        <v>3567</v>
      </c>
      <c r="C2813" t="s">
        <v>283</v>
      </c>
      <c r="D2813" t="s">
        <v>3044</v>
      </c>
      <c r="E2813" t="s">
        <v>3582</v>
      </c>
      <c r="F2813" t="s">
        <v>3569</v>
      </c>
      <c r="G2813" t="s">
        <v>3418</v>
      </c>
      <c r="H2813" t="s">
        <v>373</v>
      </c>
      <c r="I2813" t="s">
        <v>289</v>
      </c>
      <c r="J2813" t="s">
        <v>796</v>
      </c>
      <c r="K2813">
        <v>8</v>
      </c>
      <c r="L2813" s="6">
        <v>2.44</v>
      </c>
      <c r="M2813" s="7">
        <v>38.099999999999994</v>
      </c>
      <c r="N2813" s="7">
        <v>88.899999999999991</v>
      </c>
      <c r="O2813" s="7">
        <f t="shared" si="218"/>
        <v>96.062992125984252</v>
      </c>
      <c r="P2813" s="7">
        <f t="shared" si="219"/>
        <v>1.4999999999999998</v>
      </c>
      <c r="Q2813" s="7">
        <f t="shared" si="219"/>
        <v>3.5</v>
      </c>
      <c r="R2813" s="6">
        <f t="shared" si="220"/>
        <v>968.63099999999997</v>
      </c>
      <c r="S2813" s="6">
        <f t="shared" si="221"/>
        <v>8.2644995999999991E-3</v>
      </c>
      <c r="T2813" t="str">
        <f t="shared" si="217"/>
        <v>Maximo Thermo Ayous JPL S4S E4E 2x4 Long</v>
      </c>
    </row>
    <row r="2814" spans="1:20" x14ac:dyDescent="0.25">
      <c r="A2814" t="s">
        <v>3414</v>
      </c>
      <c r="B2814" t="s">
        <v>3567</v>
      </c>
      <c r="C2814" t="s">
        <v>283</v>
      </c>
      <c r="D2814" t="s">
        <v>3044</v>
      </c>
      <c r="E2814" t="s">
        <v>3583</v>
      </c>
      <c r="F2814" t="s">
        <v>3569</v>
      </c>
      <c r="G2814" t="s">
        <v>3418</v>
      </c>
      <c r="H2814" t="s">
        <v>373</v>
      </c>
      <c r="I2814" t="s">
        <v>289</v>
      </c>
      <c r="J2814" t="s">
        <v>796</v>
      </c>
      <c r="K2814">
        <v>9</v>
      </c>
      <c r="L2814" s="6">
        <v>2.74</v>
      </c>
      <c r="M2814" s="7">
        <v>38.099999999999994</v>
      </c>
      <c r="N2814" s="7">
        <v>88.899999999999991</v>
      </c>
      <c r="O2814" s="7">
        <f t="shared" si="218"/>
        <v>107.87401574803151</v>
      </c>
      <c r="P2814" s="7">
        <f t="shared" si="219"/>
        <v>1.4999999999999998</v>
      </c>
      <c r="Q2814" s="7">
        <f t="shared" si="219"/>
        <v>3.5</v>
      </c>
      <c r="R2814" s="6">
        <f t="shared" si="220"/>
        <v>968.63099999999997</v>
      </c>
      <c r="S2814" s="6">
        <f t="shared" si="221"/>
        <v>9.2806265999999978E-3</v>
      </c>
      <c r="T2814" t="str">
        <f t="shared" si="217"/>
        <v>Maximo Thermo Ayous JPL S4S E4E 2x4 Long</v>
      </c>
    </row>
    <row r="2815" spans="1:20" x14ac:dyDescent="0.25">
      <c r="A2815" t="s">
        <v>3414</v>
      </c>
      <c r="B2815" t="s">
        <v>3584</v>
      </c>
      <c r="C2815" t="s">
        <v>283</v>
      </c>
      <c r="D2815" t="s">
        <v>3044</v>
      </c>
      <c r="E2815" t="s">
        <v>3585</v>
      </c>
      <c r="F2815" t="s">
        <v>3586</v>
      </c>
      <c r="G2815" t="s">
        <v>3418</v>
      </c>
      <c r="H2815" t="s">
        <v>373</v>
      </c>
      <c r="I2815" t="s">
        <v>289</v>
      </c>
      <c r="J2815" t="s">
        <v>821</v>
      </c>
      <c r="K2815">
        <v>10</v>
      </c>
      <c r="L2815" s="6">
        <v>3.05</v>
      </c>
      <c r="M2815" s="7">
        <v>38.099999999999994</v>
      </c>
      <c r="N2815" s="7">
        <v>139.69999999999999</v>
      </c>
      <c r="O2815" s="7">
        <f t="shared" si="218"/>
        <v>120.07874015748031</v>
      </c>
      <c r="P2815" s="7">
        <f t="shared" si="219"/>
        <v>1.4999999999999998</v>
      </c>
      <c r="Q2815" s="7">
        <f t="shared" si="219"/>
        <v>5.5</v>
      </c>
      <c r="R2815" s="6">
        <f t="shared" si="220"/>
        <v>616.40099999999995</v>
      </c>
      <c r="S2815" s="6">
        <f t="shared" si="221"/>
        <v>1.6233838499999993E-2</v>
      </c>
      <c r="T2815" t="str">
        <f t="shared" si="217"/>
        <v>Maximo Thermo Ayous JPL S4S E4E 2x6 Long</v>
      </c>
    </row>
    <row r="2816" spans="1:20" x14ac:dyDescent="0.25">
      <c r="A2816" t="s">
        <v>3414</v>
      </c>
      <c r="B2816" t="s">
        <v>3584</v>
      </c>
      <c r="C2816" t="s">
        <v>283</v>
      </c>
      <c r="D2816" t="s">
        <v>3044</v>
      </c>
      <c r="E2816" t="s">
        <v>3587</v>
      </c>
      <c r="F2816" t="s">
        <v>3586</v>
      </c>
      <c r="G2816" t="s">
        <v>3418</v>
      </c>
      <c r="H2816" t="s">
        <v>373</v>
      </c>
      <c r="I2816" t="s">
        <v>289</v>
      </c>
      <c r="J2816" t="s">
        <v>821</v>
      </c>
      <c r="K2816">
        <v>11</v>
      </c>
      <c r="L2816" s="6">
        <v>3.35</v>
      </c>
      <c r="M2816" s="7">
        <v>38.099999999999994</v>
      </c>
      <c r="N2816" s="7">
        <v>139.69999999999999</v>
      </c>
      <c r="O2816" s="7">
        <f t="shared" si="218"/>
        <v>131.88976377952756</v>
      </c>
      <c r="P2816" s="7">
        <f t="shared" si="219"/>
        <v>1.4999999999999998</v>
      </c>
      <c r="Q2816" s="7">
        <f t="shared" si="219"/>
        <v>5.5</v>
      </c>
      <c r="R2816" s="6">
        <f t="shared" si="220"/>
        <v>616.40099999999995</v>
      </c>
      <c r="S2816" s="6">
        <f t="shared" si="221"/>
        <v>1.7830609499999997E-2</v>
      </c>
      <c r="T2816" t="str">
        <f t="shared" si="217"/>
        <v>Maximo Thermo Ayous JPL S4S E4E 2x6 Long</v>
      </c>
    </row>
    <row r="2817" spans="1:20" x14ac:dyDescent="0.25">
      <c r="A2817" t="s">
        <v>3414</v>
      </c>
      <c r="B2817" t="s">
        <v>3584</v>
      </c>
      <c r="C2817" t="s">
        <v>283</v>
      </c>
      <c r="D2817" t="s">
        <v>3044</v>
      </c>
      <c r="E2817" t="s">
        <v>3588</v>
      </c>
      <c r="F2817" t="s">
        <v>3586</v>
      </c>
      <c r="G2817" t="s">
        <v>3418</v>
      </c>
      <c r="H2817" t="s">
        <v>373</v>
      </c>
      <c r="I2817" t="s">
        <v>289</v>
      </c>
      <c r="J2817" t="s">
        <v>821</v>
      </c>
      <c r="K2817">
        <v>12</v>
      </c>
      <c r="L2817" s="6">
        <v>3.66</v>
      </c>
      <c r="M2817" s="7">
        <v>38.099999999999994</v>
      </c>
      <c r="N2817" s="7">
        <v>139.69999999999999</v>
      </c>
      <c r="O2817" s="7">
        <f t="shared" si="218"/>
        <v>144.09448818897638</v>
      </c>
      <c r="P2817" s="7">
        <f t="shared" si="219"/>
        <v>1.4999999999999998</v>
      </c>
      <c r="Q2817" s="7">
        <f t="shared" si="219"/>
        <v>5.5</v>
      </c>
      <c r="R2817" s="6">
        <f t="shared" si="220"/>
        <v>616.40099999999995</v>
      </c>
      <c r="S2817" s="6">
        <f t="shared" si="221"/>
        <v>1.9480606199999997E-2</v>
      </c>
      <c r="T2817" t="str">
        <f t="shared" si="217"/>
        <v>Maximo Thermo Ayous JPL S4S E4E 2x6 Long</v>
      </c>
    </row>
    <row r="2818" spans="1:20" x14ac:dyDescent="0.25">
      <c r="A2818" t="s">
        <v>3414</v>
      </c>
      <c r="B2818" t="s">
        <v>3584</v>
      </c>
      <c r="C2818" t="s">
        <v>283</v>
      </c>
      <c r="D2818" t="s">
        <v>3044</v>
      </c>
      <c r="E2818" t="s">
        <v>3589</v>
      </c>
      <c r="F2818" t="s">
        <v>3586</v>
      </c>
      <c r="G2818" t="s">
        <v>3418</v>
      </c>
      <c r="H2818" t="s">
        <v>373</v>
      </c>
      <c r="I2818" t="s">
        <v>289</v>
      </c>
      <c r="J2818" t="s">
        <v>821</v>
      </c>
      <c r="K2818">
        <v>13</v>
      </c>
      <c r="L2818" s="6">
        <v>3.96</v>
      </c>
      <c r="M2818" s="7">
        <v>38.099999999999994</v>
      </c>
      <c r="N2818" s="7">
        <v>139.69999999999999</v>
      </c>
      <c r="O2818" s="7">
        <f t="shared" si="218"/>
        <v>155.90551181102362</v>
      </c>
      <c r="P2818" s="7">
        <f t="shared" si="219"/>
        <v>1.4999999999999998</v>
      </c>
      <c r="Q2818" s="7">
        <f t="shared" si="219"/>
        <v>5.5</v>
      </c>
      <c r="R2818" s="6">
        <f t="shared" si="220"/>
        <v>616.40099999999995</v>
      </c>
      <c r="S2818" s="6">
        <f t="shared" si="221"/>
        <v>2.1077377199999997E-2</v>
      </c>
      <c r="T2818" t="str">
        <f t="shared" ref="T2818:T2881" si="222">F2818&amp;" "&amp;C2818</f>
        <v>Maximo Thermo Ayous JPL S4S E4E 2x6 Long</v>
      </c>
    </row>
    <row r="2819" spans="1:20" x14ac:dyDescent="0.25">
      <c r="A2819" t="s">
        <v>3414</v>
      </c>
      <c r="B2819" t="s">
        <v>3584</v>
      </c>
      <c r="C2819" t="s">
        <v>283</v>
      </c>
      <c r="D2819" t="s">
        <v>3044</v>
      </c>
      <c r="E2819" t="s">
        <v>3590</v>
      </c>
      <c r="F2819" t="s">
        <v>3586</v>
      </c>
      <c r="G2819" t="s">
        <v>3418</v>
      </c>
      <c r="H2819" t="s">
        <v>373</v>
      </c>
      <c r="I2819" t="s">
        <v>289</v>
      </c>
      <c r="J2819" t="s">
        <v>821</v>
      </c>
      <c r="K2819">
        <v>14</v>
      </c>
      <c r="L2819" s="6">
        <v>4.2699999999999996</v>
      </c>
      <c r="M2819" s="7">
        <v>38.099999999999994</v>
      </c>
      <c r="N2819" s="7">
        <v>139.69999999999999</v>
      </c>
      <c r="O2819" s="7">
        <f t="shared" si="218"/>
        <v>168.11023622047244</v>
      </c>
      <c r="P2819" s="7">
        <f t="shared" si="219"/>
        <v>1.4999999999999998</v>
      </c>
      <c r="Q2819" s="7">
        <f t="shared" si="219"/>
        <v>5.5</v>
      </c>
      <c r="R2819" s="6">
        <f t="shared" si="220"/>
        <v>616.40099999999995</v>
      </c>
      <c r="S2819" s="6">
        <f t="shared" si="221"/>
        <v>2.272737389999999E-2</v>
      </c>
      <c r="T2819" t="str">
        <f t="shared" si="222"/>
        <v>Maximo Thermo Ayous JPL S4S E4E 2x6 Long</v>
      </c>
    </row>
    <row r="2820" spans="1:20" x14ac:dyDescent="0.25">
      <c r="A2820" t="s">
        <v>3414</v>
      </c>
      <c r="B2820" t="s">
        <v>3584</v>
      </c>
      <c r="C2820" t="s">
        <v>283</v>
      </c>
      <c r="D2820" t="s">
        <v>3044</v>
      </c>
      <c r="E2820" t="s">
        <v>3591</v>
      </c>
      <c r="F2820" t="s">
        <v>3586</v>
      </c>
      <c r="G2820" t="s">
        <v>3418</v>
      </c>
      <c r="H2820" t="s">
        <v>373</v>
      </c>
      <c r="I2820" t="s">
        <v>289</v>
      </c>
      <c r="J2820" t="s">
        <v>821</v>
      </c>
      <c r="K2820">
        <v>15</v>
      </c>
      <c r="L2820" s="6">
        <v>4.57</v>
      </c>
      <c r="M2820" s="7">
        <v>38.099999999999994</v>
      </c>
      <c r="N2820" s="7">
        <v>139.69999999999999</v>
      </c>
      <c r="O2820" s="7">
        <f t="shared" si="218"/>
        <v>179.9212598425197</v>
      </c>
      <c r="P2820" s="7">
        <f t="shared" si="219"/>
        <v>1.4999999999999998</v>
      </c>
      <c r="Q2820" s="7">
        <f t="shared" si="219"/>
        <v>5.5</v>
      </c>
      <c r="R2820" s="6">
        <f t="shared" si="220"/>
        <v>616.40099999999995</v>
      </c>
      <c r="S2820" s="6">
        <f t="shared" si="221"/>
        <v>2.4324144899999997E-2</v>
      </c>
      <c r="T2820" t="str">
        <f t="shared" si="222"/>
        <v>Maximo Thermo Ayous JPL S4S E4E 2x6 Long</v>
      </c>
    </row>
    <row r="2821" spans="1:20" x14ac:dyDescent="0.25">
      <c r="A2821" t="s">
        <v>3414</v>
      </c>
      <c r="B2821" t="s">
        <v>3584</v>
      </c>
      <c r="C2821" t="s">
        <v>283</v>
      </c>
      <c r="D2821" t="s">
        <v>3044</v>
      </c>
      <c r="E2821" t="s">
        <v>3592</v>
      </c>
      <c r="F2821" t="s">
        <v>3586</v>
      </c>
      <c r="G2821" t="s">
        <v>3418</v>
      </c>
      <c r="H2821" t="s">
        <v>373</v>
      </c>
      <c r="I2821" t="s">
        <v>289</v>
      </c>
      <c r="J2821" t="s">
        <v>821</v>
      </c>
      <c r="K2821">
        <v>16</v>
      </c>
      <c r="L2821" s="6">
        <v>4.88</v>
      </c>
      <c r="M2821" s="7">
        <v>38.099999999999994</v>
      </c>
      <c r="N2821" s="7">
        <v>139.69999999999999</v>
      </c>
      <c r="O2821" s="7">
        <f t="shared" si="218"/>
        <v>192.1259842519685</v>
      </c>
      <c r="P2821" s="7">
        <f t="shared" si="219"/>
        <v>1.4999999999999998</v>
      </c>
      <c r="Q2821" s="7">
        <f t="shared" si="219"/>
        <v>5.5</v>
      </c>
      <c r="R2821" s="6">
        <f t="shared" si="220"/>
        <v>616.40099999999995</v>
      </c>
      <c r="S2821" s="6">
        <f t="shared" si="221"/>
        <v>2.5974141599999997E-2</v>
      </c>
      <c r="T2821" t="str">
        <f t="shared" si="222"/>
        <v>Maximo Thermo Ayous JPL S4S E4E 2x6 Long</v>
      </c>
    </row>
    <row r="2822" spans="1:20" x14ac:dyDescent="0.25">
      <c r="A2822" t="s">
        <v>3414</v>
      </c>
      <c r="B2822" t="s">
        <v>3584</v>
      </c>
      <c r="C2822" t="s">
        <v>283</v>
      </c>
      <c r="D2822" t="s">
        <v>3044</v>
      </c>
      <c r="E2822" t="s">
        <v>3593</v>
      </c>
      <c r="F2822" t="s">
        <v>3586</v>
      </c>
      <c r="G2822" t="s">
        <v>3418</v>
      </c>
      <c r="H2822" t="s">
        <v>373</v>
      </c>
      <c r="I2822" t="s">
        <v>289</v>
      </c>
      <c r="J2822" t="s">
        <v>821</v>
      </c>
      <c r="K2822">
        <v>17</v>
      </c>
      <c r="L2822" s="6">
        <v>5.18</v>
      </c>
      <c r="M2822" s="7">
        <v>38.099999999999994</v>
      </c>
      <c r="N2822" s="7">
        <v>139.69999999999999</v>
      </c>
      <c r="O2822" s="7">
        <f t="shared" si="218"/>
        <v>203.93700787401573</v>
      </c>
      <c r="P2822" s="7">
        <f t="shared" si="219"/>
        <v>1.4999999999999998</v>
      </c>
      <c r="Q2822" s="7">
        <f t="shared" si="219"/>
        <v>5.5</v>
      </c>
      <c r="R2822" s="6">
        <f t="shared" si="220"/>
        <v>616.40099999999995</v>
      </c>
      <c r="S2822" s="6">
        <f t="shared" si="221"/>
        <v>2.757091259999999E-2</v>
      </c>
      <c r="T2822" t="str">
        <f t="shared" si="222"/>
        <v>Maximo Thermo Ayous JPL S4S E4E 2x6 Long</v>
      </c>
    </row>
    <row r="2823" spans="1:20" x14ac:dyDescent="0.25">
      <c r="A2823" t="s">
        <v>3414</v>
      </c>
      <c r="B2823" t="s">
        <v>3584</v>
      </c>
      <c r="C2823" t="s">
        <v>283</v>
      </c>
      <c r="D2823" t="s">
        <v>3044</v>
      </c>
      <c r="E2823" t="s">
        <v>3594</v>
      </c>
      <c r="F2823" t="s">
        <v>3586</v>
      </c>
      <c r="G2823" t="s">
        <v>3418</v>
      </c>
      <c r="H2823" t="s">
        <v>373</v>
      </c>
      <c r="I2823" t="s">
        <v>289</v>
      </c>
      <c r="J2823" t="s">
        <v>821</v>
      </c>
      <c r="K2823">
        <v>18</v>
      </c>
      <c r="L2823" s="6">
        <v>5.49</v>
      </c>
      <c r="M2823" s="7">
        <v>38.099999999999994</v>
      </c>
      <c r="N2823" s="7">
        <v>139.69999999999999</v>
      </c>
      <c r="O2823" s="7">
        <f t="shared" si="218"/>
        <v>216.14173228346459</v>
      </c>
      <c r="P2823" s="7">
        <f t="shared" si="219"/>
        <v>1.4999999999999998</v>
      </c>
      <c r="Q2823" s="7">
        <f t="shared" si="219"/>
        <v>5.5</v>
      </c>
      <c r="R2823" s="6">
        <f t="shared" si="220"/>
        <v>616.40099999999995</v>
      </c>
      <c r="S2823" s="6">
        <f t="shared" si="221"/>
        <v>2.9220909299999997E-2</v>
      </c>
      <c r="T2823" t="str">
        <f t="shared" si="222"/>
        <v>Maximo Thermo Ayous JPL S4S E4E 2x6 Long</v>
      </c>
    </row>
    <row r="2824" spans="1:20" x14ac:dyDescent="0.25">
      <c r="A2824" t="s">
        <v>3414</v>
      </c>
      <c r="B2824" t="s">
        <v>3584</v>
      </c>
      <c r="C2824" t="s">
        <v>283</v>
      </c>
      <c r="D2824" t="s">
        <v>3044</v>
      </c>
      <c r="E2824" t="s">
        <v>3595</v>
      </c>
      <c r="F2824" t="s">
        <v>3586</v>
      </c>
      <c r="G2824" t="s">
        <v>3418</v>
      </c>
      <c r="H2824" t="s">
        <v>373</v>
      </c>
      <c r="I2824" t="s">
        <v>289</v>
      </c>
      <c r="J2824" t="s">
        <v>821</v>
      </c>
      <c r="K2824">
        <v>19</v>
      </c>
      <c r="L2824" s="6">
        <v>5.79</v>
      </c>
      <c r="M2824" s="7">
        <v>38.099999999999994</v>
      </c>
      <c r="N2824" s="7">
        <v>139.69999999999999</v>
      </c>
      <c r="O2824" s="7">
        <f t="shared" si="218"/>
        <v>227.95275590551182</v>
      </c>
      <c r="P2824" s="7">
        <f t="shared" si="219"/>
        <v>1.4999999999999998</v>
      </c>
      <c r="Q2824" s="7">
        <f t="shared" si="219"/>
        <v>5.5</v>
      </c>
      <c r="R2824" s="6">
        <f t="shared" si="220"/>
        <v>616.40099999999995</v>
      </c>
      <c r="S2824" s="6">
        <f t="shared" si="221"/>
        <v>3.0817680299999994E-2</v>
      </c>
      <c r="T2824" t="str">
        <f t="shared" si="222"/>
        <v>Maximo Thermo Ayous JPL S4S E4E 2x6 Long</v>
      </c>
    </row>
    <row r="2825" spans="1:20" x14ac:dyDescent="0.25">
      <c r="A2825" t="s">
        <v>3414</v>
      </c>
      <c r="B2825" t="s">
        <v>3584</v>
      </c>
      <c r="C2825" t="s">
        <v>524</v>
      </c>
      <c r="D2825" t="s">
        <v>3044</v>
      </c>
      <c r="E2825" t="s">
        <v>3596</v>
      </c>
      <c r="F2825" t="s">
        <v>3586</v>
      </c>
      <c r="G2825" t="s">
        <v>3418</v>
      </c>
      <c r="H2825" t="s">
        <v>373</v>
      </c>
      <c r="I2825" t="s">
        <v>289</v>
      </c>
      <c r="J2825" t="s">
        <v>821</v>
      </c>
      <c r="K2825">
        <v>4</v>
      </c>
      <c r="L2825" s="6">
        <v>1.22</v>
      </c>
      <c r="M2825" s="7">
        <v>38.099999999999994</v>
      </c>
      <c r="N2825" s="7">
        <v>139.69999999999999</v>
      </c>
      <c r="O2825" s="7">
        <f t="shared" si="218"/>
        <v>48.031496062992126</v>
      </c>
      <c r="P2825" s="7">
        <f t="shared" si="219"/>
        <v>1.4999999999999998</v>
      </c>
      <c r="Q2825" s="7">
        <f t="shared" si="219"/>
        <v>5.5</v>
      </c>
      <c r="R2825" s="6">
        <f t="shared" si="220"/>
        <v>616.40099999999995</v>
      </c>
      <c r="S2825" s="6">
        <f t="shared" si="221"/>
        <v>6.4935353999999992E-3</v>
      </c>
      <c r="T2825" t="str">
        <f t="shared" si="222"/>
        <v>Maximo Thermo Ayous JPL S4S E4E 2x6 Short</v>
      </c>
    </row>
    <row r="2826" spans="1:20" x14ac:dyDescent="0.25">
      <c r="A2826" t="s">
        <v>3414</v>
      </c>
      <c r="B2826" t="s">
        <v>3584</v>
      </c>
      <c r="C2826" t="s">
        <v>524</v>
      </c>
      <c r="D2826" t="s">
        <v>3044</v>
      </c>
      <c r="E2826" t="s">
        <v>3597</v>
      </c>
      <c r="F2826" t="s">
        <v>3586</v>
      </c>
      <c r="G2826" t="s">
        <v>3418</v>
      </c>
      <c r="H2826" t="s">
        <v>373</v>
      </c>
      <c r="I2826" t="s">
        <v>289</v>
      </c>
      <c r="J2826" t="s">
        <v>821</v>
      </c>
      <c r="K2826">
        <v>5</v>
      </c>
      <c r="L2826" s="6">
        <v>1.52</v>
      </c>
      <c r="M2826" s="7">
        <v>38.099999999999994</v>
      </c>
      <c r="N2826" s="7">
        <v>139.69999999999999</v>
      </c>
      <c r="O2826" s="7">
        <f t="shared" si="218"/>
        <v>59.84251968503937</v>
      </c>
      <c r="P2826" s="7">
        <f t="shared" si="219"/>
        <v>1.4999999999999998</v>
      </c>
      <c r="Q2826" s="7">
        <f t="shared" si="219"/>
        <v>5.5</v>
      </c>
      <c r="R2826" s="6">
        <f t="shared" si="220"/>
        <v>616.40099999999995</v>
      </c>
      <c r="S2826" s="6">
        <f t="shared" si="221"/>
        <v>8.0903063999999969E-3</v>
      </c>
      <c r="T2826" t="str">
        <f t="shared" si="222"/>
        <v>Maximo Thermo Ayous JPL S4S E4E 2x6 Short</v>
      </c>
    </row>
    <row r="2827" spans="1:20" x14ac:dyDescent="0.25">
      <c r="A2827" t="s">
        <v>3414</v>
      </c>
      <c r="B2827" t="s">
        <v>3584</v>
      </c>
      <c r="C2827" t="s">
        <v>524</v>
      </c>
      <c r="D2827" t="s">
        <v>3044</v>
      </c>
      <c r="E2827" t="s">
        <v>3598</v>
      </c>
      <c r="F2827" t="s">
        <v>3586</v>
      </c>
      <c r="G2827" t="s">
        <v>3418</v>
      </c>
      <c r="H2827" t="s">
        <v>373</v>
      </c>
      <c r="I2827" t="s">
        <v>289</v>
      </c>
      <c r="J2827" t="s">
        <v>821</v>
      </c>
      <c r="K2827">
        <v>6</v>
      </c>
      <c r="L2827" s="6">
        <v>1.83</v>
      </c>
      <c r="M2827" s="7">
        <v>38.099999999999994</v>
      </c>
      <c r="N2827" s="7">
        <v>139.69999999999999</v>
      </c>
      <c r="O2827" s="7">
        <f t="shared" si="218"/>
        <v>72.047244094488192</v>
      </c>
      <c r="P2827" s="7">
        <f t="shared" si="219"/>
        <v>1.4999999999999998</v>
      </c>
      <c r="Q2827" s="7">
        <f t="shared" si="219"/>
        <v>5.5</v>
      </c>
      <c r="R2827" s="6">
        <f t="shared" si="220"/>
        <v>616.40099999999995</v>
      </c>
      <c r="S2827" s="6">
        <f t="shared" si="221"/>
        <v>9.7403030999999984E-3</v>
      </c>
      <c r="T2827" t="str">
        <f t="shared" si="222"/>
        <v>Maximo Thermo Ayous JPL S4S E4E 2x6 Short</v>
      </c>
    </row>
    <row r="2828" spans="1:20" x14ac:dyDescent="0.25">
      <c r="A2828" t="s">
        <v>3414</v>
      </c>
      <c r="B2828" t="s">
        <v>3584</v>
      </c>
      <c r="C2828" t="s">
        <v>524</v>
      </c>
      <c r="D2828" t="s">
        <v>3044</v>
      </c>
      <c r="E2828" t="s">
        <v>3599</v>
      </c>
      <c r="F2828" t="s">
        <v>3586</v>
      </c>
      <c r="G2828" t="s">
        <v>3418</v>
      </c>
      <c r="H2828" t="s">
        <v>373</v>
      </c>
      <c r="I2828" t="s">
        <v>289</v>
      </c>
      <c r="J2828" t="s">
        <v>821</v>
      </c>
      <c r="K2828">
        <v>7</v>
      </c>
      <c r="L2828" s="6">
        <v>2.13</v>
      </c>
      <c r="M2828" s="7">
        <v>38.099999999999994</v>
      </c>
      <c r="N2828" s="7">
        <v>139.69999999999999</v>
      </c>
      <c r="O2828" s="7">
        <f t="shared" si="218"/>
        <v>83.858267716535437</v>
      </c>
      <c r="P2828" s="7">
        <f t="shared" si="219"/>
        <v>1.4999999999999998</v>
      </c>
      <c r="Q2828" s="7">
        <f t="shared" si="219"/>
        <v>5.5</v>
      </c>
      <c r="R2828" s="6">
        <f t="shared" si="220"/>
        <v>616.40099999999995</v>
      </c>
      <c r="S2828" s="6">
        <f t="shared" si="221"/>
        <v>1.1337074099999995E-2</v>
      </c>
      <c r="T2828" t="str">
        <f t="shared" si="222"/>
        <v>Maximo Thermo Ayous JPL S4S E4E 2x6 Short</v>
      </c>
    </row>
    <row r="2829" spans="1:20" x14ac:dyDescent="0.25">
      <c r="A2829" t="s">
        <v>3414</v>
      </c>
      <c r="B2829" t="s">
        <v>3584</v>
      </c>
      <c r="C2829" t="s">
        <v>283</v>
      </c>
      <c r="D2829" t="s">
        <v>3044</v>
      </c>
      <c r="E2829" t="s">
        <v>3600</v>
      </c>
      <c r="F2829" t="s">
        <v>3586</v>
      </c>
      <c r="G2829" t="s">
        <v>3418</v>
      </c>
      <c r="H2829" t="s">
        <v>373</v>
      </c>
      <c r="I2829" t="s">
        <v>289</v>
      </c>
      <c r="J2829" t="s">
        <v>821</v>
      </c>
      <c r="K2829">
        <v>8</v>
      </c>
      <c r="L2829" s="6">
        <v>2.44</v>
      </c>
      <c r="M2829" s="7">
        <v>38.099999999999994</v>
      </c>
      <c r="N2829" s="7">
        <v>139.69999999999999</v>
      </c>
      <c r="O2829" s="7">
        <f t="shared" si="218"/>
        <v>96.062992125984252</v>
      </c>
      <c r="P2829" s="7">
        <f t="shared" si="219"/>
        <v>1.4999999999999998</v>
      </c>
      <c r="Q2829" s="7">
        <f t="shared" si="219"/>
        <v>5.5</v>
      </c>
      <c r="R2829" s="6">
        <f t="shared" si="220"/>
        <v>616.40099999999995</v>
      </c>
      <c r="S2829" s="6">
        <f t="shared" si="221"/>
        <v>1.2987070799999998E-2</v>
      </c>
      <c r="T2829" t="str">
        <f t="shared" si="222"/>
        <v>Maximo Thermo Ayous JPL S4S E4E 2x6 Long</v>
      </c>
    </row>
    <row r="2830" spans="1:20" x14ac:dyDescent="0.25">
      <c r="A2830" t="s">
        <v>3414</v>
      </c>
      <c r="B2830" t="s">
        <v>3584</v>
      </c>
      <c r="C2830" t="s">
        <v>283</v>
      </c>
      <c r="D2830" t="s">
        <v>3044</v>
      </c>
      <c r="E2830" t="s">
        <v>3601</v>
      </c>
      <c r="F2830" t="s">
        <v>3586</v>
      </c>
      <c r="G2830" t="s">
        <v>3418</v>
      </c>
      <c r="H2830" t="s">
        <v>373</v>
      </c>
      <c r="I2830" t="s">
        <v>289</v>
      </c>
      <c r="J2830" t="s">
        <v>821</v>
      </c>
      <c r="K2830">
        <v>9</v>
      </c>
      <c r="L2830" s="6">
        <v>2.74</v>
      </c>
      <c r="M2830" s="7">
        <v>38.099999999999994</v>
      </c>
      <c r="N2830" s="7">
        <v>139.69999999999999</v>
      </c>
      <c r="O2830" s="7">
        <f t="shared" si="218"/>
        <v>107.87401574803151</v>
      </c>
      <c r="P2830" s="7">
        <f t="shared" si="219"/>
        <v>1.4999999999999998</v>
      </c>
      <c r="Q2830" s="7">
        <f t="shared" si="219"/>
        <v>5.5</v>
      </c>
      <c r="R2830" s="6">
        <f t="shared" si="220"/>
        <v>616.40099999999995</v>
      </c>
      <c r="S2830" s="6">
        <f t="shared" si="221"/>
        <v>1.4583841799999997E-2</v>
      </c>
      <c r="T2830" t="str">
        <f t="shared" si="222"/>
        <v>Maximo Thermo Ayous JPL S4S E4E 2x6 Long</v>
      </c>
    </row>
    <row r="2831" spans="1:20" x14ac:dyDescent="0.25">
      <c r="A2831" t="s">
        <v>3414</v>
      </c>
      <c r="B2831" t="s">
        <v>3602</v>
      </c>
      <c r="C2831" t="s">
        <v>283</v>
      </c>
      <c r="D2831" t="s">
        <v>3044</v>
      </c>
      <c r="E2831" t="s">
        <v>3603</v>
      </c>
      <c r="F2831" t="s">
        <v>3604</v>
      </c>
      <c r="G2831" t="s">
        <v>3418</v>
      </c>
      <c r="H2831" t="s">
        <v>373</v>
      </c>
      <c r="I2831" t="s">
        <v>289</v>
      </c>
      <c r="J2831" t="s">
        <v>1968</v>
      </c>
      <c r="K2831">
        <v>10</v>
      </c>
      <c r="L2831" s="6">
        <v>3.05</v>
      </c>
      <c r="M2831" s="7">
        <v>25.4</v>
      </c>
      <c r="N2831" s="7">
        <v>88.899999999999991</v>
      </c>
      <c r="O2831" s="7">
        <f t="shared" si="218"/>
        <v>120.07874015748031</v>
      </c>
      <c r="P2831" s="7">
        <f t="shared" si="219"/>
        <v>1</v>
      </c>
      <c r="Q2831" s="7">
        <f t="shared" si="219"/>
        <v>3.5</v>
      </c>
      <c r="R2831" s="6">
        <f t="shared" si="220"/>
        <v>1452.9459999999999</v>
      </c>
      <c r="S2831" s="6">
        <f t="shared" si="221"/>
        <v>6.8870829999999978E-3</v>
      </c>
      <c r="T2831" t="str">
        <f t="shared" si="222"/>
        <v>Maximo Thermo Ayous JPL S4S E4E 5/4x4 Long</v>
      </c>
    </row>
    <row r="2832" spans="1:20" x14ac:dyDescent="0.25">
      <c r="A2832" t="s">
        <v>3414</v>
      </c>
      <c r="B2832" t="s">
        <v>3602</v>
      </c>
      <c r="C2832" t="s">
        <v>283</v>
      </c>
      <c r="D2832" t="s">
        <v>3044</v>
      </c>
      <c r="E2832" t="s">
        <v>3605</v>
      </c>
      <c r="F2832" t="s">
        <v>3604</v>
      </c>
      <c r="G2832" t="s">
        <v>3418</v>
      </c>
      <c r="H2832" t="s">
        <v>373</v>
      </c>
      <c r="I2832" t="s">
        <v>289</v>
      </c>
      <c r="J2832" t="s">
        <v>1968</v>
      </c>
      <c r="K2832">
        <v>11</v>
      </c>
      <c r="L2832" s="6">
        <v>3.35</v>
      </c>
      <c r="M2832" s="7">
        <v>25.4</v>
      </c>
      <c r="N2832" s="7">
        <v>88.899999999999991</v>
      </c>
      <c r="O2832" s="7">
        <f t="shared" si="218"/>
        <v>131.88976377952756</v>
      </c>
      <c r="P2832" s="7">
        <f t="shared" si="219"/>
        <v>1</v>
      </c>
      <c r="Q2832" s="7">
        <f t="shared" si="219"/>
        <v>3.5</v>
      </c>
      <c r="R2832" s="6">
        <f t="shared" si="220"/>
        <v>1452.9459999999999</v>
      </c>
      <c r="S2832" s="6">
        <f t="shared" si="221"/>
        <v>7.5645009999999986E-3</v>
      </c>
      <c r="T2832" t="str">
        <f t="shared" si="222"/>
        <v>Maximo Thermo Ayous JPL S4S E4E 5/4x4 Long</v>
      </c>
    </row>
    <row r="2833" spans="1:20" x14ac:dyDescent="0.25">
      <c r="A2833" t="s">
        <v>3414</v>
      </c>
      <c r="B2833" t="s">
        <v>3602</v>
      </c>
      <c r="C2833" t="s">
        <v>283</v>
      </c>
      <c r="D2833" t="s">
        <v>3044</v>
      </c>
      <c r="E2833" t="s">
        <v>3606</v>
      </c>
      <c r="F2833" t="s">
        <v>3604</v>
      </c>
      <c r="G2833" t="s">
        <v>3418</v>
      </c>
      <c r="H2833" t="s">
        <v>373</v>
      </c>
      <c r="I2833" t="s">
        <v>289</v>
      </c>
      <c r="J2833" t="s">
        <v>1968</v>
      </c>
      <c r="K2833">
        <v>12</v>
      </c>
      <c r="L2833" s="6">
        <v>3.66</v>
      </c>
      <c r="M2833" s="7">
        <v>25.4</v>
      </c>
      <c r="N2833" s="7">
        <v>88.899999999999991</v>
      </c>
      <c r="O2833" s="7">
        <f t="shared" si="218"/>
        <v>144.09448818897638</v>
      </c>
      <c r="P2833" s="7">
        <f t="shared" si="219"/>
        <v>1</v>
      </c>
      <c r="Q2833" s="7">
        <f t="shared" si="219"/>
        <v>3.5</v>
      </c>
      <c r="R2833" s="6">
        <f t="shared" si="220"/>
        <v>1452.9459999999999</v>
      </c>
      <c r="S2833" s="6">
        <f t="shared" si="221"/>
        <v>8.2644995999999991E-3</v>
      </c>
      <c r="T2833" t="str">
        <f t="shared" si="222"/>
        <v>Maximo Thermo Ayous JPL S4S E4E 5/4x4 Long</v>
      </c>
    </row>
    <row r="2834" spans="1:20" x14ac:dyDescent="0.25">
      <c r="A2834" t="s">
        <v>3414</v>
      </c>
      <c r="B2834" t="s">
        <v>3602</v>
      </c>
      <c r="C2834" t="s">
        <v>283</v>
      </c>
      <c r="D2834" t="s">
        <v>3044</v>
      </c>
      <c r="E2834" t="s">
        <v>3607</v>
      </c>
      <c r="F2834" t="s">
        <v>3604</v>
      </c>
      <c r="G2834" t="s">
        <v>3418</v>
      </c>
      <c r="H2834" t="s">
        <v>373</v>
      </c>
      <c r="I2834" t="s">
        <v>289</v>
      </c>
      <c r="J2834" t="s">
        <v>1968</v>
      </c>
      <c r="K2834">
        <v>13</v>
      </c>
      <c r="L2834" s="6">
        <v>3.96</v>
      </c>
      <c r="M2834" s="7">
        <v>25.4</v>
      </c>
      <c r="N2834" s="7">
        <v>88.899999999999991</v>
      </c>
      <c r="O2834" s="7">
        <f t="shared" si="218"/>
        <v>155.90551181102362</v>
      </c>
      <c r="P2834" s="7">
        <f t="shared" si="219"/>
        <v>1</v>
      </c>
      <c r="Q2834" s="7">
        <f t="shared" si="219"/>
        <v>3.5</v>
      </c>
      <c r="R2834" s="6">
        <f t="shared" si="220"/>
        <v>1452.9459999999999</v>
      </c>
      <c r="S2834" s="6">
        <f t="shared" si="221"/>
        <v>8.9419175999999982E-3</v>
      </c>
      <c r="T2834" t="str">
        <f t="shared" si="222"/>
        <v>Maximo Thermo Ayous JPL S4S E4E 5/4x4 Long</v>
      </c>
    </row>
    <row r="2835" spans="1:20" x14ac:dyDescent="0.25">
      <c r="A2835" t="s">
        <v>3414</v>
      </c>
      <c r="B2835" t="s">
        <v>3602</v>
      </c>
      <c r="C2835" t="s">
        <v>283</v>
      </c>
      <c r="D2835" t="s">
        <v>3044</v>
      </c>
      <c r="E2835" t="s">
        <v>3608</v>
      </c>
      <c r="F2835" t="s">
        <v>3604</v>
      </c>
      <c r="G2835" t="s">
        <v>3418</v>
      </c>
      <c r="H2835" t="s">
        <v>373</v>
      </c>
      <c r="I2835" t="s">
        <v>289</v>
      </c>
      <c r="J2835" t="s">
        <v>1968</v>
      </c>
      <c r="K2835">
        <v>14</v>
      </c>
      <c r="L2835" s="6">
        <v>4.2699999999999996</v>
      </c>
      <c r="M2835" s="7">
        <v>25.4</v>
      </c>
      <c r="N2835" s="7">
        <v>88.899999999999991</v>
      </c>
      <c r="O2835" s="7">
        <f t="shared" si="218"/>
        <v>168.11023622047244</v>
      </c>
      <c r="P2835" s="7">
        <f t="shared" si="219"/>
        <v>1</v>
      </c>
      <c r="Q2835" s="7">
        <f t="shared" si="219"/>
        <v>3.5</v>
      </c>
      <c r="R2835" s="6">
        <f t="shared" si="220"/>
        <v>1452.9459999999999</v>
      </c>
      <c r="S2835" s="6">
        <f t="shared" si="221"/>
        <v>9.6419161999999978E-3</v>
      </c>
      <c r="T2835" t="str">
        <f t="shared" si="222"/>
        <v>Maximo Thermo Ayous JPL S4S E4E 5/4x4 Long</v>
      </c>
    </row>
    <row r="2836" spans="1:20" x14ac:dyDescent="0.25">
      <c r="A2836" t="s">
        <v>3414</v>
      </c>
      <c r="B2836" t="s">
        <v>3602</v>
      </c>
      <c r="C2836" t="s">
        <v>283</v>
      </c>
      <c r="D2836" t="s">
        <v>3044</v>
      </c>
      <c r="E2836" t="s">
        <v>3609</v>
      </c>
      <c r="F2836" t="s">
        <v>3604</v>
      </c>
      <c r="G2836" t="s">
        <v>3418</v>
      </c>
      <c r="H2836" t="s">
        <v>373</v>
      </c>
      <c r="I2836" t="s">
        <v>289</v>
      </c>
      <c r="J2836" t="s">
        <v>1968</v>
      </c>
      <c r="K2836">
        <v>15</v>
      </c>
      <c r="L2836" s="6">
        <v>4.57</v>
      </c>
      <c r="M2836" s="7">
        <v>25.4</v>
      </c>
      <c r="N2836" s="7">
        <v>88.899999999999991</v>
      </c>
      <c r="O2836" s="7">
        <f t="shared" si="218"/>
        <v>179.9212598425197</v>
      </c>
      <c r="P2836" s="7">
        <f t="shared" si="219"/>
        <v>1</v>
      </c>
      <c r="Q2836" s="7">
        <f t="shared" si="219"/>
        <v>3.5</v>
      </c>
      <c r="R2836" s="6">
        <f t="shared" si="220"/>
        <v>1452.9459999999999</v>
      </c>
      <c r="S2836" s="6">
        <f t="shared" si="221"/>
        <v>1.0319334199999999E-2</v>
      </c>
      <c r="T2836" t="str">
        <f t="shared" si="222"/>
        <v>Maximo Thermo Ayous JPL S4S E4E 5/4x4 Long</v>
      </c>
    </row>
    <row r="2837" spans="1:20" x14ac:dyDescent="0.25">
      <c r="A2837" t="s">
        <v>3414</v>
      </c>
      <c r="B2837" t="s">
        <v>3602</v>
      </c>
      <c r="C2837" t="s">
        <v>283</v>
      </c>
      <c r="D2837" t="s">
        <v>3044</v>
      </c>
      <c r="E2837" t="s">
        <v>3610</v>
      </c>
      <c r="F2837" t="s">
        <v>3604</v>
      </c>
      <c r="G2837" t="s">
        <v>3418</v>
      </c>
      <c r="H2837" t="s">
        <v>373</v>
      </c>
      <c r="I2837" t="s">
        <v>289</v>
      </c>
      <c r="J2837" t="s">
        <v>1968</v>
      </c>
      <c r="K2837">
        <v>16</v>
      </c>
      <c r="L2837" s="6">
        <v>4.88</v>
      </c>
      <c r="M2837" s="7">
        <v>25.4</v>
      </c>
      <c r="N2837" s="7">
        <v>88.899999999999991</v>
      </c>
      <c r="O2837" s="7">
        <f t="shared" si="218"/>
        <v>192.1259842519685</v>
      </c>
      <c r="P2837" s="7">
        <f t="shared" si="219"/>
        <v>1</v>
      </c>
      <c r="Q2837" s="7">
        <f t="shared" si="219"/>
        <v>3.5</v>
      </c>
      <c r="R2837" s="6">
        <f t="shared" si="220"/>
        <v>1452.9459999999999</v>
      </c>
      <c r="S2837" s="6">
        <f t="shared" si="221"/>
        <v>1.1019332799999997E-2</v>
      </c>
      <c r="T2837" t="str">
        <f t="shared" si="222"/>
        <v>Maximo Thermo Ayous JPL S4S E4E 5/4x4 Long</v>
      </c>
    </row>
    <row r="2838" spans="1:20" x14ac:dyDescent="0.25">
      <c r="A2838" t="s">
        <v>3414</v>
      </c>
      <c r="B2838" t="s">
        <v>3602</v>
      </c>
      <c r="C2838" t="s">
        <v>283</v>
      </c>
      <c r="D2838" t="s">
        <v>3044</v>
      </c>
      <c r="E2838" t="s">
        <v>3611</v>
      </c>
      <c r="F2838" t="s">
        <v>3604</v>
      </c>
      <c r="G2838" t="s">
        <v>3418</v>
      </c>
      <c r="H2838" t="s">
        <v>373</v>
      </c>
      <c r="I2838" t="s">
        <v>289</v>
      </c>
      <c r="J2838" t="s">
        <v>1968</v>
      </c>
      <c r="K2838">
        <v>17</v>
      </c>
      <c r="L2838" s="6">
        <v>5.18</v>
      </c>
      <c r="M2838" s="7">
        <v>25.4</v>
      </c>
      <c r="N2838" s="7">
        <v>88.899999999999991</v>
      </c>
      <c r="O2838" s="7">
        <f t="shared" si="218"/>
        <v>203.93700787401573</v>
      </c>
      <c r="P2838" s="7">
        <f t="shared" si="219"/>
        <v>1</v>
      </c>
      <c r="Q2838" s="7">
        <f t="shared" si="219"/>
        <v>3.5</v>
      </c>
      <c r="R2838" s="6">
        <f t="shared" si="220"/>
        <v>1452.9459999999999</v>
      </c>
      <c r="S2838" s="6">
        <f t="shared" si="221"/>
        <v>1.1696750799999997E-2</v>
      </c>
      <c r="T2838" t="str">
        <f t="shared" si="222"/>
        <v>Maximo Thermo Ayous JPL S4S E4E 5/4x4 Long</v>
      </c>
    </row>
    <row r="2839" spans="1:20" x14ac:dyDescent="0.25">
      <c r="A2839" t="s">
        <v>3414</v>
      </c>
      <c r="B2839" t="s">
        <v>3602</v>
      </c>
      <c r="C2839" t="s">
        <v>283</v>
      </c>
      <c r="D2839" t="s">
        <v>3044</v>
      </c>
      <c r="E2839" t="s">
        <v>3612</v>
      </c>
      <c r="F2839" t="s">
        <v>3604</v>
      </c>
      <c r="G2839" t="s">
        <v>3418</v>
      </c>
      <c r="H2839" t="s">
        <v>373</v>
      </c>
      <c r="I2839" t="s">
        <v>289</v>
      </c>
      <c r="J2839" t="s">
        <v>1968</v>
      </c>
      <c r="K2839">
        <v>18</v>
      </c>
      <c r="L2839" s="6">
        <v>5.49</v>
      </c>
      <c r="M2839" s="7">
        <v>25.4</v>
      </c>
      <c r="N2839" s="7">
        <v>88.899999999999991</v>
      </c>
      <c r="O2839" s="7">
        <f t="shared" si="218"/>
        <v>216.14173228346459</v>
      </c>
      <c r="P2839" s="7">
        <f t="shared" si="219"/>
        <v>1</v>
      </c>
      <c r="Q2839" s="7">
        <f t="shared" si="219"/>
        <v>3.5</v>
      </c>
      <c r="R2839" s="6">
        <f t="shared" si="220"/>
        <v>1452.9459999999999</v>
      </c>
      <c r="S2839" s="6">
        <f t="shared" si="221"/>
        <v>1.2396749399999997E-2</v>
      </c>
      <c r="T2839" t="str">
        <f t="shared" si="222"/>
        <v>Maximo Thermo Ayous JPL S4S E4E 5/4x4 Long</v>
      </c>
    </row>
    <row r="2840" spans="1:20" x14ac:dyDescent="0.25">
      <c r="A2840" t="s">
        <v>3414</v>
      </c>
      <c r="B2840" t="s">
        <v>3602</v>
      </c>
      <c r="C2840" t="s">
        <v>524</v>
      </c>
      <c r="D2840" t="s">
        <v>3044</v>
      </c>
      <c r="E2840" t="s">
        <v>3613</v>
      </c>
      <c r="F2840" t="s">
        <v>3604</v>
      </c>
      <c r="G2840" t="s">
        <v>3418</v>
      </c>
      <c r="H2840" t="s">
        <v>373</v>
      </c>
      <c r="I2840" t="s">
        <v>289</v>
      </c>
      <c r="J2840" t="s">
        <v>1968</v>
      </c>
      <c r="K2840">
        <v>4</v>
      </c>
      <c r="L2840" s="6">
        <v>1.22</v>
      </c>
      <c r="M2840" s="7">
        <v>25.4</v>
      </c>
      <c r="N2840" s="7">
        <v>88.899999999999991</v>
      </c>
      <c r="O2840" s="7">
        <f t="shared" si="218"/>
        <v>48.031496062992126</v>
      </c>
      <c r="P2840" s="7">
        <f t="shared" si="219"/>
        <v>1</v>
      </c>
      <c r="Q2840" s="7">
        <f t="shared" si="219"/>
        <v>3.5</v>
      </c>
      <c r="R2840" s="6">
        <f t="shared" si="220"/>
        <v>1452.9459999999999</v>
      </c>
      <c r="S2840" s="6">
        <f t="shared" si="221"/>
        <v>2.7548331999999991E-3</v>
      </c>
      <c r="T2840" t="str">
        <f t="shared" si="222"/>
        <v>Maximo Thermo Ayous JPL S4S E4E 5/4x4 Short</v>
      </c>
    </row>
    <row r="2841" spans="1:20" x14ac:dyDescent="0.25">
      <c r="A2841" t="s">
        <v>3414</v>
      </c>
      <c r="B2841" t="s">
        <v>3602</v>
      </c>
      <c r="C2841" t="s">
        <v>524</v>
      </c>
      <c r="D2841" t="s">
        <v>3044</v>
      </c>
      <c r="E2841" t="s">
        <v>3614</v>
      </c>
      <c r="F2841" t="s">
        <v>3604</v>
      </c>
      <c r="G2841" t="s">
        <v>3418</v>
      </c>
      <c r="H2841" t="s">
        <v>373</v>
      </c>
      <c r="I2841" t="s">
        <v>289</v>
      </c>
      <c r="J2841" t="s">
        <v>1968</v>
      </c>
      <c r="K2841">
        <v>5</v>
      </c>
      <c r="L2841" s="6">
        <v>1.52</v>
      </c>
      <c r="M2841" s="7">
        <v>25.4</v>
      </c>
      <c r="N2841" s="7">
        <v>88.899999999999991</v>
      </c>
      <c r="O2841" s="7">
        <f t="shared" si="218"/>
        <v>59.84251968503937</v>
      </c>
      <c r="P2841" s="7">
        <f t="shared" si="219"/>
        <v>1</v>
      </c>
      <c r="Q2841" s="7">
        <f t="shared" si="219"/>
        <v>3.5</v>
      </c>
      <c r="R2841" s="6">
        <f t="shared" si="220"/>
        <v>1452.9459999999999</v>
      </c>
      <c r="S2841" s="6">
        <f t="shared" si="221"/>
        <v>3.4322511999999991E-3</v>
      </c>
      <c r="T2841" t="str">
        <f t="shared" si="222"/>
        <v>Maximo Thermo Ayous JPL S4S E4E 5/4x4 Short</v>
      </c>
    </row>
    <row r="2842" spans="1:20" x14ac:dyDescent="0.25">
      <c r="A2842" t="s">
        <v>3414</v>
      </c>
      <c r="B2842" t="s">
        <v>3602</v>
      </c>
      <c r="C2842" t="s">
        <v>524</v>
      </c>
      <c r="D2842" t="s">
        <v>3044</v>
      </c>
      <c r="E2842" t="s">
        <v>3615</v>
      </c>
      <c r="F2842" t="s">
        <v>3604</v>
      </c>
      <c r="G2842" t="s">
        <v>3418</v>
      </c>
      <c r="H2842" t="s">
        <v>373</v>
      </c>
      <c r="I2842" t="s">
        <v>289</v>
      </c>
      <c r="J2842" t="s">
        <v>1968</v>
      </c>
      <c r="K2842">
        <v>6</v>
      </c>
      <c r="L2842" s="6">
        <v>1.83</v>
      </c>
      <c r="M2842" s="7">
        <v>25.4</v>
      </c>
      <c r="N2842" s="7">
        <v>88.899999999999991</v>
      </c>
      <c r="O2842" s="7">
        <f t="shared" si="218"/>
        <v>72.047244094488192</v>
      </c>
      <c r="P2842" s="7">
        <f t="shared" si="219"/>
        <v>1</v>
      </c>
      <c r="Q2842" s="7">
        <f t="shared" si="219"/>
        <v>3.5</v>
      </c>
      <c r="R2842" s="6">
        <f t="shared" si="220"/>
        <v>1452.9459999999999</v>
      </c>
      <c r="S2842" s="6">
        <f t="shared" si="221"/>
        <v>4.1322497999999996E-3</v>
      </c>
      <c r="T2842" t="str">
        <f t="shared" si="222"/>
        <v>Maximo Thermo Ayous JPL S4S E4E 5/4x4 Short</v>
      </c>
    </row>
    <row r="2843" spans="1:20" x14ac:dyDescent="0.25">
      <c r="A2843" t="s">
        <v>3414</v>
      </c>
      <c r="B2843" t="s">
        <v>3602</v>
      </c>
      <c r="C2843" t="s">
        <v>524</v>
      </c>
      <c r="D2843" t="s">
        <v>3044</v>
      </c>
      <c r="E2843" t="s">
        <v>3616</v>
      </c>
      <c r="F2843" t="s">
        <v>3604</v>
      </c>
      <c r="G2843" t="s">
        <v>3418</v>
      </c>
      <c r="H2843" t="s">
        <v>373</v>
      </c>
      <c r="I2843" t="s">
        <v>289</v>
      </c>
      <c r="J2843" t="s">
        <v>1968</v>
      </c>
      <c r="K2843">
        <v>7</v>
      </c>
      <c r="L2843" s="6">
        <v>2.13</v>
      </c>
      <c r="M2843" s="7">
        <v>25.4</v>
      </c>
      <c r="N2843" s="7">
        <v>88.899999999999991</v>
      </c>
      <c r="O2843" s="7">
        <f t="shared" si="218"/>
        <v>83.858267716535437</v>
      </c>
      <c r="P2843" s="7">
        <f t="shared" si="219"/>
        <v>1</v>
      </c>
      <c r="Q2843" s="7">
        <f t="shared" si="219"/>
        <v>3.5</v>
      </c>
      <c r="R2843" s="6">
        <f t="shared" si="220"/>
        <v>1452.9459999999999</v>
      </c>
      <c r="S2843" s="6">
        <f t="shared" si="221"/>
        <v>4.8096677999999995E-3</v>
      </c>
      <c r="T2843" t="str">
        <f t="shared" si="222"/>
        <v>Maximo Thermo Ayous JPL S4S E4E 5/4x4 Short</v>
      </c>
    </row>
    <row r="2844" spans="1:20" x14ac:dyDescent="0.25">
      <c r="A2844" t="s">
        <v>3414</v>
      </c>
      <c r="B2844" t="s">
        <v>3602</v>
      </c>
      <c r="C2844" t="s">
        <v>283</v>
      </c>
      <c r="D2844" t="s">
        <v>3044</v>
      </c>
      <c r="E2844" t="s">
        <v>3617</v>
      </c>
      <c r="F2844" t="s">
        <v>3604</v>
      </c>
      <c r="G2844" t="s">
        <v>3418</v>
      </c>
      <c r="H2844" t="s">
        <v>373</v>
      </c>
      <c r="I2844" t="s">
        <v>289</v>
      </c>
      <c r="J2844" t="s">
        <v>1968</v>
      </c>
      <c r="K2844">
        <v>8</v>
      </c>
      <c r="L2844" s="6">
        <v>2.44</v>
      </c>
      <c r="M2844" s="7">
        <v>25.4</v>
      </c>
      <c r="N2844" s="7">
        <v>88.899999999999991</v>
      </c>
      <c r="O2844" s="7">
        <f t="shared" si="218"/>
        <v>96.062992125984252</v>
      </c>
      <c r="P2844" s="7">
        <f t="shared" si="219"/>
        <v>1</v>
      </c>
      <c r="Q2844" s="7">
        <f t="shared" si="219"/>
        <v>3.5</v>
      </c>
      <c r="R2844" s="6">
        <f t="shared" si="220"/>
        <v>1452.9459999999999</v>
      </c>
      <c r="S2844" s="6">
        <f t="shared" si="221"/>
        <v>5.5096663999999983E-3</v>
      </c>
      <c r="T2844" t="str">
        <f t="shared" si="222"/>
        <v>Maximo Thermo Ayous JPL S4S E4E 5/4x4 Long</v>
      </c>
    </row>
    <row r="2845" spans="1:20" x14ac:dyDescent="0.25">
      <c r="A2845" t="s">
        <v>3414</v>
      </c>
      <c r="B2845" t="s">
        <v>3602</v>
      </c>
      <c r="C2845" t="s">
        <v>283</v>
      </c>
      <c r="D2845" t="s">
        <v>3044</v>
      </c>
      <c r="E2845" t="s">
        <v>3618</v>
      </c>
      <c r="F2845" t="s">
        <v>3604</v>
      </c>
      <c r="G2845" t="s">
        <v>3418</v>
      </c>
      <c r="H2845" t="s">
        <v>373</v>
      </c>
      <c r="I2845" t="s">
        <v>289</v>
      </c>
      <c r="J2845" t="s">
        <v>1968</v>
      </c>
      <c r="K2845">
        <v>9</v>
      </c>
      <c r="L2845" s="6">
        <v>2.74</v>
      </c>
      <c r="M2845" s="7">
        <v>25.4</v>
      </c>
      <c r="N2845" s="7">
        <v>88.899999999999991</v>
      </c>
      <c r="O2845" s="7">
        <f t="shared" si="218"/>
        <v>107.87401574803151</v>
      </c>
      <c r="P2845" s="7">
        <f t="shared" si="219"/>
        <v>1</v>
      </c>
      <c r="Q2845" s="7">
        <f t="shared" si="219"/>
        <v>3.5</v>
      </c>
      <c r="R2845" s="6">
        <f t="shared" si="220"/>
        <v>1452.9459999999999</v>
      </c>
      <c r="S2845" s="6">
        <f t="shared" si="221"/>
        <v>6.1870843999999999E-3</v>
      </c>
      <c r="T2845" t="str">
        <f t="shared" si="222"/>
        <v>Maximo Thermo Ayous JPL S4S E4E 5/4x4 Long</v>
      </c>
    </row>
    <row r="2846" spans="1:20" x14ac:dyDescent="0.25">
      <c r="A2846" t="s">
        <v>3414</v>
      </c>
      <c r="B2846" t="s">
        <v>3619</v>
      </c>
      <c r="C2846" t="s">
        <v>283</v>
      </c>
      <c r="D2846" t="s">
        <v>3044</v>
      </c>
      <c r="E2846" t="s">
        <v>3620</v>
      </c>
      <c r="F2846" t="s">
        <v>3621</v>
      </c>
      <c r="G2846" t="s">
        <v>3418</v>
      </c>
      <c r="H2846" t="s">
        <v>373</v>
      </c>
      <c r="I2846" t="s">
        <v>289</v>
      </c>
      <c r="J2846" t="s">
        <v>301</v>
      </c>
      <c r="K2846">
        <v>10</v>
      </c>
      <c r="L2846" s="6">
        <v>3.05</v>
      </c>
      <c r="M2846" s="7">
        <v>25.4</v>
      </c>
      <c r="N2846" s="7">
        <v>139.69999999999999</v>
      </c>
      <c r="O2846" s="7">
        <f t="shared" si="218"/>
        <v>120.07874015748031</v>
      </c>
      <c r="P2846" s="7">
        <f t="shared" si="219"/>
        <v>1</v>
      </c>
      <c r="Q2846" s="7">
        <f t="shared" si="219"/>
        <v>5.5</v>
      </c>
      <c r="R2846" s="6">
        <f t="shared" si="220"/>
        <v>924.60199999999998</v>
      </c>
      <c r="S2846" s="6">
        <f t="shared" si="221"/>
        <v>1.0822558999999997E-2</v>
      </c>
      <c r="T2846" t="str">
        <f t="shared" si="222"/>
        <v>Maximo Thermo Ayous JPL S4S E4E 5/4x6 Long</v>
      </c>
    </row>
    <row r="2847" spans="1:20" x14ac:dyDescent="0.25">
      <c r="A2847" t="s">
        <v>3414</v>
      </c>
      <c r="B2847" t="s">
        <v>3619</v>
      </c>
      <c r="C2847" t="s">
        <v>283</v>
      </c>
      <c r="D2847" t="s">
        <v>3044</v>
      </c>
      <c r="E2847" t="s">
        <v>3622</v>
      </c>
      <c r="F2847" t="s">
        <v>3621</v>
      </c>
      <c r="G2847" t="s">
        <v>3418</v>
      </c>
      <c r="H2847" t="s">
        <v>373</v>
      </c>
      <c r="I2847" t="s">
        <v>289</v>
      </c>
      <c r="J2847" t="s">
        <v>301</v>
      </c>
      <c r="K2847">
        <v>11</v>
      </c>
      <c r="L2847" s="6">
        <v>3.35</v>
      </c>
      <c r="M2847" s="7">
        <v>25.4</v>
      </c>
      <c r="N2847" s="7">
        <v>139.69999999999999</v>
      </c>
      <c r="O2847" s="7">
        <f t="shared" si="218"/>
        <v>131.88976377952756</v>
      </c>
      <c r="P2847" s="7">
        <f t="shared" si="219"/>
        <v>1</v>
      </c>
      <c r="Q2847" s="7">
        <f t="shared" si="219"/>
        <v>5.5</v>
      </c>
      <c r="R2847" s="6">
        <f t="shared" si="220"/>
        <v>924.60199999999998</v>
      </c>
      <c r="S2847" s="6">
        <f t="shared" si="221"/>
        <v>1.1887073E-2</v>
      </c>
      <c r="T2847" t="str">
        <f t="shared" si="222"/>
        <v>Maximo Thermo Ayous JPL S4S E4E 5/4x6 Long</v>
      </c>
    </row>
    <row r="2848" spans="1:20" x14ac:dyDescent="0.25">
      <c r="A2848" t="s">
        <v>3414</v>
      </c>
      <c r="B2848" t="s">
        <v>3619</v>
      </c>
      <c r="C2848" t="s">
        <v>283</v>
      </c>
      <c r="D2848" t="s">
        <v>3044</v>
      </c>
      <c r="E2848" t="s">
        <v>3623</v>
      </c>
      <c r="F2848" t="s">
        <v>3621</v>
      </c>
      <c r="G2848" t="s">
        <v>3418</v>
      </c>
      <c r="H2848" t="s">
        <v>373</v>
      </c>
      <c r="I2848" t="s">
        <v>289</v>
      </c>
      <c r="J2848" t="s">
        <v>301</v>
      </c>
      <c r="K2848">
        <v>12</v>
      </c>
      <c r="L2848" s="6">
        <v>3.66</v>
      </c>
      <c r="M2848" s="7">
        <v>25.4</v>
      </c>
      <c r="N2848" s="7">
        <v>139.69999999999999</v>
      </c>
      <c r="O2848" s="7">
        <f t="shared" si="218"/>
        <v>144.09448818897638</v>
      </c>
      <c r="P2848" s="7">
        <f t="shared" si="219"/>
        <v>1</v>
      </c>
      <c r="Q2848" s="7">
        <f t="shared" si="219"/>
        <v>5.5</v>
      </c>
      <c r="R2848" s="6">
        <f t="shared" si="220"/>
        <v>924.60199999999998</v>
      </c>
      <c r="S2848" s="6">
        <f t="shared" si="221"/>
        <v>1.29870708E-2</v>
      </c>
      <c r="T2848" t="str">
        <f t="shared" si="222"/>
        <v>Maximo Thermo Ayous JPL S4S E4E 5/4x6 Long</v>
      </c>
    </row>
    <row r="2849" spans="1:20" x14ac:dyDescent="0.25">
      <c r="A2849" t="s">
        <v>3414</v>
      </c>
      <c r="B2849" t="s">
        <v>3619</v>
      </c>
      <c r="C2849" t="s">
        <v>283</v>
      </c>
      <c r="D2849" t="s">
        <v>3044</v>
      </c>
      <c r="E2849" t="s">
        <v>3624</v>
      </c>
      <c r="F2849" t="s">
        <v>3621</v>
      </c>
      <c r="G2849" t="s">
        <v>3418</v>
      </c>
      <c r="H2849" t="s">
        <v>373</v>
      </c>
      <c r="I2849" t="s">
        <v>289</v>
      </c>
      <c r="J2849" t="s">
        <v>301</v>
      </c>
      <c r="K2849">
        <v>13</v>
      </c>
      <c r="L2849" s="6">
        <v>3.96</v>
      </c>
      <c r="M2849" s="7">
        <v>25.4</v>
      </c>
      <c r="N2849" s="7">
        <v>139.69999999999999</v>
      </c>
      <c r="O2849" s="7">
        <f t="shared" si="218"/>
        <v>155.90551181102362</v>
      </c>
      <c r="P2849" s="7">
        <f t="shared" si="219"/>
        <v>1</v>
      </c>
      <c r="Q2849" s="7">
        <f t="shared" si="219"/>
        <v>5.5</v>
      </c>
      <c r="R2849" s="6">
        <f t="shared" si="220"/>
        <v>924.60199999999998</v>
      </c>
      <c r="S2849" s="6">
        <f t="shared" si="221"/>
        <v>1.4051584799999997E-2</v>
      </c>
      <c r="T2849" t="str">
        <f t="shared" si="222"/>
        <v>Maximo Thermo Ayous JPL S4S E4E 5/4x6 Long</v>
      </c>
    </row>
    <row r="2850" spans="1:20" x14ac:dyDescent="0.25">
      <c r="A2850" t="s">
        <v>3414</v>
      </c>
      <c r="B2850" t="s">
        <v>3619</v>
      </c>
      <c r="C2850" t="s">
        <v>283</v>
      </c>
      <c r="D2850" t="s">
        <v>3044</v>
      </c>
      <c r="E2850" t="s">
        <v>3625</v>
      </c>
      <c r="F2850" t="s">
        <v>3621</v>
      </c>
      <c r="G2850" t="s">
        <v>3418</v>
      </c>
      <c r="H2850" t="s">
        <v>373</v>
      </c>
      <c r="I2850" t="s">
        <v>289</v>
      </c>
      <c r="J2850" t="s">
        <v>301</v>
      </c>
      <c r="K2850">
        <v>14</v>
      </c>
      <c r="L2850" s="6">
        <v>4.2699999999999996</v>
      </c>
      <c r="M2850" s="7">
        <v>25.4</v>
      </c>
      <c r="N2850" s="7">
        <v>139.69999999999999</v>
      </c>
      <c r="O2850" s="7">
        <f t="shared" si="218"/>
        <v>168.11023622047244</v>
      </c>
      <c r="P2850" s="7">
        <f t="shared" si="219"/>
        <v>1</v>
      </c>
      <c r="Q2850" s="7">
        <f t="shared" si="219"/>
        <v>5.5</v>
      </c>
      <c r="R2850" s="6">
        <f t="shared" si="220"/>
        <v>924.60199999999998</v>
      </c>
      <c r="S2850" s="6">
        <f t="shared" si="221"/>
        <v>1.5151582599999996E-2</v>
      </c>
      <c r="T2850" t="str">
        <f t="shared" si="222"/>
        <v>Maximo Thermo Ayous JPL S4S E4E 5/4x6 Long</v>
      </c>
    </row>
    <row r="2851" spans="1:20" x14ac:dyDescent="0.25">
      <c r="A2851" t="s">
        <v>3414</v>
      </c>
      <c r="B2851" t="s">
        <v>3619</v>
      </c>
      <c r="C2851" t="s">
        <v>283</v>
      </c>
      <c r="D2851" t="s">
        <v>3044</v>
      </c>
      <c r="E2851" t="s">
        <v>3626</v>
      </c>
      <c r="F2851" t="s">
        <v>3621</v>
      </c>
      <c r="G2851" t="s">
        <v>3418</v>
      </c>
      <c r="H2851" t="s">
        <v>373</v>
      </c>
      <c r="I2851" t="s">
        <v>289</v>
      </c>
      <c r="J2851" t="s">
        <v>301</v>
      </c>
      <c r="K2851">
        <v>15</v>
      </c>
      <c r="L2851" s="6">
        <v>4.57</v>
      </c>
      <c r="M2851" s="7">
        <v>25.4</v>
      </c>
      <c r="N2851" s="7">
        <v>139.69999999999999</v>
      </c>
      <c r="O2851" s="7">
        <f t="shared" si="218"/>
        <v>179.9212598425197</v>
      </c>
      <c r="P2851" s="7">
        <f t="shared" si="219"/>
        <v>1</v>
      </c>
      <c r="Q2851" s="7">
        <f t="shared" si="219"/>
        <v>5.5</v>
      </c>
      <c r="R2851" s="6">
        <f t="shared" si="220"/>
        <v>924.60199999999998</v>
      </c>
      <c r="S2851" s="6">
        <f t="shared" si="221"/>
        <v>1.62160966E-2</v>
      </c>
      <c r="T2851" t="str">
        <f t="shared" si="222"/>
        <v>Maximo Thermo Ayous JPL S4S E4E 5/4x6 Long</v>
      </c>
    </row>
    <row r="2852" spans="1:20" x14ac:dyDescent="0.25">
      <c r="A2852" t="s">
        <v>3414</v>
      </c>
      <c r="B2852" t="s">
        <v>3619</v>
      </c>
      <c r="C2852" t="s">
        <v>283</v>
      </c>
      <c r="D2852" t="s">
        <v>3044</v>
      </c>
      <c r="E2852" t="s">
        <v>3627</v>
      </c>
      <c r="F2852" t="s">
        <v>3621</v>
      </c>
      <c r="G2852" t="s">
        <v>3418</v>
      </c>
      <c r="H2852" t="s">
        <v>373</v>
      </c>
      <c r="I2852" t="s">
        <v>289</v>
      </c>
      <c r="J2852" t="s">
        <v>301</v>
      </c>
      <c r="K2852">
        <v>16</v>
      </c>
      <c r="L2852" s="6">
        <v>4.88</v>
      </c>
      <c r="M2852" s="7">
        <v>25.4</v>
      </c>
      <c r="N2852" s="7">
        <v>139.69999999999999</v>
      </c>
      <c r="O2852" s="7">
        <f t="shared" si="218"/>
        <v>192.1259842519685</v>
      </c>
      <c r="P2852" s="7">
        <f t="shared" si="219"/>
        <v>1</v>
      </c>
      <c r="Q2852" s="7">
        <f t="shared" si="219"/>
        <v>5.5</v>
      </c>
      <c r="R2852" s="6">
        <f t="shared" si="220"/>
        <v>924.60199999999998</v>
      </c>
      <c r="S2852" s="6">
        <f t="shared" si="221"/>
        <v>1.7316094399999996E-2</v>
      </c>
      <c r="T2852" t="str">
        <f t="shared" si="222"/>
        <v>Maximo Thermo Ayous JPL S4S E4E 5/4x6 Long</v>
      </c>
    </row>
    <row r="2853" spans="1:20" x14ac:dyDescent="0.25">
      <c r="A2853" t="s">
        <v>3414</v>
      </c>
      <c r="B2853" t="s">
        <v>3619</v>
      </c>
      <c r="C2853" t="s">
        <v>283</v>
      </c>
      <c r="D2853" t="s">
        <v>3044</v>
      </c>
      <c r="E2853" t="s">
        <v>3628</v>
      </c>
      <c r="F2853" t="s">
        <v>3621</v>
      </c>
      <c r="G2853" t="s">
        <v>3418</v>
      </c>
      <c r="H2853" t="s">
        <v>373</v>
      </c>
      <c r="I2853" t="s">
        <v>289</v>
      </c>
      <c r="J2853" t="s">
        <v>301</v>
      </c>
      <c r="K2853">
        <v>17</v>
      </c>
      <c r="L2853" s="6">
        <v>5.18</v>
      </c>
      <c r="M2853" s="7">
        <v>25.4</v>
      </c>
      <c r="N2853" s="7">
        <v>139.69999999999999</v>
      </c>
      <c r="O2853" s="7">
        <f t="shared" si="218"/>
        <v>203.93700787401573</v>
      </c>
      <c r="P2853" s="7">
        <f t="shared" si="219"/>
        <v>1</v>
      </c>
      <c r="Q2853" s="7">
        <f t="shared" si="219"/>
        <v>5.5</v>
      </c>
      <c r="R2853" s="6">
        <f t="shared" si="220"/>
        <v>924.60199999999998</v>
      </c>
      <c r="S2853" s="6">
        <f t="shared" si="221"/>
        <v>1.8380608399999991E-2</v>
      </c>
      <c r="T2853" t="str">
        <f t="shared" si="222"/>
        <v>Maximo Thermo Ayous JPL S4S E4E 5/4x6 Long</v>
      </c>
    </row>
    <row r="2854" spans="1:20" x14ac:dyDescent="0.25">
      <c r="A2854" t="s">
        <v>3414</v>
      </c>
      <c r="B2854" t="s">
        <v>3619</v>
      </c>
      <c r="C2854" t="s">
        <v>283</v>
      </c>
      <c r="D2854" t="s">
        <v>3044</v>
      </c>
      <c r="E2854" t="s">
        <v>3629</v>
      </c>
      <c r="F2854" t="s">
        <v>3621</v>
      </c>
      <c r="G2854" t="s">
        <v>3418</v>
      </c>
      <c r="H2854" t="s">
        <v>373</v>
      </c>
      <c r="I2854" t="s">
        <v>289</v>
      </c>
      <c r="J2854" t="s">
        <v>301</v>
      </c>
      <c r="K2854">
        <v>18</v>
      </c>
      <c r="L2854" s="6">
        <v>5.49</v>
      </c>
      <c r="M2854" s="7">
        <v>25.4</v>
      </c>
      <c r="N2854" s="7">
        <v>139.69999999999999</v>
      </c>
      <c r="O2854" s="7">
        <f t="shared" si="218"/>
        <v>216.14173228346459</v>
      </c>
      <c r="P2854" s="7">
        <f t="shared" si="219"/>
        <v>1</v>
      </c>
      <c r="Q2854" s="7">
        <f t="shared" si="219"/>
        <v>5.5</v>
      </c>
      <c r="R2854" s="6">
        <f t="shared" si="220"/>
        <v>924.60199999999998</v>
      </c>
      <c r="S2854" s="6">
        <f t="shared" si="221"/>
        <v>1.9480606199999997E-2</v>
      </c>
      <c r="T2854" t="str">
        <f t="shared" si="222"/>
        <v>Maximo Thermo Ayous JPL S4S E4E 5/4x6 Long</v>
      </c>
    </row>
    <row r="2855" spans="1:20" x14ac:dyDescent="0.25">
      <c r="A2855" t="s">
        <v>3414</v>
      </c>
      <c r="B2855" t="s">
        <v>3619</v>
      </c>
      <c r="C2855" t="s">
        <v>524</v>
      </c>
      <c r="D2855" t="s">
        <v>3044</v>
      </c>
      <c r="E2855" t="s">
        <v>3630</v>
      </c>
      <c r="F2855" t="s">
        <v>3621</v>
      </c>
      <c r="G2855" t="s">
        <v>3418</v>
      </c>
      <c r="H2855" t="s">
        <v>373</v>
      </c>
      <c r="I2855" t="s">
        <v>289</v>
      </c>
      <c r="J2855" t="s">
        <v>301</v>
      </c>
      <c r="K2855">
        <v>4</v>
      </c>
      <c r="L2855" s="6">
        <v>1.22</v>
      </c>
      <c r="M2855" s="7">
        <v>25.4</v>
      </c>
      <c r="N2855" s="7">
        <v>139.69999999999999</v>
      </c>
      <c r="O2855" s="7">
        <f t="shared" si="218"/>
        <v>48.031496062992126</v>
      </c>
      <c r="P2855" s="7">
        <f t="shared" si="219"/>
        <v>1</v>
      </c>
      <c r="Q2855" s="7">
        <f t="shared" si="219"/>
        <v>5.5</v>
      </c>
      <c r="R2855" s="6">
        <f t="shared" si="220"/>
        <v>924.60199999999998</v>
      </c>
      <c r="S2855" s="6">
        <f t="shared" si="221"/>
        <v>4.3290235999999989E-3</v>
      </c>
      <c r="T2855" t="str">
        <f t="shared" si="222"/>
        <v>Maximo Thermo Ayous JPL S4S E4E 5/4x6 Short</v>
      </c>
    </row>
    <row r="2856" spans="1:20" x14ac:dyDescent="0.25">
      <c r="A2856" t="s">
        <v>3414</v>
      </c>
      <c r="B2856" t="s">
        <v>3619</v>
      </c>
      <c r="C2856" t="s">
        <v>524</v>
      </c>
      <c r="D2856" t="s">
        <v>3044</v>
      </c>
      <c r="E2856" t="s">
        <v>3631</v>
      </c>
      <c r="F2856" t="s">
        <v>3621</v>
      </c>
      <c r="G2856" t="s">
        <v>3418</v>
      </c>
      <c r="H2856" t="s">
        <v>373</v>
      </c>
      <c r="I2856" t="s">
        <v>289</v>
      </c>
      <c r="J2856" t="s">
        <v>301</v>
      </c>
      <c r="K2856">
        <v>5</v>
      </c>
      <c r="L2856" s="6">
        <v>1.52</v>
      </c>
      <c r="M2856" s="7">
        <v>25.4</v>
      </c>
      <c r="N2856" s="7">
        <v>139.69999999999999</v>
      </c>
      <c r="O2856" s="7">
        <f t="shared" si="218"/>
        <v>59.84251968503937</v>
      </c>
      <c r="P2856" s="7">
        <f t="shared" si="219"/>
        <v>1</v>
      </c>
      <c r="Q2856" s="7">
        <f t="shared" si="219"/>
        <v>5.5</v>
      </c>
      <c r="R2856" s="6">
        <f t="shared" si="220"/>
        <v>924.60199999999998</v>
      </c>
      <c r="S2856" s="6">
        <f t="shared" si="221"/>
        <v>5.3935375999999997E-3</v>
      </c>
      <c r="T2856" t="str">
        <f t="shared" si="222"/>
        <v>Maximo Thermo Ayous JPL S4S E4E 5/4x6 Short</v>
      </c>
    </row>
    <row r="2857" spans="1:20" x14ac:dyDescent="0.25">
      <c r="A2857" t="s">
        <v>3414</v>
      </c>
      <c r="B2857" t="s">
        <v>3619</v>
      </c>
      <c r="C2857" t="s">
        <v>524</v>
      </c>
      <c r="D2857" t="s">
        <v>3044</v>
      </c>
      <c r="E2857" t="s">
        <v>3632</v>
      </c>
      <c r="F2857" t="s">
        <v>3621</v>
      </c>
      <c r="G2857" t="s">
        <v>3418</v>
      </c>
      <c r="H2857" t="s">
        <v>373</v>
      </c>
      <c r="I2857" t="s">
        <v>289</v>
      </c>
      <c r="J2857" t="s">
        <v>301</v>
      </c>
      <c r="K2857">
        <v>6</v>
      </c>
      <c r="L2857" s="6">
        <v>1.83</v>
      </c>
      <c r="M2857" s="7">
        <v>25.4</v>
      </c>
      <c r="N2857" s="7">
        <v>139.69999999999999</v>
      </c>
      <c r="O2857" s="7">
        <f t="shared" si="218"/>
        <v>72.047244094488192</v>
      </c>
      <c r="P2857" s="7">
        <f t="shared" si="219"/>
        <v>1</v>
      </c>
      <c r="Q2857" s="7">
        <f t="shared" si="219"/>
        <v>5.5</v>
      </c>
      <c r="R2857" s="6">
        <f t="shared" si="220"/>
        <v>924.60199999999998</v>
      </c>
      <c r="S2857" s="6">
        <f t="shared" si="221"/>
        <v>6.4935354000000001E-3</v>
      </c>
      <c r="T2857" t="str">
        <f t="shared" si="222"/>
        <v>Maximo Thermo Ayous JPL S4S E4E 5/4x6 Short</v>
      </c>
    </row>
    <row r="2858" spans="1:20" x14ac:dyDescent="0.25">
      <c r="A2858" t="s">
        <v>3414</v>
      </c>
      <c r="B2858" t="s">
        <v>3619</v>
      </c>
      <c r="C2858" t="s">
        <v>524</v>
      </c>
      <c r="D2858" t="s">
        <v>3044</v>
      </c>
      <c r="E2858" t="s">
        <v>3633</v>
      </c>
      <c r="F2858" t="s">
        <v>3621</v>
      </c>
      <c r="G2858" t="s">
        <v>3418</v>
      </c>
      <c r="H2858" t="s">
        <v>373</v>
      </c>
      <c r="I2858" t="s">
        <v>289</v>
      </c>
      <c r="J2858" t="s">
        <v>301</v>
      </c>
      <c r="K2858">
        <v>7</v>
      </c>
      <c r="L2858" s="6">
        <v>2.13</v>
      </c>
      <c r="M2858" s="7">
        <v>25.4</v>
      </c>
      <c r="N2858" s="7">
        <v>139.69999999999999</v>
      </c>
      <c r="O2858" s="7">
        <f t="shared" si="218"/>
        <v>83.858267716535437</v>
      </c>
      <c r="P2858" s="7">
        <f t="shared" si="219"/>
        <v>1</v>
      </c>
      <c r="Q2858" s="7">
        <f t="shared" si="219"/>
        <v>5.5</v>
      </c>
      <c r="R2858" s="6">
        <f t="shared" si="220"/>
        <v>924.60199999999998</v>
      </c>
      <c r="S2858" s="6">
        <f t="shared" si="221"/>
        <v>7.5580493999999991E-3</v>
      </c>
      <c r="T2858" t="str">
        <f t="shared" si="222"/>
        <v>Maximo Thermo Ayous JPL S4S E4E 5/4x6 Short</v>
      </c>
    </row>
    <row r="2859" spans="1:20" x14ac:dyDescent="0.25">
      <c r="A2859" t="s">
        <v>3414</v>
      </c>
      <c r="B2859" t="s">
        <v>3619</v>
      </c>
      <c r="C2859" t="s">
        <v>283</v>
      </c>
      <c r="D2859" t="s">
        <v>3044</v>
      </c>
      <c r="E2859" t="s">
        <v>3634</v>
      </c>
      <c r="F2859" t="s">
        <v>3621</v>
      </c>
      <c r="G2859" t="s">
        <v>3418</v>
      </c>
      <c r="H2859" t="s">
        <v>373</v>
      </c>
      <c r="I2859" t="s">
        <v>289</v>
      </c>
      <c r="J2859" t="s">
        <v>301</v>
      </c>
      <c r="K2859">
        <v>8</v>
      </c>
      <c r="L2859" s="6">
        <v>2.44</v>
      </c>
      <c r="M2859" s="7">
        <v>25.4</v>
      </c>
      <c r="N2859" s="7">
        <v>139.69999999999999</v>
      </c>
      <c r="O2859" s="7">
        <f t="shared" si="218"/>
        <v>96.062992125984252</v>
      </c>
      <c r="P2859" s="7">
        <f t="shared" si="219"/>
        <v>1</v>
      </c>
      <c r="Q2859" s="7">
        <f t="shared" si="219"/>
        <v>5.5</v>
      </c>
      <c r="R2859" s="6">
        <f t="shared" si="220"/>
        <v>924.60199999999998</v>
      </c>
      <c r="S2859" s="6">
        <f t="shared" si="221"/>
        <v>8.6580471999999978E-3</v>
      </c>
      <c r="T2859" t="str">
        <f t="shared" si="222"/>
        <v>Maximo Thermo Ayous JPL S4S E4E 5/4x6 Long</v>
      </c>
    </row>
    <row r="2860" spans="1:20" x14ac:dyDescent="0.25">
      <c r="A2860" t="s">
        <v>3414</v>
      </c>
      <c r="B2860" t="s">
        <v>3619</v>
      </c>
      <c r="C2860" t="s">
        <v>283</v>
      </c>
      <c r="D2860" t="s">
        <v>3044</v>
      </c>
      <c r="E2860" t="s">
        <v>3635</v>
      </c>
      <c r="F2860" t="s">
        <v>3621</v>
      </c>
      <c r="G2860" t="s">
        <v>3418</v>
      </c>
      <c r="H2860" t="s">
        <v>373</v>
      </c>
      <c r="I2860" t="s">
        <v>289</v>
      </c>
      <c r="J2860" t="s">
        <v>301</v>
      </c>
      <c r="K2860">
        <v>9</v>
      </c>
      <c r="L2860" s="6">
        <v>2.74</v>
      </c>
      <c r="M2860" s="7">
        <v>25.4</v>
      </c>
      <c r="N2860" s="7">
        <v>139.69999999999999</v>
      </c>
      <c r="O2860" s="7">
        <f t="shared" si="218"/>
        <v>107.87401574803151</v>
      </c>
      <c r="P2860" s="7">
        <f t="shared" si="219"/>
        <v>1</v>
      </c>
      <c r="Q2860" s="7">
        <f t="shared" si="219"/>
        <v>5.5</v>
      </c>
      <c r="R2860" s="6">
        <f t="shared" si="220"/>
        <v>924.60199999999998</v>
      </c>
      <c r="S2860" s="6">
        <f t="shared" si="221"/>
        <v>9.7225612000000003E-3</v>
      </c>
      <c r="T2860" t="str">
        <f t="shared" si="222"/>
        <v>Maximo Thermo Ayous JPL S4S E4E 5/4x6 Long</v>
      </c>
    </row>
    <row r="2861" spans="1:20" x14ac:dyDescent="0.25">
      <c r="A2861" t="s">
        <v>3414</v>
      </c>
      <c r="B2861" t="s">
        <v>3415</v>
      </c>
      <c r="C2861" t="s">
        <v>283</v>
      </c>
      <c r="D2861" t="s">
        <v>3044</v>
      </c>
      <c r="E2861" t="s">
        <v>3636</v>
      </c>
      <c r="F2861" t="s">
        <v>3637</v>
      </c>
      <c r="G2861" t="s">
        <v>3418</v>
      </c>
      <c r="H2861" t="s">
        <v>3638</v>
      </c>
      <c r="I2861" t="s">
        <v>289</v>
      </c>
      <c r="J2861" t="s">
        <v>344</v>
      </c>
      <c r="K2861">
        <v>10</v>
      </c>
      <c r="L2861" s="6">
        <v>3.05</v>
      </c>
      <c r="M2861" s="7">
        <v>19.049999999999997</v>
      </c>
      <c r="N2861" s="7">
        <v>139.69999999999999</v>
      </c>
      <c r="O2861" s="7">
        <f t="shared" si="218"/>
        <v>120.07874015748031</v>
      </c>
      <c r="P2861" s="7">
        <f t="shared" si="219"/>
        <v>0.74999999999999989</v>
      </c>
      <c r="Q2861" s="7">
        <f t="shared" si="219"/>
        <v>5.5</v>
      </c>
      <c r="R2861" s="6">
        <f t="shared" si="220"/>
        <v>1232.8030000000001</v>
      </c>
      <c r="S2861" s="6">
        <f t="shared" si="221"/>
        <v>8.1169192499999966E-3</v>
      </c>
      <c r="T2861" t="str">
        <f t="shared" si="222"/>
        <v>Maximo Thermo Ayous JPL VJoint - Nickel Gap 1x6 Long</v>
      </c>
    </row>
    <row r="2862" spans="1:20" x14ac:dyDescent="0.25">
      <c r="A2862" t="s">
        <v>3414</v>
      </c>
      <c r="B2862" t="s">
        <v>3415</v>
      </c>
      <c r="C2862" t="s">
        <v>283</v>
      </c>
      <c r="D2862" t="s">
        <v>3044</v>
      </c>
      <c r="E2862" t="s">
        <v>247</v>
      </c>
      <c r="F2862" t="s">
        <v>3637</v>
      </c>
      <c r="G2862" t="s">
        <v>3418</v>
      </c>
      <c r="H2862" t="s">
        <v>3638</v>
      </c>
      <c r="I2862" t="s">
        <v>289</v>
      </c>
      <c r="J2862" t="s">
        <v>344</v>
      </c>
      <c r="K2862">
        <v>11</v>
      </c>
      <c r="L2862" s="6">
        <v>3.35</v>
      </c>
      <c r="M2862" s="7">
        <v>19.049999999999997</v>
      </c>
      <c r="N2862" s="7">
        <v>139.69999999999999</v>
      </c>
      <c r="O2862" s="7">
        <f t="shared" si="218"/>
        <v>131.88976377952756</v>
      </c>
      <c r="P2862" s="7">
        <f t="shared" si="219"/>
        <v>0.74999999999999989</v>
      </c>
      <c r="Q2862" s="7">
        <f t="shared" si="219"/>
        <v>5.5</v>
      </c>
      <c r="R2862" s="6">
        <f t="shared" si="220"/>
        <v>1232.8030000000001</v>
      </c>
      <c r="S2862" s="6">
        <f t="shared" si="221"/>
        <v>8.9153047499999985E-3</v>
      </c>
      <c r="T2862" t="str">
        <f t="shared" si="222"/>
        <v>Maximo Thermo Ayous JPL VJoint - Nickel Gap 1x6 Long</v>
      </c>
    </row>
    <row r="2863" spans="1:20" x14ac:dyDescent="0.25">
      <c r="A2863" t="s">
        <v>3414</v>
      </c>
      <c r="B2863" t="s">
        <v>3415</v>
      </c>
      <c r="C2863" t="s">
        <v>283</v>
      </c>
      <c r="D2863" t="s">
        <v>3044</v>
      </c>
      <c r="E2863" t="s">
        <v>248</v>
      </c>
      <c r="F2863" t="s">
        <v>3637</v>
      </c>
      <c r="G2863" t="s">
        <v>3418</v>
      </c>
      <c r="H2863" t="s">
        <v>3638</v>
      </c>
      <c r="I2863" t="s">
        <v>289</v>
      </c>
      <c r="J2863" t="s">
        <v>344</v>
      </c>
      <c r="K2863">
        <v>12</v>
      </c>
      <c r="L2863" s="6">
        <v>3.66</v>
      </c>
      <c r="M2863" s="7">
        <v>19.049999999999997</v>
      </c>
      <c r="N2863" s="7">
        <v>139.69999999999999</v>
      </c>
      <c r="O2863" s="7">
        <f t="shared" si="218"/>
        <v>144.09448818897638</v>
      </c>
      <c r="P2863" s="7">
        <f t="shared" si="219"/>
        <v>0.74999999999999989</v>
      </c>
      <c r="Q2863" s="7">
        <f t="shared" si="219"/>
        <v>5.5</v>
      </c>
      <c r="R2863" s="6">
        <f t="shared" si="220"/>
        <v>1232.8030000000001</v>
      </c>
      <c r="S2863" s="6">
        <f t="shared" si="221"/>
        <v>9.7403030999999984E-3</v>
      </c>
      <c r="T2863" t="str">
        <f t="shared" si="222"/>
        <v>Maximo Thermo Ayous JPL VJoint - Nickel Gap 1x6 Long</v>
      </c>
    </row>
    <row r="2864" spans="1:20" x14ac:dyDescent="0.25">
      <c r="A2864" t="s">
        <v>3414</v>
      </c>
      <c r="B2864" t="s">
        <v>3415</v>
      </c>
      <c r="C2864" t="s">
        <v>283</v>
      </c>
      <c r="D2864" t="s">
        <v>3044</v>
      </c>
      <c r="E2864" t="s">
        <v>249</v>
      </c>
      <c r="F2864" t="s">
        <v>3637</v>
      </c>
      <c r="G2864" t="s">
        <v>3418</v>
      </c>
      <c r="H2864" t="s">
        <v>3638</v>
      </c>
      <c r="I2864" t="s">
        <v>289</v>
      </c>
      <c r="J2864" t="s">
        <v>344</v>
      </c>
      <c r="K2864">
        <v>13</v>
      </c>
      <c r="L2864" s="6">
        <v>3.96</v>
      </c>
      <c r="M2864" s="7">
        <v>19.049999999999997</v>
      </c>
      <c r="N2864" s="7">
        <v>139.69999999999999</v>
      </c>
      <c r="O2864" s="7">
        <f t="shared" ref="O2864:O2927" si="223">L2864/0.0254</f>
        <v>155.90551181102362</v>
      </c>
      <c r="P2864" s="7">
        <f t="shared" ref="P2864:Q2927" si="224">M2864/25.4</f>
        <v>0.74999999999999989</v>
      </c>
      <c r="Q2864" s="7">
        <f t="shared" si="224"/>
        <v>5.5</v>
      </c>
      <c r="R2864" s="6">
        <f t="shared" ref="R2864:R2927" si="225">ROUND(IFERROR(1/((M2864*N2864*0.3048)/1000000),0),3)</f>
        <v>1232.8030000000001</v>
      </c>
      <c r="S2864" s="6">
        <f t="shared" ref="S2864:S2927" si="226">L2864*M2864/1000*N2864/1000</f>
        <v>1.0538688599999999E-2</v>
      </c>
      <c r="T2864" t="str">
        <f t="shared" si="222"/>
        <v>Maximo Thermo Ayous JPL VJoint - Nickel Gap 1x6 Long</v>
      </c>
    </row>
    <row r="2865" spans="1:20" x14ac:dyDescent="0.25">
      <c r="A2865" t="s">
        <v>3414</v>
      </c>
      <c r="B2865" t="s">
        <v>3415</v>
      </c>
      <c r="C2865" t="s">
        <v>283</v>
      </c>
      <c r="D2865" t="s">
        <v>3044</v>
      </c>
      <c r="E2865" t="s">
        <v>178</v>
      </c>
      <c r="F2865" t="s">
        <v>3637</v>
      </c>
      <c r="G2865" t="s">
        <v>3418</v>
      </c>
      <c r="H2865" t="s">
        <v>3638</v>
      </c>
      <c r="I2865" t="s">
        <v>289</v>
      </c>
      <c r="J2865" t="s">
        <v>344</v>
      </c>
      <c r="K2865">
        <v>14</v>
      </c>
      <c r="L2865" s="6">
        <v>4.2699999999999996</v>
      </c>
      <c r="M2865" s="7">
        <v>19.049999999999997</v>
      </c>
      <c r="N2865" s="7">
        <v>139.69999999999999</v>
      </c>
      <c r="O2865" s="7">
        <f t="shared" si="223"/>
        <v>168.11023622047244</v>
      </c>
      <c r="P2865" s="7">
        <f t="shared" si="224"/>
        <v>0.74999999999999989</v>
      </c>
      <c r="Q2865" s="7">
        <f t="shared" si="224"/>
        <v>5.5</v>
      </c>
      <c r="R2865" s="6">
        <f t="shared" si="225"/>
        <v>1232.8030000000001</v>
      </c>
      <c r="S2865" s="6">
        <f t="shared" si="226"/>
        <v>1.1363686949999995E-2</v>
      </c>
      <c r="T2865" t="str">
        <f t="shared" si="222"/>
        <v>Maximo Thermo Ayous JPL VJoint - Nickel Gap 1x6 Long</v>
      </c>
    </row>
    <row r="2866" spans="1:20" x14ac:dyDescent="0.25">
      <c r="A2866" t="s">
        <v>3414</v>
      </c>
      <c r="B2866" t="s">
        <v>3415</v>
      </c>
      <c r="C2866" t="s">
        <v>283</v>
      </c>
      <c r="D2866" t="s">
        <v>3044</v>
      </c>
      <c r="E2866" t="s">
        <v>3639</v>
      </c>
      <c r="F2866" t="s">
        <v>3637</v>
      </c>
      <c r="G2866" t="s">
        <v>3418</v>
      </c>
      <c r="H2866" t="s">
        <v>3638</v>
      </c>
      <c r="I2866" t="s">
        <v>289</v>
      </c>
      <c r="J2866" t="s">
        <v>344</v>
      </c>
      <c r="K2866">
        <v>15</v>
      </c>
      <c r="L2866" s="6">
        <v>4.57</v>
      </c>
      <c r="M2866" s="7">
        <v>19.049999999999997</v>
      </c>
      <c r="N2866" s="7">
        <v>139.69999999999999</v>
      </c>
      <c r="O2866" s="7">
        <f t="shared" si="223"/>
        <v>179.9212598425197</v>
      </c>
      <c r="P2866" s="7">
        <f t="shared" si="224"/>
        <v>0.74999999999999989</v>
      </c>
      <c r="Q2866" s="7">
        <f t="shared" si="224"/>
        <v>5.5</v>
      </c>
      <c r="R2866" s="6">
        <f t="shared" si="225"/>
        <v>1232.8030000000001</v>
      </c>
      <c r="S2866" s="6">
        <f t="shared" si="226"/>
        <v>1.2162072449999999E-2</v>
      </c>
      <c r="T2866" t="str">
        <f t="shared" si="222"/>
        <v>Maximo Thermo Ayous JPL VJoint - Nickel Gap 1x6 Long</v>
      </c>
    </row>
    <row r="2867" spans="1:20" x14ac:dyDescent="0.25">
      <c r="A2867" t="s">
        <v>3414</v>
      </c>
      <c r="B2867" t="s">
        <v>3415</v>
      </c>
      <c r="C2867" t="s">
        <v>283</v>
      </c>
      <c r="D2867" t="s">
        <v>3044</v>
      </c>
      <c r="E2867" t="s">
        <v>259</v>
      </c>
      <c r="F2867" t="s">
        <v>3637</v>
      </c>
      <c r="G2867" t="s">
        <v>3418</v>
      </c>
      <c r="H2867" t="s">
        <v>3638</v>
      </c>
      <c r="I2867" t="s">
        <v>289</v>
      </c>
      <c r="J2867" t="s">
        <v>344</v>
      </c>
      <c r="K2867">
        <v>16</v>
      </c>
      <c r="L2867" s="6">
        <v>4.88</v>
      </c>
      <c r="M2867" s="7">
        <v>19.049999999999997</v>
      </c>
      <c r="N2867" s="7">
        <v>139.69999999999999</v>
      </c>
      <c r="O2867" s="7">
        <f t="shared" si="223"/>
        <v>192.1259842519685</v>
      </c>
      <c r="P2867" s="7">
        <f t="shared" si="224"/>
        <v>0.74999999999999989</v>
      </c>
      <c r="Q2867" s="7">
        <f t="shared" si="224"/>
        <v>5.5</v>
      </c>
      <c r="R2867" s="6">
        <f t="shared" si="225"/>
        <v>1232.8030000000001</v>
      </c>
      <c r="S2867" s="6">
        <f t="shared" si="226"/>
        <v>1.2987070799999998E-2</v>
      </c>
      <c r="T2867" t="str">
        <f t="shared" si="222"/>
        <v>Maximo Thermo Ayous JPL VJoint - Nickel Gap 1x6 Long</v>
      </c>
    </row>
    <row r="2868" spans="1:20" x14ac:dyDescent="0.25">
      <c r="A2868" t="s">
        <v>3414</v>
      </c>
      <c r="B2868" t="s">
        <v>3415</v>
      </c>
      <c r="C2868" t="s">
        <v>283</v>
      </c>
      <c r="D2868" t="s">
        <v>3044</v>
      </c>
      <c r="E2868" t="s">
        <v>3640</v>
      </c>
      <c r="F2868" t="s">
        <v>3637</v>
      </c>
      <c r="G2868" t="s">
        <v>3418</v>
      </c>
      <c r="H2868" t="s">
        <v>3638</v>
      </c>
      <c r="I2868" t="s">
        <v>289</v>
      </c>
      <c r="J2868" t="s">
        <v>344</v>
      </c>
      <c r="K2868">
        <v>17</v>
      </c>
      <c r="L2868" s="6">
        <v>5.18</v>
      </c>
      <c r="M2868" s="7">
        <v>19.049999999999997</v>
      </c>
      <c r="N2868" s="7">
        <v>139.69999999999999</v>
      </c>
      <c r="O2868" s="7">
        <f t="shared" si="223"/>
        <v>203.93700787401573</v>
      </c>
      <c r="P2868" s="7">
        <f t="shared" si="224"/>
        <v>0.74999999999999989</v>
      </c>
      <c r="Q2868" s="7">
        <f t="shared" si="224"/>
        <v>5.5</v>
      </c>
      <c r="R2868" s="6">
        <f t="shared" si="225"/>
        <v>1232.8030000000001</v>
      </c>
      <c r="S2868" s="6">
        <f t="shared" si="226"/>
        <v>1.3785456299999995E-2</v>
      </c>
      <c r="T2868" t="str">
        <f t="shared" si="222"/>
        <v>Maximo Thermo Ayous JPL VJoint - Nickel Gap 1x6 Long</v>
      </c>
    </row>
    <row r="2869" spans="1:20" x14ac:dyDescent="0.25">
      <c r="A2869" t="s">
        <v>3414</v>
      </c>
      <c r="B2869" t="s">
        <v>3415</v>
      </c>
      <c r="C2869" t="s">
        <v>283</v>
      </c>
      <c r="D2869" t="s">
        <v>3044</v>
      </c>
      <c r="E2869" t="s">
        <v>3641</v>
      </c>
      <c r="F2869" t="s">
        <v>3637</v>
      </c>
      <c r="G2869" t="s">
        <v>3418</v>
      </c>
      <c r="H2869" t="s">
        <v>3638</v>
      </c>
      <c r="I2869" t="s">
        <v>289</v>
      </c>
      <c r="J2869" t="s">
        <v>344</v>
      </c>
      <c r="K2869">
        <v>18</v>
      </c>
      <c r="L2869" s="6">
        <v>5.49</v>
      </c>
      <c r="M2869" s="7">
        <v>19.049999999999997</v>
      </c>
      <c r="N2869" s="7">
        <v>139.69999999999999</v>
      </c>
      <c r="O2869" s="7">
        <f t="shared" si="223"/>
        <v>216.14173228346459</v>
      </c>
      <c r="P2869" s="7">
        <f t="shared" si="224"/>
        <v>0.74999999999999989</v>
      </c>
      <c r="Q2869" s="7">
        <f t="shared" si="224"/>
        <v>5.5</v>
      </c>
      <c r="R2869" s="6">
        <f t="shared" si="225"/>
        <v>1232.8030000000001</v>
      </c>
      <c r="S2869" s="6">
        <f t="shared" si="226"/>
        <v>1.4610454649999998E-2</v>
      </c>
      <c r="T2869" t="str">
        <f t="shared" si="222"/>
        <v>Maximo Thermo Ayous JPL VJoint - Nickel Gap 1x6 Long</v>
      </c>
    </row>
    <row r="2870" spans="1:20" x14ac:dyDescent="0.25">
      <c r="A2870" t="s">
        <v>3414</v>
      </c>
      <c r="B2870" t="s">
        <v>3415</v>
      </c>
      <c r="C2870" t="s">
        <v>283</v>
      </c>
      <c r="D2870" t="s">
        <v>3044</v>
      </c>
      <c r="E2870" t="s">
        <v>3642</v>
      </c>
      <c r="F2870" t="s">
        <v>3637</v>
      </c>
      <c r="G2870" t="s">
        <v>3418</v>
      </c>
      <c r="H2870" t="s">
        <v>3638</v>
      </c>
      <c r="I2870" t="s">
        <v>289</v>
      </c>
      <c r="J2870" t="s">
        <v>344</v>
      </c>
      <c r="K2870">
        <v>19</v>
      </c>
      <c r="L2870" s="6">
        <v>5.79</v>
      </c>
      <c r="M2870" s="7">
        <v>19.049999999999997</v>
      </c>
      <c r="N2870" s="7">
        <v>139.69999999999999</v>
      </c>
      <c r="O2870" s="7">
        <f t="shared" si="223"/>
        <v>227.95275590551182</v>
      </c>
      <c r="P2870" s="7">
        <f t="shared" si="224"/>
        <v>0.74999999999999989</v>
      </c>
      <c r="Q2870" s="7">
        <f t="shared" si="224"/>
        <v>5.5</v>
      </c>
      <c r="R2870" s="6">
        <f t="shared" si="225"/>
        <v>1232.8030000000001</v>
      </c>
      <c r="S2870" s="6">
        <f t="shared" si="226"/>
        <v>1.5408840149999997E-2</v>
      </c>
      <c r="T2870" t="str">
        <f t="shared" si="222"/>
        <v>Maximo Thermo Ayous JPL VJoint - Nickel Gap 1x6 Long</v>
      </c>
    </row>
    <row r="2871" spans="1:20" x14ac:dyDescent="0.25">
      <c r="A2871" t="s">
        <v>3414</v>
      </c>
      <c r="B2871" t="s">
        <v>3415</v>
      </c>
      <c r="C2871" t="s">
        <v>283</v>
      </c>
      <c r="D2871" t="s">
        <v>3044</v>
      </c>
      <c r="E2871" t="s">
        <v>3643</v>
      </c>
      <c r="F2871" t="s">
        <v>3637</v>
      </c>
      <c r="G2871" t="s">
        <v>3418</v>
      </c>
      <c r="H2871" t="s">
        <v>3638</v>
      </c>
      <c r="I2871" t="s">
        <v>289</v>
      </c>
      <c r="J2871" t="s">
        <v>344</v>
      </c>
      <c r="K2871">
        <v>4</v>
      </c>
      <c r="L2871" s="6">
        <v>1.22</v>
      </c>
      <c r="M2871" s="7">
        <v>19.049999999999997</v>
      </c>
      <c r="N2871" s="7">
        <v>139.69999999999999</v>
      </c>
      <c r="O2871" s="7">
        <f t="shared" si="223"/>
        <v>48.031496062992126</v>
      </c>
      <c r="P2871" s="7">
        <f t="shared" si="224"/>
        <v>0.74999999999999989</v>
      </c>
      <c r="Q2871" s="7">
        <f t="shared" si="224"/>
        <v>5.5</v>
      </c>
      <c r="R2871" s="6">
        <f t="shared" si="225"/>
        <v>1232.8030000000001</v>
      </c>
      <c r="S2871" s="6">
        <f t="shared" si="226"/>
        <v>3.2467676999999996E-3</v>
      </c>
      <c r="T2871" t="str">
        <f t="shared" si="222"/>
        <v>Maximo Thermo Ayous JPL VJoint - Nickel Gap 1x6 Long</v>
      </c>
    </row>
    <row r="2872" spans="1:20" x14ac:dyDescent="0.25">
      <c r="A2872" t="s">
        <v>3414</v>
      </c>
      <c r="B2872" t="s">
        <v>3415</v>
      </c>
      <c r="C2872" t="s">
        <v>283</v>
      </c>
      <c r="D2872" t="s">
        <v>3044</v>
      </c>
      <c r="E2872" t="s">
        <v>3644</v>
      </c>
      <c r="F2872" t="s">
        <v>3637</v>
      </c>
      <c r="G2872" t="s">
        <v>3418</v>
      </c>
      <c r="H2872" t="s">
        <v>3638</v>
      </c>
      <c r="I2872" t="s">
        <v>289</v>
      </c>
      <c r="J2872" t="s">
        <v>344</v>
      </c>
      <c r="K2872">
        <v>5</v>
      </c>
      <c r="L2872" s="6">
        <v>1.52</v>
      </c>
      <c r="M2872" s="7">
        <v>19.049999999999997</v>
      </c>
      <c r="N2872" s="7">
        <v>139.69999999999999</v>
      </c>
      <c r="O2872" s="7">
        <f t="shared" si="223"/>
        <v>59.84251968503937</v>
      </c>
      <c r="P2872" s="7">
        <f t="shared" si="224"/>
        <v>0.74999999999999989</v>
      </c>
      <c r="Q2872" s="7">
        <f t="shared" si="224"/>
        <v>5.5</v>
      </c>
      <c r="R2872" s="6">
        <f t="shared" si="225"/>
        <v>1232.8030000000001</v>
      </c>
      <c r="S2872" s="6">
        <f t="shared" si="226"/>
        <v>4.0451531999999985E-3</v>
      </c>
      <c r="T2872" t="str">
        <f t="shared" si="222"/>
        <v>Maximo Thermo Ayous JPL VJoint - Nickel Gap 1x6 Long</v>
      </c>
    </row>
    <row r="2873" spans="1:20" x14ac:dyDescent="0.25">
      <c r="A2873" t="s">
        <v>3414</v>
      </c>
      <c r="B2873" t="s">
        <v>3415</v>
      </c>
      <c r="C2873" t="s">
        <v>283</v>
      </c>
      <c r="D2873" t="s">
        <v>3044</v>
      </c>
      <c r="E2873" t="s">
        <v>3645</v>
      </c>
      <c r="F2873" t="s">
        <v>3637</v>
      </c>
      <c r="G2873" t="s">
        <v>3418</v>
      </c>
      <c r="H2873" t="s">
        <v>3638</v>
      </c>
      <c r="I2873" t="s">
        <v>289</v>
      </c>
      <c r="J2873" t="s">
        <v>344</v>
      </c>
      <c r="K2873">
        <v>6</v>
      </c>
      <c r="L2873" s="6">
        <v>1.83</v>
      </c>
      <c r="M2873" s="7">
        <v>19.049999999999997</v>
      </c>
      <c r="N2873" s="7">
        <v>139.69999999999999</v>
      </c>
      <c r="O2873" s="7">
        <f t="shared" si="223"/>
        <v>72.047244094488192</v>
      </c>
      <c r="P2873" s="7">
        <f t="shared" si="224"/>
        <v>0.74999999999999989</v>
      </c>
      <c r="Q2873" s="7">
        <f t="shared" si="224"/>
        <v>5.5</v>
      </c>
      <c r="R2873" s="6">
        <f t="shared" si="225"/>
        <v>1232.8030000000001</v>
      </c>
      <c r="S2873" s="6">
        <f t="shared" si="226"/>
        <v>4.8701515499999992E-3</v>
      </c>
      <c r="T2873" t="str">
        <f t="shared" si="222"/>
        <v>Maximo Thermo Ayous JPL VJoint - Nickel Gap 1x6 Long</v>
      </c>
    </row>
    <row r="2874" spans="1:20" x14ac:dyDescent="0.25">
      <c r="A2874" t="s">
        <v>3414</v>
      </c>
      <c r="B2874" t="s">
        <v>3415</v>
      </c>
      <c r="C2874" t="s">
        <v>283</v>
      </c>
      <c r="D2874" t="s">
        <v>3044</v>
      </c>
      <c r="E2874" t="s">
        <v>3646</v>
      </c>
      <c r="F2874" t="s">
        <v>3637</v>
      </c>
      <c r="G2874" t="s">
        <v>3418</v>
      </c>
      <c r="H2874" t="s">
        <v>3638</v>
      </c>
      <c r="I2874" t="s">
        <v>289</v>
      </c>
      <c r="J2874" t="s">
        <v>344</v>
      </c>
      <c r="K2874">
        <v>7</v>
      </c>
      <c r="L2874" s="6">
        <v>2.13</v>
      </c>
      <c r="M2874" s="7">
        <v>19.049999999999997</v>
      </c>
      <c r="N2874" s="7">
        <v>139.69999999999999</v>
      </c>
      <c r="O2874" s="7">
        <f t="shared" si="223"/>
        <v>83.858267716535437</v>
      </c>
      <c r="P2874" s="7">
        <f t="shared" si="224"/>
        <v>0.74999999999999989</v>
      </c>
      <c r="Q2874" s="7">
        <f t="shared" si="224"/>
        <v>5.5</v>
      </c>
      <c r="R2874" s="6">
        <f t="shared" si="225"/>
        <v>1232.8030000000001</v>
      </c>
      <c r="S2874" s="6">
        <f t="shared" si="226"/>
        <v>5.6685370499999976E-3</v>
      </c>
      <c r="T2874" t="str">
        <f t="shared" si="222"/>
        <v>Maximo Thermo Ayous JPL VJoint - Nickel Gap 1x6 Long</v>
      </c>
    </row>
    <row r="2875" spans="1:20" x14ac:dyDescent="0.25">
      <c r="A2875" t="s">
        <v>3414</v>
      </c>
      <c r="B2875" t="s">
        <v>3415</v>
      </c>
      <c r="C2875" t="s">
        <v>283</v>
      </c>
      <c r="D2875" t="s">
        <v>3044</v>
      </c>
      <c r="E2875" t="s">
        <v>3647</v>
      </c>
      <c r="F2875" t="s">
        <v>3637</v>
      </c>
      <c r="G2875" t="s">
        <v>3418</v>
      </c>
      <c r="H2875" t="s">
        <v>3638</v>
      </c>
      <c r="I2875" t="s">
        <v>289</v>
      </c>
      <c r="J2875" t="s">
        <v>344</v>
      </c>
      <c r="K2875">
        <v>8</v>
      </c>
      <c r="L2875" s="6">
        <v>2.44</v>
      </c>
      <c r="M2875" s="7">
        <v>19.049999999999997</v>
      </c>
      <c r="N2875" s="7">
        <v>139.69999999999999</v>
      </c>
      <c r="O2875" s="7">
        <f t="shared" si="223"/>
        <v>96.062992125984252</v>
      </c>
      <c r="P2875" s="7">
        <f t="shared" si="224"/>
        <v>0.74999999999999989</v>
      </c>
      <c r="Q2875" s="7">
        <f t="shared" si="224"/>
        <v>5.5</v>
      </c>
      <c r="R2875" s="6">
        <f t="shared" si="225"/>
        <v>1232.8030000000001</v>
      </c>
      <c r="S2875" s="6">
        <f t="shared" si="226"/>
        <v>6.4935353999999992E-3</v>
      </c>
      <c r="T2875" t="str">
        <f t="shared" si="222"/>
        <v>Maximo Thermo Ayous JPL VJoint - Nickel Gap 1x6 Long</v>
      </c>
    </row>
    <row r="2876" spans="1:20" x14ac:dyDescent="0.25">
      <c r="A2876" t="s">
        <v>3414</v>
      </c>
      <c r="B2876" t="s">
        <v>3415</v>
      </c>
      <c r="C2876" t="s">
        <v>283</v>
      </c>
      <c r="D2876" t="s">
        <v>3044</v>
      </c>
      <c r="E2876" t="s">
        <v>3648</v>
      </c>
      <c r="F2876" t="s">
        <v>3637</v>
      </c>
      <c r="G2876" t="s">
        <v>3418</v>
      </c>
      <c r="H2876" t="s">
        <v>3638</v>
      </c>
      <c r="I2876" t="s">
        <v>289</v>
      </c>
      <c r="J2876" t="s">
        <v>344</v>
      </c>
      <c r="K2876">
        <v>9</v>
      </c>
      <c r="L2876" s="6">
        <v>2.74</v>
      </c>
      <c r="M2876" s="7">
        <v>19.049999999999997</v>
      </c>
      <c r="N2876" s="7">
        <v>139.69999999999999</v>
      </c>
      <c r="O2876" s="7">
        <f t="shared" si="223"/>
        <v>107.87401574803151</v>
      </c>
      <c r="P2876" s="7">
        <f t="shared" si="224"/>
        <v>0.74999999999999989</v>
      </c>
      <c r="Q2876" s="7">
        <f t="shared" si="224"/>
        <v>5.5</v>
      </c>
      <c r="R2876" s="6">
        <f t="shared" si="225"/>
        <v>1232.8030000000001</v>
      </c>
      <c r="S2876" s="6">
        <f t="shared" si="226"/>
        <v>7.2919208999999985E-3</v>
      </c>
      <c r="T2876" t="str">
        <f t="shared" si="222"/>
        <v>Maximo Thermo Ayous JPL VJoint - Nickel Gap 1x6 Long</v>
      </c>
    </row>
    <row r="2877" spans="1:20" x14ac:dyDescent="0.25">
      <c r="A2877" t="s">
        <v>3414</v>
      </c>
      <c r="B2877" t="s">
        <v>3415</v>
      </c>
      <c r="C2877" t="s">
        <v>283</v>
      </c>
      <c r="D2877" t="s">
        <v>3044</v>
      </c>
      <c r="E2877" t="s">
        <v>3649</v>
      </c>
      <c r="F2877" t="s">
        <v>3650</v>
      </c>
      <c r="G2877" t="s">
        <v>3418</v>
      </c>
      <c r="H2877" t="s">
        <v>3397</v>
      </c>
      <c r="I2877" t="s">
        <v>289</v>
      </c>
      <c r="J2877" t="s">
        <v>344</v>
      </c>
      <c r="K2877">
        <v>10</v>
      </c>
      <c r="L2877" s="6">
        <v>3.05</v>
      </c>
      <c r="M2877" s="7">
        <v>19.049999999999997</v>
      </c>
      <c r="N2877" s="7">
        <v>139.69999999999999</v>
      </c>
      <c r="O2877" s="7">
        <f t="shared" si="223"/>
        <v>120.07874015748031</v>
      </c>
      <c r="P2877" s="7">
        <f t="shared" si="224"/>
        <v>0.74999999999999989</v>
      </c>
      <c r="Q2877" s="7">
        <f t="shared" si="224"/>
        <v>5.5</v>
      </c>
      <c r="R2877" s="6">
        <f t="shared" si="225"/>
        <v>1232.8030000000001</v>
      </c>
      <c r="S2877" s="6">
        <f t="shared" si="226"/>
        <v>8.1169192499999966E-3</v>
      </c>
      <c r="T2877" t="str">
        <f t="shared" si="222"/>
        <v>Maximo Thermo Ayous JPL VJoint - Square Back 1x6 Long</v>
      </c>
    </row>
    <row r="2878" spans="1:20" x14ac:dyDescent="0.25">
      <c r="A2878" t="s">
        <v>3414</v>
      </c>
      <c r="B2878" t="s">
        <v>3415</v>
      </c>
      <c r="C2878" t="s">
        <v>283</v>
      </c>
      <c r="D2878" t="s">
        <v>3044</v>
      </c>
      <c r="E2878" t="s">
        <v>3651</v>
      </c>
      <c r="F2878" t="s">
        <v>3650</v>
      </c>
      <c r="G2878" t="s">
        <v>3418</v>
      </c>
      <c r="H2878" t="s">
        <v>3397</v>
      </c>
      <c r="I2878" t="s">
        <v>289</v>
      </c>
      <c r="J2878" t="s">
        <v>344</v>
      </c>
      <c r="K2878">
        <v>11</v>
      </c>
      <c r="L2878" s="6">
        <v>3.35</v>
      </c>
      <c r="M2878" s="7">
        <v>19.049999999999997</v>
      </c>
      <c r="N2878" s="7">
        <v>139.69999999999999</v>
      </c>
      <c r="O2878" s="7">
        <f t="shared" si="223"/>
        <v>131.88976377952756</v>
      </c>
      <c r="P2878" s="7">
        <f t="shared" si="224"/>
        <v>0.74999999999999989</v>
      </c>
      <c r="Q2878" s="7">
        <f t="shared" si="224"/>
        <v>5.5</v>
      </c>
      <c r="R2878" s="6">
        <f t="shared" si="225"/>
        <v>1232.8030000000001</v>
      </c>
      <c r="S2878" s="6">
        <f t="shared" si="226"/>
        <v>8.9153047499999985E-3</v>
      </c>
      <c r="T2878" t="str">
        <f t="shared" si="222"/>
        <v>Maximo Thermo Ayous JPL VJoint - Square Back 1x6 Long</v>
      </c>
    </row>
    <row r="2879" spans="1:20" x14ac:dyDescent="0.25">
      <c r="A2879" t="s">
        <v>3414</v>
      </c>
      <c r="B2879" t="s">
        <v>3415</v>
      </c>
      <c r="C2879" t="s">
        <v>283</v>
      </c>
      <c r="D2879" t="s">
        <v>3044</v>
      </c>
      <c r="E2879" t="s">
        <v>3652</v>
      </c>
      <c r="F2879" t="s">
        <v>3650</v>
      </c>
      <c r="G2879" t="s">
        <v>3418</v>
      </c>
      <c r="H2879" t="s">
        <v>3397</v>
      </c>
      <c r="I2879" t="s">
        <v>289</v>
      </c>
      <c r="J2879" t="s">
        <v>344</v>
      </c>
      <c r="K2879">
        <v>12</v>
      </c>
      <c r="L2879" s="6">
        <v>3.66</v>
      </c>
      <c r="M2879" s="7">
        <v>19.049999999999997</v>
      </c>
      <c r="N2879" s="7">
        <v>139.69999999999999</v>
      </c>
      <c r="O2879" s="7">
        <f t="shared" si="223"/>
        <v>144.09448818897638</v>
      </c>
      <c r="P2879" s="7">
        <f t="shared" si="224"/>
        <v>0.74999999999999989</v>
      </c>
      <c r="Q2879" s="7">
        <f t="shared" si="224"/>
        <v>5.5</v>
      </c>
      <c r="R2879" s="6">
        <f t="shared" si="225"/>
        <v>1232.8030000000001</v>
      </c>
      <c r="S2879" s="6">
        <f t="shared" si="226"/>
        <v>9.7403030999999984E-3</v>
      </c>
      <c r="T2879" t="str">
        <f t="shared" si="222"/>
        <v>Maximo Thermo Ayous JPL VJoint - Square Back 1x6 Long</v>
      </c>
    </row>
    <row r="2880" spans="1:20" x14ac:dyDescent="0.25">
      <c r="A2880" t="s">
        <v>3414</v>
      </c>
      <c r="B2880" t="s">
        <v>3415</v>
      </c>
      <c r="C2880" t="s">
        <v>283</v>
      </c>
      <c r="D2880" t="s">
        <v>3044</v>
      </c>
      <c r="E2880" t="s">
        <v>3653</v>
      </c>
      <c r="F2880" t="s">
        <v>3650</v>
      </c>
      <c r="G2880" t="s">
        <v>3418</v>
      </c>
      <c r="H2880" t="s">
        <v>3397</v>
      </c>
      <c r="I2880" t="s">
        <v>289</v>
      </c>
      <c r="J2880" t="s">
        <v>344</v>
      </c>
      <c r="K2880">
        <v>13</v>
      </c>
      <c r="L2880" s="6">
        <v>3.96</v>
      </c>
      <c r="M2880" s="7">
        <v>19.049999999999997</v>
      </c>
      <c r="N2880" s="7">
        <v>139.69999999999999</v>
      </c>
      <c r="O2880" s="7">
        <f t="shared" si="223"/>
        <v>155.90551181102362</v>
      </c>
      <c r="P2880" s="7">
        <f t="shared" si="224"/>
        <v>0.74999999999999989</v>
      </c>
      <c r="Q2880" s="7">
        <f t="shared" si="224"/>
        <v>5.5</v>
      </c>
      <c r="R2880" s="6">
        <f t="shared" si="225"/>
        <v>1232.8030000000001</v>
      </c>
      <c r="S2880" s="6">
        <f t="shared" si="226"/>
        <v>1.0538688599999999E-2</v>
      </c>
      <c r="T2880" t="str">
        <f t="shared" si="222"/>
        <v>Maximo Thermo Ayous JPL VJoint - Square Back 1x6 Long</v>
      </c>
    </row>
    <row r="2881" spans="1:20" x14ac:dyDescent="0.25">
      <c r="A2881" t="s">
        <v>3414</v>
      </c>
      <c r="B2881" t="s">
        <v>3415</v>
      </c>
      <c r="C2881" t="s">
        <v>283</v>
      </c>
      <c r="D2881" t="s">
        <v>3044</v>
      </c>
      <c r="E2881" t="s">
        <v>3654</v>
      </c>
      <c r="F2881" t="s">
        <v>3650</v>
      </c>
      <c r="G2881" t="s">
        <v>3418</v>
      </c>
      <c r="H2881" t="s">
        <v>3397</v>
      </c>
      <c r="I2881" t="s">
        <v>289</v>
      </c>
      <c r="J2881" t="s">
        <v>344</v>
      </c>
      <c r="K2881">
        <v>14</v>
      </c>
      <c r="L2881" s="6">
        <v>4.2699999999999996</v>
      </c>
      <c r="M2881" s="7">
        <v>19.049999999999997</v>
      </c>
      <c r="N2881" s="7">
        <v>139.69999999999999</v>
      </c>
      <c r="O2881" s="7">
        <f t="shared" si="223"/>
        <v>168.11023622047244</v>
      </c>
      <c r="P2881" s="7">
        <f t="shared" si="224"/>
        <v>0.74999999999999989</v>
      </c>
      <c r="Q2881" s="7">
        <f t="shared" si="224"/>
        <v>5.5</v>
      </c>
      <c r="R2881" s="6">
        <f t="shared" si="225"/>
        <v>1232.8030000000001</v>
      </c>
      <c r="S2881" s="6">
        <f t="shared" si="226"/>
        <v>1.1363686949999995E-2</v>
      </c>
      <c r="T2881" t="str">
        <f t="shared" si="222"/>
        <v>Maximo Thermo Ayous JPL VJoint - Square Back 1x6 Long</v>
      </c>
    </row>
    <row r="2882" spans="1:20" x14ac:dyDescent="0.25">
      <c r="A2882" t="s">
        <v>3414</v>
      </c>
      <c r="B2882" t="s">
        <v>3415</v>
      </c>
      <c r="C2882" t="s">
        <v>283</v>
      </c>
      <c r="D2882" t="s">
        <v>3044</v>
      </c>
      <c r="E2882" t="s">
        <v>3655</v>
      </c>
      <c r="F2882" t="s">
        <v>3650</v>
      </c>
      <c r="G2882" t="s">
        <v>3418</v>
      </c>
      <c r="H2882" t="s">
        <v>3397</v>
      </c>
      <c r="I2882" t="s">
        <v>289</v>
      </c>
      <c r="J2882" t="s">
        <v>344</v>
      </c>
      <c r="K2882">
        <v>15</v>
      </c>
      <c r="L2882" s="6">
        <v>4.57</v>
      </c>
      <c r="M2882" s="7">
        <v>19.049999999999997</v>
      </c>
      <c r="N2882" s="7">
        <v>139.69999999999999</v>
      </c>
      <c r="O2882" s="7">
        <f t="shared" si="223"/>
        <v>179.9212598425197</v>
      </c>
      <c r="P2882" s="7">
        <f t="shared" si="224"/>
        <v>0.74999999999999989</v>
      </c>
      <c r="Q2882" s="7">
        <f t="shared" si="224"/>
        <v>5.5</v>
      </c>
      <c r="R2882" s="6">
        <f t="shared" si="225"/>
        <v>1232.8030000000001</v>
      </c>
      <c r="S2882" s="6">
        <f t="shared" si="226"/>
        <v>1.2162072449999999E-2</v>
      </c>
      <c r="T2882" t="str">
        <f t="shared" ref="T2882:T2945" si="227">F2882&amp;" "&amp;C2882</f>
        <v>Maximo Thermo Ayous JPL VJoint - Square Back 1x6 Long</v>
      </c>
    </row>
    <row r="2883" spans="1:20" x14ac:dyDescent="0.25">
      <c r="A2883" t="s">
        <v>3414</v>
      </c>
      <c r="B2883" t="s">
        <v>3415</v>
      </c>
      <c r="C2883" t="s">
        <v>283</v>
      </c>
      <c r="D2883" t="s">
        <v>3044</v>
      </c>
      <c r="E2883" t="s">
        <v>3656</v>
      </c>
      <c r="F2883" t="s">
        <v>3650</v>
      </c>
      <c r="G2883" t="s">
        <v>3418</v>
      </c>
      <c r="H2883" t="s">
        <v>3397</v>
      </c>
      <c r="I2883" t="s">
        <v>289</v>
      </c>
      <c r="J2883" t="s">
        <v>344</v>
      </c>
      <c r="K2883">
        <v>16</v>
      </c>
      <c r="L2883" s="6">
        <v>4.88</v>
      </c>
      <c r="M2883" s="7">
        <v>19.049999999999997</v>
      </c>
      <c r="N2883" s="7">
        <v>139.69999999999999</v>
      </c>
      <c r="O2883" s="7">
        <f t="shared" si="223"/>
        <v>192.1259842519685</v>
      </c>
      <c r="P2883" s="7">
        <f t="shared" si="224"/>
        <v>0.74999999999999989</v>
      </c>
      <c r="Q2883" s="7">
        <f t="shared" si="224"/>
        <v>5.5</v>
      </c>
      <c r="R2883" s="6">
        <f t="shared" si="225"/>
        <v>1232.8030000000001</v>
      </c>
      <c r="S2883" s="6">
        <f t="shared" si="226"/>
        <v>1.2987070799999998E-2</v>
      </c>
      <c r="T2883" t="str">
        <f t="shared" si="227"/>
        <v>Maximo Thermo Ayous JPL VJoint - Square Back 1x6 Long</v>
      </c>
    </row>
    <row r="2884" spans="1:20" x14ac:dyDescent="0.25">
      <c r="A2884" t="s">
        <v>3414</v>
      </c>
      <c r="B2884" t="s">
        <v>3415</v>
      </c>
      <c r="C2884" t="s">
        <v>283</v>
      </c>
      <c r="D2884" t="s">
        <v>3044</v>
      </c>
      <c r="E2884" t="s">
        <v>3657</v>
      </c>
      <c r="F2884" t="s">
        <v>3650</v>
      </c>
      <c r="G2884" t="s">
        <v>3418</v>
      </c>
      <c r="H2884" t="s">
        <v>3397</v>
      </c>
      <c r="I2884" t="s">
        <v>289</v>
      </c>
      <c r="J2884" t="s">
        <v>344</v>
      </c>
      <c r="K2884">
        <v>17</v>
      </c>
      <c r="L2884" s="6">
        <v>5.18</v>
      </c>
      <c r="M2884" s="7">
        <v>19.049999999999997</v>
      </c>
      <c r="N2884" s="7">
        <v>139.69999999999999</v>
      </c>
      <c r="O2884" s="7">
        <f t="shared" si="223"/>
        <v>203.93700787401573</v>
      </c>
      <c r="P2884" s="7">
        <f t="shared" si="224"/>
        <v>0.74999999999999989</v>
      </c>
      <c r="Q2884" s="7">
        <f t="shared" si="224"/>
        <v>5.5</v>
      </c>
      <c r="R2884" s="6">
        <f t="shared" si="225"/>
        <v>1232.8030000000001</v>
      </c>
      <c r="S2884" s="6">
        <f t="shared" si="226"/>
        <v>1.3785456299999995E-2</v>
      </c>
      <c r="T2884" t="str">
        <f t="shared" si="227"/>
        <v>Maximo Thermo Ayous JPL VJoint - Square Back 1x6 Long</v>
      </c>
    </row>
    <row r="2885" spans="1:20" x14ac:dyDescent="0.25">
      <c r="A2885" t="s">
        <v>3414</v>
      </c>
      <c r="B2885" t="s">
        <v>3415</v>
      </c>
      <c r="C2885" t="s">
        <v>283</v>
      </c>
      <c r="D2885" t="s">
        <v>3044</v>
      </c>
      <c r="E2885" t="s">
        <v>3658</v>
      </c>
      <c r="F2885" t="s">
        <v>3650</v>
      </c>
      <c r="G2885" t="s">
        <v>3418</v>
      </c>
      <c r="H2885" t="s">
        <v>3397</v>
      </c>
      <c r="I2885" t="s">
        <v>289</v>
      </c>
      <c r="J2885" t="s">
        <v>344</v>
      </c>
      <c r="K2885">
        <v>18</v>
      </c>
      <c r="L2885" s="6">
        <v>5.49</v>
      </c>
      <c r="M2885" s="7">
        <v>19.049999999999997</v>
      </c>
      <c r="N2885" s="7">
        <v>139.69999999999999</v>
      </c>
      <c r="O2885" s="7">
        <f t="shared" si="223"/>
        <v>216.14173228346459</v>
      </c>
      <c r="P2885" s="7">
        <f t="shared" si="224"/>
        <v>0.74999999999999989</v>
      </c>
      <c r="Q2885" s="7">
        <f t="shared" si="224"/>
        <v>5.5</v>
      </c>
      <c r="R2885" s="6">
        <f t="shared" si="225"/>
        <v>1232.8030000000001</v>
      </c>
      <c r="S2885" s="6">
        <f t="shared" si="226"/>
        <v>1.4610454649999998E-2</v>
      </c>
      <c r="T2885" t="str">
        <f t="shared" si="227"/>
        <v>Maximo Thermo Ayous JPL VJoint - Square Back 1x6 Long</v>
      </c>
    </row>
    <row r="2886" spans="1:20" x14ac:dyDescent="0.25">
      <c r="A2886" t="s">
        <v>3414</v>
      </c>
      <c r="B2886" t="s">
        <v>3415</v>
      </c>
      <c r="C2886" t="s">
        <v>283</v>
      </c>
      <c r="D2886" t="s">
        <v>3044</v>
      </c>
      <c r="E2886" t="s">
        <v>3659</v>
      </c>
      <c r="F2886" t="s">
        <v>3650</v>
      </c>
      <c r="G2886" t="s">
        <v>3418</v>
      </c>
      <c r="H2886" t="s">
        <v>3397</v>
      </c>
      <c r="I2886" t="s">
        <v>289</v>
      </c>
      <c r="J2886" t="s">
        <v>344</v>
      </c>
      <c r="K2886">
        <v>19</v>
      </c>
      <c r="L2886" s="6">
        <v>5.79</v>
      </c>
      <c r="M2886" s="7">
        <v>19.049999999999997</v>
      </c>
      <c r="N2886" s="7">
        <v>139.69999999999999</v>
      </c>
      <c r="O2886" s="7">
        <f t="shared" si="223"/>
        <v>227.95275590551182</v>
      </c>
      <c r="P2886" s="7">
        <f t="shared" si="224"/>
        <v>0.74999999999999989</v>
      </c>
      <c r="Q2886" s="7">
        <f t="shared" si="224"/>
        <v>5.5</v>
      </c>
      <c r="R2886" s="6">
        <f t="shared" si="225"/>
        <v>1232.8030000000001</v>
      </c>
      <c r="S2886" s="6">
        <f t="shared" si="226"/>
        <v>1.5408840149999997E-2</v>
      </c>
      <c r="T2886" t="str">
        <f t="shared" si="227"/>
        <v>Maximo Thermo Ayous JPL VJoint - Square Back 1x6 Long</v>
      </c>
    </row>
    <row r="2887" spans="1:20" x14ac:dyDescent="0.25">
      <c r="A2887" t="s">
        <v>3414</v>
      </c>
      <c r="B2887" t="s">
        <v>3415</v>
      </c>
      <c r="C2887" t="s">
        <v>524</v>
      </c>
      <c r="D2887" t="s">
        <v>3044</v>
      </c>
      <c r="E2887" t="s">
        <v>3660</v>
      </c>
      <c r="F2887" t="s">
        <v>3650</v>
      </c>
      <c r="G2887" t="s">
        <v>3418</v>
      </c>
      <c r="H2887" t="s">
        <v>3397</v>
      </c>
      <c r="I2887" t="s">
        <v>289</v>
      </c>
      <c r="J2887" t="s">
        <v>344</v>
      </c>
      <c r="K2887">
        <v>4</v>
      </c>
      <c r="L2887" s="6">
        <v>1.22</v>
      </c>
      <c r="M2887" s="7">
        <v>19.049999999999997</v>
      </c>
      <c r="N2887" s="7">
        <v>139.69999999999999</v>
      </c>
      <c r="O2887" s="7">
        <f t="shared" si="223"/>
        <v>48.031496062992126</v>
      </c>
      <c r="P2887" s="7">
        <f t="shared" si="224"/>
        <v>0.74999999999999989</v>
      </c>
      <c r="Q2887" s="7">
        <f t="shared" si="224"/>
        <v>5.5</v>
      </c>
      <c r="R2887" s="6">
        <f t="shared" si="225"/>
        <v>1232.8030000000001</v>
      </c>
      <c r="S2887" s="6">
        <f t="shared" si="226"/>
        <v>3.2467676999999996E-3</v>
      </c>
      <c r="T2887" t="str">
        <f t="shared" si="227"/>
        <v>Maximo Thermo Ayous JPL VJoint - Square Back 1x6 Short</v>
      </c>
    </row>
    <row r="2888" spans="1:20" x14ac:dyDescent="0.25">
      <c r="A2888" t="s">
        <v>3414</v>
      </c>
      <c r="B2888" t="s">
        <v>3415</v>
      </c>
      <c r="C2888" t="s">
        <v>524</v>
      </c>
      <c r="D2888" t="s">
        <v>3044</v>
      </c>
      <c r="E2888" t="s">
        <v>3661</v>
      </c>
      <c r="F2888" t="s">
        <v>3650</v>
      </c>
      <c r="G2888" t="s">
        <v>3418</v>
      </c>
      <c r="H2888" t="s">
        <v>3397</v>
      </c>
      <c r="I2888" t="s">
        <v>289</v>
      </c>
      <c r="J2888" t="s">
        <v>344</v>
      </c>
      <c r="K2888">
        <v>5</v>
      </c>
      <c r="L2888" s="6">
        <v>1.52</v>
      </c>
      <c r="M2888" s="7">
        <v>19.049999999999997</v>
      </c>
      <c r="N2888" s="7">
        <v>139.69999999999999</v>
      </c>
      <c r="O2888" s="7">
        <f t="shared" si="223"/>
        <v>59.84251968503937</v>
      </c>
      <c r="P2888" s="7">
        <f t="shared" si="224"/>
        <v>0.74999999999999989</v>
      </c>
      <c r="Q2888" s="7">
        <f t="shared" si="224"/>
        <v>5.5</v>
      </c>
      <c r="R2888" s="6">
        <f t="shared" si="225"/>
        <v>1232.8030000000001</v>
      </c>
      <c r="S2888" s="6">
        <f t="shared" si="226"/>
        <v>4.0451531999999985E-3</v>
      </c>
      <c r="T2888" t="str">
        <f t="shared" si="227"/>
        <v>Maximo Thermo Ayous JPL VJoint - Square Back 1x6 Short</v>
      </c>
    </row>
    <row r="2889" spans="1:20" x14ac:dyDescent="0.25">
      <c r="A2889" t="s">
        <v>3414</v>
      </c>
      <c r="B2889" t="s">
        <v>3415</v>
      </c>
      <c r="C2889" t="s">
        <v>524</v>
      </c>
      <c r="D2889" t="s">
        <v>3044</v>
      </c>
      <c r="E2889" t="s">
        <v>3662</v>
      </c>
      <c r="F2889" t="s">
        <v>3650</v>
      </c>
      <c r="G2889" t="s">
        <v>3418</v>
      </c>
      <c r="H2889" t="s">
        <v>3397</v>
      </c>
      <c r="I2889" t="s">
        <v>289</v>
      </c>
      <c r="J2889" t="s">
        <v>344</v>
      </c>
      <c r="K2889">
        <v>6</v>
      </c>
      <c r="L2889" s="6">
        <v>1.83</v>
      </c>
      <c r="M2889" s="7">
        <v>19.049999999999997</v>
      </c>
      <c r="N2889" s="7">
        <v>139.69999999999999</v>
      </c>
      <c r="O2889" s="7">
        <f t="shared" si="223"/>
        <v>72.047244094488192</v>
      </c>
      <c r="P2889" s="7">
        <f t="shared" si="224"/>
        <v>0.74999999999999989</v>
      </c>
      <c r="Q2889" s="7">
        <f t="shared" si="224"/>
        <v>5.5</v>
      </c>
      <c r="R2889" s="6">
        <f t="shared" si="225"/>
        <v>1232.8030000000001</v>
      </c>
      <c r="S2889" s="6">
        <f t="shared" si="226"/>
        <v>4.8701515499999992E-3</v>
      </c>
      <c r="T2889" t="str">
        <f t="shared" si="227"/>
        <v>Maximo Thermo Ayous JPL VJoint - Square Back 1x6 Short</v>
      </c>
    </row>
    <row r="2890" spans="1:20" x14ac:dyDescent="0.25">
      <c r="A2890" t="s">
        <v>3414</v>
      </c>
      <c r="B2890" t="s">
        <v>3415</v>
      </c>
      <c r="C2890" t="s">
        <v>524</v>
      </c>
      <c r="D2890" t="s">
        <v>3044</v>
      </c>
      <c r="E2890" t="s">
        <v>3663</v>
      </c>
      <c r="F2890" t="s">
        <v>3650</v>
      </c>
      <c r="G2890" t="s">
        <v>3418</v>
      </c>
      <c r="H2890" t="s">
        <v>3397</v>
      </c>
      <c r="I2890" t="s">
        <v>289</v>
      </c>
      <c r="J2890" t="s">
        <v>344</v>
      </c>
      <c r="K2890">
        <v>7</v>
      </c>
      <c r="L2890" s="6">
        <v>2.13</v>
      </c>
      <c r="M2890" s="7">
        <v>19.049999999999997</v>
      </c>
      <c r="N2890" s="7">
        <v>139.69999999999999</v>
      </c>
      <c r="O2890" s="7">
        <f t="shared" si="223"/>
        <v>83.858267716535437</v>
      </c>
      <c r="P2890" s="7">
        <f t="shared" si="224"/>
        <v>0.74999999999999989</v>
      </c>
      <c r="Q2890" s="7">
        <f t="shared" si="224"/>
        <v>5.5</v>
      </c>
      <c r="R2890" s="6">
        <f t="shared" si="225"/>
        <v>1232.8030000000001</v>
      </c>
      <c r="S2890" s="6">
        <f t="shared" si="226"/>
        <v>5.6685370499999976E-3</v>
      </c>
      <c r="T2890" t="str">
        <f t="shared" si="227"/>
        <v>Maximo Thermo Ayous JPL VJoint - Square Back 1x6 Short</v>
      </c>
    </row>
    <row r="2891" spans="1:20" x14ac:dyDescent="0.25">
      <c r="A2891" t="s">
        <v>3414</v>
      </c>
      <c r="B2891" t="s">
        <v>3415</v>
      </c>
      <c r="C2891" t="s">
        <v>283</v>
      </c>
      <c r="D2891" t="s">
        <v>3044</v>
      </c>
      <c r="E2891" t="s">
        <v>3664</v>
      </c>
      <c r="F2891" t="s">
        <v>3650</v>
      </c>
      <c r="G2891" t="s">
        <v>3418</v>
      </c>
      <c r="H2891" t="s">
        <v>3397</v>
      </c>
      <c r="I2891" t="s">
        <v>289</v>
      </c>
      <c r="J2891" t="s">
        <v>344</v>
      </c>
      <c r="K2891">
        <v>8</v>
      </c>
      <c r="L2891" s="6">
        <v>2.44</v>
      </c>
      <c r="M2891" s="7">
        <v>19.049999999999997</v>
      </c>
      <c r="N2891" s="7">
        <v>139.69999999999999</v>
      </c>
      <c r="O2891" s="7">
        <f t="shared" si="223"/>
        <v>96.062992125984252</v>
      </c>
      <c r="P2891" s="7">
        <f t="shared" si="224"/>
        <v>0.74999999999999989</v>
      </c>
      <c r="Q2891" s="7">
        <f t="shared" si="224"/>
        <v>5.5</v>
      </c>
      <c r="R2891" s="6">
        <f t="shared" si="225"/>
        <v>1232.8030000000001</v>
      </c>
      <c r="S2891" s="6">
        <f t="shared" si="226"/>
        <v>6.4935353999999992E-3</v>
      </c>
      <c r="T2891" t="str">
        <f t="shared" si="227"/>
        <v>Maximo Thermo Ayous JPL VJoint - Square Back 1x6 Long</v>
      </c>
    </row>
    <row r="2892" spans="1:20" x14ac:dyDescent="0.25">
      <c r="A2892" t="s">
        <v>3414</v>
      </c>
      <c r="B2892" t="s">
        <v>3415</v>
      </c>
      <c r="C2892" t="s">
        <v>283</v>
      </c>
      <c r="D2892" t="s">
        <v>3044</v>
      </c>
      <c r="E2892" t="s">
        <v>3665</v>
      </c>
      <c r="F2892" t="s">
        <v>3650</v>
      </c>
      <c r="G2892" t="s">
        <v>3418</v>
      </c>
      <c r="H2892" t="s">
        <v>3397</v>
      </c>
      <c r="I2892" t="s">
        <v>289</v>
      </c>
      <c r="J2892" t="s">
        <v>344</v>
      </c>
      <c r="K2892">
        <v>9</v>
      </c>
      <c r="L2892" s="6">
        <v>2.74</v>
      </c>
      <c r="M2892" s="7">
        <v>19.049999999999997</v>
      </c>
      <c r="N2892" s="7">
        <v>139.69999999999999</v>
      </c>
      <c r="O2892" s="7">
        <f t="shared" si="223"/>
        <v>107.87401574803151</v>
      </c>
      <c r="P2892" s="7">
        <f t="shared" si="224"/>
        <v>0.74999999999999989</v>
      </c>
      <c r="Q2892" s="7">
        <f t="shared" si="224"/>
        <v>5.5</v>
      </c>
      <c r="R2892" s="6">
        <f t="shared" si="225"/>
        <v>1232.8030000000001</v>
      </c>
      <c r="S2892" s="6">
        <f t="shared" si="226"/>
        <v>7.2919208999999985E-3</v>
      </c>
      <c r="T2892" t="str">
        <f t="shared" si="227"/>
        <v>Maximo Thermo Ayous JPL VJoint - Square Back 1x6 Long</v>
      </c>
    </row>
    <row r="2893" spans="1:20" x14ac:dyDescent="0.25">
      <c r="A2893" t="s">
        <v>3073</v>
      </c>
      <c r="B2893" t="s">
        <v>3666</v>
      </c>
      <c r="C2893" t="s">
        <v>283</v>
      </c>
      <c r="D2893" t="s">
        <v>3044</v>
      </c>
      <c r="E2893" t="s">
        <v>3667</v>
      </c>
      <c r="F2893" t="s">
        <v>3668</v>
      </c>
      <c r="G2893" t="s">
        <v>3077</v>
      </c>
      <c r="H2893" t="s">
        <v>288</v>
      </c>
      <c r="I2893" t="s">
        <v>289</v>
      </c>
      <c r="J2893" t="s">
        <v>301</v>
      </c>
      <c r="K2893">
        <v>10</v>
      </c>
      <c r="L2893" s="6">
        <v>3</v>
      </c>
      <c r="M2893" s="7">
        <v>25</v>
      </c>
      <c r="N2893" s="7">
        <v>150</v>
      </c>
      <c r="O2893" s="7">
        <f t="shared" si="223"/>
        <v>118.11023622047244</v>
      </c>
      <c r="P2893" s="7">
        <f t="shared" si="224"/>
        <v>0.98425196850393704</v>
      </c>
      <c r="Q2893" s="7">
        <f t="shared" si="224"/>
        <v>5.9055118110236222</v>
      </c>
      <c r="R2893" s="6">
        <f t="shared" si="225"/>
        <v>874.89099999999996</v>
      </c>
      <c r="S2893" s="6">
        <f t="shared" si="226"/>
        <v>1.125E-2</v>
      </c>
      <c r="T2893" t="str">
        <f t="shared" si="227"/>
        <v>Maximo Thermo Ayous Rough Sawn 5/4x6 Long</v>
      </c>
    </row>
    <row r="2894" spans="1:20" x14ac:dyDescent="0.25">
      <c r="A2894" t="s">
        <v>3073</v>
      </c>
      <c r="B2894" t="s">
        <v>3666</v>
      </c>
      <c r="C2894" t="s">
        <v>283</v>
      </c>
      <c r="D2894" t="s">
        <v>3044</v>
      </c>
      <c r="E2894" t="s">
        <v>3669</v>
      </c>
      <c r="F2894" t="s">
        <v>3668</v>
      </c>
      <c r="G2894" t="s">
        <v>3077</v>
      </c>
      <c r="H2894" t="s">
        <v>288</v>
      </c>
      <c r="I2894" t="s">
        <v>289</v>
      </c>
      <c r="J2894" t="s">
        <v>301</v>
      </c>
      <c r="K2894">
        <v>11</v>
      </c>
      <c r="L2894" s="6">
        <v>3.3</v>
      </c>
      <c r="M2894" s="7">
        <v>25</v>
      </c>
      <c r="N2894" s="7">
        <v>150</v>
      </c>
      <c r="O2894" s="7">
        <f t="shared" si="223"/>
        <v>129.92125984251967</v>
      </c>
      <c r="P2894" s="7">
        <f t="shared" si="224"/>
        <v>0.98425196850393704</v>
      </c>
      <c r="Q2894" s="7">
        <f t="shared" si="224"/>
        <v>5.9055118110236222</v>
      </c>
      <c r="R2894" s="6">
        <f t="shared" si="225"/>
        <v>874.89099999999996</v>
      </c>
      <c r="S2894" s="6">
        <f t="shared" si="226"/>
        <v>1.2375000000000001E-2</v>
      </c>
      <c r="T2894" t="str">
        <f t="shared" si="227"/>
        <v>Maximo Thermo Ayous Rough Sawn 5/4x6 Long</v>
      </c>
    </row>
    <row r="2895" spans="1:20" x14ac:dyDescent="0.25">
      <c r="A2895" t="s">
        <v>3073</v>
      </c>
      <c r="B2895" t="s">
        <v>3666</v>
      </c>
      <c r="C2895" t="s">
        <v>283</v>
      </c>
      <c r="D2895" t="s">
        <v>3044</v>
      </c>
      <c r="E2895" t="s">
        <v>3670</v>
      </c>
      <c r="F2895" t="s">
        <v>3668</v>
      </c>
      <c r="G2895" t="s">
        <v>3077</v>
      </c>
      <c r="H2895" t="s">
        <v>288</v>
      </c>
      <c r="I2895" t="s">
        <v>289</v>
      </c>
      <c r="J2895" t="s">
        <v>301</v>
      </c>
      <c r="K2895">
        <v>12</v>
      </c>
      <c r="L2895" s="6">
        <v>3.6</v>
      </c>
      <c r="M2895" s="7">
        <v>25</v>
      </c>
      <c r="N2895" s="7">
        <v>150</v>
      </c>
      <c r="O2895" s="7">
        <f t="shared" si="223"/>
        <v>141.73228346456693</v>
      </c>
      <c r="P2895" s="7">
        <f t="shared" si="224"/>
        <v>0.98425196850393704</v>
      </c>
      <c r="Q2895" s="7">
        <f t="shared" si="224"/>
        <v>5.9055118110236222</v>
      </c>
      <c r="R2895" s="6">
        <f t="shared" si="225"/>
        <v>874.89099999999996</v>
      </c>
      <c r="S2895" s="6">
        <f t="shared" si="226"/>
        <v>1.35E-2</v>
      </c>
      <c r="T2895" t="str">
        <f t="shared" si="227"/>
        <v>Maximo Thermo Ayous Rough Sawn 5/4x6 Long</v>
      </c>
    </row>
    <row r="2896" spans="1:20" x14ac:dyDescent="0.25">
      <c r="A2896" t="s">
        <v>3073</v>
      </c>
      <c r="B2896" t="s">
        <v>3666</v>
      </c>
      <c r="C2896" t="s">
        <v>283</v>
      </c>
      <c r="D2896" t="s">
        <v>3044</v>
      </c>
      <c r="E2896" t="s">
        <v>3671</v>
      </c>
      <c r="F2896" t="s">
        <v>3668</v>
      </c>
      <c r="G2896" t="s">
        <v>3077</v>
      </c>
      <c r="H2896" t="s">
        <v>288</v>
      </c>
      <c r="I2896" t="s">
        <v>289</v>
      </c>
      <c r="J2896" t="s">
        <v>301</v>
      </c>
      <c r="K2896">
        <v>13</v>
      </c>
      <c r="L2896" s="6">
        <v>3.9</v>
      </c>
      <c r="M2896" s="7">
        <v>25</v>
      </c>
      <c r="N2896" s="7">
        <v>150</v>
      </c>
      <c r="O2896" s="7">
        <f t="shared" si="223"/>
        <v>153.54330708661416</v>
      </c>
      <c r="P2896" s="7">
        <f t="shared" si="224"/>
        <v>0.98425196850393704</v>
      </c>
      <c r="Q2896" s="7">
        <f t="shared" si="224"/>
        <v>5.9055118110236222</v>
      </c>
      <c r="R2896" s="6">
        <f t="shared" si="225"/>
        <v>874.89099999999996</v>
      </c>
      <c r="S2896" s="6">
        <f t="shared" si="226"/>
        <v>1.4625000000000001E-2</v>
      </c>
      <c r="T2896" t="str">
        <f t="shared" si="227"/>
        <v>Maximo Thermo Ayous Rough Sawn 5/4x6 Long</v>
      </c>
    </row>
    <row r="2897" spans="1:20" x14ac:dyDescent="0.25">
      <c r="A2897" t="s">
        <v>3073</v>
      </c>
      <c r="B2897" t="s">
        <v>3666</v>
      </c>
      <c r="C2897" t="s">
        <v>283</v>
      </c>
      <c r="D2897" t="s">
        <v>3044</v>
      </c>
      <c r="E2897" t="s">
        <v>3672</v>
      </c>
      <c r="F2897" t="s">
        <v>3668</v>
      </c>
      <c r="G2897" t="s">
        <v>3077</v>
      </c>
      <c r="H2897" t="s">
        <v>288</v>
      </c>
      <c r="I2897" t="s">
        <v>289</v>
      </c>
      <c r="J2897" t="s">
        <v>301</v>
      </c>
      <c r="K2897">
        <v>14</v>
      </c>
      <c r="L2897" s="6">
        <v>4.2</v>
      </c>
      <c r="M2897" s="7">
        <v>25</v>
      </c>
      <c r="N2897" s="7">
        <v>150</v>
      </c>
      <c r="O2897" s="7">
        <f t="shared" si="223"/>
        <v>165.35433070866142</v>
      </c>
      <c r="P2897" s="7">
        <f t="shared" si="224"/>
        <v>0.98425196850393704</v>
      </c>
      <c r="Q2897" s="7">
        <f t="shared" si="224"/>
        <v>5.9055118110236222</v>
      </c>
      <c r="R2897" s="6">
        <f t="shared" si="225"/>
        <v>874.89099999999996</v>
      </c>
      <c r="S2897" s="6">
        <f t="shared" si="226"/>
        <v>1.575E-2</v>
      </c>
      <c r="T2897" t="str">
        <f t="shared" si="227"/>
        <v>Maximo Thermo Ayous Rough Sawn 5/4x6 Long</v>
      </c>
    </row>
    <row r="2898" spans="1:20" x14ac:dyDescent="0.25">
      <c r="A2898" t="s">
        <v>3073</v>
      </c>
      <c r="B2898" t="s">
        <v>3666</v>
      </c>
      <c r="C2898" t="s">
        <v>283</v>
      </c>
      <c r="D2898" t="s">
        <v>3044</v>
      </c>
      <c r="E2898" t="s">
        <v>3673</v>
      </c>
      <c r="F2898" t="s">
        <v>3668</v>
      </c>
      <c r="G2898" t="s">
        <v>3077</v>
      </c>
      <c r="H2898" t="s">
        <v>288</v>
      </c>
      <c r="I2898" t="s">
        <v>289</v>
      </c>
      <c r="J2898" t="s">
        <v>301</v>
      </c>
      <c r="K2898">
        <v>15</v>
      </c>
      <c r="L2898" s="6">
        <v>4.5</v>
      </c>
      <c r="M2898" s="7">
        <v>25</v>
      </c>
      <c r="N2898" s="7">
        <v>150</v>
      </c>
      <c r="O2898" s="7">
        <f t="shared" si="223"/>
        <v>177.16535433070868</v>
      </c>
      <c r="P2898" s="7">
        <f t="shared" si="224"/>
        <v>0.98425196850393704</v>
      </c>
      <c r="Q2898" s="7">
        <f t="shared" si="224"/>
        <v>5.9055118110236222</v>
      </c>
      <c r="R2898" s="6">
        <f t="shared" si="225"/>
        <v>874.89099999999996</v>
      </c>
      <c r="S2898" s="6">
        <f t="shared" si="226"/>
        <v>1.6875000000000001E-2</v>
      </c>
      <c r="T2898" t="str">
        <f t="shared" si="227"/>
        <v>Maximo Thermo Ayous Rough Sawn 5/4x6 Long</v>
      </c>
    </row>
    <row r="2899" spans="1:20" x14ac:dyDescent="0.25">
      <c r="A2899" t="s">
        <v>3073</v>
      </c>
      <c r="B2899" t="s">
        <v>3666</v>
      </c>
      <c r="C2899" t="s">
        <v>283</v>
      </c>
      <c r="D2899" t="s">
        <v>3044</v>
      </c>
      <c r="E2899" t="s">
        <v>3674</v>
      </c>
      <c r="F2899" t="s">
        <v>3668</v>
      </c>
      <c r="G2899" t="s">
        <v>3077</v>
      </c>
      <c r="H2899" t="s">
        <v>288</v>
      </c>
      <c r="I2899" t="s">
        <v>289</v>
      </c>
      <c r="J2899" t="s">
        <v>301</v>
      </c>
      <c r="K2899">
        <v>16</v>
      </c>
      <c r="L2899" s="6">
        <v>4.8</v>
      </c>
      <c r="M2899" s="7">
        <v>25</v>
      </c>
      <c r="N2899" s="7">
        <v>150</v>
      </c>
      <c r="O2899" s="7">
        <f t="shared" si="223"/>
        <v>188.97637795275591</v>
      </c>
      <c r="P2899" s="7">
        <f t="shared" si="224"/>
        <v>0.98425196850393704</v>
      </c>
      <c r="Q2899" s="7">
        <f t="shared" si="224"/>
        <v>5.9055118110236222</v>
      </c>
      <c r="R2899" s="6">
        <f t="shared" si="225"/>
        <v>874.89099999999996</v>
      </c>
      <c r="S2899" s="6">
        <f t="shared" si="226"/>
        <v>1.7999999999999999E-2</v>
      </c>
      <c r="T2899" t="str">
        <f t="shared" si="227"/>
        <v>Maximo Thermo Ayous Rough Sawn 5/4x6 Long</v>
      </c>
    </row>
    <row r="2900" spans="1:20" x14ac:dyDescent="0.25">
      <c r="A2900" t="s">
        <v>3073</v>
      </c>
      <c r="B2900" t="s">
        <v>3666</v>
      </c>
      <c r="C2900" t="s">
        <v>283</v>
      </c>
      <c r="D2900" t="s">
        <v>3044</v>
      </c>
      <c r="E2900" t="s">
        <v>3675</v>
      </c>
      <c r="F2900" t="s">
        <v>3668</v>
      </c>
      <c r="G2900" t="s">
        <v>3077</v>
      </c>
      <c r="H2900" t="s">
        <v>288</v>
      </c>
      <c r="I2900" t="s">
        <v>289</v>
      </c>
      <c r="J2900" t="s">
        <v>301</v>
      </c>
      <c r="K2900">
        <v>17</v>
      </c>
      <c r="L2900" s="6">
        <v>5.0999999999999996</v>
      </c>
      <c r="M2900" s="7">
        <v>25</v>
      </c>
      <c r="N2900" s="7">
        <v>150</v>
      </c>
      <c r="O2900" s="7">
        <f t="shared" si="223"/>
        <v>200.78740157480314</v>
      </c>
      <c r="P2900" s="7">
        <f t="shared" si="224"/>
        <v>0.98425196850393704</v>
      </c>
      <c r="Q2900" s="7">
        <f t="shared" si="224"/>
        <v>5.9055118110236222</v>
      </c>
      <c r="R2900" s="6">
        <f t="shared" si="225"/>
        <v>874.89099999999996</v>
      </c>
      <c r="S2900" s="6">
        <f t="shared" si="226"/>
        <v>1.9124999999999996E-2</v>
      </c>
      <c r="T2900" t="str">
        <f t="shared" si="227"/>
        <v>Maximo Thermo Ayous Rough Sawn 5/4x6 Long</v>
      </c>
    </row>
    <row r="2901" spans="1:20" x14ac:dyDescent="0.25">
      <c r="A2901" t="s">
        <v>3073</v>
      </c>
      <c r="B2901" t="s">
        <v>3666</v>
      </c>
      <c r="C2901" t="s">
        <v>283</v>
      </c>
      <c r="D2901" t="s">
        <v>3044</v>
      </c>
      <c r="E2901" t="s">
        <v>3676</v>
      </c>
      <c r="F2901" t="s">
        <v>3668</v>
      </c>
      <c r="G2901" t="s">
        <v>3077</v>
      </c>
      <c r="H2901" t="s">
        <v>288</v>
      </c>
      <c r="I2901" t="s">
        <v>289</v>
      </c>
      <c r="J2901" t="s">
        <v>301</v>
      </c>
      <c r="K2901">
        <v>18</v>
      </c>
      <c r="L2901" s="6">
        <v>5.4</v>
      </c>
      <c r="M2901" s="7">
        <v>25</v>
      </c>
      <c r="N2901" s="7">
        <v>150</v>
      </c>
      <c r="O2901" s="7">
        <f t="shared" si="223"/>
        <v>212.59842519685043</v>
      </c>
      <c r="P2901" s="7">
        <f t="shared" si="224"/>
        <v>0.98425196850393704</v>
      </c>
      <c r="Q2901" s="7">
        <f t="shared" si="224"/>
        <v>5.9055118110236222</v>
      </c>
      <c r="R2901" s="6">
        <f t="shared" si="225"/>
        <v>874.89099999999996</v>
      </c>
      <c r="S2901" s="6">
        <f t="shared" si="226"/>
        <v>2.0250000000000001E-2</v>
      </c>
      <c r="T2901" t="str">
        <f t="shared" si="227"/>
        <v>Maximo Thermo Ayous Rough Sawn 5/4x6 Long</v>
      </c>
    </row>
    <row r="2902" spans="1:20" x14ac:dyDescent="0.25">
      <c r="A2902" t="s">
        <v>3073</v>
      </c>
      <c r="B2902" t="s">
        <v>3666</v>
      </c>
      <c r="C2902" t="s">
        <v>524</v>
      </c>
      <c r="D2902" t="s">
        <v>3044</v>
      </c>
      <c r="E2902" t="s">
        <v>3677</v>
      </c>
      <c r="F2902" t="s">
        <v>3668</v>
      </c>
      <c r="G2902" t="s">
        <v>3077</v>
      </c>
      <c r="H2902" t="s">
        <v>288</v>
      </c>
      <c r="I2902" t="s">
        <v>289</v>
      </c>
      <c r="J2902" t="s">
        <v>301</v>
      </c>
      <c r="K2902">
        <v>4</v>
      </c>
      <c r="L2902" s="6">
        <v>1.2</v>
      </c>
      <c r="M2902" s="7">
        <v>25</v>
      </c>
      <c r="N2902" s="7">
        <v>150</v>
      </c>
      <c r="O2902" s="7">
        <f t="shared" si="223"/>
        <v>47.244094488188978</v>
      </c>
      <c r="P2902" s="7">
        <f t="shared" si="224"/>
        <v>0.98425196850393704</v>
      </c>
      <c r="Q2902" s="7">
        <f t="shared" si="224"/>
        <v>5.9055118110236222</v>
      </c>
      <c r="R2902" s="6">
        <f t="shared" si="225"/>
        <v>874.89099999999996</v>
      </c>
      <c r="S2902" s="6">
        <f t="shared" si="226"/>
        <v>4.4999999999999997E-3</v>
      </c>
      <c r="T2902" t="str">
        <f t="shared" si="227"/>
        <v>Maximo Thermo Ayous Rough Sawn 5/4x6 Short</v>
      </c>
    </row>
    <row r="2903" spans="1:20" x14ac:dyDescent="0.25">
      <c r="A2903" t="s">
        <v>3073</v>
      </c>
      <c r="B2903" t="s">
        <v>3666</v>
      </c>
      <c r="C2903" t="s">
        <v>524</v>
      </c>
      <c r="D2903" t="s">
        <v>3044</v>
      </c>
      <c r="E2903" t="s">
        <v>3678</v>
      </c>
      <c r="F2903" t="s">
        <v>3668</v>
      </c>
      <c r="G2903" t="s">
        <v>3077</v>
      </c>
      <c r="H2903" t="s">
        <v>288</v>
      </c>
      <c r="I2903" t="s">
        <v>289</v>
      </c>
      <c r="J2903" t="s">
        <v>301</v>
      </c>
      <c r="K2903">
        <v>5</v>
      </c>
      <c r="L2903" s="6">
        <v>1.5</v>
      </c>
      <c r="M2903" s="7">
        <v>25</v>
      </c>
      <c r="N2903" s="7">
        <v>150</v>
      </c>
      <c r="O2903" s="7">
        <f t="shared" si="223"/>
        <v>59.055118110236222</v>
      </c>
      <c r="P2903" s="7">
        <f t="shared" si="224"/>
        <v>0.98425196850393704</v>
      </c>
      <c r="Q2903" s="7">
        <f t="shared" si="224"/>
        <v>5.9055118110236222</v>
      </c>
      <c r="R2903" s="6">
        <f t="shared" si="225"/>
        <v>874.89099999999996</v>
      </c>
      <c r="S2903" s="6">
        <f t="shared" si="226"/>
        <v>5.6249999999999998E-3</v>
      </c>
      <c r="T2903" t="str">
        <f t="shared" si="227"/>
        <v>Maximo Thermo Ayous Rough Sawn 5/4x6 Short</v>
      </c>
    </row>
    <row r="2904" spans="1:20" x14ac:dyDescent="0.25">
      <c r="A2904" t="s">
        <v>3073</v>
      </c>
      <c r="B2904" t="s">
        <v>3666</v>
      </c>
      <c r="C2904" t="s">
        <v>524</v>
      </c>
      <c r="D2904" t="s">
        <v>3044</v>
      </c>
      <c r="E2904" t="s">
        <v>3679</v>
      </c>
      <c r="F2904" t="s">
        <v>3668</v>
      </c>
      <c r="G2904" t="s">
        <v>3077</v>
      </c>
      <c r="H2904" t="s">
        <v>288</v>
      </c>
      <c r="I2904" t="s">
        <v>289</v>
      </c>
      <c r="J2904" t="s">
        <v>301</v>
      </c>
      <c r="K2904">
        <v>6</v>
      </c>
      <c r="L2904" s="6">
        <v>1.8</v>
      </c>
      <c r="M2904" s="7">
        <v>25</v>
      </c>
      <c r="N2904" s="7">
        <v>150</v>
      </c>
      <c r="O2904" s="7">
        <f t="shared" si="223"/>
        <v>70.866141732283467</v>
      </c>
      <c r="P2904" s="7">
        <f t="shared" si="224"/>
        <v>0.98425196850393704</v>
      </c>
      <c r="Q2904" s="7">
        <f t="shared" si="224"/>
        <v>5.9055118110236222</v>
      </c>
      <c r="R2904" s="6">
        <f t="shared" si="225"/>
        <v>874.89099999999996</v>
      </c>
      <c r="S2904" s="6">
        <f t="shared" si="226"/>
        <v>6.7499999999999999E-3</v>
      </c>
      <c r="T2904" t="str">
        <f t="shared" si="227"/>
        <v>Maximo Thermo Ayous Rough Sawn 5/4x6 Short</v>
      </c>
    </row>
    <row r="2905" spans="1:20" x14ac:dyDescent="0.25">
      <c r="A2905" t="s">
        <v>3073</v>
      </c>
      <c r="B2905" t="s">
        <v>3666</v>
      </c>
      <c r="C2905" t="s">
        <v>524</v>
      </c>
      <c r="D2905" t="s">
        <v>3044</v>
      </c>
      <c r="E2905" t="s">
        <v>3680</v>
      </c>
      <c r="F2905" t="s">
        <v>3668</v>
      </c>
      <c r="G2905" t="s">
        <v>3077</v>
      </c>
      <c r="H2905" t="s">
        <v>288</v>
      </c>
      <c r="I2905" t="s">
        <v>289</v>
      </c>
      <c r="J2905" t="s">
        <v>301</v>
      </c>
      <c r="K2905">
        <v>7</v>
      </c>
      <c r="L2905" s="6">
        <v>2.1</v>
      </c>
      <c r="M2905" s="7">
        <v>25</v>
      </c>
      <c r="N2905" s="7">
        <v>150</v>
      </c>
      <c r="O2905" s="7">
        <f t="shared" si="223"/>
        <v>82.677165354330711</v>
      </c>
      <c r="P2905" s="7">
        <f t="shared" si="224"/>
        <v>0.98425196850393704</v>
      </c>
      <c r="Q2905" s="7">
        <f t="shared" si="224"/>
        <v>5.9055118110236222</v>
      </c>
      <c r="R2905" s="6">
        <f t="shared" si="225"/>
        <v>874.89099999999996</v>
      </c>
      <c r="S2905" s="6">
        <f t="shared" si="226"/>
        <v>7.8750000000000001E-3</v>
      </c>
      <c r="T2905" t="str">
        <f t="shared" si="227"/>
        <v>Maximo Thermo Ayous Rough Sawn 5/4x6 Short</v>
      </c>
    </row>
    <row r="2906" spans="1:20" x14ac:dyDescent="0.25">
      <c r="A2906" t="s">
        <v>3073</v>
      </c>
      <c r="B2906" t="s">
        <v>3666</v>
      </c>
      <c r="C2906" t="s">
        <v>283</v>
      </c>
      <c r="D2906" t="s">
        <v>3044</v>
      </c>
      <c r="E2906" t="s">
        <v>3681</v>
      </c>
      <c r="F2906" t="s">
        <v>3668</v>
      </c>
      <c r="G2906" t="s">
        <v>3077</v>
      </c>
      <c r="H2906" t="s">
        <v>288</v>
      </c>
      <c r="I2906" t="s">
        <v>289</v>
      </c>
      <c r="J2906" t="s">
        <v>301</v>
      </c>
      <c r="K2906">
        <v>8</v>
      </c>
      <c r="L2906" s="6">
        <v>2.4</v>
      </c>
      <c r="M2906" s="7">
        <v>25</v>
      </c>
      <c r="N2906" s="7">
        <v>150</v>
      </c>
      <c r="O2906" s="7">
        <f t="shared" si="223"/>
        <v>94.488188976377955</v>
      </c>
      <c r="P2906" s="7">
        <f t="shared" si="224"/>
        <v>0.98425196850393704</v>
      </c>
      <c r="Q2906" s="7">
        <f t="shared" si="224"/>
        <v>5.9055118110236222</v>
      </c>
      <c r="R2906" s="6">
        <f t="shared" si="225"/>
        <v>874.89099999999996</v>
      </c>
      <c r="S2906" s="6">
        <f t="shared" si="226"/>
        <v>8.9999999999999993E-3</v>
      </c>
      <c r="T2906" t="str">
        <f t="shared" si="227"/>
        <v>Maximo Thermo Ayous Rough Sawn 5/4x6 Long</v>
      </c>
    </row>
    <row r="2907" spans="1:20" x14ac:dyDescent="0.25">
      <c r="A2907" t="s">
        <v>3073</v>
      </c>
      <c r="B2907" t="s">
        <v>3666</v>
      </c>
      <c r="C2907" t="s">
        <v>283</v>
      </c>
      <c r="D2907" t="s">
        <v>3044</v>
      </c>
      <c r="E2907" t="s">
        <v>3682</v>
      </c>
      <c r="F2907" t="s">
        <v>3668</v>
      </c>
      <c r="G2907" t="s">
        <v>3077</v>
      </c>
      <c r="H2907" t="s">
        <v>288</v>
      </c>
      <c r="I2907" t="s">
        <v>289</v>
      </c>
      <c r="J2907" t="s">
        <v>301</v>
      </c>
      <c r="K2907">
        <v>9</v>
      </c>
      <c r="L2907" s="6">
        <v>2.7</v>
      </c>
      <c r="M2907" s="7">
        <v>25</v>
      </c>
      <c r="N2907" s="7">
        <v>150</v>
      </c>
      <c r="O2907" s="7">
        <f t="shared" si="223"/>
        <v>106.29921259842521</v>
      </c>
      <c r="P2907" s="7">
        <f t="shared" si="224"/>
        <v>0.98425196850393704</v>
      </c>
      <c r="Q2907" s="7">
        <f t="shared" si="224"/>
        <v>5.9055118110236222</v>
      </c>
      <c r="R2907" s="6">
        <f t="shared" si="225"/>
        <v>874.89099999999996</v>
      </c>
      <c r="S2907" s="6">
        <f t="shared" si="226"/>
        <v>1.0125E-2</v>
      </c>
      <c r="T2907" t="str">
        <f t="shared" si="227"/>
        <v>Maximo Thermo Ayous Rough Sawn 5/4x6 Long</v>
      </c>
    </row>
    <row r="2908" spans="1:20" x14ac:dyDescent="0.25">
      <c r="A2908" t="s">
        <v>3073</v>
      </c>
      <c r="B2908" t="s">
        <v>3683</v>
      </c>
      <c r="C2908" t="s">
        <v>283</v>
      </c>
      <c r="D2908" t="s">
        <v>3044</v>
      </c>
      <c r="E2908" t="s">
        <v>3684</v>
      </c>
      <c r="F2908" t="s">
        <v>3685</v>
      </c>
      <c r="G2908" t="s">
        <v>3077</v>
      </c>
      <c r="H2908" t="s">
        <v>373</v>
      </c>
      <c r="I2908" t="s">
        <v>289</v>
      </c>
      <c r="J2908" t="s">
        <v>1359</v>
      </c>
      <c r="K2908">
        <v>10</v>
      </c>
      <c r="L2908" s="6">
        <v>3</v>
      </c>
      <c r="M2908" s="7">
        <v>20</v>
      </c>
      <c r="N2908" s="7">
        <v>250</v>
      </c>
      <c r="O2908" s="7">
        <f t="shared" si="223"/>
        <v>118.11023622047244</v>
      </c>
      <c r="P2908" s="7">
        <f t="shared" si="224"/>
        <v>0.78740157480314965</v>
      </c>
      <c r="Q2908" s="7">
        <f t="shared" si="224"/>
        <v>9.8425196850393704</v>
      </c>
      <c r="R2908" s="6">
        <f t="shared" si="225"/>
        <v>656.16800000000001</v>
      </c>
      <c r="S2908" s="6">
        <f t="shared" si="226"/>
        <v>1.4999999999999999E-2</v>
      </c>
      <c r="T2908" t="str">
        <f t="shared" si="227"/>
        <v>Maximo Thermo Ayous S4S E4E 1x10 Long</v>
      </c>
    </row>
    <row r="2909" spans="1:20" x14ac:dyDescent="0.25">
      <c r="A2909" t="s">
        <v>3073</v>
      </c>
      <c r="B2909" t="s">
        <v>3683</v>
      </c>
      <c r="C2909" t="s">
        <v>283</v>
      </c>
      <c r="D2909" t="s">
        <v>3044</v>
      </c>
      <c r="E2909" t="s">
        <v>3686</v>
      </c>
      <c r="F2909" t="s">
        <v>3685</v>
      </c>
      <c r="G2909" t="s">
        <v>3077</v>
      </c>
      <c r="H2909" t="s">
        <v>373</v>
      </c>
      <c r="I2909" t="s">
        <v>289</v>
      </c>
      <c r="J2909" t="s">
        <v>1359</v>
      </c>
      <c r="K2909">
        <v>11</v>
      </c>
      <c r="L2909" s="6">
        <v>3.3</v>
      </c>
      <c r="M2909" s="7">
        <v>20</v>
      </c>
      <c r="N2909" s="7">
        <v>250</v>
      </c>
      <c r="O2909" s="7">
        <f t="shared" si="223"/>
        <v>129.92125984251967</v>
      </c>
      <c r="P2909" s="7">
        <f t="shared" si="224"/>
        <v>0.78740157480314965</v>
      </c>
      <c r="Q2909" s="7">
        <f t="shared" si="224"/>
        <v>9.8425196850393704</v>
      </c>
      <c r="R2909" s="6">
        <f t="shared" si="225"/>
        <v>656.16800000000001</v>
      </c>
      <c r="S2909" s="6">
        <f t="shared" si="226"/>
        <v>1.6500000000000001E-2</v>
      </c>
      <c r="T2909" t="str">
        <f t="shared" si="227"/>
        <v>Maximo Thermo Ayous S4S E4E 1x10 Long</v>
      </c>
    </row>
    <row r="2910" spans="1:20" x14ac:dyDescent="0.25">
      <c r="A2910" t="s">
        <v>3073</v>
      </c>
      <c r="B2910" t="s">
        <v>3683</v>
      </c>
      <c r="C2910" t="s">
        <v>283</v>
      </c>
      <c r="D2910" t="s">
        <v>3044</v>
      </c>
      <c r="E2910" t="s">
        <v>3687</v>
      </c>
      <c r="F2910" t="s">
        <v>3685</v>
      </c>
      <c r="G2910" t="s">
        <v>3077</v>
      </c>
      <c r="H2910" t="s">
        <v>373</v>
      </c>
      <c r="I2910" t="s">
        <v>289</v>
      </c>
      <c r="J2910" t="s">
        <v>1359</v>
      </c>
      <c r="K2910">
        <v>12</v>
      </c>
      <c r="L2910" s="6">
        <v>3.6</v>
      </c>
      <c r="M2910" s="7">
        <v>20</v>
      </c>
      <c r="N2910" s="7">
        <v>250</v>
      </c>
      <c r="O2910" s="7">
        <f t="shared" si="223"/>
        <v>141.73228346456693</v>
      </c>
      <c r="P2910" s="7">
        <f t="shared" si="224"/>
        <v>0.78740157480314965</v>
      </c>
      <c r="Q2910" s="7">
        <f t="shared" si="224"/>
        <v>9.8425196850393704</v>
      </c>
      <c r="R2910" s="6">
        <f t="shared" si="225"/>
        <v>656.16800000000001</v>
      </c>
      <c r="S2910" s="6">
        <f t="shared" si="226"/>
        <v>1.7999999999999999E-2</v>
      </c>
      <c r="T2910" t="str">
        <f t="shared" si="227"/>
        <v>Maximo Thermo Ayous S4S E4E 1x10 Long</v>
      </c>
    </row>
    <row r="2911" spans="1:20" x14ac:dyDescent="0.25">
      <c r="A2911" t="s">
        <v>3073</v>
      </c>
      <c r="B2911" t="s">
        <v>3683</v>
      </c>
      <c r="C2911" t="s">
        <v>283</v>
      </c>
      <c r="D2911" t="s">
        <v>3044</v>
      </c>
      <c r="E2911" t="s">
        <v>3688</v>
      </c>
      <c r="F2911" t="s">
        <v>3685</v>
      </c>
      <c r="G2911" t="s">
        <v>3077</v>
      </c>
      <c r="H2911" t="s">
        <v>373</v>
      </c>
      <c r="I2911" t="s">
        <v>289</v>
      </c>
      <c r="J2911" t="s">
        <v>1359</v>
      </c>
      <c r="K2911">
        <v>13</v>
      </c>
      <c r="L2911" s="6">
        <v>3.9</v>
      </c>
      <c r="M2911" s="7">
        <v>20</v>
      </c>
      <c r="N2911" s="7">
        <v>250</v>
      </c>
      <c r="O2911" s="7">
        <f t="shared" si="223"/>
        <v>153.54330708661416</v>
      </c>
      <c r="P2911" s="7">
        <f t="shared" si="224"/>
        <v>0.78740157480314965</v>
      </c>
      <c r="Q2911" s="7">
        <f t="shared" si="224"/>
        <v>9.8425196850393704</v>
      </c>
      <c r="R2911" s="6">
        <f t="shared" si="225"/>
        <v>656.16800000000001</v>
      </c>
      <c r="S2911" s="6">
        <f t="shared" si="226"/>
        <v>1.95E-2</v>
      </c>
      <c r="T2911" t="str">
        <f t="shared" si="227"/>
        <v>Maximo Thermo Ayous S4S E4E 1x10 Long</v>
      </c>
    </row>
    <row r="2912" spans="1:20" x14ac:dyDescent="0.25">
      <c r="A2912" t="s">
        <v>3073</v>
      </c>
      <c r="B2912" t="s">
        <v>3683</v>
      </c>
      <c r="C2912" t="s">
        <v>283</v>
      </c>
      <c r="D2912" t="s">
        <v>3044</v>
      </c>
      <c r="E2912" t="s">
        <v>3689</v>
      </c>
      <c r="F2912" t="s">
        <v>3685</v>
      </c>
      <c r="G2912" t="s">
        <v>3077</v>
      </c>
      <c r="H2912" t="s">
        <v>373</v>
      </c>
      <c r="I2912" t="s">
        <v>289</v>
      </c>
      <c r="J2912" t="s">
        <v>1359</v>
      </c>
      <c r="K2912">
        <v>14</v>
      </c>
      <c r="L2912" s="6">
        <v>4.2</v>
      </c>
      <c r="M2912" s="7">
        <v>20</v>
      </c>
      <c r="N2912" s="7">
        <v>250</v>
      </c>
      <c r="O2912" s="7">
        <f t="shared" si="223"/>
        <v>165.35433070866142</v>
      </c>
      <c r="P2912" s="7">
        <f t="shared" si="224"/>
        <v>0.78740157480314965</v>
      </c>
      <c r="Q2912" s="7">
        <f t="shared" si="224"/>
        <v>9.8425196850393704</v>
      </c>
      <c r="R2912" s="6">
        <f t="shared" si="225"/>
        <v>656.16800000000001</v>
      </c>
      <c r="S2912" s="6">
        <f t="shared" si="226"/>
        <v>2.1000000000000001E-2</v>
      </c>
      <c r="T2912" t="str">
        <f t="shared" si="227"/>
        <v>Maximo Thermo Ayous S4S E4E 1x10 Long</v>
      </c>
    </row>
    <row r="2913" spans="1:20" x14ac:dyDescent="0.25">
      <c r="A2913" t="s">
        <v>3073</v>
      </c>
      <c r="B2913" t="s">
        <v>3683</v>
      </c>
      <c r="C2913" t="s">
        <v>283</v>
      </c>
      <c r="D2913" t="s">
        <v>3044</v>
      </c>
      <c r="E2913" t="s">
        <v>3690</v>
      </c>
      <c r="F2913" t="s">
        <v>3685</v>
      </c>
      <c r="G2913" t="s">
        <v>3077</v>
      </c>
      <c r="H2913" t="s">
        <v>373</v>
      </c>
      <c r="I2913" t="s">
        <v>289</v>
      </c>
      <c r="J2913" t="s">
        <v>1359</v>
      </c>
      <c r="K2913">
        <v>15</v>
      </c>
      <c r="L2913" s="6">
        <v>4.5</v>
      </c>
      <c r="M2913" s="7">
        <v>20</v>
      </c>
      <c r="N2913" s="7">
        <v>250</v>
      </c>
      <c r="O2913" s="7">
        <f t="shared" si="223"/>
        <v>177.16535433070868</v>
      </c>
      <c r="P2913" s="7">
        <f t="shared" si="224"/>
        <v>0.78740157480314965</v>
      </c>
      <c r="Q2913" s="7">
        <f t="shared" si="224"/>
        <v>9.8425196850393704</v>
      </c>
      <c r="R2913" s="6">
        <f t="shared" si="225"/>
        <v>656.16800000000001</v>
      </c>
      <c r="S2913" s="6">
        <f t="shared" si="226"/>
        <v>2.2499999999999999E-2</v>
      </c>
      <c r="T2913" t="str">
        <f t="shared" si="227"/>
        <v>Maximo Thermo Ayous S4S E4E 1x10 Long</v>
      </c>
    </row>
    <row r="2914" spans="1:20" x14ac:dyDescent="0.25">
      <c r="A2914" t="s">
        <v>3073</v>
      </c>
      <c r="B2914" t="s">
        <v>3683</v>
      </c>
      <c r="C2914" t="s">
        <v>283</v>
      </c>
      <c r="D2914" t="s">
        <v>3044</v>
      </c>
      <c r="E2914" t="s">
        <v>3691</v>
      </c>
      <c r="F2914" t="s">
        <v>3685</v>
      </c>
      <c r="G2914" t="s">
        <v>3077</v>
      </c>
      <c r="H2914" t="s">
        <v>373</v>
      </c>
      <c r="I2914" t="s">
        <v>289</v>
      </c>
      <c r="J2914" t="s">
        <v>1359</v>
      </c>
      <c r="K2914">
        <v>16</v>
      </c>
      <c r="L2914" s="6">
        <v>4.8</v>
      </c>
      <c r="M2914" s="7">
        <v>20</v>
      </c>
      <c r="N2914" s="7">
        <v>250</v>
      </c>
      <c r="O2914" s="7">
        <f t="shared" si="223"/>
        <v>188.97637795275591</v>
      </c>
      <c r="P2914" s="7">
        <f t="shared" si="224"/>
        <v>0.78740157480314965</v>
      </c>
      <c r="Q2914" s="7">
        <f t="shared" si="224"/>
        <v>9.8425196850393704</v>
      </c>
      <c r="R2914" s="6">
        <f t="shared" si="225"/>
        <v>656.16800000000001</v>
      </c>
      <c r="S2914" s="6">
        <f t="shared" si="226"/>
        <v>2.4E-2</v>
      </c>
      <c r="T2914" t="str">
        <f t="shared" si="227"/>
        <v>Maximo Thermo Ayous S4S E4E 1x10 Long</v>
      </c>
    </row>
    <row r="2915" spans="1:20" x14ac:dyDescent="0.25">
      <c r="A2915" t="s">
        <v>3073</v>
      </c>
      <c r="B2915" t="s">
        <v>3683</v>
      </c>
      <c r="C2915" t="s">
        <v>283</v>
      </c>
      <c r="D2915" t="s">
        <v>3044</v>
      </c>
      <c r="E2915" t="s">
        <v>3692</v>
      </c>
      <c r="F2915" t="s">
        <v>3685</v>
      </c>
      <c r="G2915" t="s">
        <v>3077</v>
      </c>
      <c r="H2915" t="s">
        <v>373</v>
      </c>
      <c r="I2915" t="s">
        <v>289</v>
      </c>
      <c r="J2915" t="s">
        <v>1359</v>
      </c>
      <c r="K2915">
        <v>17</v>
      </c>
      <c r="L2915" s="6">
        <v>5.0999999999999996</v>
      </c>
      <c r="M2915" s="7">
        <v>20</v>
      </c>
      <c r="N2915" s="7">
        <v>250</v>
      </c>
      <c r="O2915" s="7">
        <f t="shared" si="223"/>
        <v>200.78740157480314</v>
      </c>
      <c r="P2915" s="7">
        <f t="shared" si="224"/>
        <v>0.78740157480314965</v>
      </c>
      <c r="Q2915" s="7">
        <f t="shared" si="224"/>
        <v>9.8425196850393704</v>
      </c>
      <c r="R2915" s="6">
        <f t="shared" si="225"/>
        <v>656.16800000000001</v>
      </c>
      <c r="S2915" s="6">
        <f t="shared" si="226"/>
        <v>2.5499999999999998E-2</v>
      </c>
      <c r="T2915" t="str">
        <f t="shared" si="227"/>
        <v>Maximo Thermo Ayous S4S E4E 1x10 Long</v>
      </c>
    </row>
    <row r="2916" spans="1:20" x14ac:dyDescent="0.25">
      <c r="A2916" t="s">
        <v>3073</v>
      </c>
      <c r="B2916" t="s">
        <v>3683</v>
      </c>
      <c r="C2916" t="s">
        <v>283</v>
      </c>
      <c r="D2916" t="s">
        <v>3044</v>
      </c>
      <c r="E2916" t="s">
        <v>3693</v>
      </c>
      <c r="F2916" t="s">
        <v>3685</v>
      </c>
      <c r="G2916" t="s">
        <v>3077</v>
      </c>
      <c r="H2916" t="s">
        <v>373</v>
      </c>
      <c r="I2916" t="s">
        <v>289</v>
      </c>
      <c r="J2916" t="s">
        <v>1359</v>
      </c>
      <c r="K2916">
        <v>18</v>
      </c>
      <c r="L2916" s="6">
        <v>5.4</v>
      </c>
      <c r="M2916" s="7">
        <v>20</v>
      </c>
      <c r="N2916" s="7">
        <v>250</v>
      </c>
      <c r="O2916" s="7">
        <f t="shared" si="223"/>
        <v>212.59842519685043</v>
      </c>
      <c r="P2916" s="7">
        <f t="shared" si="224"/>
        <v>0.78740157480314965</v>
      </c>
      <c r="Q2916" s="7">
        <f t="shared" si="224"/>
        <v>9.8425196850393704</v>
      </c>
      <c r="R2916" s="6">
        <f t="shared" si="225"/>
        <v>656.16800000000001</v>
      </c>
      <c r="S2916" s="6">
        <f t="shared" si="226"/>
        <v>2.7E-2</v>
      </c>
      <c r="T2916" t="str">
        <f t="shared" si="227"/>
        <v>Maximo Thermo Ayous S4S E4E 1x10 Long</v>
      </c>
    </row>
    <row r="2917" spans="1:20" x14ac:dyDescent="0.25">
      <c r="A2917" t="s">
        <v>3073</v>
      </c>
      <c r="B2917" t="s">
        <v>3683</v>
      </c>
      <c r="C2917" t="s">
        <v>524</v>
      </c>
      <c r="D2917" t="s">
        <v>3044</v>
      </c>
      <c r="E2917" t="s">
        <v>3694</v>
      </c>
      <c r="F2917" t="s">
        <v>3685</v>
      </c>
      <c r="G2917" t="s">
        <v>3077</v>
      </c>
      <c r="H2917" t="s">
        <v>373</v>
      </c>
      <c r="I2917" t="s">
        <v>289</v>
      </c>
      <c r="J2917" t="s">
        <v>1359</v>
      </c>
      <c r="K2917">
        <v>4</v>
      </c>
      <c r="L2917" s="6">
        <v>1.2</v>
      </c>
      <c r="M2917" s="7">
        <v>20</v>
      </c>
      <c r="N2917" s="7">
        <v>250</v>
      </c>
      <c r="O2917" s="7">
        <f t="shared" si="223"/>
        <v>47.244094488188978</v>
      </c>
      <c r="P2917" s="7">
        <f t="shared" si="224"/>
        <v>0.78740157480314965</v>
      </c>
      <c r="Q2917" s="7">
        <f t="shared" si="224"/>
        <v>9.8425196850393704</v>
      </c>
      <c r="R2917" s="6">
        <f t="shared" si="225"/>
        <v>656.16800000000001</v>
      </c>
      <c r="S2917" s="6">
        <f t="shared" si="226"/>
        <v>6.0000000000000001E-3</v>
      </c>
      <c r="T2917" t="str">
        <f t="shared" si="227"/>
        <v>Maximo Thermo Ayous S4S E4E 1x10 Short</v>
      </c>
    </row>
    <row r="2918" spans="1:20" x14ac:dyDescent="0.25">
      <c r="A2918" t="s">
        <v>3073</v>
      </c>
      <c r="B2918" t="s">
        <v>3683</v>
      </c>
      <c r="C2918" t="s">
        <v>524</v>
      </c>
      <c r="D2918" t="s">
        <v>3044</v>
      </c>
      <c r="E2918" t="s">
        <v>3695</v>
      </c>
      <c r="F2918" t="s">
        <v>3685</v>
      </c>
      <c r="G2918" t="s">
        <v>3077</v>
      </c>
      <c r="H2918" t="s">
        <v>373</v>
      </c>
      <c r="I2918" t="s">
        <v>289</v>
      </c>
      <c r="J2918" t="s">
        <v>1359</v>
      </c>
      <c r="K2918">
        <v>5</v>
      </c>
      <c r="L2918" s="6">
        <v>1.5</v>
      </c>
      <c r="M2918" s="7">
        <v>20</v>
      </c>
      <c r="N2918" s="7">
        <v>250</v>
      </c>
      <c r="O2918" s="7">
        <f t="shared" si="223"/>
        <v>59.055118110236222</v>
      </c>
      <c r="P2918" s="7">
        <f t="shared" si="224"/>
        <v>0.78740157480314965</v>
      </c>
      <c r="Q2918" s="7">
        <f t="shared" si="224"/>
        <v>9.8425196850393704</v>
      </c>
      <c r="R2918" s="6">
        <f t="shared" si="225"/>
        <v>656.16800000000001</v>
      </c>
      <c r="S2918" s="6">
        <f t="shared" si="226"/>
        <v>7.4999999999999997E-3</v>
      </c>
      <c r="T2918" t="str">
        <f t="shared" si="227"/>
        <v>Maximo Thermo Ayous S4S E4E 1x10 Short</v>
      </c>
    </row>
    <row r="2919" spans="1:20" x14ac:dyDescent="0.25">
      <c r="A2919" t="s">
        <v>3073</v>
      </c>
      <c r="B2919" t="s">
        <v>3683</v>
      </c>
      <c r="C2919" t="s">
        <v>524</v>
      </c>
      <c r="D2919" t="s">
        <v>3044</v>
      </c>
      <c r="E2919" t="s">
        <v>3696</v>
      </c>
      <c r="F2919" t="s">
        <v>3685</v>
      </c>
      <c r="G2919" t="s">
        <v>3077</v>
      </c>
      <c r="H2919" t="s">
        <v>373</v>
      </c>
      <c r="I2919" t="s">
        <v>289</v>
      </c>
      <c r="J2919" t="s">
        <v>1359</v>
      </c>
      <c r="K2919">
        <v>6</v>
      </c>
      <c r="L2919" s="6">
        <v>1.8</v>
      </c>
      <c r="M2919" s="7">
        <v>20</v>
      </c>
      <c r="N2919" s="7">
        <v>250</v>
      </c>
      <c r="O2919" s="7">
        <f t="shared" si="223"/>
        <v>70.866141732283467</v>
      </c>
      <c r="P2919" s="7">
        <f t="shared" si="224"/>
        <v>0.78740157480314965</v>
      </c>
      <c r="Q2919" s="7">
        <f t="shared" si="224"/>
        <v>9.8425196850393704</v>
      </c>
      <c r="R2919" s="6">
        <f t="shared" si="225"/>
        <v>656.16800000000001</v>
      </c>
      <c r="S2919" s="6">
        <f t="shared" si="226"/>
        <v>8.9999999999999993E-3</v>
      </c>
      <c r="T2919" t="str">
        <f t="shared" si="227"/>
        <v>Maximo Thermo Ayous S4S E4E 1x10 Short</v>
      </c>
    </row>
    <row r="2920" spans="1:20" x14ac:dyDescent="0.25">
      <c r="A2920" t="s">
        <v>3073</v>
      </c>
      <c r="B2920" t="s">
        <v>3683</v>
      </c>
      <c r="C2920" t="s">
        <v>524</v>
      </c>
      <c r="D2920" t="s">
        <v>3044</v>
      </c>
      <c r="E2920" t="s">
        <v>3697</v>
      </c>
      <c r="F2920" t="s">
        <v>3685</v>
      </c>
      <c r="G2920" t="s">
        <v>3077</v>
      </c>
      <c r="H2920" t="s">
        <v>373</v>
      </c>
      <c r="I2920" t="s">
        <v>289</v>
      </c>
      <c r="J2920" t="s">
        <v>1359</v>
      </c>
      <c r="K2920">
        <v>7</v>
      </c>
      <c r="L2920" s="6">
        <v>2.1</v>
      </c>
      <c r="M2920" s="7">
        <v>20</v>
      </c>
      <c r="N2920" s="7">
        <v>250</v>
      </c>
      <c r="O2920" s="7">
        <f t="shared" si="223"/>
        <v>82.677165354330711</v>
      </c>
      <c r="P2920" s="7">
        <f t="shared" si="224"/>
        <v>0.78740157480314965</v>
      </c>
      <c r="Q2920" s="7">
        <f t="shared" si="224"/>
        <v>9.8425196850393704</v>
      </c>
      <c r="R2920" s="6">
        <f t="shared" si="225"/>
        <v>656.16800000000001</v>
      </c>
      <c r="S2920" s="6">
        <f t="shared" si="226"/>
        <v>1.0500000000000001E-2</v>
      </c>
      <c r="T2920" t="str">
        <f t="shared" si="227"/>
        <v>Maximo Thermo Ayous S4S E4E 1x10 Short</v>
      </c>
    </row>
    <row r="2921" spans="1:20" x14ac:dyDescent="0.25">
      <c r="A2921" t="s">
        <v>3073</v>
      </c>
      <c r="B2921" t="s">
        <v>3683</v>
      </c>
      <c r="C2921" t="s">
        <v>283</v>
      </c>
      <c r="D2921" t="s">
        <v>3044</v>
      </c>
      <c r="E2921" t="s">
        <v>3698</v>
      </c>
      <c r="F2921" t="s">
        <v>3685</v>
      </c>
      <c r="G2921" t="s">
        <v>3077</v>
      </c>
      <c r="H2921" t="s">
        <v>373</v>
      </c>
      <c r="I2921" t="s">
        <v>289</v>
      </c>
      <c r="J2921" t="s">
        <v>1359</v>
      </c>
      <c r="K2921">
        <v>8</v>
      </c>
      <c r="L2921" s="6">
        <v>2.4</v>
      </c>
      <c r="M2921" s="7">
        <v>20</v>
      </c>
      <c r="N2921" s="7">
        <v>250</v>
      </c>
      <c r="O2921" s="7">
        <f t="shared" si="223"/>
        <v>94.488188976377955</v>
      </c>
      <c r="P2921" s="7">
        <f t="shared" si="224"/>
        <v>0.78740157480314965</v>
      </c>
      <c r="Q2921" s="7">
        <f t="shared" si="224"/>
        <v>9.8425196850393704</v>
      </c>
      <c r="R2921" s="6">
        <f t="shared" si="225"/>
        <v>656.16800000000001</v>
      </c>
      <c r="S2921" s="6">
        <f t="shared" si="226"/>
        <v>1.2E-2</v>
      </c>
      <c r="T2921" t="str">
        <f t="shared" si="227"/>
        <v>Maximo Thermo Ayous S4S E4E 1x10 Long</v>
      </c>
    </row>
    <row r="2922" spans="1:20" x14ac:dyDescent="0.25">
      <c r="A2922" t="s">
        <v>3073</v>
      </c>
      <c r="B2922" t="s">
        <v>3683</v>
      </c>
      <c r="C2922" t="s">
        <v>283</v>
      </c>
      <c r="D2922" t="s">
        <v>3044</v>
      </c>
      <c r="E2922" t="s">
        <v>3699</v>
      </c>
      <c r="F2922" t="s">
        <v>3685</v>
      </c>
      <c r="G2922" t="s">
        <v>3077</v>
      </c>
      <c r="H2922" t="s">
        <v>373</v>
      </c>
      <c r="I2922" t="s">
        <v>289</v>
      </c>
      <c r="J2922" t="s">
        <v>1359</v>
      </c>
      <c r="K2922">
        <v>9</v>
      </c>
      <c r="L2922" s="6">
        <v>2.7</v>
      </c>
      <c r="M2922" s="7">
        <v>20</v>
      </c>
      <c r="N2922" s="7">
        <v>250</v>
      </c>
      <c r="O2922" s="7">
        <f t="shared" si="223"/>
        <v>106.29921259842521</v>
      </c>
      <c r="P2922" s="7">
        <f t="shared" si="224"/>
        <v>0.78740157480314965</v>
      </c>
      <c r="Q2922" s="7">
        <f t="shared" si="224"/>
        <v>9.8425196850393704</v>
      </c>
      <c r="R2922" s="6">
        <f t="shared" si="225"/>
        <v>656.16800000000001</v>
      </c>
      <c r="S2922" s="6">
        <f t="shared" si="226"/>
        <v>1.35E-2</v>
      </c>
      <c r="T2922" t="str">
        <f t="shared" si="227"/>
        <v>Maximo Thermo Ayous S4S E4E 1x10 Long</v>
      </c>
    </row>
    <row r="2923" spans="1:20" x14ac:dyDescent="0.25">
      <c r="A2923" t="s">
        <v>3073</v>
      </c>
      <c r="B2923" t="s">
        <v>3700</v>
      </c>
      <c r="C2923" t="s">
        <v>283</v>
      </c>
      <c r="D2923" t="s">
        <v>3044</v>
      </c>
      <c r="E2923" t="s">
        <v>3701</v>
      </c>
      <c r="F2923" t="s">
        <v>3702</v>
      </c>
      <c r="G2923" t="s">
        <v>3077</v>
      </c>
      <c r="H2923" t="s">
        <v>373</v>
      </c>
      <c r="I2923" t="s">
        <v>289</v>
      </c>
      <c r="J2923" t="s">
        <v>3296</v>
      </c>
      <c r="K2923">
        <v>10</v>
      </c>
      <c r="L2923" s="6">
        <v>3</v>
      </c>
      <c r="M2923" s="7">
        <v>20</v>
      </c>
      <c r="N2923" s="7">
        <v>250</v>
      </c>
      <c r="O2923" s="7">
        <f t="shared" si="223"/>
        <v>118.11023622047244</v>
      </c>
      <c r="P2923" s="7">
        <f t="shared" si="224"/>
        <v>0.78740157480314965</v>
      </c>
      <c r="Q2923" s="7">
        <f t="shared" si="224"/>
        <v>9.8425196850393704</v>
      </c>
      <c r="R2923" s="6">
        <f t="shared" si="225"/>
        <v>656.16800000000001</v>
      </c>
      <c r="S2923" s="6">
        <f t="shared" si="226"/>
        <v>1.4999999999999999E-2</v>
      </c>
      <c r="T2923" t="str">
        <f t="shared" si="227"/>
        <v>Maximo Thermo Ayous S4S E4E 1x11 Long</v>
      </c>
    </row>
    <row r="2924" spans="1:20" x14ac:dyDescent="0.25">
      <c r="A2924" t="s">
        <v>3073</v>
      </c>
      <c r="B2924" t="s">
        <v>3700</v>
      </c>
      <c r="C2924" t="s">
        <v>283</v>
      </c>
      <c r="D2924" t="s">
        <v>3044</v>
      </c>
      <c r="E2924" t="s">
        <v>3703</v>
      </c>
      <c r="F2924" t="s">
        <v>3702</v>
      </c>
      <c r="G2924" t="s">
        <v>3077</v>
      </c>
      <c r="H2924" t="s">
        <v>373</v>
      </c>
      <c r="I2924" t="s">
        <v>289</v>
      </c>
      <c r="J2924" t="s">
        <v>3296</v>
      </c>
      <c r="K2924">
        <v>11</v>
      </c>
      <c r="L2924" s="6">
        <v>3.3</v>
      </c>
      <c r="M2924" s="7">
        <v>20</v>
      </c>
      <c r="N2924" s="7">
        <v>250</v>
      </c>
      <c r="O2924" s="7">
        <f t="shared" si="223"/>
        <v>129.92125984251967</v>
      </c>
      <c r="P2924" s="7">
        <f t="shared" si="224"/>
        <v>0.78740157480314965</v>
      </c>
      <c r="Q2924" s="7">
        <f t="shared" si="224"/>
        <v>9.8425196850393704</v>
      </c>
      <c r="R2924" s="6">
        <f t="shared" si="225"/>
        <v>656.16800000000001</v>
      </c>
      <c r="S2924" s="6">
        <f t="shared" si="226"/>
        <v>1.6500000000000001E-2</v>
      </c>
      <c r="T2924" t="str">
        <f t="shared" si="227"/>
        <v>Maximo Thermo Ayous S4S E4E 1x11 Long</v>
      </c>
    </row>
    <row r="2925" spans="1:20" x14ac:dyDescent="0.25">
      <c r="A2925" t="s">
        <v>3073</v>
      </c>
      <c r="B2925" t="s">
        <v>3700</v>
      </c>
      <c r="C2925" t="s">
        <v>283</v>
      </c>
      <c r="D2925" t="s">
        <v>3044</v>
      </c>
      <c r="E2925" t="s">
        <v>3704</v>
      </c>
      <c r="F2925" t="s">
        <v>3702</v>
      </c>
      <c r="G2925" t="s">
        <v>3077</v>
      </c>
      <c r="H2925" t="s">
        <v>373</v>
      </c>
      <c r="I2925" t="s">
        <v>289</v>
      </c>
      <c r="J2925" t="s">
        <v>3296</v>
      </c>
      <c r="K2925">
        <v>12</v>
      </c>
      <c r="L2925" s="6">
        <v>3.6</v>
      </c>
      <c r="M2925" s="7">
        <v>20</v>
      </c>
      <c r="N2925" s="7">
        <v>250</v>
      </c>
      <c r="O2925" s="7">
        <f t="shared" si="223"/>
        <v>141.73228346456693</v>
      </c>
      <c r="P2925" s="7">
        <f t="shared" si="224"/>
        <v>0.78740157480314965</v>
      </c>
      <c r="Q2925" s="7">
        <f t="shared" si="224"/>
        <v>9.8425196850393704</v>
      </c>
      <c r="R2925" s="6">
        <f t="shared" si="225"/>
        <v>656.16800000000001</v>
      </c>
      <c r="S2925" s="6">
        <f t="shared" si="226"/>
        <v>1.7999999999999999E-2</v>
      </c>
      <c r="T2925" t="str">
        <f t="shared" si="227"/>
        <v>Maximo Thermo Ayous S4S E4E 1x11 Long</v>
      </c>
    </row>
    <row r="2926" spans="1:20" x14ac:dyDescent="0.25">
      <c r="A2926" t="s">
        <v>3073</v>
      </c>
      <c r="B2926" t="s">
        <v>3700</v>
      </c>
      <c r="C2926" t="s">
        <v>283</v>
      </c>
      <c r="D2926" t="s">
        <v>3044</v>
      </c>
      <c r="E2926" t="s">
        <v>3705</v>
      </c>
      <c r="F2926" t="s">
        <v>3702</v>
      </c>
      <c r="G2926" t="s">
        <v>3077</v>
      </c>
      <c r="H2926" t="s">
        <v>373</v>
      </c>
      <c r="I2926" t="s">
        <v>289</v>
      </c>
      <c r="J2926" t="s">
        <v>3296</v>
      </c>
      <c r="K2926">
        <v>13</v>
      </c>
      <c r="L2926" s="6">
        <v>3.9</v>
      </c>
      <c r="M2926" s="7">
        <v>20</v>
      </c>
      <c r="N2926" s="7">
        <v>250</v>
      </c>
      <c r="O2926" s="7">
        <f t="shared" si="223"/>
        <v>153.54330708661416</v>
      </c>
      <c r="P2926" s="7">
        <f t="shared" si="224"/>
        <v>0.78740157480314965</v>
      </c>
      <c r="Q2926" s="7">
        <f t="shared" si="224"/>
        <v>9.8425196850393704</v>
      </c>
      <c r="R2926" s="6">
        <f t="shared" si="225"/>
        <v>656.16800000000001</v>
      </c>
      <c r="S2926" s="6">
        <f t="shared" si="226"/>
        <v>1.95E-2</v>
      </c>
      <c r="T2926" t="str">
        <f t="shared" si="227"/>
        <v>Maximo Thermo Ayous S4S E4E 1x11 Long</v>
      </c>
    </row>
    <row r="2927" spans="1:20" x14ac:dyDescent="0.25">
      <c r="A2927" t="s">
        <v>3073</v>
      </c>
      <c r="B2927" t="s">
        <v>3700</v>
      </c>
      <c r="C2927" t="s">
        <v>283</v>
      </c>
      <c r="D2927" t="s">
        <v>3044</v>
      </c>
      <c r="E2927" t="s">
        <v>3706</v>
      </c>
      <c r="F2927" t="s">
        <v>3702</v>
      </c>
      <c r="G2927" t="s">
        <v>3077</v>
      </c>
      <c r="H2927" t="s">
        <v>373</v>
      </c>
      <c r="I2927" t="s">
        <v>289</v>
      </c>
      <c r="J2927" t="s">
        <v>3296</v>
      </c>
      <c r="K2927">
        <v>14</v>
      </c>
      <c r="L2927" s="6">
        <v>4.2</v>
      </c>
      <c r="M2927" s="7">
        <v>20</v>
      </c>
      <c r="N2927" s="7">
        <v>250</v>
      </c>
      <c r="O2927" s="7">
        <f t="shared" si="223"/>
        <v>165.35433070866142</v>
      </c>
      <c r="P2927" s="7">
        <f t="shared" si="224"/>
        <v>0.78740157480314965</v>
      </c>
      <c r="Q2927" s="7">
        <f t="shared" si="224"/>
        <v>9.8425196850393704</v>
      </c>
      <c r="R2927" s="6">
        <f t="shared" si="225"/>
        <v>656.16800000000001</v>
      </c>
      <c r="S2927" s="6">
        <f t="shared" si="226"/>
        <v>2.1000000000000001E-2</v>
      </c>
      <c r="T2927" t="str">
        <f t="shared" si="227"/>
        <v>Maximo Thermo Ayous S4S E4E 1x11 Long</v>
      </c>
    </row>
    <row r="2928" spans="1:20" x14ac:dyDescent="0.25">
      <c r="A2928" t="s">
        <v>3073</v>
      </c>
      <c r="B2928" t="s">
        <v>3700</v>
      </c>
      <c r="C2928" t="s">
        <v>283</v>
      </c>
      <c r="D2928" t="s">
        <v>3044</v>
      </c>
      <c r="E2928" t="s">
        <v>3707</v>
      </c>
      <c r="F2928" t="s">
        <v>3702</v>
      </c>
      <c r="G2928" t="s">
        <v>3077</v>
      </c>
      <c r="H2928" t="s">
        <v>373</v>
      </c>
      <c r="I2928" t="s">
        <v>289</v>
      </c>
      <c r="J2928" t="s">
        <v>3296</v>
      </c>
      <c r="K2928">
        <v>15</v>
      </c>
      <c r="L2928" s="6">
        <v>4.5</v>
      </c>
      <c r="M2928" s="7">
        <v>20</v>
      </c>
      <c r="N2928" s="7">
        <v>250</v>
      </c>
      <c r="O2928" s="7">
        <f t="shared" ref="O2928:O2991" si="228">L2928/0.0254</f>
        <v>177.16535433070868</v>
      </c>
      <c r="P2928" s="7">
        <f t="shared" ref="P2928:Q2991" si="229">M2928/25.4</f>
        <v>0.78740157480314965</v>
      </c>
      <c r="Q2928" s="7">
        <f t="shared" si="229"/>
        <v>9.8425196850393704</v>
      </c>
      <c r="R2928" s="6">
        <f t="shared" ref="R2928:R2991" si="230">ROUND(IFERROR(1/((M2928*N2928*0.3048)/1000000),0),3)</f>
        <v>656.16800000000001</v>
      </c>
      <c r="S2928" s="6">
        <f t="shared" ref="S2928:S2991" si="231">L2928*M2928/1000*N2928/1000</f>
        <v>2.2499999999999999E-2</v>
      </c>
      <c r="T2928" t="str">
        <f t="shared" si="227"/>
        <v>Maximo Thermo Ayous S4S E4E 1x11 Long</v>
      </c>
    </row>
    <row r="2929" spans="1:20" x14ac:dyDescent="0.25">
      <c r="A2929" t="s">
        <v>3073</v>
      </c>
      <c r="B2929" t="s">
        <v>3700</v>
      </c>
      <c r="C2929" t="s">
        <v>283</v>
      </c>
      <c r="D2929" t="s">
        <v>3044</v>
      </c>
      <c r="E2929" t="s">
        <v>3708</v>
      </c>
      <c r="F2929" t="s">
        <v>3702</v>
      </c>
      <c r="G2929" t="s">
        <v>3077</v>
      </c>
      <c r="H2929" t="s">
        <v>373</v>
      </c>
      <c r="I2929" t="s">
        <v>289</v>
      </c>
      <c r="J2929" t="s">
        <v>3296</v>
      </c>
      <c r="K2929">
        <v>16</v>
      </c>
      <c r="L2929" s="6">
        <v>4.8</v>
      </c>
      <c r="M2929" s="7">
        <v>20</v>
      </c>
      <c r="N2929" s="7">
        <v>250</v>
      </c>
      <c r="O2929" s="7">
        <f t="shared" si="228"/>
        <v>188.97637795275591</v>
      </c>
      <c r="P2929" s="7">
        <f t="shared" si="229"/>
        <v>0.78740157480314965</v>
      </c>
      <c r="Q2929" s="7">
        <f t="shared" si="229"/>
        <v>9.8425196850393704</v>
      </c>
      <c r="R2929" s="6">
        <f t="shared" si="230"/>
        <v>656.16800000000001</v>
      </c>
      <c r="S2929" s="6">
        <f t="shared" si="231"/>
        <v>2.4E-2</v>
      </c>
      <c r="T2929" t="str">
        <f t="shared" si="227"/>
        <v>Maximo Thermo Ayous S4S E4E 1x11 Long</v>
      </c>
    </row>
    <row r="2930" spans="1:20" x14ac:dyDescent="0.25">
      <c r="A2930" t="s">
        <v>3073</v>
      </c>
      <c r="B2930" t="s">
        <v>3700</v>
      </c>
      <c r="C2930" t="s">
        <v>283</v>
      </c>
      <c r="D2930" t="s">
        <v>3044</v>
      </c>
      <c r="E2930" t="s">
        <v>3709</v>
      </c>
      <c r="F2930" t="s">
        <v>3702</v>
      </c>
      <c r="G2930" t="s">
        <v>3077</v>
      </c>
      <c r="H2930" t="s">
        <v>373</v>
      </c>
      <c r="I2930" t="s">
        <v>289</v>
      </c>
      <c r="J2930" t="s">
        <v>3296</v>
      </c>
      <c r="K2930">
        <v>17</v>
      </c>
      <c r="L2930" s="6">
        <v>5.0999999999999996</v>
      </c>
      <c r="M2930" s="7">
        <v>20</v>
      </c>
      <c r="N2930" s="7">
        <v>250</v>
      </c>
      <c r="O2930" s="7">
        <f t="shared" si="228"/>
        <v>200.78740157480314</v>
      </c>
      <c r="P2930" s="7">
        <f t="shared" si="229"/>
        <v>0.78740157480314965</v>
      </c>
      <c r="Q2930" s="7">
        <f t="shared" si="229"/>
        <v>9.8425196850393704</v>
      </c>
      <c r="R2930" s="6">
        <f t="shared" si="230"/>
        <v>656.16800000000001</v>
      </c>
      <c r="S2930" s="6">
        <f t="shared" si="231"/>
        <v>2.5499999999999998E-2</v>
      </c>
      <c r="T2930" t="str">
        <f t="shared" si="227"/>
        <v>Maximo Thermo Ayous S4S E4E 1x11 Long</v>
      </c>
    </row>
    <row r="2931" spans="1:20" x14ac:dyDescent="0.25">
      <c r="A2931" t="s">
        <v>3073</v>
      </c>
      <c r="B2931" t="s">
        <v>3700</v>
      </c>
      <c r="C2931" t="s">
        <v>283</v>
      </c>
      <c r="D2931" t="s">
        <v>3044</v>
      </c>
      <c r="E2931" t="s">
        <v>3710</v>
      </c>
      <c r="F2931" t="s">
        <v>3702</v>
      </c>
      <c r="G2931" t="s">
        <v>3077</v>
      </c>
      <c r="H2931" t="s">
        <v>373</v>
      </c>
      <c r="I2931" t="s">
        <v>289</v>
      </c>
      <c r="J2931" t="s">
        <v>3296</v>
      </c>
      <c r="K2931">
        <v>18</v>
      </c>
      <c r="L2931" s="6">
        <v>5.4</v>
      </c>
      <c r="M2931" s="7">
        <v>20</v>
      </c>
      <c r="N2931" s="7">
        <v>250</v>
      </c>
      <c r="O2931" s="7">
        <f t="shared" si="228"/>
        <v>212.59842519685043</v>
      </c>
      <c r="P2931" s="7">
        <f t="shared" si="229"/>
        <v>0.78740157480314965</v>
      </c>
      <c r="Q2931" s="7">
        <f t="shared" si="229"/>
        <v>9.8425196850393704</v>
      </c>
      <c r="R2931" s="6">
        <f t="shared" si="230"/>
        <v>656.16800000000001</v>
      </c>
      <c r="S2931" s="6">
        <f t="shared" si="231"/>
        <v>2.7E-2</v>
      </c>
      <c r="T2931" t="str">
        <f t="shared" si="227"/>
        <v>Maximo Thermo Ayous S4S E4E 1x11 Long</v>
      </c>
    </row>
    <row r="2932" spans="1:20" x14ac:dyDescent="0.25">
      <c r="A2932" t="s">
        <v>3073</v>
      </c>
      <c r="B2932" t="s">
        <v>3700</v>
      </c>
      <c r="C2932" t="s">
        <v>524</v>
      </c>
      <c r="D2932" t="s">
        <v>3044</v>
      </c>
      <c r="E2932" t="s">
        <v>3711</v>
      </c>
      <c r="F2932" t="s">
        <v>3702</v>
      </c>
      <c r="G2932" t="s">
        <v>3077</v>
      </c>
      <c r="H2932" t="s">
        <v>373</v>
      </c>
      <c r="I2932" t="s">
        <v>289</v>
      </c>
      <c r="J2932" t="s">
        <v>3296</v>
      </c>
      <c r="K2932">
        <v>4</v>
      </c>
      <c r="L2932" s="6">
        <v>1.2</v>
      </c>
      <c r="M2932" s="7">
        <v>20</v>
      </c>
      <c r="N2932" s="7">
        <v>250</v>
      </c>
      <c r="O2932" s="7">
        <f t="shared" si="228"/>
        <v>47.244094488188978</v>
      </c>
      <c r="P2932" s="7">
        <f t="shared" si="229"/>
        <v>0.78740157480314965</v>
      </c>
      <c r="Q2932" s="7">
        <f t="shared" si="229"/>
        <v>9.8425196850393704</v>
      </c>
      <c r="R2932" s="6">
        <f t="shared" si="230"/>
        <v>656.16800000000001</v>
      </c>
      <c r="S2932" s="6">
        <f t="shared" si="231"/>
        <v>6.0000000000000001E-3</v>
      </c>
      <c r="T2932" t="str">
        <f t="shared" si="227"/>
        <v>Maximo Thermo Ayous S4S E4E 1x11 Short</v>
      </c>
    </row>
    <row r="2933" spans="1:20" x14ac:dyDescent="0.25">
      <c r="A2933" t="s">
        <v>3073</v>
      </c>
      <c r="B2933" t="s">
        <v>3700</v>
      </c>
      <c r="C2933" t="s">
        <v>524</v>
      </c>
      <c r="D2933" t="s">
        <v>3044</v>
      </c>
      <c r="E2933" t="s">
        <v>3712</v>
      </c>
      <c r="F2933" t="s">
        <v>3702</v>
      </c>
      <c r="G2933" t="s">
        <v>3077</v>
      </c>
      <c r="H2933" t="s">
        <v>373</v>
      </c>
      <c r="I2933" t="s">
        <v>289</v>
      </c>
      <c r="J2933" t="s">
        <v>3296</v>
      </c>
      <c r="K2933">
        <v>5</v>
      </c>
      <c r="L2933" s="6">
        <v>1.5</v>
      </c>
      <c r="M2933" s="7">
        <v>20</v>
      </c>
      <c r="N2933" s="7">
        <v>250</v>
      </c>
      <c r="O2933" s="7">
        <f t="shared" si="228"/>
        <v>59.055118110236222</v>
      </c>
      <c r="P2933" s="7">
        <f t="shared" si="229"/>
        <v>0.78740157480314965</v>
      </c>
      <c r="Q2933" s="7">
        <f t="shared" si="229"/>
        <v>9.8425196850393704</v>
      </c>
      <c r="R2933" s="6">
        <f t="shared" si="230"/>
        <v>656.16800000000001</v>
      </c>
      <c r="S2933" s="6">
        <f t="shared" si="231"/>
        <v>7.4999999999999997E-3</v>
      </c>
      <c r="T2933" t="str">
        <f t="shared" si="227"/>
        <v>Maximo Thermo Ayous S4S E4E 1x11 Short</v>
      </c>
    </row>
    <row r="2934" spans="1:20" x14ac:dyDescent="0.25">
      <c r="A2934" t="s">
        <v>3073</v>
      </c>
      <c r="B2934" t="s">
        <v>3700</v>
      </c>
      <c r="C2934" t="s">
        <v>524</v>
      </c>
      <c r="D2934" t="s">
        <v>3044</v>
      </c>
      <c r="E2934" t="s">
        <v>3713</v>
      </c>
      <c r="F2934" t="s">
        <v>3702</v>
      </c>
      <c r="G2934" t="s">
        <v>3077</v>
      </c>
      <c r="H2934" t="s">
        <v>373</v>
      </c>
      <c r="I2934" t="s">
        <v>289</v>
      </c>
      <c r="J2934" t="s">
        <v>3296</v>
      </c>
      <c r="K2934">
        <v>6</v>
      </c>
      <c r="L2934" s="6">
        <v>1.8</v>
      </c>
      <c r="M2934" s="7">
        <v>20</v>
      </c>
      <c r="N2934" s="7">
        <v>250</v>
      </c>
      <c r="O2934" s="7">
        <f t="shared" si="228"/>
        <v>70.866141732283467</v>
      </c>
      <c r="P2934" s="7">
        <f t="shared" si="229"/>
        <v>0.78740157480314965</v>
      </c>
      <c r="Q2934" s="7">
        <f t="shared" si="229"/>
        <v>9.8425196850393704</v>
      </c>
      <c r="R2934" s="6">
        <f t="shared" si="230"/>
        <v>656.16800000000001</v>
      </c>
      <c r="S2934" s="6">
        <f t="shared" si="231"/>
        <v>8.9999999999999993E-3</v>
      </c>
      <c r="T2934" t="str">
        <f t="shared" si="227"/>
        <v>Maximo Thermo Ayous S4S E4E 1x11 Short</v>
      </c>
    </row>
    <row r="2935" spans="1:20" x14ac:dyDescent="0.25">
      <c r="A2935" t="s">
        <v>3073</v>
      </c>
      <c r="B2935" t="s">
        <v>3700</v>
      </c>
      <c r="C2935" t="s">
        <v>524</v>
      </c>
      <c r="D2935" t="s">
        <v>3044</v>
      </c>
      <c r="E2935" t="s">
        <v>3714</v>
      </c>
      <c r="F2935" t="s">
        <v>3702</v>
      </c>
      <c r="G2935" t="s">
        <v>3077</v>
      </c>
      <c r="H2935" t="s">
        <v>373</v>
      </c>
      <c r="I2935" t="s">
        <v>289</v>
      </c>
      <c r="J2935" t="s">
        <v>3296</v>
      </c>
      <c r="K2935">
        <v>7</v>
      </c>
      <c r="L2935" s="6">
        <v>2.1</v>
      </c>
      <c r="M2935" s="7">
        <v>20</v>
      </c>
      <c r="N2935" s="7">
        <v>250</v>
      </c>
      <c r="O2935" s="7">
        <f t="shared" si="228"/>
        <v>82.677165354330711</v>
      </c>
      <c r="P2935" s="7">
        <f t="shared" si="229"/>
        <v>0.78740157480314965</v>
      </c>
      <c r="Q2935" s="7">
        <f t="shared" si="229"/>
        <v>9.8425196850393704</v>
      </c>
      <c r="R2935" s="6">
        <f t="shared" si="230"/>
        <v>656.16800000000001</v>
      </c>
      <c r="S2935" s="6">
        <f t="shared" si="231"/>
        <v>1.0500000000000001E-2</v>
      </c>
      <c r="T2935" t="str">
        <f t="shared" si="227"/>
        <v>Maximo Thermo Ayous S4S E4E 1x11 Short</v>
      </c>
    </row>
    <row r="2936" spans="1:20" x14ac:dyDescent="0.25">
      <c r="A2936" t="s">
        <v>3073</v>
      </c>
      <c r="B2936" t="s">
        <v>3700</v>
      </c>
      <c r="C2936" t="s">
        <v>283</v>
      </c>
      <c r="D2936" t="s">
        <v>3044</v>
      </c>
      <c r="E2936" t="s">
        <v>3715</v>
      </c>
      <c r="F2936" t="s">
        <v>3702</v>
      </c>
      <c r="G2936" t="s">
        <v>3077</v>
      </c>
      <c r="H2936" t="s">
        <v>373</v>
      </c>
      <c r="I2936" t="s">
        <v>289</v>
      </c>
      <c r="J2936" t="s">
        <v>3296</v>
      </c>
      <c r="K2936">
        <v>8</v>
      </c>
      <c r="L2936" s="6">
        <v>2.4</v>
      </c>
      <c r="M2936" s="7">
        <v>20</v>
      </c>
      <c r="N2936" s="7">
        <v>250</v>
      </c>
      <c r="O2936" s="7">
        <f t="shared" si="228"/>
        <v>94.488188976377955</v>
      </c>
      <c r="P2936" s="7">
        <f t="shared" si="229"/>
        <v>0.78740157480314965</v>
      </c>
      <c r="Q2936" s="7">
        <f t="shared" si="229"/>
        <v>9.8425196850393704</v>
      </c>
      <c r="R2936" s="6">
        <f t="shared" si="230"/>
        <v>656.16800000000001</v>
      </c>
      <c r="S2936" s="6">
        <f t="shared" si="231"/>
        <v>1.2E-2</v>
      </c>
      <c r="T2936" t="str">
        <f t="shared" si="227"/>
        <v>Maximo Thermo Ayous S4S E4E 1x11 Long</v>
      </c>
    </row>
    <row r="2937" spans="1:20" x14ac:dyDescent="0.25">
      <c r="A2937" t="s">
        <v>3073</v>
      </c>
      <c r="B2937" t="s">
        <v>3700</v>
      </c>
      <c r="C2937" t="s">
        <v>283</v>
      </c>
      <c r="D2937" t="s">
        <v>3044</v>
      </c>
      <c r="E2937" t="s">
        <v>3716</v>
      </c>
      <c r="F2937" t="s">
        <v>3702</v>
      </c>
      <c r="G2937" t="s">
        <v>3077</v>
      </c>
      <c r="H2937" t="s">
        <v>373</v>
      </c>
      <c r="I2937" t="s">
        <v>289</v>
      </c>
      <c r="J2937" t="s">
        <v>3296</v>
      </c>
      <c r="K2937">
        <v>9</v>
      </c>
      <c r="L2937" s="6">
        <v>2.7</v>
      </c>
      <c r="M2937" s="7">
        <v>20</v>
      </c>
      <c r="N2937" s="7">
        <v>250</v>
      </c>
      <c r="O2937" s="7">
        <f t="shared" si="228"/>
        <v>106.29921259842521</v>
      </c>
      <c r="P2937" s="7">
        <f t="shared" si="229"/>
        <v>0.78740157480314965</v>
      </c>
      <c r="Q2937" s="7">
        <f t="shared" si="229"/>
        <v>9.8425196850393704</v>
      </c>
      <c r="R2937" s="6">
        <f t="shared" si="230"/>
        <v>656.16800000000001</v>
      </c>
      <c r="S2937" s="6">
        <f t="shared" si="231"/>
        <v>1.35E-2</v>
      </c>
      <c r="T2937" t="str">
        <f t="shared" si="227"/>
        <v>Maximo Thermo Ayous S4S E4E 1x11 Long</v>
      </c>
    </row>
    <row r="2938" spans="1:20" x14ac:dyDescent="0.25">
      <c r="A2938" t="s">
        <v>3073</v>
      </c>
      <c r="B2938" t="s">
        <v>3717</v>
      </c>
      <c r="C2938" t="s">
        <v>283</v>
      </c>
      <c r="D2938" t="s">
        <v>3044</v>
      </c>
      <c r="E2938" t="s">
        <v>3718</v>
      </c>
      <c r="F2938" t="s">
        <v>3719</v>
      </c>
      <c r="G2938" t="s">
        <v>3077</v>
      </c>
      <c r="H2938" t="s">
        <v>373</v>
      </c>
      <c r="I2938" t="s">
        <v>289</v>
      </c>
      <c r="J2938" t="s">
        <v>613</v>
      </c>
      <c r="K2938">
        <v>10</v>
      </c>
      <c r="L2938" s="6">
        <v>3</v>
      </c>
      <c r="M2938" s="7">
        <v>19</v>
      </c>
      <c r="N2938" s="7">
        <v>92</v>
      </c>
      <c r="O2938" s="7">
        <f t="shared" si="228"/>
        <v>118.11023622047244</v>
      </c>
      <c r="P2938" s="7">
        <f t="shared" si="229"/>
        <v>0.74803149606299213</v>
      </c>
      <c r="Q2938" s="7">
        <f t="shared" si="229"/>
        <v>3.6220472440944884</v>
      </c>
      <c r="R2938" s="6">
        <f t="shared" si="230"/>
        <v>1876.9110000000001</v>
      </c>
      <c r="S2938" s="6">
        <f t="shared" si="231"/>
        <v>5.2439999999999995E-3</v>
      </c>
      <c r="T2938" t="str">
        <f t="shared" si="227"/>
        <v>Maximo Thermo Ayous S4S E4E 1x4 Long</v>
      </c>
    </row>
    <row r="2939" spans="1:20" x14ac:dyDescent="0.25">
      <c r="A2939" t="s">
        <v>3073</v>
      </c>
      <c r="B2939" t="s">
        <v>3717</v>
      </c>
      <c r="C2939" t="s">
        <v>283</v>
      </c>
      <c r="D2939" t="s">
        <v>3044</v>
      </c>
      <c r="E2939" t="s">
        <v>3720</v>
      </c>
      <c r="F2939" t="s">
        <v>3719</v>
      </c>
      <c r="G2939" t="s">
        <v>3077</v>
      </c>
      <c r="H2939" t="s">
        <v>373</v>
      </c>
      <c r="I2939" t="s">
        <v>289</v>
      </c>
      <c r="J2939" t="s">
        <v>613</v>
      </c>
      <c r="K2939">
        <v>11</v>
      </c>
      <c r="L2939" s="6">
        <v>3.3</v>
      </c>
      <c r="M2939" s="7">
        <v>19</v>
      </c>
      <c r="N2939" s="7">
        <v>92</v>
      </c>
      <c r="O2939" s="7">
        <f t="shared" si="228"/>
        <v>129.92125984251967</v>
      </c>
      <c r="P2939" s="7">
        <f t="shared" si="229"/>
        <v>0.74803149606299213</v>
      </c>
      <c r="Q2939" s="7">
        <f t="shared" si="229"/>
        <v>3.6220472440944884</v>
      </c>
      <c r="R2939" s="6">
        <f t="shared" si="230"/>
        <v>1876.9110000000001</v>
      </c>
      <c r="S2939" s="6">
        <f t="shared" si="231"/>
        <v>5.768399999999999E-3</v>
      </c>
      <c r="T2939" t="str">
        <f t="shared" si="227"/>
        <v>Maximo Thermo Ayous S4S E4E 1x4 Long</v>
      </c>
    </row>
    <row r="2940" spans="1:20" x14ac:dyDescent="0.25">
      <c r="A2940" t="s">
        <v>3073</v>
      </c>
      <c r="B2940" t="s">
        <v>3717</v>
      </c>
      <c r="C2940" t="s">
        <v>283</v>
      </c>
      <c r="D2940" t="s">
        <v>3044</v>
      </c>
      <c r="E2940" t="s">
        <v>3721</v>
      </c>
      <c r="F2940" t="s">
        <v>3719</v>
      </c>
      <c r="G2940" t="s">
        <v>3077</v>
      </c>
      <c r="H2940" t="s">
        <v>373</v>
      </c>
      <c r="I2940" t="s">
        <v>289</v>
      </c>
      <c r="J2940" t="s">
        <v>613</v>
      </c>
      <c r="K2940">
        <v>12</v>
      </c>
      <c r="L2940" s="6">
        <v>3.6</v>
      </c>
      <c r="M2940" s="7">
        <v>19</v>
      </c>
      <c r="N2940" s="7">
        <v>92</v>
      </c>
      <c r="O2940" s="7">
        <f t="shared" si="228"/>
        <v>141.73228346456693</v>
      </c>
      <c r="P2940" s="7">
        <f t="shared" si="229"/>
        <v>0.74803149606299213</v>
      </c>
      <c r="Q2940" s="7">
        <f t="shared" si="229"/>
        <v>3.6220472440944884</v>
      </c>
      <c r="R2940" s="6">
        <f t="shared" si="230"/>
        <v>1876.9110000000001</v>
      </c>
      <c r="S2940" s="6">
        <f t="shared" si="231"/>
        <v>6.2928000000000003E-3</v>
      </c>
      <c r="T2940" t="str">
        <f t="shared" si="227"/>
        <v>Maximo Thermo Ayous S4S E4E 1x4 Long</v>
      </c>
    </row>
    <row r="2941" spans="1:20" x14ac:dyDescent="0.25">
      <c r="A2941" t="s">
        <v>3073</v>
      </c>
      <c r="B2941" t="s">
        <v>3717</v>
      </c>
      <c r="C2941" t="s">
        <v>283</v>
      </c>
      <c r="D2941" t="s">
        <v>3044</v>
      </c>
      <c r="E2941" t="s">
        <v>3722</v>
      </c>
      <c r="F2941" t="s">
        <v>3719</v>
      </c>
      <c r="G2941" t="s">
        <v>3077</v>
      </c>
      <c r="H2941" t="s">
        <v>373</v>
      </c>
      <c r="I2941" t="s">
        <v>289</v>
      </c>
      <c r="J2941" t="s">
        <v>613</v>
      </c>
      <c r="K2941">
        <v>13</v>
      </c>
      <c r="L2941" s="6">
        <v>3.9</v>
      </c>
      <c r="M2941" s="7">
        <v>19</v>
      </c>
      <c r="N2941" s="7">
        <v>92</v>
      </c>
      <c r="O2941" s="7">
        <f t="shared" si="228"/>
        <v>153.54330708661416</v>
      </c>
      <c r="P2941" s="7">
        <f t="shared" si="229"/>
        <v>0.74803149606299213</v>
      </c>
      <c r="Q2941" s="7">
        <f t="shared" si="229"/>
        <v>3.6220472440944884</v>
      </c>
      <c r="R2941" s="6">
        <f t="shared" si="230"/>
        <v>1876.9110000000001</v>
      </c>
      <c r="S2941" s="6">
        <f t="shared" si="231"/>
        <v>6.8171999999999998E-3</v>
      </c>
      <c r="T2941" t="str">
        <f t="shared" si="227"/>
        <v>Maximo Thermo Ayous S4S E4E 1x4 Long</v>
      </c>
    </row>
    <row r="2942" spans="1:20" x14ac:dyDescent="0.25">
      <c r="A2942" t="s">
        <v>3073</v>
      </c>
      <c r="B2942" t="s">
        <v>3717</v>
      </c>
      <c r="C2942" t="s">
        <v>283</v>
      </c>
      <c r="D2942" t="s">
        <v>3044</v>
      </c>
      <c r="E2942" t="s">
        <v>3723</v>
      </c>
      <c r="F2942" t="s">
        <v>3719</v>
      </c>
      <c r="G2942" t="s">
        <v>3077</v>
      </c>
      <c r="H2942" t="s">
        <v>373</v>
      </c>
      <c r="I2942" t="s">
        <v>289</v>
      </c>
      <c r="J2942" t="s">
        <v>613</v>
      </c>
      <c r="K2942">
        <v>14</v>
      </c>
      <c r="L2942" s="6">
        <v>4.2</v>
      </c>
      <c r="M2942" s="7">
        <v>19</v>
      </c>
      <c r="N2942" s="7">
        <v>92</v>
      </c>
      <c r="O2942" s="7">
        <f t="shared" si="228"/>
        <v>165.35433070866142</v>
      </c>
      <c r="P2942" s="7">
        <f t="shared" si="229"/>
        <v>0.74803149606299213</v>
      </c>
      <c r="Q2942" s="7">
        <f t="shared" si="229"/>
        <v>3.6220472440944884</v>
      </c>
      <c r="R2942" s="6">
        <f t="shared" si="230"/>
        <v>1876.9110000000001</v>
      </c>
      <c r="S2942" s="6">
        <f t="shared" si="231"/>
        <v>7.3415999999999993E-3</v>
      </c>
      <c r="T2942" t="str">
        <f t="shared" si="227"/>
        <v>Maximo Thermo Ayous S4S E4E 1x4 Long</v>
      </c>
    </row>
    <row r="2943" spans="1:20" x14ac:dyDescent="0.25">
      <c r="A2943" t="s">
        <v>3073</v>
      </c>
      <c r="B2943" t="s">
        <v>3717</v>
      </c>
      <c r="C2943" t="s">
        <v>283</v>
      </c>
      <c r="D2943" t="s">
        <v>3044</v>
      </c>
      <c r="E2943" t="s">
        <v>3724</v>
      </c>
      <c r="F2943" t="s">
        <v>3719</v>
      </c>
      <c r="G2943" t="s">
        <v>3077</v>
      </c>
      <c r="H2943" t="s">
        <v>373</v>
      </c>
      <c r="I2943" t="s">
        <v>289</v>
      </c>
      <c r="J2943" t="s">
        <v>613</v>
      </c>
      <c r="K2943">
        <v>15</v>
      </c>
      <c r="L2943" s="6">
        <v>4.5</v>
      </c>
      <c r="M2943" s="7">
        <v>19</v>
      </c>
      <c r="N2943" s="7">
        <v>92</v>
      </c>
      <c r="O2943" s="7">
        <f t="shared" si="228"/>
        <v>177.16535433070868</v>
      </c>
      <c r="P2943" s="7">
        <f t="shared" si="229"/>
        <v>0.74803149606299213</v>
      </c>
      <c r="Q2943" s="7">
        <f t="shared" si="229"/>
        <v>3.6220472440944884</v>
      </c>
      <c r="R2943" s="6">
        <f t="shared" si="230"/>
        <v>1876.9110000000001</v>
      </c>
      <c r="S2943" s="6">
        <f t="shared" si="231"/>
        <v>7.8659999999999997E-3</v>
      </c>
      <c r="T2943" t="str">
        <f t="shared" si="227"/>
        <v>Maximo Thermo Ayous S4S E4E 1x4 Long</v>
      </c>
    </row>
    <row r="2944" spans="1:20" x14ac:dyDescent="0.25">
      <c r="A2944" t="s">
        <v>3073</v>
      </c>
      <c r="B2944" t="s">
        <v>3717</v>
      </c>
      <c r="C2944" t="s">
        <v>283</v>
      </c>
      <c r="D2944" t="s">
        <v>3044</v>
      </c>
      <c r="E2944" t="s">
        <v>3725</v>
      </c>
      <c r="F2944" t="s">
        <v>3719</v>
      </c>
      <c r="G2944" t="s">
        <v>3077</v>
      </c>
      <c r="H2944" t="s">
        <v>373</v>
      </c>
      <c r="I2944" t="s">
        <v>289</v>
      </c>
      <c r="J2944" t="s">
        <v>613</v>
      </c>
      <c r="K2944">
        <v>16</v>
      </c>
      <c r="L2944" s="6">
        <v>4.8</v>
      </c>
      <c r="M2944" s="7">
        <v>19</v>
      </c>
      <c r="N2944" s="7">
        <v>92</v>
      </c>
      <c r="O2944" s="7">
        <f t="shared" si="228"/>
        <v>188.97637795275591</v>
      </c>
      <c r="P2944" s="7">
        <f t="shared" si="229"/>
        <v>0.74803149606299213</v>
      </c>
      <c r="Q2944" s="7">
        <f t="shared" si="229"/>
        <v>3.6220472440944884</v>
      </c>
      <c r="R2944" s="6">
        <f t="shared" si="230"/>
        <v>1876.9110000000001</v>
      </c>
      <c r="S2944" s="6">
        <f t="shared" si="231"/>
        <v>8.3903999999999992E-3</v>
      </c>
      <c r="T2944" t="str">
        <f t="shared" si="227"/>
        <v>Maximo Thermo Ayous S4S E4E 1x4 Long</v>
      </c>
    </row>
    <row r="2945" spans="1:20" x14ac:dyDescent="0.25">
      <c r="A2945" t="s">
        <v>3073</v>
      </c>
      <c r="B2945" t="s">
        <v>3717</v>
      </c>
      <c r="C2945" t="s">
        <v>283</v>
      </c>
      <c r="D2945" t="s">
        <v>3044</v>
      </c>
      <c r="E2945" t="s">
        <v>3726</v>
      </c>
      <c r="F2945" t="s">
        <v>3719</v>
      </c>
      <c r="G2945" t="s">
        <v>3077</v>
      </c>
      <c r="H2945" t="s">
        <v>373</v>
      </c>
      <c r="I2945" t="s">
        <v>289</v>
      </c>
      <c r="J2945" t="s">
        <v>613</v>
      </c>
      <c r="K2945">
        <v>17</v>
      </c>
      <c r="L2945" s="6">
        <v>5.0999999999999996</v>
      </c>
      <c r="M2945" s="7">
        <v>19</v>
      </c>
      <c r="N2945" s="7">
        <v>92</v>
      </c>
      <c r="O2945" s="7">
        <f t="shared" si="228"/>
        <v>200.78740157480314</v>
      </c>
      <c r="P2945" s="7">
        <f t="shared" si="229"/>
        <v>0.74803149606299213</v>
      </c>
      <c r="Q2945" s="7">
        <f t="shared" si="229"/>
        <v>3.6220472440944884</v>
      </c>
      <c r="R2945" s="6">
        <f t="shared" si="230"/>
        <v>1876.9110000000001</v>
      </c>
      <c r="S2945" s="6">
        <f t="shared" si="231"/>
        <v>8.9147999999999988E-3</v>
      </c>
      <c r="T2945" t="str">
        <f t="shared" si="227"/>
        <v>Maximo Thermo Ayous S4S E4E 1x4 Long</v>
      </c>
    </row>
    <row r="2946" spans="1:20" x14ac:dyDescent="0.25">
      <c r="A2946" t="s">
        <v>3073</v>
      </c>
      <c r="B2946" t="s">
        <v>3717</v>
      </c>
      <c r="C2946" t="s">
        <v>283</v>
      </c>
      <c r="D2946" t="s">
        <v>3044</v>
      </c>
      <c r="E2946" t="s">
        <v>3727</v>
      </c>
      <c r="F2946" t="s">
        <v>3719</v>
      </c>
      <c r="G2946" t="s">
        <v>3077</v>
      </c>
      <c r="H2946" t="s">
        <v>373</v>
      </c>
      <c r="I2946" t="s">
        <v>289</v>
      </c>
      <c r="J2946" t="s">
        <v>613</v>
      </c>
      <c r="K2946">
        <v>18</v>
      </c>
      <c r="L2946" s="6">
        <v>5.4</v>
      </c>
      <c r="M2946" s="7">
        <v>19</v>
      </c>
      <c r="N2946" s="7">
        <v>92</v>
      </c>
      <c r="O2946" s="7">
        <f t="shared" si="228"/>
        <v>212.59842519685043</v>
      </c>
      <c r="P2946" s="7">
        <f t="shared" si="229"/>
        <v>0.74803149606299213</v>
      </c>
      <c r="Q2946" s="7">
        <f t="shared" si="229"/>
        <v>3.6220472440944884</v>
      </c>
      <c r="R2946" s="6">
        <f t="shared" si="230"/>
        <v>1876.9110000000001</v>
      </c>
      <c r="S2946" s="6">
        <f t="shared" si="231"/>
        <v>9.4392000000000018E-3</v>
      </c>
      <c r="T2946" t="str">
        <f t="shared" ref="T2946:T3009" si="232">F2946&amp;" "&amp;C2946</f>
        <v>Maximo Thermo Ayous S4S E4E 1x4 Long</v>
      </c>
    </row>
    <row r="2947" spans="1:20" x14ac:dyDescent="0.25">
      <c r="A2947" t="s">
        <v>3073</v>
      </c>
      <c r="B2947" t="s">
        <v>3717</v>
      </c>
      <c r="C2947" t="s">
        <v>524</v>
      </c>
      <c r="D2947" t="s">
        <v>3044</v>
      </c>
      <c r="E2947" t="s">
        <v>3728</v>
      </c>
      <c r="F2947" t="s">
        <v>3719</v>
      </c>
      <c r="G2947" t="s">
        <v>3077</v>
      </c>
      <c r="H2947" t="s">
        <v>373</v>
      </c>
      <c r="I2947" t="s">
        <v>289</v>
      </c>
      <c r="J2947" t="s">
        <v>613</v>
      </c>
      <c r="K2947">
        <v>4</v>
      </c>
      <c r="L2947" s="6">
        <v>1.2</v>
      </c>
      <c r="M2947" s="7">
        <v>19</v>
      </c>
      <c r="N2947" s="7">
        <v>92</v>
      </c>
      <c r="O2947" s="7">
        <f t="shared" si="228"/>
        <v>47.244094488188978</v>
      </c>
      <c r="P2947" s="7">
        <f t="shared" si="229"/>
        <v>0.74803149606299213</v>
      </c>
      <c r="Q2947" s="7">
        <f t="shared" si="229"/>
        <v>3.6220472440944884</v>
      </c>
      <c r="R2947" s="6">
        <f t="shared" si="230"/>
        <v>1876.9110000000001</v>
      </c>
      <c r="S2947" s="6">
        <f t="shared" si="231"/>
        <v>2.0975999999999998E-3</v>
      </c>
      <c r="T2947" t="str">
        <f t="shared" si="232"/>
        <v>Maximo Thermo Ayous S4S E4E 1x4 Short</v>
      </c>
    </row>
    <row r="2948" spans="1:20" x14ac:dyDescent="0.25">
      <c r="A2948" t="s">
        <v>3073</v>
      </c>
      <c r="B2948" t="s">
        <v>3717</v>
      </c>
      <c r="C2948" t="s">
        <v>524</v>
      </c>
      <c r="D2948" t="s">
        <v>3044</v>
      </c>
      <c r="E2948" t="s">
        <v>3729</v>
      </c>
      <c r="F2948" t="s">
        <v>3719</v>
      </c>
      <c r="G2948" t="s">
        <v>3077</v>
      </c>
      <c r="H2948" t="s">
        <v>373</v>
      </c>
      <c r="I2948" t="s">
        <v>289</v>
      </c>
      <c r="J2948" t="s">
        <v>613</v>
      </c>
      <c r="K2948">
        <v>5</v>
      </c>
      <c r="L2948" s="6">
        <v>1.5</v>
      </c>
      <c r="M2948" s="7">
        <v>19</v>
      </c>
      <c r="N2948" s="7">
        <v>92</v>
      </c>
      <c r="O2948" s="7">
        <f t="shared" si="228"/>
        <v>59.055118110236222</v>
      </c>
      <c r="P2948" s="7">
        <f t="shared" si="229"/>
        <v>0.74803149606299213</v>
      </c>
      <c r="Q2948" s="7">
        <f t="shared" si="229"/>
        <v>3.6220472440944884</v>
      </c>
      <c r="R2948" s="6">
        <f t="shared" si="230"/>
        <v>1876.9110000000001</v>
      </c>
      <c r="S2948" s="6">
        <f t="shared" si="231"/>
        <v>2.6219999999999998E-3</v>
      </c>
      <c r="T2948" t="str">
        <f t="shared" si="232"/>
        <v>Maximo Thermo Ayous S4S E4E 1x4 Short</v>
      </c>
    </row>
    <row r="2949" spans="1:20" x14ac:dyDescent="0.25">
      <c r="A2949" t="s">
        <v>3073</v>
      </c>
      <c r="B2949" t="s">
        <v>3717</v>
      </c>
      <c r="C2949" t="s">
        <v>524</v>
      </c>
      <c r="D2949" t="s">
        <v>3044</v>
      </c>
      <c r="E2949" t="s">
        <v>3730</v>
      </c>
      <c r="F2949" t="s">
        <v>3719</v>
      </c>
      <c r="G2949" t="s">
        <v>3077</v>
      </c>
      <c r="H2949" t="s">
        <v>373</v>
      </c>
      <c r="I2949" t="s">
        <v>289</v>
      </c>
      <c r="J2949" t="s">
        <v>613</v>
      </c>
      <c r="K2949">
        <v>6</v>
      </c>
      <c r="L2949" s="6">
        <v>1.8</v>
      </c>
      <c r="M2949" s="7">
        <v>19</v>
      </c>
      <c r="N2949" s="7">
        <v>92</v>
      </c>
      <c r="O2949" s="7">
        <f t="shared" si="228"/>
        <v>70.866141732283467</v>
      </c>
      <c r="P2949" s="7">
        <f t="shared" si="229"/>
        <v>0.74803149606299213</v>
      </c>
      <c r="Q2949" s="7">
        <f t="shared" si="229"/>
        <v>3.6220472440944884</v>
      </c>
      <c r="R2949" s="6">
        <f t="shared" si="230"/>
        <v>1876.9110000000001</v>
      </c>
      <c r="S2949" s="6">
        <f t="shared" si="231"/>
        <v>3.1464000000000002E-3</v>
      </c>
      <c r="T2949" t="str">
        <f t="shared" si="232"/>
        <v>Maximo Thermo Ayous S4S E4E 1x4 Short</v>
      </c>
    </row>
    <row r="2950" spans="1:20" x14ac:dyDescent="0.25">
      <c r="A2950" t="s">
        <v>3073</v>
      </c>
      <c r="B2950" t="s">
        <v>3717</v>
      </c>
      <c r="C2950" t="s">
        <v>524</v>
      </c>
      <c r="D2950" t="s">
        <v>3044</v>
      </c>
      <c r="E2950" t="s">
        <v>3731</v>
      </c>
      <c r="F2950" t="s">
        <v>3719</v>
      </c>
      <c r="G2950" t="s">
        <v>3077</v>
      </c>
      <c r="H2950" t="s">
        <v>373</v>
      </c>
      <c r="I2950" t="s">
        <v>289</v>
      </c>
      <c r="J2950" t="s">
        <v>613</v>
      </c>
      <c r="K2950">
        <v>7</v>
      </c>
      <c r="L2950" s="6">
        <v>2.1</v>
      </c>
      <c r="M2950" s="7">
        <v>19</v>
      </c>
      <c r="N2950" s="7">
        <v>92</v>
      </c>
      <c r="O2950" s="7">
        <f t="shared" si="228"/>
        <v>82.677165354330711</v>
      </c>
      <c r="P2950" s="7">
        <f t="shared" si="229"/>
        <v>0.74803149606299213</v>
      </c>
      <c r="Q2950" s="7">
        <f t="shared" si="229"/>
        <v>3.6220472440944884</v>
      </c>
      <c r="R2950" s="6">
        <f t="shared" si="230"/>
        <v>1876.9110000000001</v>
      </c>
      <c r="S2950" s="6">
        <f t="shared" si="231"/>
        <v>3.6707999999999997E-3</v>
      </c>
      <c r="T2950" t="str">
        <f t="shared" si="232"/>
        <v>Maximo Thermo Ayous S4S E4E 1x4 Short</v>
      </c>
    </row>
    <row r="2951" spans="1:20" x14ac:dyDescent="0.25">
      <c r="A2951" t="s">
        <v>3073</v>
      </c>
      <c r="B2951" t="s">
        <v>3717</v>
      </c>
      <c r="C2951" t="s">
        <v>283</v>
      </c>
      <c r="D2951" t="s">
        <v>3044</v>
      </c>
      <c r="E2951" t="s">
        <v>3732</v>
      </c>
      <c r="F2951" t="s">
        <v>3719</v>
      </c>
      <c r="G2951" t="s">
        <v>3077</v>
      </c>
      <c r="H2951" t="s">
        <v>373</v>
      </c>
      <c r="I2951" t="s">
        <v>289</v>
      </c>
      <c r="J2951" t="s">
        <v>613</v>
      </c>
      <c r="K2951">
        <v>8</v>
      </c>
      <c r="L2951" s="6">
        <v>2.4</v>
      </c>
      <c r="M2951" s="7">
        <v>19</v>
      </c>
      <c r="N2951" s="7">
        <v>92</v>
      </c>
      <c r="O2951" s="7">
        <f t="shared" si="228"/>
        <v>94.488188976377955</v>
      </c>
      <c r="P2951" s="7">
        <f t="shared" si="229"/>
        <v>0.74803149606299213</v>
      </c>
      <c r="Q2951" s="7">
        <f t="shared" si="229"/>
        <v>3.6220472440944884</v>
      </c>
      <c r="R2951" s="6">
        <f t="shared" si="230"/>
        <v>1876.9110000000001</v>
      </c>
      <c r="S2951" s="6">
        <f t="shared" si="231"/>
        <v>4.1951999999999996E-3</v>
      </c>
      <c r="T2951" t="str">
        <f t="shared" si="232"/>
        <v>Maximo Thermo Ayous S4S E4E 1x4 Long</v>
      </c>
    </row>
    <row r="2952" spans="1:20" x14ac:dyDescent="0.25">
      <c r="A2952" t="s">
        <v>3073</v>
      </c>
      <c r="B2952" t="s">
        <v>3717</v>
      </c>
      <c r="C2952" t="s">
        <v>283</v>
      </c>
      <c r="D2952" t="s">
        <v>3044</v>
      </c>
      <c r="E2952" t="s">
        <v>3733</v>
      </c>
      <c r="F2952" t="s">
        <v>3719</v>
      </c>
      <c r="G2952" t="s">
        <v>3077</v>
      </c>
      <c r="H2952" t="s">
        <v>373</v>
      </c>
      <c r="I2952" t="s">
        <v>289</v>
      </c>
      <c r="J2952" t="s">
        <v>613</v>
      </c>
      <c r="K2952">
        <v>9</v>
      </c>
      <c r="L2952" s="6">
        <v>2.7</v>
      </c>
      <c r="M2952" s="7">
        <v>19</v>
      </c>
      <c r="N2952" s="7">
        <v>92</v>
      </c>
      <c r="O2952" s="7">
        <f t="shared" si="228"/>
        <v>106.29921259842521</v>
      </c>
      <c r="P2952" s="7">
        <f t="shared" si="229"/>
        <v>0.74803149606299213</v>
      </c>
      <c r="Q2952" s="7">
        <f t="shared" si="229"/>
        <v>3.6220472440944884</v>
      </c>
      <c r="R2952" s="6">
        <f t="shared" si="230"/>
        <v>1876.9110000000001</v>
      </c>
      <c r="S2952" s="6">
        <f t="shared" si="231"/>
        <v>4.7196000000000009E-3</v>
      </c>
      <c r="T2952" t="str">
        <f t="shared" si="232"/>
        <v>Maximo Thermo Ayous S4S E4E 1x4 Long</v>
      </c>
    </row>
    <row r="2953" spans="1:20" x14ac:dyDescent="0.25">
      <c r="A2953" t="s">
        <v>3073</v>
      </c>
      <c r="B2953" t="s">
        <v>3080</v>
      </c>
      <c r="C2953" t="s">
        <v>283</v>
      </c>
      <c r="D2953" t="s">
        <v>3044</v>
      </c>
      <c r="E2953" t="s">
        <v>161</v>
      </c>
      <c r="F2953" t="s">
        <v>3734</v>
      </c>
      <c r="G2953" t="s">
        <v>3077</v>
      </c>
      <c r="H2953" t="s">
        <v>373</v>
      </c>
      <c r="I2953" t="s">
        <v>289</v>
      </c>
      <c r="J2953" t="s">
        <v>344</v>
      </c>
      <c r="K2953">
        <v>10</v>
      </c>
      <c r="L2953" s="6">
        <v>3</v>
      </c>
      <c r="M2953" s="7">
        <v>19</v>
      </c>
      <c r="N2953" s="7">
        <v>140</v>
      </c>
      <c r="O2953" s="7">
        <f t="shared" si="228"/>
        <v>118.11023622047244</v>
      </c>
      <c r="P2953" s="7">
        <f t="shared" si="229"/>
        <v>0.74803149606299213</v>
      </c>
      <c r="Q2953" s="7">
        <f t="shared" si="229"/>
        <v>5.5118110236220472</v>
      </c>
      <c r="R2953" s="6">
        <f t="shared" si="230"/>
        <v>1233.3979999999999</v>
      </c>
      <c r="S2953" s="6">
        <f t="shared" si="231"/>
        <v>7.980000000000001E-3</v>
      </c>
      <c r="T2953" t="str">
        <f t="shared" si="232"/>
        <v>Maximo Thermo Ayous S4S E4E 1x6 Long</v>
      </c>
    </row>
    <row r="2954" spans="1:20" x14ac:dyDescent="0.25">
      <c r="A2954" t="s">
        <v>3073</v>
      </c>
      <c r="B2954" t="s">
        <v>3080</v>
      </c>
      <c r="C2954" t="s">
        <v>283</v>
      </c>
      <c r="D2954" t="s">
        <v>3044</v>
      </c>
      <c r="E2954" t="s">
        <v>175</v>
      </c>
      <c r="F2954" t="s">
        <v>3734</v>
      </c>
      <c r="G2954" t="s">
        <v>3077</v>
      </c>
      <c r="H2954" t="s">
        <v>373</v>
      </c>
      <c r="I2954" t="s">
        <v>289</v>
      </c>
      <c r="J2954" t="s">
        <v>344</v>
      </c>
      <c r="K2954">
        <v>11</v>
      </c>
      <c r="L2954" s="6">
        <v>3.3</v>
      </c>
      <c r="M2954" s="7">
        <v>19</v>
      </c>
      <c r="N2954" s="7">
        <v>140</v>
      </c>
      <c r="O2954" s="7">
        <f t="shared" si="228"/>
        <v>129.92125984251967</v>
      </c>
      <c r="P2954" s="7">
        <f t="shared" si="229"/>
        <v>0.74803149606299213</v>
      </c>
      <c r="Q2954" s="7">
        <f t="shared" si="229"/>
        <v>5.5118110236220472</v>
      </c>
      <c r="R2954" s="6">
        <f t="shared" si="230"/>
        <v>1233.3979999999999</v>
      </c>
      <c r="S2954" s="6">
        <f t="shared" si="231"/>
        <v>8.7779999999999993E-3</v>
      </c>
      <c r="T2954" t="str">
        <f t="shared" si="232"/>
        <v>Maximo Thermo Ayous S4S E4E 1x6 Long</v>
      </c>
    </row>
    <row r="2955" spans="1:20" x14ac:dyDescent="0.25">
      <c r="A2955" t="s">
        <v>3073</v>
      </c>
      <c r="B2955" t="s">
        <v>3080</v>
      </c>
      <c r="C2955" t="s">
        <v>283</v>
      </c>
      <c r="D2955" t="s">
        <v>3044</v>
      </c>
      <c r="E2955" t="s">
        <v>176</v>
      </c>
      <c r="F2955" t="s">
        <v>3734</v>
      </c>
      <c r="G2955" t="s">
        <v>3077</v>
      </c>
      <c r="H2955" t="s">
        <v>373</v>
      </c>
      <c r="I2955" t="s">
        <v>289</v>
      </c>
      <c r="J2955" t="s">
        <v>344</v>
      </c>
      <c r="K2955">
        <v>12</v>
      </c>
      <c r="L2955" s="6">
        <v>3.6</v>
      </c>
      <c r="M2955" s="7">
        <v>19</v>
      </c>
      <c r="N2955" s="7">
        <v>140</v>
      </c>
      <c r="O2955" s="7">
        <f t="shared" si="228"/>
        <v>141.73228346456693</v>
      </c>
      <c r="P2955" s="7">
        <f t="shared" si="229"/>
        <v>0.74803149606299213</v>
      </c>
      <c r="Q2955" s="7">
        <f t="shared" si="229"/>
        <v>5.5118110236220472</v>
      </c>
      <c r="R2955" s="6">
        <f t="shared" si="230"/>
        <v>1233.3979999999999</v>
      </c>
      <c r="S2955" s="6">
        <f t="shared" si="231"/>
        <v>9.5760000000000012E-3</v>
      </c>
      <c r="T2955" t="str">
        <f t="shared" si="232"/>
        <v>Maximo Thermo Ayous S4S E4E 1x6 Long</v>
      </c>
    </row>
    <row r="2956" spans="1:20" x14ac:dyDescent="0.25">
      <c r="A2956" t="s">
        <v>3073</v>
      </c>
      <c r="B2956" t="s">
        <v>3080</v>
      </c>
      <c r="C2956" t="s">
        <v>283</v>
      </c>
      <c r="D2956" t="s">
        <v>3044</v>
      </c>
      <c r="E2956" t="s">
        <v>162</v>
      </c>
      <c r="F2956" t="s">
        <v>3734</v>
      </c>
      <c r="G2956" t="s">
        <v>3077</v>
      </c>
      <c r="H2956" t="s">
        <v>373</v>
      </c>
      <c r="I2956" t="s">
        <v>289</v>
      </c>
      <c r="J2956" t="s">
        <v>344</v>
      </c>
      <c r="K2956">
        <v>13</v>
      </c>
      <c r="L2956" s="6">
        <v>3.9</v>
      </c>
      <c r="M2956" s="7">
        <v>19</v>
      </c>
      <c r="N2956" s="7">
        <v>140</v>
      </c>
      <c r="O2956" s="7">
        <f t="shared" si="228"/>
        <v>153.54330708661416</v>
      </c>
      <c r="P2956" s="7">
        <f t="shared" si="229"/>
        <v>0.74803149606299213</v>
      </c>
      <c r="Q2956" s="7">
        <f t="shared" si="229"/>
        <v>5.5118110236220472</v>
      </c>
      <c r="R2956" s="6">
        <f t="shared" si="230"/>
        <v>1233.3979999999999</v>
      </c>
      <c r="S2956" s="6">
        <f t="shared" si="231"/>
        <v>1.0374000000000001E-2</v>
      </c>
      <c r="T2956" t="str">
        <f t="shared" si="232"/>
        <v>Maximo Thermo Ayous S4S E4E 1x6 Long</v>
      </c>
    </row>
    <row r="2957" spans="1:20" x14ac:dyDescent="0.25">
      <c r="A2957" t="s">
        <v>3073</v>
      </c>
      <c r="B2957" t="s">
        <v>3080</v>
      </c>
      <c r="C2957" t="s">
        <v>283</v>
      </c>
      <c r="D2957" t="s">
        <v>3044</v>
      </c>
      <c r="E2957" t="s">
        <v>163</v>
      </c>
      <c r="F2957" t="s">
        <v>3734</v>
      </c>
      <c r="G2957" t="s">
        <v>3077</v>
      </c>
      <c r="H2957" t="s">
        <v>373</v>
      </c>
      <c r="I2957" t="s">
        <v>289</v>
      </c>
      <c r="J2957" t="s">
        <v>344</v>
      </c>
      <c r="K2957">
        <v>14</v>
      </c>
      <c r="L2957" s="6">
        <v>4.2</v>
      </c>
      <c r="M2957" s="7">
        <v>19</v>
      </c>
      <c r="N2957" s="7">
        <v>140</v>
      </c>
      <c r="O2957" s="7">
        <f t="shared" si="228"/>
        <v>165.35433070866142</v>
      </c>
      <c r="P2957" s="7">
        <f t="shared" si="229"/>
        <v>0.74803149606299213</v>
      </c>
      <c r="Q2957" s="7">
        <f t="shared" si="229"/>
        <v>5.5118110236220472</v>
      </c>
      <c r="R2957" s="6">
        <f t="shared" si="230"/>
        <v>1233.3979999999999</v>
      </c>
      <c r="S2957" s="6">
        <f t="shared" si="231"/>
        <v>1.1172E-2</v>
      </c>
      <c r="T2957" t="str">
        <f t="shared" si="232"/>
        <v>Maximo Thermo Ayous S4S E4E 1x6 Long</v>
      </c>
    </row>
    <row r="2958" spans="1:20" x14ac:dyDescent="0.25">
      <c r="A2958" t="s">
        <v>3073</v>
      </c>
      <c r="B2958" t="s">
        <v>3080</v>
      </c>
      <c r="C2958" t="s">
        <v>283</v>
      </c>
      <c r="D2958" t="s">
        <v>3044</v>
      </c>
      <c r="E2958" t="s">
        <v>164</v>
      </c>
      <c r="F2958" t="s">
        <v>3734</v>
      </c>
      <c r="G2958" t="s">
        <v>3077</v>
      </c>
      <c r="H2958" t="s">
        <v>373</v>
      </c>
      <c r="I2958" t="s">
        <v>289</v>
      </c>
      <c r="J2958" t="s">
        <v>344</v>
      </c>
      <c r="K2958">
        <v>15</v>
      </c>
      <c r="L2958" s="6">
        <v>4.5</v>
      </c>
      <c r="M2958" s="7">
        <v>19</v>
      </c>
      <c r="N2958" s="7">
        <v>140</v>
      </c>
      <c r="O2958" s="7">
        <f t="shared" si="228"/>
        <v>177.16535433070868</v>
      </c>
      <c r="P2958" s="7">
        <f t="shared" si="229"/>
        <v>0.74803149606299213</v>
      </c>
      <c r="Q2958" s="7">
        <f t="shared" si="229"/>
        <v>5.5118110236220472</v>
      </c>
      <c r="R2958" s="6">
        <f t="shared" si="230"/>
        <v>1233.3979999999999</v>
      </c>
      <c r="S2958" s="6">
        <f t="shared" si="231"/>
        <v>1.1970000000000001E-2</v>
      </c>
      <c r="T2958" t="str">
        <f t="shared" si="232"/>
        <v>Maximo Thermo Ayous S4S E4E 1x6 Long</v>
      </c>
    </row>
    <row r="2959" spans="1:20" x14ac:dyDescent="0.25">
      <c r="A2959" t="s">
        <v>3073</v>
      </c>
      <c r="B2959" t="s">
        <v>3080</v>
      </c>
      <c r="C2959" t="s">
        <v>283</v>
      </c>
      <c r="D2959" t="s">
        <v>3044</v>
      </c>
      <c r="E2959" t="s">
        <v>165</v>
      </c>
      <c r="F2959" t="s">
        <v>3734</v>
      </c>
      <c r="G2959" t="s">
        <v>3077</v>
      </c>
      <c r="H2959" t="s">
        <v>373</v>
      </c>
      <c r="I2959" t="s">
        <v>289</v>
      </c>
      <c r="J2959" t="s">
        <v>344</v>
      </c>
      <c r="K2959">
        <v>16</v>
      </c>
      <c r="L2959" s="6">
        <v>4.8</v>
      </c>
      <c r="M2959" s="7">
        <v>19</v>
      </c>
      <c r="N2959" s="7">
        <v>140</v>
      </c>
      <c r="O2959" s="7">
        <f t="shared" si="228"/>
        <v>188.97637795275591</v>
      </c>
      <c r="P2959" s="7">
        <f t="shared" si="229"/>
        <v>0.74803149606299213</v>
      </c>
      <c r="Q2959" s="7">
        <f t="shared" si="229"/>
        <v>5.5118110236220472</v>
      </c>
      <c r="R2959" s="6">
        <f t="shared" si="230"/>
        <v>1233.3979999999999</v>
      </c>
      <c r="S2959" s="6">
        <f t="shared" si="231"/>
        <v>1.2768E-2</v>
      </c>
      <c r="T2959" t="str">
        <f t="shared" si="232"/>
        <v>Maximo Thermo Ayous S4S E4E 1x6 Long</v>
      </c>
    </row>
    <row r="2960" spans="1:20" x14ac:dyDescent="0.25">
      <c r="A2960" t="s">
        <v>3073</v>
      </c>
      <c r="B2960" t="s">
        <v>3080</v>
      </c>
      <c r="C2960" t="s">
        <v>283</v>
      </c>
      <c r="D2960" t="s">
        <v>3044</v>
      </c>
      <c r="E2960" t="s">
        <v>3735</v>
      </c>
      <c r="F2960" t="s">
        <v>3734</v>
      </c>
      <c r="G2960" t="s">
        <v>3077</v>
      </c>
      <c r="H2960" t="s">
        <v>373</v>
      </c>
      <c r="I2960" t="s">
        <v>289</v>
      </c>
      <c r="J2960" t="s">
        <v>344</v>
      </c>
      <c r="K2960">
        <v>17</v>
      </c>
      <c r="L2960" s="6">
        <v>5.0999999999999996</v>
      </c>
      <c r="M2960" s="7">
        <v>19</v>
      </c>
      <c r="N2960" s="7">
        <v>140</v>
      </c>
      <c r="O2960" s="7">
        <f t="shared" si="228"/>
        <v>200.78740157480314</v>
      </c>
      <c r="P2960" s="7">
        <f t="shared" si="229"/>
        <v>0.74803149606299213</v>
      </c>
      <c r="Q2960" s="7">
        <f t="shared" si="229"/>
        <v>5.5118110236220472</v>
      </c>
      <c r="R2960" s="6">
        <f t="shared" si="230"/>
        <v>1233.3979999999999</v>
      </c>
      <c r="S2960" s="6">
        <f t="shared" si="231"/>
        <v>1.3565999999999998E-2</v>
      </c>
      <c r="T2960" t="str">
        <f t="shared" si="232"/>
        <v>Maximo Thermo Ayous S4S E4E 1x6 Long</v>
      </c>
    </row>
    <row r="2961" spans="1:20" x14ac:dyDescent="0.25">
      <c r="A2961" t="s">
        <v>3073</v>
      </c>
      <c r="B2961" t="s">
        <v>3080</v>
      </c>
      <c r="C2961" t="s">
        <v>283</v>
      </c>
      <c r="D2961" t="s">
        <v>3044</v>
      </c>
      <c r="E2961" t="s">
        <v>3736</v>
      </c>
      <c r="F2961" t="s">
        <v>3734</v>
      </c>
      <c r="G2961" t="s">
        <v>3077</v>
      </c>
      <c r="H2961" t="s">
        <v>373</v>
      </c>
      <c r="I2961" t="s">
        <v>289</v>
      </c>
      <c r="J2961" t="s">
        <v>344</v>
      </c>
      <c r="K2961">
        <v>18</v>
      </c>
      <c r="L2961" s="6">
        <v>5.4</v>
      </c>
      <c r="M2961" s="7">
        <v>19</v>
      </c>
      <c r="N2961" s="7">
        <v>140</v>
      </c>
      <c r="O2961" s="7">
        <f t="shared" si="228"/>
        <v>212.59842519685043</v>
      </c>
      <c r="P2961" s="7">
        <f t="shared" si="229"/>
        <v>0.74803149606299213</v>
      </c>
      <c r="Q2961" s="7">
        <f t="shared" si="229"/>
        <v>5.5118110236220472</v>
      </c>
      <c r="R2961" s="6">
        <f t="shared" si="230"/>
        <v>1233.3979999999999</v>
      </c>
      <c r="S2961" s="6">
        <f t="shared" si="231"/>
        <v>1.4364E-2</v>
      </c>
      <c r="T2961" t="str">
        <f t="shared" si="232"/>
        <v>Maximo Thermo Ayous S4S E4E 1x6 Long</v>
      </c>
    </row>
    <row r="2962" spans="1:20" x14ac:dyDescent="0.25">
      <c r="A2962" t="s">
        <v>3073</v>
      </c>
      <c r="B2962" t="s">
        <v>3080</v>
      </c>
      <c r="C2962" t="s">
        <v>524</v>
      </c>
      <c r="D2962" t="s">
        <v>3044</v>
      </c>
      <c r="E2962" t="s">
        <v>177</v>
      </c>
      <c r="F2962" t="s">
        <v>3734</v>
      </c>
      <c r="G2962" t="s">
        <v>3077</v>
      </c>
      <c r="H2962" t="s">
        <v>373</v>
      </c>
      <c r="I2962" t="s">
        <v>289</v>
      </c>
      <c r="J2962" t="s">
        <v>344</v>
      </c>
      <c r="K2962">
        <v>4</v>
      </c>
      <c r="L2962" s="6">
        <v>1.2</v>
      </c>
      <c r="M2962" s="7">
        <v>19</v>
      </c>
      <c r="N2962" s="7">
        <v>140</v>
      </c>
      <c r="O2962" s="7">
        <f t="shared" si="228"/>
        <v>47.244094488188978</v>
      </c>
      <c r="P2962" s="7">
        <f t="shared" si="229"/>
        <v>0.74803149606299213</v>
      </c>
      <c r="Q2962" s="7">
        <f t="shared" si="229"/>
        <v>5.5118110236220472</v>
      </c>
      <c r="R2962" s="6">
        <f t="shared" si="230"/>
        <v>1233.3979999999999</v>
      </c>
      <c r="S2962" s="6">
        <f t="shared" si="231"/>
        <v>3.192E-3</v>
      </c>
      <c r="T2962" t="str">
        <f t="shared" si="232"/>
        <v>Maximo Thermo Ayous S4S E4E 1x6 Short</v>
      </c>
    </row>
    <row r="2963" spans="1:20" x14ac:dyDescent="0.25">
      <c r="A2963" t="s">
        <v>3073</v>
      </c>
      <c r="B2963" t="s">
        <v>3080</v>
      </c>
      <c r="C2963" t="s">
        <v>524</v>
      </c>
      <c r="D2963" t="s">
        <v>3044</v>
      </c>
      <c r="E2963" t="s">
        <v>193</v>
      </c>
      <c r="F2963" t="s">
        <v>3734</v>
      </c>
      <c r="G2963" t="s">
        <v>3077</v>
      </c>
      <c r="H2963" t="s">
        <v>373</v>
      </c>
      <c r="I2963" t="s">
        <v>289</v>
      </c>
      <c r="J2963" t="s">
        <v>344</v>
      </c>
      <c r="K2963">
        <v>5</v>
      </c>
      <c r="L2963" s="6">
        <v>1.5</v>
      </c>
      <c r="M2963" s="7">
        <v>19</v>
      </c>
      <c r="N2963" s="7">
        <v>140</v>
      </c>
      <c r="O2963" s="7">
        <f t="shared" si="228"/>
        <v>59.055118110236222</v>
      </c>
      <c r="P2963" s="7">
        <f t="shared" si="229"/>
        <v>0.74803149606299213</v>
      </c>
      <c r="Q2963" s="7">
        <f t="shared" si="229"/>
        <v>5.5118110236220472</v>
      </c>
      <c r="R2963" s="6">
        <f t="shared" si="230"/>
        <v>1233.3979999999999</v>
      </c>
      <c r="S2963" s="6">
        <f t="shared" si="231"/>
        <v>3.9900000000000005E-3</v>
      </c>
      <c r="T2963" t="str">
        <f t="shared" si="232"/>
        <v>Maximo Thermo Ayous S4S E4E 1x6 Short</v>
      </c>
    </row>
    <row r="2964" spans="1:20" x14ac:dyDescent="0.25">
      <c r="A2964" t="s">
        <v>3073</v>
      </c>
      <c r="B2964" t="s">
        <v>3080</v>
      </c>
      <c r="C2964" t="s">
        <v>524</v>
      </c>
      <c r="D2964" t="s">
        <v>3044</v>
      </c>
      <c r="E2964" t="s">
        <v>157</v>
      </c>
      <c r="F2964" t="s">
        <v>3734</v>
      </c>
      <c r="G2964" t="s">
        <v>3077</v>
      </c>
      <c r="H2964" t="s">
        <v>373</v>
      </c>
      <c r="I2964" t="s">
        <v>289</v>
      </c>
      <c r="J2964" t="s">
        <v>344</v>
      </c>
      <c r="K2964">
        <v>6</v>
      </c>
      <c r="L2964" s="6">
        <v>1.8</v>
      </c>
      <c r="M2964" s="7">
        <v>19</v>
      </c>
      <c r="N2964" s="7">
        <v>140</v>
      </c>
      <c r="O2964" s="7">
        <f t="shared" si="228"/>
        <v>70.866141732283467</v>
      </c>
      <c r="P2964" s="7">
        <f t="shared" si="229"/>
        <v>0.74803149606299213</v>
      </c>
      <c r="Q2964" s="7">
        <f t="shared" si="229"/>
        <v>5.5118110236220472</v>
      </c>
      <c r="R2964" s="6">
        <f t="shared" si="230"/>
        <v>1233.3979999999999</v>
      </c>
      <c r="S2964" s="6">
        <f t="shared" si="231"/>
        <v>4.7880000000000006E-3</v>
      </c>
      <c r="T2964" t="str">
        <f t="shared" si="232"/>
        <v>Maximo Thermo Ayous S4S E4E 1x6 Short</v>
      </c>
    </row>
    <row r="2965" spans="1:20" x14ac:dyDescent="0.25">
      <c r="A2965" t="s">
        <v>3073</v>
      </c>
      <c r="B2965" t="s">
        <v>3080</v>
      </c>
      <c r="C2965" t="s">
        <v>524</v>
      </c>
      <c r="D2965" t="s">
        <v>3044</v>
      </c>
      <c r="E2965" t="s">
        <v>158</v>
      </c>
      <c r="F2965" t="s">
        <v>3734</v>
      </c>
      <c r="G2965" t="s">
        <v>3077</v>
      </c>
      <c r="H2965" t="s">
        <v>373</v>
      </c>
      <c r="I2965" t="s">
        <v>289</v>
      </c>
      <c r="J2965" t="s">
        <v>344</v>
      </c>
      <c r="K2965">
        <v>7</v>
      </c>
      <c r="L2965" s="6">
        <v>2.1</v>
      </c>
      <c r="M2965" s="7">
        <v>19</v>
      </c>
      <c r="N2965" s="7">
        <v>140</v>
      </c>
      <c r="O2965" s="7">
        <f t="shared" si="228"/>
        <v>82.677165354330711</v>
      </c>
      <c r="P2965" s="7">
        <f t="shared" si="229"/>
        <v>0.74803149606299213</v>
      </c>
      <c r="Q2965" s="7">
        <f t="shared" si="229"/>
        <v>5.5118110236220472</v>
      </c>
      <c r="R2965" s="6">
        <f t="shared" si="230"/>
        <v>1233.3979999999999</v>
      </c>
      <c r="S2965" s="6">
        <f t="shared" si="231"/>
        <v>5.5859999999999998E-3</v>
      </c>
      <c r="T2965" t="str">
        <f t="shared" si="232"/>
        <v>Maximo Thermo Ayous S4S E4E 1x6 Short</v>
      </c>
    </row>
    <row r="2966" spans="1:20" x14ac:dyDescent="0.25">
      <c r="A2966" t="s">
        <v>3073</v>
      </c>
      <c r="B2966" t="s">
        <v>3080</v>
      </c>
      <c r="C2966" t="s">
        <v>283</v>
      </c>
      <c r="D2966" t="s">
        <v>3044</v>
      </c>
      <c r="E2966" t="s">
        <v>159</v>
      </c>
      <c r="F2966" t="s">
        <v>3734</v>
      </c>
      <c r="G2966" t="s">
        <v>3077</v>
      </c>
      <c r="H2966" t="s">
        <v>373</v>
      </c>
      <c r="I2966" t="s">
        <v>289</v>
      </c>
      <c r="J2966" t="s">
        <v>344</v>
      </c>
      <c r="K2966">
        <v>8</v>
      </c>
      <c r="L2966" s="6">
        <v>2.4</v>
      </c>
      <c r="M2966" s="7">
        <v>19</v>
      </c>
      <c r="N2966" s="7">
        <v>140</v>
      </c>
      <c r="O2966" s="7">
        <f t="shared" si="228"/>
        <v>94.488188976377955</v>
      </c>
      <c r="P2966" s="7">
        <f t="shared" si="229"/>
        <v>0.74803149606299213</v>
      </c>
      <c r="Q2966" s="7">
        <f t="shared" si="229"/>
        <v>5.5118110236220472</v>
      </c>
      <c r="R2966" s="6">
        <f t="shared" si="230"/>
        <v>1233.3979999999999</v>
      </c>
      <c r="S2966" s="6">
        <f t="shared" si="231"/>
        <v>6.3839999999999999E-3</v>
      </c>
      <c r="T2966" t="str">
        <f t="shared" si="232"/>
        <v>Maximo Thermo Ayous S4S E4E 1x6 Long</v>
      </c>
    </row>
    <row r="2967" spans="1:20" x14ac:dyDescent="0.25">
      <c r="A2967" t="s">
        <v>3073</v>
      </c>
      <c r="B2967" t="s">
        <v>3080</v>
      </c>
      <c r="C2967" t="s">
        <v>283</v>
      </c>
      <c r="D2967" t="s">
        <v>3044</v>
      </c>
      <c r="E2967" t="s">
        <v>160</v>
      </c>
      <c r="F2967" t="s">
        <v>3734</v>
      </c>
      <c r="G2967" t="s">
        <v>3077</v>
      </c>
      <c r="H2967" t="s">
        <v>373</v>
      </c>
      <c r="I2967" t="s">
        <v>289</v>
      </c>
      <c r="J2967" t="s">
        <v>344</v>
      </c>
      <c r="K2967">
        <v>9</v>
      </c>
      <c r="L2967" s="6">
        <v>2.7</v>
      </c>
      <c r="M2967" s="7">
        <v>19</v>
      </c>
      <c r="N2967" s="7">
        <v>140</v>
      </c>
      <c r="O2967" s="7">
        <f t="shared" si="228"/>
        <v>106.29921259842521</v>
      </c>
      <c r="P2967" s="7">
        <f t="shared" si="229"/>
        <v>0.74803149606299213</v>
      </c>
      <c r="Q2967" s="7">
        <f t="shared" si="229"/>
        <v>5.5118110236220472</v>
      </c>
      <c r="R2967" s="6">
        <f t="shared" si="230"/>
        <v>1233.3979999999999</v>
      </c>
      <c r="S2967" s="6">
        <f t="shared" si="231"/>
        <v>7.182E-3</v>
      </c>
      <c r="T2967" t="str">
        <f t="shared" si="232"/>
        <v>Maximo Thermo Ayous S4S E4E 1x6 Long</v>
      </c>
    </row>
    <row r="2968" spans="1:20" x14ac:dyDescent="0.25">
      <c r="A2968" t="s">
        <v>3073</v>
      </c>
      <c r="B2968" t="s">
        <v>3737</v>
      </c>
      <c r="C2968" t="s">
        <v>283</v>
      </c>
      <c r="D2968" t="s">
        <v>3044</v>
      </c>
      <c r="E2968" t="s">
        <v>3738</v>
      </c>
      <c r="F2968" t="s">
        <v>3739</v>
      </c>
      <c r="G2968" t="s">
        <v>3077</v>
      </c>
      <c r="H2968" t="s">
        <v>373</v>
      </c>
      <c r="I2968" t="s">
        <v>289</v>
      </c>
      <c r="J2968" t="s">
        <v>672</v>
      </c>
      <c r="K2968">
        <v>10</v>
      </c>
      <c r="L2968" s="6">
        <v>3</v>
      </c>
      <c r="M2968" s="7">
        <v>20</v>
      </c>
      <c r="N2968" s="7">
        <v>180</v>
      </c>
      <c r="O2968" s="7">
        <f t="shared" si="228"/>
        <v>118.11023622047244</v>
      </c>
      <c r="P2968" s="7">
        <f t="shared" si="229"/>
        <v>0.78740157480314965</v>
      </c>
      <c r="Q2968" s="7">
        <f t="shared" si="229"/>
        <v>7.0866141732283472</v>
      </c>
      <c r="R2968" s="6">
        <f t="shared" si="230"/>
        <v>911.34400000000005</v>
      </c>
      <c r="S2968" s="6">
        <f t="shared" si="231"/>
        <v>1.0799999999999999E-2</v>
      </c>
      <c r="T2968" t="str">
        <f t="shared" si="232"/>
        <v>Maximo Thermo Ayous S4S E4E 1x8 Long</v>
      </c>
    </row>
    <row r="2969" spans="1:20" x14ac:dyDescent="0.25">
      <c r="A2969" t="s">
        <v>3073</v>
      </c>
      <c r="B2969" t="s">
        <v>3737</v>
      </c>
      <c r="C2969" t="s">
        <v>283</v>
      </c>
      <c r="D2969" t="s">
        <v>3044</v>
      </c>
      <c r="E2969" t="s">
        <v>3740</v>
      </c>
      <c r="F2969" t="s">
        <v>3739</v>
      </c>
      <c r="G2969" t="s">
        <v>3077</v>
      </c>
      <c r="H2969" t="s">
        <v>373</v>
      </c>
      <c r="I2969" t="s">
        <v>289</v>
      </c>
      <c r="J2969" t="s">
        <v>672</v>
      </c>
      <c r="K2969">
        <v>11</v>
      </c>
      <c r="L2969" s="6">
        <v>3.3</v>
      </c>
      <c r="M2969" s="7">
        <v>20</v>
      </c>
      <c r="N2969" s="7">
        <v>180</v>
      </c>
      <c r="O2969" s="7">
        <f t="shared" si="228"/>
        <v>129.92125984251967</v>
      </c>
      <c r="P2969" s="7">
        <f t="shared" si="229"/>
        <v>0.78740157480314965</v>
      </c>
      <c r="Q2969" s="7">
        <f t="shared" si="229"/>
        <v>7.0866141732283472</v>
      </c>
      <c r="R2969" s="6">
        <f t="shared" si="230"/>
        <v>911.34400000000005</v>
      </c>
      <c r="S2969" s="6">
        <f t="shared" si="231"/>
        <v>1.188E-2</v>
      </c>
      <c r="T2969" t="str">
        <f t="shared" si="232"/>
        <v>Maximo Thermo Ayous S4S E4E 1x8 Long</v>
      </c>
    </row>
    <row r="2970" spans="1:20" x14ac:dyDescent="0.25">
      <c r="A2970" t="s">
        <v>3073</v>
      </c>
      <c r="B2970" t="s">
        <v>3737</v>
      </c>
      <c r="C2970" t="s">
        <v>283</v>
      </c>
      <c r="D2970" t="s">
        <v>3044</v>
      </c>
      <c r="E2970" t="s">
        <v>3741</v>
      </c>
      <c r="F2970" t="s">
        <v>3739</v>
      </c>
      <c r="G2970" t="s">
        <v>3077</v>
      </c>
      <c r="H2970" t="s">
        <v>373</v>
      </c>
      <c r="I2970" t="s">
        <v>289</v>
      </c>
      <c r="J2970" t="s">
        <v>672</v>
      </c>
      <c r="K2970">
        <v>12</v>
      </c>
      <c r="L2970" s="6">
        <v>3.6</v>
      </c>
      <c r="M2970" s="7">
        <v>20</v>
      </c>
      <c r="N2970" s="7">
        <v>180</v>
      </c>
      <c r="O2970" s="7">
        <f t="shared" si="228"/>
        <v>141.73228346456693</v>
      </c>
      <c r="P2970" s="7">
        <f t="shared" si="229"/>
        <v>0.78740157480314965</v>
      </c>
      <c r="Q2970" s="7">
        <f t="shared" si="229"/>
        <v>7.0866141732283472</v>
      </c>
      <c r="R2970" s="6">
        <f t="shared" si="230"/>
        <v>911.34400000000005</v>
      </c>
      <c r="S2970" s="6">
        <f t="shared" si="231"/>
        <v>1.2959999999999999E-2</v>
      </c>
      <c r="T2970" t="str">
        <f t="shared" si="232"/>
        <v>Maximo Thermo Ayous S4S E4E 1x8 Long</v>
      </c>
    </row>
    <row r="2971" spans="1:20" x14ac:dyDescent="0.25">
      <c r="A2971" t="s">
        <v>3073</v>
      </c>
      <c r="B2971" t="s">
        <v>3737</v>
      </c>
      <c r="C2971" t="s">
        <v>283</v>
      </c>
      <c r="D2971" t="s">
        <v>3044</v>
      </c>
      <c r="E2971" t="s">
        <v>3742</v>
      </c>
      <c r="F2971" t="s">
        <v>3739</v>
      </c>
      <c r="G2971" t="s">
        <v>3077</v>
      </c>
      <c r="H2971" t="s">
        <v>373</v>
      </c>
      <c r="I2971" t="s">
        <v>289</v>
      </c>
      <c r="J2971" t="s">
        <v>672</v>
      </c>
      <c r="K2971">
        <v>13</v>
      </c>
      <c r="L2971" s="6">
        <v>3.9</v>
      </c>
      <c r="M2971" s="7">
        <v>20</v>
      </c>
      <c r="N2971" s="7">
        <v>180</v>
      </c>
      <c r="O2971" s="7">
        <f t="shared" si="228"/>
        <v>153.54330708661416</v>
      </c>
      <c r="P2971" s="7">
        <f t="shared" si="229"/>
        <v>0.78740157480314965</v>
      </c>
      <c r="Q2971" s="7">
        <f t="shared" si="229"/>
        <v>7.0866141732283472</v>
      </c>
      <c r="R2971" s="6">
        <f t="shared" si="230"/>
        <v>911.34400000000005</v>
      </c>
      <c r="S2971" s="6">
        <f t="shared" si="231"/>
        <v>1.4039999999999999E-2</v>
      </c>
      <c r="T2971" t="str">
        <f t="shared" si="232"/>
        <v>Maximo Thermo Ayous S4S E4E 1x8 Long</v>
      </c>
    </row>
    <row r="2972" spans="1:20" x14ac:dyDescent="0.25">
      <c r="A2972" t="s">
        <v>3073</v>
      </c>
      <c r="B2972" t="s">
        <v>3737</v>
      </c>
      <c r="C2972" t="s">
        <v>283</v>
      </c>
      <c r="D2972" t="s">
        <v>3044</v>
      </c>
      <c r="E2972" t="s">
        <v>3743</v>
      </c>
      <c r="F2972" t="s">
        <v>3739</v>
      </c>
      <c r="G2972" t="s">
        <v>3077</v>
      </c>
      <c r="H2972" t="s">
        <v>373</v>
      </c>
      <c r="I2972" t="s">
        <v>289</v>
      </c>
      <c r="J2972" t="s">
        <v>672</v>
      </c>
      <c r="K2972">
        <v>14</v>
      </c>
      <c r="L2972" s="6">
        <v>4.2</v>
      </c>
      <c r="M2972" s="7">
        <v>20</v>
      </c>
      <c r="N2972" s="7">
        <v>180</v>
      </c>
      <c r="O2972" s="7">
        <f t="shared" si="228"/>
        <v>165.35433070866142</v>
      </c>
      <c r="P2972" s="7">
        <f t="shared" si="229"/>
        <v>0.78740157480314965</v>
      </c>
      <c r="Q2972" s="7">
        <f t="shared" si="229"/>
        <v>7.0866141732283472</v>
      </c>
      <c r="R2972" s="6">
        <f t="shared" si="230"/>
        <v>911.34400000000005</v>
      </c>
      <c r="S2972" s="6">
        <f t="shared" si="231"/>
        <v>1.5120000000000001E-2</v>
      </c>
      <c r="T2972" t="str">
        <f t="shared" si="232"/>
        <v>Maximo Thermo Ayous S4S E4E 1x8 Long</v>
      </c>
    </row>
    <row r="2973" spans="1:20" x14ac:dyDescent="0.25">
      <c r="A2973" t="s">
        <v>3073</v>
      </c>
      <c r="B2973" t="s">
        <v>3737</v>
      </c>
      <c r="C2973" t="s">
        <v>283</v>
      </c>
      <c r="D2973" t="s">
        <v>3044</v>
      </c>
      <c r="E2973" t="s">
        <v>3744</v>
      </c>
      <c r="F2973" t="s">
        <v>3739</v>
      </c>
      <c r="G2973" t="s">
        <v>3077</v>
      </c>
      <c r="H2973" t="s">
        <v>373</v>
      </c>
      <c r="I2973" t="s">
        <v>289</v>
      </c>
      <c r="J2973" t="s">
        <v>672</v>
      </c>
      <c r="K2973">
        <v>15</v>
      </c>
      <c r="L2973" s="6">
        <v>4.5</v>
      </c>
      <c r="M2973" s="7">
        <v>20</v>
      </c>
      <c r="N2973" s="7">
        <v>180</v>
      </c>
      <c r="O2973" s="7">
        <f t="shared" si="228"/>
        <v>177.16535433070868</v>
      </c>
      <c r="P2973" s="7">
        <f t="shared" si="229"/>
        <v>0.78740157480314965</v>
      </c>
      <c r="Q2973" s="7">
        <f t="shared" si="229"/>
        <v>7.0866141732283472</v>
      </c>
      <c r="R2973" s="6">
        <f t="shared" si="230"/>
        <v>911.34400000000005</v>
      </c>
      <c r="S2973" s="6">
        <f t="shared" si="231"/>
        <v>1.6199999999999999E-2</v>
      </c>
      <c r="T2973" t="str">
        <f t="shared" si="232"/>
        <v>Maximo Thermo Ayous S4S E4E 1x8 Long</v>
      </c>
    </row>
    <row r="2974" spans="1:20" x14ac:dyDescent="0.25">
      <c r="A2974" t="s">
        <v>3073</v>
      </c>
      <c r="B2974" t="s">
        <v>3737</v>
      </c>
      <c r="C2974" t="s">
        <v>283</v>
      </c>
      <c r="D2974" t="s">
        <v>3044</v>
      </c>
      <c r="E2974" t="s">
        <v>3745</v>
      </c>
      <c r="F2974" t="s">
        <v>3739</v>
      </c>
      <c r="G2974" t="s">
        <v>3077</v>
      </c>
      <c r="H2974" t="s">
        <v>373</v>
      </c>
      <c r="I2974" t="s">
        <v>289</v>
      </c>
      <c r="J2974" t="s">
        <v>672</v>
      </c>
      <c r="K2974">
        <v>16</v>
      </c>
      <c r="L2974" s="6">
        <v>4.8</v>
      </c>
      <c r="M2974" s="7">
        <v>20</v>
      </c>
      <c r="N2974" s="7">
        <v>180</v>
      </c>
      <c r="O2974" s="7">
        <f t="shared" si="228"/>
        <v>188.97637795275591</v>
      </c>
      <c r="P2974" s="7">
        <f t="shared" si="229"/>
        <v>0.78740157480314965</v>
      </c>
      <c r="Q2974" s="7">
        <f t="shared" si="229"/>
        <v>7.0866141732283472</v>
      </c>
      <c r="R2974" s="6">
        <f t="shared" si="230"/>
        <v>911.34400000000005</v>
      </c>
      <c r="S2974" s="6">
        <f t="shared" si="231"/>
        <v>1.728E-2</v>
      </c>
      <c r="T2974" t="str">
        <f t="shared" si="232"/>
        <v>Maximo Thermo Ayous S4S E4E 1x8 Long</v>
      </c>
    </row>
    <row r="2975" spans="1:20" x14ac:dyDescent="0.25">
      <c r="A2975" t="s">
        <v>3073</v>
      </c>
      <c r="B2975" t="s">
        <v>3737</v>
      </c>
      <c r="C2975" t="s">
        <v>283</v>
      </c>
      <c r="D2975" t="s">
        <v>3044</v>
      </c>
      <c r="E2975" t="s">
        <v>3746</v>
      </c>
      <c r="F2975" t="s">
        <v>3739</v>
      </c>
      <c r="G2975" t="s">
        <v>3077</v>
      </c>
      <c r="H2975" t="s">
        <v>373</v>
      </c>
      <c r="I2975" t="s">
        <v>289</v>
      </c>
      <c r="J2975" t="s">
        <v>672</v>
      </c>
      <c r="K2975">
        <v>17</v>
      </c>
      <c r="L2975" s="6">
        <v>5.0999999999999996</v>
      </c>
      <c r="M2975" s="7">
        <v>20</v>
      </c>
      <c r="N2975" s="7">
        <v>180</v>
      </c>
      <c r="O2975" s="7">
        <f t="shared" si="228"/>
        <v>200.78740157480314</v>
      </c>
      <c r="P2975" s="7">
        <f t="shared" si="229"/>
        <v>0.78740157480314965</v>
      </c>
      <c r="Q2975" s="7">
        <f t="shared" si="229"/>
        <v>7.0866141732283472</v>
      </c>
      <c r="R2975" s="6">
        <f t="shared" si="230"/>
        <v>911.34400000000005</v>
      </c>
      <c r="S2975" s="6">
        <f t="shared" si="231"/>
        <v>1.8359999999999998E-2</v>
      </c>
      <c r="T2975" t="str">
        <f t="shared" si="232"/>
        <v>Maximo Thermo Ayous S4S E4E 1x8 Long</v>
      </c>
    </row>
    <row r="2976" spans="1:20" x14ac:dyDescent="0.25">
      <c r="A2976" t="s">
        <v>3073</v>
      </c>
      <c r="B2976" t="s">
        <v>3737</v>
      </c>
      <c r="C2976" t="s">
        <v>283</v>
      </c>
      <c r="D2976" t="s">
        <v>3044</v>
      </c>
      <c r="E2976" t="s">
        <v>3747</v>
      </c>
      <c r="F2976" t="s">
        <v>3739</v>
      </c>
      <c r="G2976" t="s">
        <v>3077</v>
      </c>
      <c r="H2976" t="s">
        <v>373</v>
      </c>
      <c r="I2976" t="s">
        <v>289</v>
      </c>
      <c r="J2976" t="s">
        <v>672</v>
      </c>
      <c r="K2976">
        <v>18</v>
      </c>
      <c r="L2976" s="6">
        <v>5.4</v>
      </c>
      <c r="M2976" s="7">
        <v>20</v>
      </c>
      <c r="N2976" s="7">
        <v>180</v>
      </c>
      <c r="O2976" s="7">
        <f t="shared" si="228"/>
        <v>212.59842519685043</v>
      </c>
      <c r="P2976" s="7">
        <f t="shared" si="229"/>
        <v>0.78740157480314965</v>
      </c>
      <c r="Q2976" s="7">
        <f t="shared" si="229"/>
        <v>7.0866141732283472</v>
      </c>
      <c r="R2976" s="6">
        <f t="shared" si="230"/>
        <v>911.34400000000005</v>
      </c>
      <c r="S2976" s="6">
        <f t="shared" si="231"/>
        <v>1.9440000000000002E-2</v>
      </c>
      <c r="T2976" t="str">
        <f t="shared" si="232"/>
        <v>Maximo Thermo Ayous S4S E4E 1x8 Long</v>
      </c>
    </row>
    <row r="2977" spans="1:20" x14ac:dyDescent="0.25">
      <c r="A2977" t="s">
        <v>3073</v>
      </c>
      <c r="B2977" t="s">
        <v>3737</v>
      </c>
      <c r="C2977" t="s">
        <v>524</v>
      </c>
      <c r="D2977" t="s">
        <v>3044</v>
      </c>
      <c r="E2977" t="s">
        <v>3748</v>
      </c>
      <c r="F2977" t="s">
        <v>3739</v>
      </c>
      <c r="G2977" t="s">
        <v>3077</v>
      </c>
      <c r="H2977" t="s">
        <v>373</v>
      </c>
      <c r="I2977" t="s">
        <v>289</v>
      </c>
      <c r="J2977" t="s">
        <v>672</v>
      </c>
      <c r="K2977">
        <v>4</v>
      </c>
      <c r="L2977" s="6">
        <v>1.2</v>
      </c>
      <c r="M2977" s="7">
        <v>20</v>
      </c>
      <c r="N2977" s="7">
        <v>180</v>
      </c>
      <c r="O2977" s="7">
        <f t="shared" si="228"/>
        <v>47.244094488188978</v>
      </c>
      <c r="P2977" s="7">
        <f t="shared" si="229"/>
        <v>0.78740157480314965</v>
      </c>
      <c r="Q2977" s="7">
        <f t="shared" si="229"/>
        <v>7.0866141732283472</v>
      </c>
      <c r="R2977" s="6">
        <f t="shared" si="230"/>
        <v>911.34400000000005</v>
      </c>
      <c r="S2977" s="6">
        <f t="shared" si="231"/>
        <v>4.3200000000000001E-3</v>
      </c>
      <c r="T2977" t="str">
        <f t="shared" si="232"/>
        <v>Maximo Thermo Ayous S4S E4E 1x8 Short</v>
      </c>
    </row>
    <row r="2978" spans="1:20" x14ac:dyDescent="0.25">
      <c r="A2978" t="s">
        <v>3073</v>
      </c>
      <c r="B2978" t="s">
        <v>3737</v>
      </c>
      <c r="C2978" t="s">
        <v>524</v>
      </c>
      <c r="D2978" t="s">
        <v>3044</v>
      </c>
      <c r="E2978" t="s">
        <v>3749</v>
      </c>
      <c r="F2978" t="s">
        <v>3739</v>
      </c>
      <c r="G2978" t="s">
        <v>3077</v>
      </c>
      <c r="H2978" t="s">
        <v>373</v>
      </c>
      <c r="I2978" t="s">
        <v>289</v>
      </c>
      <c r="J2978" t="s">
        <v>672</v>
      </c>
      <c r="K2978">
        <v>5</v>
      </c>
      <c r="L2978" s="6">
        <v>1.5</v>
      </c>
      <c r="M2978" s="7">
        <v>20</v>
      </c>
      <c r="N2978" s="7">
        <v>180</v>
      </c>
      <c r="O2978" s="7">
        <f t="shared" si="228"/>
        <v>59.055118110236222</v>
      </c>
      <c r="P2978" s="7">
        <f t="shared" si="229"/>
        <v>0.78740157480314965</v>
      </c>
      <c r="Q2978" s="7">
        <f t="shared" si="229"/>
        <v>7.0866141732283472</v>
      </c>
      <c r="R2978" s="6">
        <f t="shared" si="230"/>
        <v>911.34400000000005</v>
      </c>
      <c r="S2978" s="6">
        <f t="shared" si="231"/>
        <v>5.3999999999999994E-3</v>
      </c>
      <c r="T2978" t="str">
        <f t="shared" si="232"/>
        <v>Maximo Thermo Ayous S4S E4E 1x8 Short</v>
      </c>
    </row>
    <row r="2979" spans="1:20" x14ac:dyDescent="0.25">
      <c r="A2979" t="s">
        <v>3073</v>
      </c>
      <c r="B2979" t="s">
        <v>3737</v>
      </c>
      <c r="C2979" t="s">
        <v>524</v>
      </c>
      <c r="D2979" t="s">
        <v>3044</v>
      </c>
      <c r="E2979" t="s">
        <v>3750</v>
      </c>
      <c r="F2979" t="s">
        <v>3739</v>
      </c>
      <c r="G2979" t="s">
        <v>3077</v>
      </c>
      <c r="H2979" t="s">
        <v>373</v>
      </c>
      <c r="I2979" t="s">
        <v>289</v>
      </c>
      <c r="J2979" t="s">
        <v>672</v>
      </c>
      <c r="K2979">
        <v>6</v>
      </c>
      <c r="L2979" s="6">
        <v>1.8</v>
      </c>
      <c r="M2979" s="7">
        <v>20</v>
      </c>
      <c r="N2979" s="7">
        <v>180</v>
      </c>
      <c r="O2979" s="7">
        <f t="shared" si="228"/>
        <v>70.866141732283467</v>
      </c>
      <c r="P2979" s="7">
        <f t="shared" si="229"/>
        <v>0.78740157480314965</v>
      </c>
      <c r="Q2979" s="7">
        <f t="shared" si="229"/>
        <v>7.0866141732283472</v>
      </c>
      <c r="R2979" s="6">
        <f t="shared" si="230"/>
        <v>911.34400000000005</v>
      </c>
      <c r="S2979" s="6">
        <f t="shared" si="231"/>
        <v>6.4799999999999996E-3</v>
      </c>
      <c r="T2979" t="str">
        <f t="shared" si="232"/>
        <v>Maximo Thermo Ayous S4S E4E 1x8 Short</v>
      </c>
    </row>
    <row r="2980" spans="1:20" x14ac:dyDescent="0.25">
      <c r="A2980" t="s">
        <v>3073</v>
      </c>
      <c r="B2980" t="s">
        <v>3737</v>
      </c>
      <c r="C2980" t="s">
        <v>524</v>
      </c>
      <c r="D2980" t="s">
        <v>3044</v>
      </c>
      <c r="E2980" t="s">
        <v>3751</v>
      </c>
      <c r="F2980" t="s">
        <v>3739</v>
      </c>
      <c r="G2980" t="s">
        <v>3077</v>
      </c>
      <c r="H2980" t="s">
        <v>373</v>
      </c>
      <c r="I2980" t="s">
        <v>289</v>
      </c>
      <c r="J2980" t="s">
        <v>672</v>
      </c>
      <c r="K2980">
        <v>7</v>
      </c>
      <c r="L2980" s="6">
        <v>2.1</v>
      </c>
      <c r="M2980" s="7">
        <v>20</v>
      </c>
      <c r="N2980" s="7">
        <v>180</v>
      </c>
      <c r="O2980" s="7">
        <f t="shared" si="228"/>
        <v>82.677165354330711</v>
      </c>
      <c r="P2980" s="7">
        <f t="shared" si="229"/>
        <v>0.78740157480314965</v>
      </c>
      <c r="Q2980" s="7">
        <f t="shared" si="229"/>
        <v>7.0866141732283472</v>
      </c>
      <c r="R2980" s="6">
        <f t="shared" si="230"/>
        <v>911.34400000000005</v>
      </c>
      <c r="S2980" s="6">
        <f t="shared" si="231"/>
        <v>7.5600000000000007E-3</v>
      </c>
      <c r="T2980" t="str">
        <f t="shared" si="232"/>
        <v>Maximo Thermo Ayous S4S E4E 1x8 Short</v>
      </c>
    </row>
    <row r="2981" spans="1:20" x14ac:dyDescent="0.25">
      <c r="A2981" t="s">
        <v>3073</v>
      </c>
      <c r="B2981" t="s">
        <v>3737</v>
      </c>
      <c r="C2981" t="s">
        <v>283</v>
      </c>
      <c r="D2981" t="s">
        <v>3044</v>
      </c>
      <c r="E2981" t="s">
        <v>3752</v>
      </c>
      <c r="F2981" t="s">
        <v>3739</v>
      </c>
      <c r="G2981" t="s">
        <v>3077</v>
      </c>
      <c r="H2981" t="s">
        <v>373</v>
      </c>
      <c r="I2981" t="s">
        <v>289</v>
      </c>
      <c r="J2981" t="s">
        <v>672</v>
      </c>
      <c r="K2981">
        <v>8</v>
      </c>
      <c r="L2981" s="6">
        <v>2.4</v>
      </c>
      <c r="M2981" s="7">
        <v>20</v>
      </c>
      <c r="N2981" s="7">
        <v>180</v>
      </c>
      <c r="O2981" s="7">
        <f t="shared" si="228"/>
        <v>94.488188976377955</v>
      </c>
      <c r="P2981" s="7">
        <f t="shared" si="229"/>
        <v>0.78740157480314965</v>
      </c>
      <c r="Q2981" s="7">
        <f t="shared" si="229"/>
        <v>7.0866141732283472</v>
      </c>
      <c r="R2981" s="6">
        <f t="shared" si="230"/>
        <v>911.34400000000005</v>
      </c>
      <c r="S2981" s="6">
        <f t="shared" si="231"/>
        <v>8.6400000000000001E-3</v>
      </c>
      <c r="T2981" t="str">
        <f t="shared" si="232"/>
        <v>Maximo Thermo Ayous S4S E4E 1x8 Long</v>
      </c>
    </row>
    <row r="2982" spans="1:20" x14ac:dyDescent="0.25">
      <c r="A2982" t="s">
        <v>3073</v>
      </c>
      <c r="B2982" t="s">
        <v>3737</v>
      </c>
      <c r="C2982" t="s">
        <v>283</v>
      </c>
      <c r="D2982" t="s">
        <v>3044</v>
      </c>
      <c r="E2982" t="s">
        <v>3753</v>
      </c>
      <c r="F2982" t="s">
        <v>3739</v>
      </c>
      <c r="G2982" t="s">
        <v>3077</v>
      </c>
      <c r="H2982" t="s">
        <v>373</v>
      </c>
      <c r="I2982" t="s">
        <v>289</v>
      </c>
      <c r="J2982" t="s">
        <v>672</v>
      </c>
      <c r="K2982">
        <v>9</v>
      </c>
      <c r="L2982" s="6">
        <v>2.7</v>
      </c>
      <c r="M2982" s="7">
        <v>20</v>
      </c>
      <c r="N2982" s="7">
        <v>180</v>
      </c>
      <c r="O2982" s="7">
        <f t="shared" si="228"/>
        <v>106.29921259842521</v>
      </c>
      <c r="P2982" s="7">
        <f t="shared" si="229"/>
        <v>0.78740157480314965</v>
      </c>
      <c r="Q2982" s="7">
        <f t="shared" si="229"/>
        <v>7.0866141732283472</v>
      </c>
      <c r="R2982" s="6">
        <f t="shared" si="230"/>
        <v>911.34400000000005</v>
      </c>
      <c r="S2982" s="6">
        <f t="shared" si="231"/>
        <v>9.7200000000000012E-3</v>
      </c>
      <c r="T2982" t="str">
        <f t="shared" si="232"/>
        <v>Maximo Thermo Ayous S4S E4E 1x8 Long</v>
      </c>
    </row>
    <row r="2983" spans="1:20" x14ac:dyDescent="0.25">
      <c r="A2983" t="s">
        <v>3073</v>
      </c>
      <c r="B2983" t="s">
        <v>3754</v>
      </c>
      <c r="C2983" t="s">
        <v>283</v>
      </c>
      <c r="D2983" t="s">
        <v>3044</v>
      </c>
      <c r="E2983" t="s">
        <v>3755</v>
      </c>
      <c r="F2983" t="s">
        <v>3756</v>
      </c>
      <c r="G2983" t="s">
        <v>3077</v>
      </c>
      <c r="H2983" t="s">
        <v>373</v>
      </c>
      <c r="I2983" t="s">
        <v>289</v>
      </c>
      <c r="J2983" t="s">
        <v>764</v>
      </c>
      <c r="K2983">
        <v>10</v>
      </c>
      <c r="L2983" s="6">
        <v>3</v>
      </c>
      <c r="M2983" s="7">
        <v>40</v>
      </c>
      <c r="N2983" s="7">
        <v>40</v>
      </c>
      <c r="O2983" s="7">
        <f t="shared" si="228"/>
        <v>118.11023622047244</v>
      </c>
      <c r="P2983" s="7">
        <f t="shared" si="229"/>
        <v>1.5748031496062993</v>
      </c>
      <c r="Q2983" s="7">
        <f t="shared" si="229"/>
        <v>1.5748031496062993</v>
      </c>
      <c r="R2983" s="6">
        <f t="shared" si="230"/>
        <v>2050.5250000000001</v>
      </c>
      <c r="S2983" s="6">
        <f t="shared" si="231"/>
        <v>4.7999999999999996E-3</v>
      </c>
      <c r="T2983" t="str">
        <f t="shared" si="232"/>
        <v>Maximo Thermo Ayous S4S E4E 2x2 Long</v>
      </c>
    </row>
    <row r="2984" spans="1:20" x14ac:dyDescent="0.25">
      <c r="A2984" t="s">
        <v>3073</v>
      </c>
      <c r="B2984" t="s">
        <v>3754</v>
      </c>
      <c r="C2984" t="s">
        <v>283</v>
      </c>
      <c r="D2984" t="s">
        <v>3044</v>
      </c>
      <c r="E2984" t="s">
        <v>3757</v>
      </c>
      <c r="F2984" t="s">
        <v>3756</v>
      </c>
      <c r="G2984" t="s">
        <v>3077</v>
      </c>
      <c r="H2984" t="s">
        <v>373</v>
      </c>
      <c r="I2984" t="s">
        <v>289</v>
      </c>
      <c r="J2984" t="s">
        <v>764</v>
      </c>
      <c r="K2984">
        <v>11</v>
      </c>
      <c r="L2984" s="6">
        <v>3.3</v>
      </c>
      <c r="M2984" s="7">
        <v>40</v>
      </c>
      <c r="N2984" s="7">
        <v>40</v>
      </c>
      <c r="O2984" s="7">
        <f t="shared" si="228"/>
        <v>129.92125984251967</v>
      </c>
      <c r="P2984" s="7">
        <f t="shared" si="229"/>
        <v>1.5748031496062993</v>
      </c>
      <c r="Q2984" s="7">
        <f t="shared" si="229"/>
        <v>1.5748031496062993</v>
      </c>
      <c r="R2984" s="6">
        <f t="shared" si="230"/>
        <v>2050.5250000000001</v>
      </c>
      <c r="S2984" s="6">
        <f t="shared" si="231"/>
        <v>5.28E-3</v>
      </c>
      <c r="T2984" t="str">
        <f t="shared" si="232"/>
        <v>Maximo Thermo Ayous S4S E4E 2x2 Long</v>
      </c>
    </row>
    <row r="2985" spans="1:20" x14ac:dyDescent="0.25">
      <c r="A2985" t="s">
        <v>3073</v>
      </c>
      <c r="B2985" t="s">
        <v>3754</v>
      </c>
      <c r="C2985" t="s">
        <v>283</v>
      </c>
      <c r="D2985" t="s">
        <v>3044</v>
      </c>
      <c r="E2985" t="s">
        <v>3758</v>
      </c>
      <c r="F2985" t="s">
        <v>3756</v>
      </c>
      <c r="G2985" t="s">
        <v>3077</v>
      </c>
      <c r="H2985" t="s">
        <v>373</v>
      </c>
      <c r="I2985" t="s">
        <v>289</v>
      </c>
      <c r="J2985" t="s">
        <v>764</v>
      </c>
      <c r="K2985">
        <v>12</v>
      </c>
      <c r="L2985" s="6">
        <v>3.6</v>
      </c>
      <c r="M2985" s="7">
        <v>40</v>
      </c>
      <c r="N2985" s="7">
        <v>40</v>
      </c>
      <c r="O2985" s="7">
        <f t="shared" si="228"/>
        <v>141.73228346456693</v>
      </c>
      <c r="P2985" s="7">
        <f t="shared" si="229"/>
        <v>1.5748031496062993</v>
      </c>
      <c r="Q2985" s="7">
        <f t="shared" si="229"/>
        <v>1.5748031496062993</v>
      </c>
      <c r="R2985" s="6">
        <f t="shared" si="230"/>
        <v>2050.5250000000001</v>
      </c>
      <c r="S2985" s="6">
        <f t="shared" si="231"/>
        <v>5.7599999999999995E-3</v>
      </c>
      <c r="T2985" t="str">
        <f t="shared" si="232"/>
        <v>Maximo Thermo Ayous S4S E4E 2x2 Long</v>
      </c>
    </row>
    <row r="2986" spans="1:20" x14ac:dyDescent="0.25">
      <c r="A2986" t="s">
        <v>3073</v>
      </c>
      <c r="B2986" t="s">
        <v>3754</v>
      </c>
      <c r="C2986" t="s">
        <v>283</v>
      </c>
      <c r="D2986" t="s">
        <v>3044</v>
      </c>
      <c r="E2986" t="s">
        <v>3759</v>
      </c>
      <c r="F2986" t="s">
        <v>3756</v>
      </c>
      <c r="G2986" t="s">
        <v>3077</v>
      </c>
      <c r="H2986" t="s">
        <v>373</v>
      </c>
      <c r="I2986" t="s">
        <v>289</v>
      </c>
      <c r="J2986" t="s">
        <v>764</v>
      </c>
      <c r="K2986">
        <v>13</v>
      </c>
      <c r="L2986" s="6">
        <v>3.9</v>
      </c>
      <c r="M2986" s="7">
        <v>40</v>
      </c>
      <c r="N2986" s="7">
        <v>40</v>
      </c>
      <c r="O2986" s="7">
        <f t="shared" si="228"/>
        <v>153.54330708661416</v>
      </c>
      <c r="P2986" s="7">
        <f t="shared" si="229"/>
        <v>1.5748031496062993</v>
      </c>
      <c r="Q2986" s="7">
        <f t="shared" si="229"/>
        <v>1.5748031496062993</v>
      </c>
      <c r="R2986" s="6">
        <f t="shared" si="230"/>
        <v>2050.5250000000001</v>
      </c>
      <c r="S2986" s="6">
        <f t="shared" si="231"/>
        <v>6.2399999999999999E-3</v>
      </c>
      <c r="T2986" t="str">
        <f t="shared" si="232"/>
        <v>Maximo Thermo Ayous S4S E4E 2x2 Long</v>
      </c>
    </row>
    <row r="2987" spans="1:20" x14ac:dyDescent="0.25">
      <c r="A2987" t="s">
        <v>3073</v>
      </c>
      <c r="B2987" t="s">
        <v>3754</v>
      </c>
      <c r="C2987" t="s">
        <v>283</v>
      </c>
      <c r="D2987" t="s">
        <v>3044</v>
      </c>
      <c r="E2987" t="s">
        <v>3760</v>
      </c>
      <c r="F2987" t="s">
        <v>3756</v>
      </c>
      <c r="G2987" t="s">
        <v>3077</v>
      </c>
      <c r="H2987" t="s">
        <v>373</v>
      </c>
      <c r="I2987" t="s">
        <v>289</v>
      </c>
      <c r="J2987" t="s">
        <v>764</v>
      </c>
      <c r="K2987">
        <v>14</v>
      </c>
      <c r="L2987" s="6">
        <v>4.2</v>
      </c>
      <c r="M2987" s="7">
        <v>40</v>
      </c>
      <c r="N2987" s="7">
        <v>40</v>
      </c>
      <c r="O2987" s="7">
        <f t="shared" si="228"/>
        <v>165.35433070866142</v>
      </c>
      <c r="P2987" s="7">
        <f t="shared" si="229"/>
        <v>1.5748031496062993</v>
      </c>
      <c r="Q2987" s="7">
        <f t="shared" si="229"/>
        <v>1.5748031496062993</v>
      </c>
      <c r="R2987" s="6">
        <f t="shared" si="230"/>
        <v>2050.5250000000001</v>
      </c>
      <c r="S2987" s="6">
        <f t="shared" si="231"/>
        <v>6.7200000000000003E-3</v>
      </c>
      <c r="T2987" t="str">
        <f t="shared" si="232"/>
        <v>Maximo Thermo Ayous S4S E4E 2x2 Long</v>
      </c>
    </row>
    <row r="2988" spans="1:20" x14ac:dyDescent="0.25">
      <c r="A2988" t="s">
        <v>3073</v>
      </c>
      <c r="B2988" t="s">
        <v>3754</v>
      </c>
      <c r="C2988" t="s">
        <v>283</v>
      </c>
      <c r="D2988" t="s">
        <v>3044</v>
      </c>
      <c r="E2988" t="s">
        <v>3761</v>
      </c>
      <c r="F2988" t="s">
        <v>3756</v>
      </c>
      <c r="G2988" t="s">
        <v>3077</v>
      </c>
      <c r="H2988" t="s">
        <v>373</v>
      </c>
      <c r="I2988" t="s">
        <v>289</v>
      </c>
      <c r="J2988" t="s">
        <v>764</v>
      </c>
      <c r="K2988">
        <v>15</v>
      </c>
      <c r="L2988" s="6">
        <v>4.5</v>
      </c>
      <c r="M2988" s="7">
        <v>40</v>
      </c>
      <c r="N2988" s="7">
        <v>40</v>
      </c>
      <c r="O2988" s="7">
        <f t="shared" si="228"/>
        <v>177.16535433070868</v>
      </c>
      <c r="P2988" s="7">
        <f t="shared" si="229"/>
        <v>1.5748031496062993</v>
      </c>
      <c r="Q2988" s="7">
        <f t="shared" si="229"/>
        <v>1.5748031496062993</v>
      </c>
      <c r="R2988" s="6">
        <f t="shared" si="230"/>
        <v>2050.5250000000001</v>
      </c>
      <c r="S2988" s="6">
        <f t="shared" si="231"/>
        <v>7.1999999999999989E-3</v>
      </c>
      <c r="T2988" t="str">
        <f t="shared" si="232"/>
        <v>Maximo Thermo Ayous S4S E4E 2x2 Long</v>
      </c>
    </row>
    <row r="2989" spans="1:20" x14ac:dyDescent="0.25">
      <c r="A2989" t="s">
        <v>3073</v>
      </c>
      <c r="B2989" t="s">
        <v>3754</v>
      </c>
      <c r="C2989" t="s">
        <v>283</v>
      </c>
      <c r="D2989" t="s">
        <v>3044</v>
      </c>
      <c r="E2989" t="s">
        <v>3762</v>
      </c>
      <c r="F2989" t="s">
        <v>3756</v>
      </c>
      <c r="G2989" t="s">
        <v>3077</v>
      </c>
      <c r="H2989" t="s">
        <v>373</v>
      </c>
      <c r="I2989" t="s">
        <v>289</v>
      </c>
      <c r="J2989" t="s">
        <v>764</v>
      </c>
      <c r="K2989">
        <v>16</v>
      </c>
      <c r="L2989" s="6">
        <v>4.8</v>
      </c>
      <c r="M2989" s="7">
        <v>40</v>
      </c>
      <c r="N2989" s="7">
        <v>40</v>
      </c>
      <c r="O2989" s="7">
        <f t="shared" si="228"/>
        <v>188.97637795275591</v>
      </c>
      <c r="P2989" s="7">
        <f t="shared" si="229"/>
        <v>1.5748031496062993</v>
      </c>
      <c r="Q2989" s="7">
        <f t="shared" si="229"/>
        <v>1.5748031496062993</v>
      </c>
      <c r="R2989" s="6">
        <f t="shared" si="230"/>
        <v>2050.5250000000001</v>
      </c>
      <c r="S2989" s="6">
        <f t="shared" si="231"/>
        <v>7.6799999999999993E-3</v>
      </c>
      <c r="T2989" t="str">
        <f t="shared" si="232"/>
        <v>Maximo Thermo Ayous S4S E4E 2x2 Long</v>
      </c>
    </row>
    <row r="2990" spans="1:20" x14ac:dyDescent="0.25">
      <c r="A2990" t="s">
        <v>3073</v>
      </c>
      <c r="B2990" t="s">
        <v>3754</v>
      </c>
      <c r="C2990" t="s">
        <v>283</v>
      </c>
      <c r="D2990" t="s">
        <v>3044</v>
      </c>
      <c r="E2990" t="s">
        <v>3763</v>
      </c>
      <c r="F2990" t="s">
        <v>3756</v>
      </c>
      <c r="G2990" t="s">
        <v>3077</v>
      </c>
      <c r="H2990" t="s">
        <v>373</v>
      </c>
      <c r="I2990" t="s">
        <v>289</v>
      </c>
      <c r="J2990" t="s">
        <v>764</v>
      </c>
      <c r="K2990">
        <v>17</v>
      </c>
      <c r="L2990" s="6">
        <v>5.0999999999999996</v>
      </c>
      <c r="M2990" s="7">
        <v>40</v>
      </c>
      <c r="N2990" s="7">
        <v>40</v>
      </c>
      <c r="O2990" s="7">
        <f t="shared" si="228"/>
        <v>200.78740157480314</v>
      </c>
      <c r="P2990" s="7">
        <f t="shared" si="229"/>
        <v>1.5748031496062993</v>
      </c>
      <c r="Q2990" s="7">
        <f t="shared" si="229"/>
        <v>1.5748031496062993</v>
      </c>
      <c r="R2990" s="6">
        <f t="shared" si="230"/>
        <v>2050.5250000000001</v>
      </c>
      <c r="S2990" s="6">
        <f t="shared" si="231"/>
        <v>8.1600000000000006E-3</v>
      </c>
      <c r="T2990" t="str">
        <f t="shared" si="232"/>
        <v>Maximo Thermo Ayous S4S E4E 2x2 Long</v>
      </c>
    </row>
    <row r="2991" spans="1:20" x14ac:dyDescent="0.25">
      <c r="A2991" t="s">
        <v>3073</v>
      </c>
      <c r="B2991" t="s">
        <v>3754</v>
      </c>
      <c r="C2991" t="s">
        <v>283</v>
      </c>
      <c r="D2991" t="s">
        <v>3044</v>
      </c>
      <c r="E2991" t="s">
        <v>3764</v>
      </c>
      <c r="F2991" t="s">
        <v>3756</v>
      </c>
      <c r="G2991" t="s">
        <v>3077</v>
      </c>
      <c r="H2991" t="s">
        <v>373</v>
      </c>
      <c r="I2991" t="s">
        <v>289</v>
      </c>
      <c r="J2991" t="s">
        <v>764</v>
      </c>
      <c r="K2991">
        <v>18</v>
      </c>
      <c r="L2991" s="6">
        <v>5.4</v>
      </c>
      <c r="M2991" s="7">
        <v>40</v>
      </c>
      <c r="N2991" s="7">
        <v>40</v>
      </c>
      <c r="O2991" s="7">
        <f t="shared" si="228"/>
        <v>212.59842519685043</v>
      </c>
      <c r="P2991" s="7">
        <f t="shared" si="229"/>
        <v>1.5748031496062993</v>
      </c>
      <c r="Q2991" s="7">
        <f t="shared" si="229"/>
        <v>1.5748031496062993</v>
      </c>
      <c r="R2991" s="6">
        <f t="shared" si="230"/>
        <v>2050.5250000000001</v>
      </c>
      <c r="S2991" s="6">
        <f t="shared" si="231"/>
        <v>8.6400000000000001E-3</v>
      </c>
      <c r="T2991" t="str">
        <f t="shared" si="232"/>
        <v>Maximo Thermo Ayous S4S E4E 2x2 Long</v>
      </c>
    </row>
    <row r="2992" spans="1:20" x14ac:dyDescent="0.25">
      <c r="A2992" t="s">
        <v>3073</v>
      </c>
      <c r="B2992" t="s">
        <v>3754</v>
      </c>
      <c r="C2992" t="s">
        <v>524</v>
      </c>
      <c r="D2992" t="s">
        <v>3044</v>
      </c>
      <c r="E2992" t="s">
        <v>3765</v>
      </c>
      <c r="F2992" t="s">
        <v>3756</v>
      </c>
      <c r="G2992" t="s">
        <v>3077</v>
      </c>
      <c r="H2992" t="s">
        <v>373</v>
      </c>
      <c r="I2992" t="s">
        <v>289</v>
      </c>
      <c r="J2992" t="s">
        <v>764</v>
      </c>
      <c r="K2992">
        <v>4</v>
      </c>
      <c r="L2992" s="6">
        <v>1.2</v>
      </c>
      <c r="M2992" s="7">
        <v>40</v>
      </c>
      <c r="N2992" s="7">
        <v>40</v>
      </c>
      <c r="O2992" s="7">
        <f t="shared" ref="O2992:O3055" si="233">L2992/0.0254</f>
        <v>47.244094488188978</v>
      </c>
      <c r="P2992" s="7">
        <f t="shared" ref="P2992:Q3055" si="234">M2992/25.4</f>
        <v>1.5748031496062993</v>
      </c>
      <c r="Q2992" s="7">
        <f t="shared" si="234"/>
        <v>1.5748031496062993</v>
      </c>
      <c r="R2992" s="6">
        <f t="shared" ref="R2992:R3055" si="235">ROUND(IFERROR(1/((M2992*N2992*0.3048)/1000000),0),3)</f>
        <v>2050.5250000000001</v>
      </c>
      <c r="S2992" s="6">
        <f t="shared" ref="S2992:S3055" si="236">L2992*M2992/1000*N2992/1000</f>
        <v>1.9199999999999998E-3</v>
      </c>
      <c r="T2992" t="str">
        <f t="shared" si="232"/>
        <v>Maximo Thermo Ayous S4S E4E 2x2 Short</v>
      </c>
    </row>
    <row r="2993" spans="1:20" x14ac:dyDescent="0.25">
      <c r="A2993" t="s">
        <v>3073</v>
      </c>
      <c r="B2993" t="s">
        <v>3754</v>
      </c>
      <c r="C2993" t="s">
        <v>524</v>
      </c>
      <c r="D2993" t="s">
        <v>3044</v>
      </c>
      <c r="E2993" t="s">
        <v>3766</v>
      </c>
      <c r="F2993" t="s">
        <v>3756</v>
      </c>
      <c r="G2993" t="s">
        <v>3077</v>
      </c>
      <c r="H2993" t="s">
        <v>373</v>
      </c>
      <c r="I2993" t="s">
        <v>289</v>
      </c>
      <c r="J2993" t="s">
        <v>764</v>
      </c>
      <c r="K2993">
        <v>5</v>
      </c>
      <c r="L2993" s="6">
        <v>1.5</v>
      </c>
      <c r="M2993" s="7">
        <v>40</v>
      </c>
      <c r="N2993" s="7">
        <v>40</v>
      </c>
      <c r="O2993" s="7">
        <f t="shared" si="233"/>
        <v>59.055118110236222</v>
      </c>
      <c r="P2993" s="7">
        <f t="shared" si="234"/>
        <v>1.5748031496062993</v>
      </c>
      <c r="Q2993" s="7">
        <f t="shared" si="234"/>
        <v>1.5748031496062993</v>
      </c>
      <c r="R2993" s="6">
        <f t="shared" si="235"/>
        <v>2050.5250000000001</v>
      </c>
      <c r="S2993" s="6">
        <f t="shared" si="236"/>
        <v>2.3999999999999998E-3</v>
      </c>
      <c r="T2993" t="str">
        <f t="shared" si="232"/>
        <v>Maximo Thermo Ayous S4S E4E 2x2 Short</v>
      </c>
    </row>
    <row r="2994" spans="1:20" x14ac:dyDescent="0.25">
      <c r="A2994" t="s">
        <v>3414</v>
      </c>
      <c r="B2994" t="s">
        <v>3534</v>
      </c>
      <c r="C2994" t="s">
        <v>524</v>
      </c>
      <c r="D2994" t="s">
        <v>3044</v>
      </c>
      <c r="E2994" t="s">
        <v>3767</v>
      </c>
      <c r="F2994" t="s">
        <v>3536</v>
      </c>
      <c r="G2994" t="s">
        <v>3418</v>
      </c>
      <c r="H2994" t="s">
        <v>373</v>
      </c>
      <c r="I2994" t="s">
        <v>289</v>
      </c>
      <c r="J2994" t="s">
        <v>764</v>
      </c>
      <c r="K2994">
        <v>5</v>
      </c>
      <c r="L2994" s="6">
        <v>1.52</v>
      </c>
      <c r="M2994" s="7">
        <v>38.099999999999994</v>
      </c>
      <c r="N2994" s="7">
        <v>38.099999999999994</v>
      </c>
      <c r="O2994" s="7">
        <f t="shared" si="233"/>
        <v>59.84251968503937</v>
      </c>
      <c r="P2994" s="7">
        <f t="shared" si="234"/>
        <v>1.4999999999999998</v>
      </c>
      <c r="Q2994" s="7">
        <f t="shared" si="234"/>
        <v>1.4999999999999998</v>
      </c>
      <c r="R2994" s="6">
        <f t="shared" si="235"/>
        <v>2260.1390000000001</v>
      </c>
      <c r="S2994" s="6">
        <f t="shared" si="236"/>
        <v>2.2064471999999995E-3</v>
      </c>
      <c r="T2994" t="str">
        <f t="shared" si="232"/>
        <v>Maximo Thermo Ayous JPL S4S E4E 2x2 Short</v>
      </c>
    </row>
    <row r="2995" spans="1:20" x14ac:dyDescent="0.25">
      <c r="A2995" t="s">
        <v>3073</v>
      </c>
      <c r="B2995" t="s">
        <v>3754</v>
      </c>
      <c r="C2995" t="s">
        <v>524</v>
      </c>
      <c r="D2995" t="s">
        <v>3044</v>
      </c>
      <c r="E2995" t="s">
        <v>3768</v>
      </c>
      <c r="F2995" t="s">
        <v>3756</v>
      </c>
      <c r="G2995" t="s">
        <v>3077</v>
      </c>
      <c r="H2995" t="s">
        <v>373</v>
      </c>
      <c r="I2995" t="s">
        <v>289</v>
      </c>
      <c r="J2995" t="s">
        <v>764</v>
      </c>
      <c r="K2995">
        <v>6</v>
      </c>
      <c r="L2995" s="6">
        <v>1.8</v>
      </c>
      <c r="M2995" s="7">
        <v>40</v>
      </c>
      <c r="N2995" s="7">
        <v>40</v>
      </c>
      <c r="O2995" s="7">
        <f t="shared" si="233"/>
        <v>70.866141732283467</v>
      </c>
      <c r="P2995" s="7">
        <f t="shared" si="234"/>
        <v>1.5748031496062993</v>
      </c>
      <c r="Q2995" s="7">
        <f t="shared" si="234"/>
        <v>1.5748031496062993</v>
      </c>
      <c r="R2995" s="6">
        <f t="shared" si="235"/>
        <v>2050.5250000000001</v>
      </c>
      <c r="S2995" s="6">
        <f t="shared" si="236"/>
        <v>2.8799999999999997E-3</v>
      </c>
      <c r="T2995" t="str">
        <f t="shared" si="232"/>
        <v>Maximo Thermo Ayous S4S E4E 2x2 Short</v>
      </c>
    </row>
    <row r="2996" spans="1:20" x14ac:dyDescent="0.25">
      <c r="A2996" t="s">
        <v>3073</v>
      </c>
      <c r="B2996" t="s">
        <v>3754</v>
      </c>
      <c r="C2996" t="s">
        <v>524</v>
      </c>
      <c r="D2996" t="s">
        <v>3044</v>
      </c>
      <c r="E2996" t="s">
        <v>3769</v>
      </c>
      <c r="F2996" t="s">
        <v>3756</v>
      </c>
      <c r="G2996" t="s">
        <v>3077</v>
      </c>
      <c r="H2996" t="s">
        <v>373</v>
      </c>
      <c r="I2996" t="s">
        <v>289</v>
      </c>
      <c r="J2996" t="s">
        <v>764</v>
      </c>
      <c r="K2996">
        <v>7</v>
      </c>
      <c r="L2996" s="6">
        <v>2.1</v>
      </c>
      <c r="M2996" s="7">
        <v>40</v>
      </c>
      <c r="N2996" s="7">
        <v>40</v>
      </c>
      <c r="O2996" s="7">
        <f t="shared" si="233"/>
        <v>82.677165354330711</v>
      </c>
      <c r="P2996" s="7">
        <f t="shared" si="234"/>
        <v>1.5748031496062993</v>
      </c>
      <c r="Q2996" s="7">
        <f t="shared" si="234"/>
        <v>1.5748031496062993</v>
      </c>
      <c r="R2996" s="6">
        <f t="shared" si="235"/>
        <v>2050.5250000000001</v>
      </c>
      <c r="S2996" s="6">
        <f t="shared" si="236"/>
        <v>3.3600000000000001E-3</v>
      </c>
      <c r="T2996" t="str">
        <f t="shared" si="232"/>
        <v>Maximo Thermo Ayous S4S E4E 2x2 Short</v>
      </c>
    </row>
    <row r="2997" spans="1:20" x14ac:dyDescent="0.25">
      <c r="A2997" t="s">
        <v>3073</v>
      </c>
      <c r="B2997" t="s">
        <v>3754</v>
      </c>
      <c r="C2997" t="s">
        <v>283</v>
      </c>
      <c r="D2997" t="s">
        <v>3044</v>
      </c>
      <c r="E2997" t="s">
        <v>3770</v>
      </c>
      <c r="F2997" t="s">
        <v>3756</v>
      </c>
      <c r="G2997" t="s">
        <v>3077</v>
      </c>
      <c r="H2997" t="s">
        <v>373</v>
      </c>
      <c r="I2997" t="s">
        <v>289</v>
      </c>
      <c r="J2997" t="s">
        <v>764</v>
      </c>
      <c r="K2997">
        <v>8</v>
      </c>
      <c r="L2997" s="6">
        <v>2.4</v>
      </c>
      <c r="M2997" s="7">
        <v>40</v>
      </c>
      <c r="N2997" s="7">
        <v>40</v>
      </c>
      <c r="O2997" s="7">
        <f t="shared" si="233"/>
        <v>94.488188976377955</v>
      </c>
      <c r="P2997" s="7">
        <f t="shared" si="234"/>
        <v>1.5748031496062993</v>
      </c>
      <c r="Q2997" s="7">
        <f t="shared" si="234"/>
        <v>1.5748031496062993</v>
      </c>
      <c r="R2997" s="6">
        <f t="shared" si="235"/>
        <v>2050.5250000000001</v>
      </c>
      <c r="S2997" s="6">
        <f t="shared" si="236"/>
        <v>3.8399999999999997E-3</v>
      </c>
      <c r="T2997" t="str">
        <f t="shared" si="232"/>
        <v>Maximo Thermo Ayous S4S E4E 2x2 Long</v>
      </c>
    </row>
    <row r="2998" spans="1:20" x14ac:dyDescent="0.25">
      <c r="A2998" t="s">
        <v>3073</v>
      </c>
      <c r="B2998" t="s">
        <v>3754</v>
      </c>
      <c r="C2998" t="s">
        <v>283</v>
      </c>
      <c r="D2998" t="s">
        <v>3044</v>
      </c>
      <c r="E2998" t="s">
        <v>3771</v>
      </c>
      <c r="F2998" t="s">
        <v>3756</v>
      </c>
      <c r="G2998" t="s">
        <v>3077</v>
      </c>
      <c r="H2998" t="s">
        <v>373</v>
      </c>
      <c r="I2998" t="s">
        <v>289</v>
      </c>
      <c r="J2998" t="s">
        <v>764</v>
      </c>
      <c r="K2998">
        <v>9</v>
      </c>
      <c r="L2998" s="6">
        <v>2.7</v>
      </c>
      <c r="M2998" s="7">
        <v>40</v>
      </c>
      <c r="N2998" s="7">
        <v>40</v>
      </c>
      <c r="O2998" s="7">
        <f t="shared" si="233"/>
        <v>106.29921259842521</v>
      </c>
      <c r="P2998" s="7">
        <f t="shared" si="234"/>
        <v>1.5748031496062993</v>
      </c>
      <c r="Q2998" s="7">
        <f t="shared" si="234"/>
        <v>1.5748031496062993</v>
      </c>
      <c r="R2998" s="6">
        <f t="shared" si="235"/>
        <v>2050.5250000000001</v>
      </c>
      <c r="S2998" s="6">
        <f t="shared" si="236"/>
        <v>4.3200000000000001E-3</v>
      </c>
      <c r="T2998" t="str">
        <f t="shared" si="232"/>
        <v>Maximo Thermo Ayous S4S E4E 2x2 Long</v>
      </c>
    </row>
    <row r="2999" spans="1:20" x14ac:dyDescent="0.25">
      <c r="A2999" t="s">
        <v>3073</v>
      </c>
      <c r="B2999" t="s">
        <v>3772</v>
      </c>
      <c r="C2999" t="s">
        <v>283</v>
      </c>
      <c r="D2999" t="s">
        <v>3044</v>
      </c>
      <c r="E2999" t="s">
        <v>3773</v>
      </c>
      <c r="F2999" t="s">
        <v>3774</v>
      </c>
      <c r="G2999" t="s">
        <v>3077</v>
      </c>
      <c r="H2999" t="s">
        <v>373</v>
      </c>
      <c r="I2999" t="s">
        <v>289</v>
      </c>
      <c r="J2999" t="s">
        <v>789</v>
      </c>
      <c r="K2999">
        <v>10</v>
      </c>
      <c r="L2999" s="6">
        <v>3</v>
      </c>
      <c r="M2999" s="7">
        <v>40</v>
      </c>
      <c r="N2999" s="7">
        <v>65</v>
      </c>
      <c r="O2999" s="7">
        <f t="shared" si="233"/>
        <v>118.11023622047244</v>
      </c>
      <c r="P2999" s="7">
        <f t="shared" si="234"/>
        <v>1.5748031496062993</v>
      </c>
      <c r="Q2999" s="7">
        <f t="shared" si="234"/>
        <v>2.5590551181102366</v>
      </c>
      <c r="R2999" s="6">
        <f t="shared" si="235"/>
        <v>1261.8610000000001</v>
      </c>
      <c r="S2999" s="6">
        <f t="shared" si="236"/>
        <v>7.7999999999999996E-3</v>
      </c>
      <c r="T2999" t="str">
        <f t="shared" si="232"/>
        <v>Maximo Thermo Ayous S4S E4E 2x3 Long</v>
      </c>
    </row>
    <row r="3000" spans="1:20" x14ac:dyDescent="0.25">
      <c r="A3000" t="s">
        <v>3073</v>
      </c>
      <c r="B3000" t="s">
        <v>3772</v>
      </c>
      <c r="C3000" t="s">
        <v>283</v>
      </c>
      <c r="D3000" t="s">
        <v>3044</v>
      </c>
      <c r="E3000" t="s">
        <v>3775</v>
      </c>
      <c r="F3000" t="s">
        <v>3774</v>
      </c>
      <c r="G3000" t="s">
        <v>3077</v>
      </c>
      <c r="H3000" t="s">
        <v>373</v>
      </c>
      <c r="I3000" t="s">
        <v>289</v>
      </c>
      <c r="J3000" t="s">
        <v>789</v>
      </c>
      <c r="K3000">
        <v>11</v>
      </c>
      <c r="L3000" s="6">
        <v>3.3</v>
      </c>
      <c r="M3000" s="7">
        <v>40</v>
      </c>
      <c r="N3000" s="7">
        <v>65</v>
      </c>
      <c r="O3000" s="7">
        <f t="shared" si="233"/>
        <v>129.92125984251967</v>
      </c>
      <c r="P3000" s="7">
        <f t="shared" si="234"/>
        <v>1.5748031496062993</v>
      </c>
      <c r="Q3000" s="7">
        <f t="shared" si="234"/>
        <v>2.5590551181102366</v>
      </c>
      <c r="R3000" s="6">
        <f t="shared" si="235"/>
        <v>1261.8610000000001</v>
      </c>
      <c r="S3000" s="6">
        <f t="shared" si="236"/>
        <v>8.5800000000000008E-3</v>
      </c>
      <c r="T3000" t="str">
        <f t="shared" si="232"/>
        <v>Maximo Thermo Ayous S4S E4E 2x3 Long</v>
      </c>
    </row>
    <row r="3001" spans="1:20" x14ac:dyDescent="0.25">
      <c r="A3001" t="s">
        <v>3073</v>
      </c>
      <c r="B3001" t="s">
        <v>3772</v>
      </c>
      <c r="C3001" t="s">
        <v>283</v>
      </c>
      <c r="D3001" t="s">
        <v>3044</v>
      </c>
      <c r="E3001" t="s">
        <v>3776</v>
      </c>
      <c r="F3001" t="s">
        <v>3774</v>
      </c>
      <c r="G3001" t="s">
        <v>3077</v>
      </c>
      <c r="H3001" t="s">
        <v>373</v>
      </c>
      <c r="I3001" t="s">
        <v>289</v>
      </c>
      <c r="J3001" t="s">
        <v>789</v>
      </c>
      <c r="K3001">
        <v>12</v>
      </c>
      <c r="L3001" s="6">
        <v>3.6</v>
      </c>
      <c r="M3001" s="7">
        <v>40</v>
      </c>
      <c r="N3001" s="7">
        <v>65</v>
      </c>
      <c r="O3001" s="7">
        <f t="shared" si="233"/>
        <v>141.73228346456693</v>
      </c>
      <c r="P3001" s="7">
        <f t="shared" si="234"/>
        <v>1.5748031496062993</v>
      </c>
      <c r="Q3001" s="7">
        <f t="shared" si="234"/>
        <v>2.5590551181102366</v>
      </c>
      <c r="R3001" s="6">
        <f t="shared" si="235"/>
        <v>1261.8610000000001</v>
      </c>
      <c r="S3001" s="6">
        <f t="shared" si="236"/>
        <v>9.3600000000000003E-3</v>
      </c>
      <c r="T3001" t="str">
        <f t="shared" si="232"/>
        <v>Maximo Thermo Ayous S4S E4E 2x3 Long</v>
      </c>
    </row>
    <row r="3002" spans="1:20" x14ac:dyDescent="0.25">
      <c r="A3002" t="s">
        <v>3073</v>
      </c>
      <c r="B3002" t="s">
        <v>3772</v>
      </c>
      <c r="C3002" t="s">
        <v>283</v>
      </c>
      <c r="D3002" t="s">
        <v>3044</v>
      </c>
      <c r="E3002" t="s">
        <v>3777</v>
      </c>
      <c r="F3002" t="s">
        <v>3774</v>
      </c>
      <c r="G3002" t="s">
        <v>3077</v>
      </c>
      <c r="H3002" t="s">
        <v>373</v>
      </c>
      <c r="I3002" t="s">
        <v>289</v>
      </c>
      <c r="J3002" t="s">
        <v>789</v>
      </c>
      <c r="K3002">
        <v>13</v>
      </c>
      <c r="L3002" s="6">
        <v>3.9</v>
      </c>
      <c r="M3002" s="7">
        <v>40</v>
      </c>
      <c r="N3002" s="7">
        <v>65</v>
      </c>
      <c r="O3002" s="7">
        <f t="shared" si="233"/>
        <v>153.54330708661416</v>
      </c>
      <c r="P3002" s="7">
        <f t="shared" si="234"/>
        <v>1.5748031496062993</v>
      </c>
      <c r="Q3002" s="7">
        <f t="shared" si="234"/>
        <v>2.5590551181102366</v>
      </c>
      <c r="R3002" s="6">
        <f t="shared" si="235"/>
        <v>1261.8610000000001</v>
      </c>
      <c r="S3002" s="6">
        <f t="shared" si="236"/>
        <v>1.014E-2</v>
      </c>
      <c r="T3002" t="str">
        <f t="shared" si="232"/>
        <v>Maximo Thermo Ayous S4S E4E 2x3 Long</v>
      </c>
    </row>
    <row r="3003" spans="1:20" x14ac:dyDescent="0.25">
      <c r="A3003" t="s">
        <v>3073</v>
      </c>
      <c r="B3003" t="s">
        <v>3772</v>
      </c>
      <c r="C3003" t="s">
        <v>283</v>
      </c>
      <c r="D3003" t="s">
        <v>3044</v>
      </c>
      <c r="E3003" t="s">
        <v>3778</v>
      </c>
      <c r="F3003" t="s">
        <v>3774</v>
      </c>
      <c r="G3003" t="s">
        <v>3077</v>
      </c>
      <c r="H3003" t="s">
        <v>373</v>
      </c>
      <c r="I3003" t="s">
        <v>289</v>
      </c>
      <c r="J3003" t="s">
        <v>789</v>
      </c>
      <c r="K3003">
        <v>14</v>
      </c>
      <c r="L3003" s="6">
        <v>4.2</v>
      </c>
      <c r="M3003" s="7">
        <v>40</v>
      </c>
      <c r="N3003" s="7">
        <v>65</v>
      </c>
      <c r="O3003" s="7">
        <f t="shared" si="233"/>
        <v>165.35433070866142</v>
      </c>
      <c r="P3003" s="7">
        <f t="shared" si="234"/>
        <v>1.5748031496062993</v>
      </c>
      <c r="Q3003" s="7">
        <f t="shared" si="234"/>
        <v>2.5590551181102366</v>
      </c>
      <c r="R3003" s="6">
        <f t="shared" si="235"/>
        <v>1261.8610000000001</v>
      </c>
      <c r="S3003" s="6">
        <f t="shared" si="236"/>
        <v>1.0919999999999999E-2</v>
      </c>
      <c r="T3003" t="str">
        <f t="shared" si="232"/>
        <v>Maximo Thermo Ayous S4S E4E 2x3 Long</v>
      </c>
    </row>
    <row r="3004" spans="1:20" x14ac:dyDescent="0.25">
      <c r="A3004" t="s">
        <v>3073</v>
      </c>
      <c r="B3004" t="s">
        <v>3772</v>
      </c>
      <c r="C3004" t="s">
        <v>283</v>
      </c>
      <c r="D3004" t="s">
        <v>3044</v>
      </c>
      <c r="E3004" t="s">
        <v>3779</v>
      </c>
      <c r="F3004" t="s">
        <v>3774</v>
      </c>
      <c r="G3004" t="s">
        <v>3077</v>
      </c>
      <c r="H3004" t="s">
        <v>373</v>
      </c>
      <c r="I3004" t="s">
        <v>289</v>
      </c>
      <c r="J3004" t="s">
        <v>789</v>
      </c>
      <c r="K3004">
        <v>15</v>
      </c>
      <c r="L3004" s="6">
        <v>4.5</v>
      </c>
      <c r="M3004" s="7">
        <v>40</v>
      </c>
      <c r="N3004" s="7">
        <v>65</v>
      </c>
      <c r="O3004" s="7">
        <f t="shared" si="233"/>
        <v>177.16535433070868</v>
      </c>
      <c r="P3004" s="7">
        <f t="shared" si="234"/>
        <v>1.5748031496062993</v>
      </c>
      <c r="Q3004" s="7">
        <f t="shared" si="234"/>
        <v>2.5590551181102366</v>
      </c>
      <c r="R3004" s="6">
        <f t="shared" si="235"/>
        <v>1261.8610000000001</v>
      </c>
      <c r="S3004" s="6">
        <f t="shared" si="236"/>
        <v>1.1699999999999999E-2</v>
      </c>
      <c r="T3004" t="str">
        <f t="shared" si="232"/>
        <v>Maximo Thermo Ayous S4S E4E 2x3 Long</v>
      </c>
    </row>
    <row r="3005" spans="1:20" x14ac:dyDescent="0.25">
      <c r="A3005" t="s">
        <v>3073</v>
      </c>
      <c r="B3005" t="s">
        <v>3772</v>
      </c>
      <c r="C3005" t="s">
        <v>283</v>
      </c>
      <c r="D3005" t="s">
        <v>3044</v>
      </c>
      <c r="E3005" t="s">
        <v>3780</v>
      </c>
      <c r="F3005" t="s">
        <v>3774</v>
      </c>
      <c r="G3005" t="s">
        <v>3077</v>
      </c>
      <c r="H3005" t="s">
        <v>373</v>
      </c>
      <c r="I3005" t="s">
        <v>289</v>
      </c>
      <c r="J3005" t="s">
        <v>789</v>
      </c>
      <c r="K3005">
        <v>16</v>
      </c>
      <c r="L3005" s="6">
        <v>4.8</v>
      </c>
      <c r="M3005" s="7">
        <v>40</v>
      </c>
      <c r="N3005" s="7">
        <v>65</v>
      </c>
      <c r="O3005" s="7">
        <f t="shared" si="233"/>
        <v>188.97637795275591</v>
      </c>
      <c r="P3005" s="7">
        <f t="shared" si="234"/>
        <v>1.5748031496062993</v>
      </c>
      <c r="Q3005" s="7">
        <f t="shared" si="234"/>
        <v>2.5590551181102366</v>
      </c>
      <c r="R3005" s="6">
        <f t="shared" si="235"/>
        <v>1261.8610000000001</v>
      </c>
      <c r="S3005" s="6">
        <f t="shared" si="236"/>
        <v>1.248E-2</v>
      </c>
      <c r="T3005" t="str">
        <f t="shared" si="232"/>
        <v>Maximo Thermo Ayous S4S E4E 2x3 Long</v>
      </c>
    </row>
    <row r="3006" spans="1:20" x14ac:dyDescent="0.25">
      <c r="A3006" t="s">
        <v>3073</v>
      </c>
      <c r="B3006" t="s">
        <v>3772</v>
      </c>
      <c r="C3006" t="s">
        <v>283</v>
      </c>
      <c r="D3006" t="s">
        <v>3044</v>
      </c>
      <c r="E3006" t="s">
        <v>3781</v>
      </c>
      <c r="F3006" t="s">
        <v>3774</v>
      </c>
      <c r="G3006" t="s">
        <v>3077</v>
      </c>
      <c r="H3006" t="s">
        <v>373</v>
      </c>
      <c r="I3006" t="s">
        <v>289</v>
      </c>
      <c r="J3006" t="s">
        <v>789</v>
      </c>
      <c r="K3006">
        <v>17</v>
      </c>
      <c r="L3006" s="6">
        <v>5.0999999999999996</v>
      </c>
      <c r="M3006" s="7">
        <v>40</v>
      </c>
      <c r="N3006" s="7">
        <v>65</v>
      </c>
      <c r="O3006" s="7">
        <f t="shared" si="233"/>
        <v>200.78740157480314</v>
      </c>
      <c r="P3006" s="7">
        <f t="shared" si="234"/>
        <v>1.5748031496062993</v>
      </c>
      <c r="Q3006" s="7">
        <f t="shared" si="234"/>
        <v>2.5590551181102366</v>
      </c>
      <c r="R3006" s="6">
        <f t="shared" si="235"/>
        <v>1261.8610000000001</v>
      </c>
      <c r="S3006" s="6">
        <f t="shared" si="236"/>
        <v>1.3259999999999999E-2</v>
      </c>
      <c r="T3006" t="str">
        <f t="shared" si="232"/>
        <v>Maximo Thermo Ayous S4S E4E 2x3 Long</v>
      </c>
    </row>
    <row r="3007" spans="1:20" x14ac:dyDescent="0.25">
      <c r="A3007" t="s">
        <v>3073</v>
      </c>
      <c r="B3007" t="s">
        <v>3772</v>
      </c>
      <c r="C3007" t="s">
        <v>283</v>
      </c>
      <c r="D3007" t="s">
        <v>3044</v>
      </c>
      <c r="E3007" t="s">
        <v>3782</v>
      </c>
      <c r="F3007" t="s">
        <v>3774</v>
      </c>
      <c r="G3007" t="s">
        <v>3077</v>
      </c>
      <c r="H3007" t="s">
        <v>373</v>
      </c>
      <c r="I3007" t="s">
        <v>289</v>
      </c>
      <c r="J3007" t="s">
        <v>789</v>
      </c>
      <c r="K3007">
        <v>18</v>
      </c>
      <c r="L3007" s="6">
        <v>5.4</v>
      </c>
      <c r="M3007" s="7">
        <v>40</v>
      </c>
      <c r="N3007" s="7">
        <v>65</v>
      </c>
      <c r="O3007" s="7">
        <f t="shared" si="233"/>
        <v>212.59842519685043</v>
      </c>
      <c r="P3007" s="7">
        <f t="shared" si="234"/>
        <v>1.5748031496062993</v>
      </c>
      <c r="Q3007" s="7">
        <f t="shared" si="234"/>
        <v>2.5590551181102366</v>
      </c>
      <c r="R3007" s="6">
        <f t="shared" si="235"/>
        <v>1261.8610000000001</v>
      </c>
      <c r="S3007" s="6">
        <f t="shared" si="236"/>
        <v>1.4039999999999999E-2</v>
      </c>
      <c r="T3007" t="str">
        <f t="shared" si="232"/>
        <v>Maximo Thermo Ayous S4S E4E 2x3 Long</v>
      </c>
    </row>
    <row r="3008" spans="1:20" x14ac:dyDescent="0.25">
      <c r="A3008" t="s">
        <v>3073</v>
      </c>
      <c r="B3008" t="s">
        <v>3772</v>
      </c>
      <c r="C3008" t="s">
        <v>524</v>
      </c>
      <c r="D3008" t="s">
        <v>3044</v>
      </c>
      <c r="E3008" t="s">
        <v>3783</v>
      </c>
      <c r="F3008" t="s">
        <v>3774</v>
      </c>
      <c r="G3008" t="s">
        <v>3077</v>
      </c>
      <c r="H3008" t="s">
        <v>373</v>
      </c>
      <c r="I3008" t="s">
        <v>289</v>
      </c>
      <c r="J3008" t="s">
        <v>789</v>
      </c>
      <c r="K3008">
        <v>4</v>
      </c>
      <c r="L3008" s="6">
        <v>1.2</v>
      </c>
      <c r="M3008" s="7">
        <v>40</v>
      </c>
      <c r="N3008" s="7">
        <v>65</v>
      </c>
      <c r="O3008" s="7">
        <f t="shared" si="233"/>
        <v>47.244094488188978</v>
      </c>
      <c r="P3008" s="7">
        <f t="shared" si="234"/>
        <v>1.5748031496062993</v>
      </c>
      <c r="Q3008" s="7">
        <f t="shared" si="234"/>
        <v>2.5590551181102366</v>
      </c>
      <c r="R3008" s="6">
        <f t="shared" si="235"/>
        <v>1261.8610000000001</v>
      </c>
      <c r="S3008" s="6">
        <f t="shared" si="236"/>
        <v>3.1199999999999999E-3</v>
      </c>
      <c r="T3008" t="str">
        <f t="shared" si="232"/>
        <v>Maximo Thermo Ayous S4S E4E 2x3 Short</v>
      </c>
    </row>
    <row r="3009" spans="1:20" x14ac:dyDescent="0.25">
      <c r="A3009" t="s">
        <v>3073</v>
      </c>
      <c r="B3009" t="s">
        <v>3772</v>
      </c>
      <c r="C3009" t="s">
        <v>524</v>
      </c>
      <c r="D3009" t="s">
        <v>3044</v>
      </c>
      <c r="E3009" t="s">
        <v>3784</v>
      </c>
      <c r="F3009" t="s">
        <v>3774</v>
      </c>
      <c r="G3009" t="s">
        <v>3077</v>
      </c>
      <c r="H3009" t="s">
        <v>373</v>
      </c>
      <c r="I3009" t="s">
        <v>289</v>
      </c>
      <c r="J3009" t="s">
        <v>789</v>
      </c>
      <c r="K3009">
        <v>5</v>
      </c>
      <c r="L3009" s="6">
        <v>1.5</v>
      </c>
      <c r="M3009" s="7">
        <v>40</v>
      </c>
      <c r="N3009" s="7">
        <v>65</v>
      </c>
      <c r="O3009" s="7">
        <f t="shared" si="233"/>
        <v>59.055118110236222</v>
      </c>
      <c r="P3009" s="7">
        <f t="shared" si="234"/>
        <v>1.5748031496062993</v>
      </c>
      <c r="Q3009" s="7">
        <f t="shared" si="234"/>
        <v>2.5590551181102366</v>
      </c>
      <c r="R3009" s="6">
        <f t="shared" si="235"/>
        <v>1261.8610000000001</v>
      </c>
      <c r="S3009" s="6">
        <f t="shared" si="236"/>
        <v>3.8999999999999998E-3</v>
      </c>
      <c r="T3009" t="str">
        <f t="shared" si="232"/>
        <v>Maximo Thermo Ayous S4S E4E 2x3 Short</v>
      </c>
    </row>
    <row r="3010" spans="1:20" x14ac:dyDescent="0.25">
      <c r="A3010" t="s">
        <v>3073</v>
      </c>
      <c r="B3010" t="s">
        <v>3772</v>
      </c>
      <c r="C3010" t="s">
        <v>524</v>
      </c>
      <c r="D3010" t="s">
        <v>3044</v>
      </c>
      <c r="E3010" t="s">
        <v>3785</v>
      </c>
      <c r="F3010" t="s">
        <v>3774</v>
      </c>
      <c r="G3010" t="s">
        <v>3077</v>
      </c>
      <c r="H3010" t="s">
        <v>373</v>
      </c>
      <c r="I3010" t="s">
        <v>289</v>
      </c>
      <c r="J3010" t="s">
        <v>789</v>
      </c>
      <c r="K3010">
        <v>6</v>
      </c>
      <c r="L3010" s="6">
        <v>1.8</v>
      </c>
      <c r="M3010" s="7">
        <v>40</v>
      </c>
      <c r="N3010" s="7">
        <v>65</v>
      </c>
      <c r="O3010" s="7">
        <f t="shared" si="233"/>
        <v>70.866141732283467</v>
      </c>
      <c r="P3010" s="7">
        <f t="shared" si="234"/>
        <v>1.5748031496062993</v>
      </c>
      <c r="Q3010" s="7">
        <f t="shared" si="234"/>
        <v>2.5590551181102366</v>
      </c>
      <c r="R3010" s="6">
        <f t="shared" si="235"/>
        <v>1261.8610000000001</v>
      </c>
      <c r="S3010" s="6">
        <f t="shared" si="236"/>
        <v>4.6800000000000001E-3</v>
      </c>
      <c r="T3010" t="str">
        <f t="shared" ref="T3010:T3073" si="237">F3010&amp;" "&amp;C3010</f>
        <v>Maximo Thermo Ayous S4S E4E 2x3 Short</v>
      </c>
    </row>
    <row r="3011" spans="1:20" x14ac:dyDescent="0.25">
      <c r="A3011" t="s">
        <v>3073</v>
      </c>
      <c r="B3011" t="s">
        <v>3772</v>
      </c>
      <c r="C3011" t="s">
        <v>524</v>
      </c>
      <c r="D3011" t="s">
        <v>3044</v>
      </c>
      <c r="E3011" t="s">
        <v>3786</v>
      </c>
      <c r="F3011" t="s">
        <v>3774</v>
      </c>
      <c r="G3011" t="s">
        <v>3077</v>
      </c>
      <c r="H3011" t="s">
        <v>373</v>
      </c>
      <c r="I3011" t="s">
        <v>289</v>
      </c>
      <c r="J3011" t="s">
        <v>789</v>
      </c>
      <c r="K3011">
        <v>7</v>
      </c>
      <c r="L3011" s="6">
        <v>2.1</v>
      </c>
      <c r="M3011" s="7">
        <v>40</v>
      </c>
      <c r="N3011" s="7">
        <v>65</v>
      </c>
      <c r="O3011" s="7">
        <f t="shared" si="233"/>
        <v>82.677165354330711</v>
      </c>
      <c r="P3011" s="7">
        <f t="shared" si="234"/>
        <v>1.5748031496062993</v>
      </c>
      <c r="Q3011" s="7">
        <f t="shared" si="234"/>
        <v>2.5590551181102366</v>
      </c>
      <c r="R3011" s="6">
        <f t="shared" si="235"/>
        <v>1261.8610000000001</v>
      </c>
      <c r="S3011" s="6">
        <f t="shared" si="236"/>
        <v>5.4599999999999996E-3</v>
      </c>
      <c r="T3011" t="str">
        <f t="shared" si="237"/>
        <v>Maximo Thermo Ayous S4S E4E 2x3 Short</v>
      </c>
    </row>
    <row r="3012" spans="1:20" x14ac:dyDescent="0.25">
      <c r="A3012" t="s">
        <v>3073</v>
      </c>
      <c r="B3012" t="s">
        <v>3772</v>
      </c>
      <c r="C3012" t="s">
        <v>283</v>
      </c>
      <c r="D3012" t="s">
        <v>3044</v>
      </c>
      <c r="E3012" t="s">
        <v>3787</v>
      </c>
      <c r="F3012" t="s">
        <v>3774</v>
      </c>
      <c r="G3012" t="s">
        <v>3077</v>
      </c>
      <c r="H3012" t="s">
        <v>373</v>
      </c>
      <c r="I3012" t="s">
        <v>289</v>
      </c>
      <c r="J3012" t="s">
        <v>789</v>
      </c>
      <c r="K3012">
        <v>8</v>
      </c>
      <c r="L3012" s="6">
        <v>2.4</v>
      </c>
      <c r="M3012" s="7">
        <v>40</v>
      </c>
      <c r="N3012" s="7">
        <v>65</v>
      </c>
      <c r="O3012" s="7">
        <f t="shared" si="233"/>
        <v>94.488188976377955</v>
      </c>
      <c r="P3012" s="7">
        <f t="shared" si="234"/>
        <v>1.5748031496062993</v>
      </c>
      <c r="Q3012" s="7">
        <f t="shared" si="234"/>
        <v>2.5590551181102366</v>
      </c>
      <c r="R3012" s="6">
        <f t="shared" si="235"/>
        <v>1261.8610000000001</v>
      </c>
      <c r="S3012" s="6">
        <f t="shared" si="236"/>
        <v>6.2399999999999999E-3</v>
      </c>
      <c r="T3012" t="str">
        <f t="shared" si="237"/>
        <v>Maximo Thermo Ayous S4S E4E 2x3 Long</v>
      </c>
    </row>
    <row r="3013" spans="1:20" x14ac:dyDescent="0.25">
      <c r="A3013" t="s">
        <v>3073</v>
      </c>
      <c r="B3013" t="s">
        <v>3772</v>
      </c>
      <c r="C3013" t="s">
        <v>283</v>
      </c>
      <c r="D3013" t="s">
        <v>3044</v>
      </c>
      <c r="E3013" t="s">
        <v>3788</v>
      </c>
      <c r="F3013" t="s">
        <v>3774</v>
      </c>
      <c r="G3013" t="s">
        <v>3077</v>
      </c>
      <c r="H3013" t="s">
        <v>373</v>
      </c>
      <c r="I3013" t="s">
        <v>289</v>
      </c>
      <c r="J3013" t="s">
        <v>789</v>
      </c>
      <c r="K3013">
        <v>9</v>
      </c>
      <c r="L3013" s="6">
        <v>2.7</v>
      </c>
      <c r="M3013" s="7">
        <v>40</v>
      </c>
      <c r="N3013" s="7">
        <v>65</v>
      </c>
      <c r="O3013" s="7">
        <f t="shared" si="233"/>
        <v>106.29921259842521</v>
      </c>
      <c r="P3013" s="7">
        <f t="shared" si="234"/>
        <v>1.5748031496062993</v>
      </c>
      <c r="Q3013" s="7">
        <f t="shared" si="234"/>
        <v>2.5590551181102366</v>
      </c>
      <c r="R3013" s="6">
        <f t="shared" si="235"/>
        <v>1261.8610000000001</v>
      </c>
      <c r="S3013" s="6">
        <f t="shared" si="236"/>
        <v>7.0199999999999993E-3</v>
      </c>
      <c r="T3013" t="str">
        <f t="shared" si="237"/>
        <v>Maximo Thermo Ayous S4S E4E 2x3 Long</v>
      </c>
    </row>
    <row r="3014" spans="1:20" x14ac:dyDescent="0.25">
      <c r="A3014" t="s">
        <v>3073</v>
      </c>
      <c r="B3014" t="s">
        <v>3789</v>
      </c>
      <c r="C3014" t="s">
        <v>283</v>
      </c>
      <c r="D3014" t="s">
        <v>3044</v>
      </c>
      <c r="E3014" t="s">
        <v>3790</v>
      </c>
      <c r="F3014" t="s">
        <v>3791</v>
      </c>
      <c r="G3014" t="s">
        <v>3077</v>
      </c>
      <c r="H3014" t="s">
        <v>373</v>
      </c>
      <c r="I3014" t="s">
        <v>289</v>
      </c>
      <c r="J3014" t="s">
        <v>796</v>
      </c>
      <c r="K3014">
        <v>10</v>
      </c>
      <c r="L3014" s="6">
        <v>3</v>
      </c>
      <c r="M3014" s="7">
        <v>40</v>
      </c>
      <c r="N3014" s="7">
        <v>90</v>
      </c>
      <c r="O3014" s="7">
        <f t="shared" si="233"/>
        <v>118.11023622047244</v>
      </c>
      <c r="P3014" s="7">
        <f t="shared" si="234"/>
        <v>1.5748031496062993</v>
      </c>
      <c r="Q3014" s="7">
        <f t="shared" si="234"/>
        <v>3.5433070866141736</v>
      </c>
      <c r="R3014" s="6">
        <f t="shared" si="235"/>
        <v>911.34400000000005</v>
      </c>
      <c r="S3014" s="6">
        <f t="shared" si="236"/>
        <v>1.0799999999999999E-2</v>
      </c>
      <c r="T3014" t="str">
        <f t="shared" si="237"/>
        <v>Maximo Thermo Ayous S4S E4E 2x4 Long</v>
      </c>
    </row>
    <row r="3015" spans="1:20" x14ac:dyDescent="0.25">
      <c r="A3015" t="s">
        <v>3073</v>
      </c>
      <c r="B3015" t="s">
        <v>3789</v>
      </c>
      <c r="C3015" t="s">
        <v>283</v>
      </c>
      <c r="D3015" t="s">
        <v>3044</v>
      </c>
      <c r="E3015" t="s">
        <v>3792</v>
      </c>
      <c r="F3015" t="s">
        <v>3791</v>
      </c>
      <c r="G3015" t="s">
        <v>3077</v>
      </c>
      <c r="H3015" t="s">
        <v>373</v>
      </c>
      <c r="I3015" t="s">
        <v>289</v>
      </c>
      <c r="J3015" t="s">
        <v>796</v>
      </c>
      <c r="K3015">
        <v>11</v>
      </c>
      <c r="L3015" s="6">
        <v>3.3</v>
      </c>
      <c r="M3015" s="7">
        <v>40</v>
      </c>
      <c r="N3015" s="7">
        <v>90</v>
      </c>
      <c r="O3015" s="7">
        <f t="shared" si="233"/>
        <v>129.92125984251967</v>
      </c>
      <c r="P3015" s="7">
        <f t="shared" si="234"/>
        <v>1.5748031496062993</v>
      </c>
      <c r="Q3015" s="7">
        <f t="shared" si="234"/>
        <v>3.5433070866141736</v>
      </c>
      <c r="R3015" s="6">
        <f t="shared" si="235"/>
        <v>911.34400000000005</v>
      </c>
      <c r="S3015" s="6">
        <f t="shared" si="236"/>
        <v>1.188E-2</v>
      </c>
      <c r="T3015" t="str">
        <f t="shared" si="237"/>
        <v>Maximo Thermo Ayous S4S E4E 2x4 Long</v>
      </c>
    </row>
    <row r="3016" spans="1:20" x14ac:dyDescent="0.25">
      <c r="A3016" t="s">
        <v>3073</v>
      </c>
      <c r="B3016" t="s">
        <v>3789</v>
      </c>
      <c r="C3016" t="s">
        <v>283</v>
      </c>
      <c r="D3016" t="s">
        <v>3044</v>
      </c>
      <c r="E3016" t="s">
        <v>3793</v>
      </c>
      <c r="F3016" t="s">
        <v>3791</v>
      </c>
      <c r="G3016" t="s">
        <v>3077</v>
      </c>
      <c r="H3016" t="s">
        <v>373</v>
      </c>
      <c r="I3016" t="s">
        <v>289</v>
      </c>
      <c r="J3016" t="s">
        <v>796</v>
      </c>
      <c r="K3016">
        <v>12</v>
      </c>
      <c r="L3016" s="6">
        <v>3.6</v>
      </c>
      <c r="M3016" s="7">
        <v>40</v>
      </c>
      <c r="N3016" s="7">
        <v>90</v>
      </c>
      <c r="O3016" s="7">
        <f t="shared" si="233"/>
        <v>141.73228346456693</v>
      </c>
      <c r="P3016" s="7">
        <f t="shared" si="234"/>
        <v>1.5748031496062993</v>
      </c>
      <c r="Q3016" s="7">
        <f t="shared" si="234"/>
        <v>3.5433070866141736</v>
      </c>
      <c r="R3016" s="6">
        <f t="shared" si="235"/>
        <v>911.34400000000005</v>
      </c>
      <c r="S3016" s="6">
        <f t="shared" si="236"/>
        <v>1.2959999999999999E-2</v>
      </c>
      <c r="T3016" t="str">
        <f t="shared" si="237"/>
        <v>Maximo Thermo Ayous S4S E4E 2x4 Long</v>
      </c>
    </row>
    <row r="3017" spans="1:20" x14ac:dyDescent="0.25">
      <c r="A3017" t="s">
        <v>3073</v>
      </c>
      <c r="B3017" t="s">
        <v>3789</v>
      </c>
      <c r="C3017" t="s">
        <v>283</v>
      </c>
      <c r="D3017" t="s">
        <v>3044</v>
      </c>
      <c r="E3017" t="s">
        <v>3794</v>
      </c>
      <c r="F3017" t="s">
        <v>3791</v>
      </c>
      <c r="G3017" t="s">
        <v>3077</v>
      </c>
      <c r="H3017" t="s">
        <v>373</v>
      </c>
      <c r="I3017" t="s">
        <v>289</v>
      </c>
      <c r="J3017" t="s">
        <v>796</v>
      </c>
      <c r="K3017">
        <v>13</v>
      </c>
      <c r="L3017" s="6">
        <v>3.9</v>
      </c>
      <c r="M3017" s="7">
        <v>40</v>
      </c>
      <c r="N3017" s="7">
        <v>90</v>
      </c>
      <c r="O3017" s="7">
        <f t="shared" si="233"/>
        <v>153.54330708661416</v>
      </c>
      <c r="P3017" s="7">
        <f t="shared" si="234"/>
        <v>1.5748031496062993</v>
      </c>
      <c r="Q3017" s="7">
        <f t="shared" si="234"/>
        <v>3.5433070866141736</v>
      </c>
      <c r="R3017" s="6">
        <f t="shared" si="235"/>
        <v>911.34400000000005</v>
      </c>
      <c r="S3017" s="6">
        <f t="shared" si="236"/>
        <v>1.4039999999999999E-2</v>
      </c>
      <c r="T3017" t="str">
        <f t="shared" si="237"/>
        <v>Maximo Thermo Ayous S4S E4E 2x4 Long</v>
      </c>
    </row>
    <row r="3018" spans="1:20" x14ac:dyDescent="0.25">
      <c r="A3018" t="s">
        <v>3073</v>
      </c>
      <c r="B3018" t="s">
        <v>3789</v>
      </c>
      <c r="C3018" t="s">
        <v>283</v>
      </c>
      <c r="D3018" t="s">
        <v>3044</v>
      </c>
      <c r="E3018" t="s">
        <v>3795</v>
      </c>
      <c r="F3018" t="s">
        <v>3791</v>
      </c>
      <c r="G3018" t="s">
        <v>3077</v>
      </c>
      <c r="H3018" t="s">
        <v>373</v>
      </c>
      <c r="I3018" t="s">
        <v>289</v>
      </c>
      <c r="J3018" t="s">
        <v>796</v>
      </c>
      <c r="K3018">
        <v>14</v>
      </c>
      <c r="L3018" s="6">
        <v>4.2</v>
      </c>
      <c r="M3018" s="7">
        <v>40</v>
      </c>
      <c r="N3018" s="7">
        <v>90</v>
      </c>
      <c r="O3018" s="7">
        <f t="shared" si="233"/>
        <v>165.35433070866142</v>
      </c>
      <c r="P3018" s="7">
        <f t="shared" si="234"/>
        <v>1.5748031496062993</v>
      </c>
      <c r="Q3018" s="7">
        <f t="shared" si="234"/>
        <v>3.5433070866141736</v>
      </c>
      <c r="R3018" s="6">
        <f t="shared" si="235"/>
        <v>911.34400000000005</v>
      </c>
      <c r="S3018" s="6">
        <f t="shared" si="236"/>
        <v>1.5120000000000001E-2</v>
      </c>
      <c r="T3018" t="str">
        <f t="shared" si="237"/>
        <v>Maximo Thermo Ayous S4S E4E 2x4 Long</v>
      </c>
    </row>
    <row r="3019" spans="1:20" x14ac:dyDescent="0.25">
      <c r="A3019" t="s">
        <v>3073</v>
      </c>
      <c r="B3019" t="s">
        <v>3789</v>
      </c>
      <c r="C3019" t="s">
        <v>283</v>
      </c>
      <c r="D3019" t="s">
        <v>3044</v>
      </c>
      <c r="E3019" t="s">
        <v>3796</v>
      </c>
      <c r="F3019" t="s">
        <v>3791</v>
      </c>
      <c r="G3019" t="s">
        <v>3077</v>
      </c>
      <c r="H3019" t="s">
        <v>373</v>
      </c>
      <c r="I3019" t="s">
        <v>289</v>
      </c>
      <c r="J3019" t="s">
        <v>796</v>
      </c>
      <c r="K3019">
        <v>15</v>
      </c>
      <c r="L3019" s="6">
        <v>4.5</v>
      </c>
      <c r="M3019" s="7">
        <v>40</v>
      </c>
      <c r="N3019" s="7">
        <v>90</v>
      </c>
      <c r="O3019" s="7">
        <f t="shared" si="233"/>
        <v>177.16535433070868</v>
      </c>
      <c r="P3019" s="7">
        <f t="shared" si="234"/>
        <v>1.5748031496062993</v>
      </c>
      <c r="Q3019" s="7">
        <f t="shared" si="234"/>
        <v>3.5433070866141736</v>
      </c>
      <c r="R3019" s="6">
        <f t="shared" si="235"/>
        <v>911.34400000000005</v>
      </c>
      <c r="S3019" s="6">
        <f t="shared" si="236"/>
        <v>1.6199999999999999E-2</v>
      </c>
      <c r="T3019" t="str">
        <f t="shared" si="237"/>
        <v>Maximo Thermo Ayous S4S E4E 2x4 Long</v>
      </c>
    </row>
    <row r="3020" spans="1:20" x14ac:dyDescent="0.25">
      <c r="A3020" t="s">
        <v>3073</v>
      </c>
      <c r="B3020" t="s">
        <v>3789</v>
      </c>
      <c r="C3020" t="s">
        <v>283</v>
      </c>
      <c r="D3020" t="s">
        <v>3044</v>
      </c>
      <c r="E3020" t="s">
        <v>3797</v>
      </c>
      <c r="F3020" t="s">
        <v>3791</v>
      </c>
      <c r="G3020" t="s">
        <v>3077</v>
      </c>
      <c r="H3020" t="s">
        <v>373</v>
      </c>
      <c r="I3020" t="s">
        <v>289</v>
      </c>
      <c r="J3020" t="s">
        <v>796</v>
      </c>
      <c r="K3020">
        <v>16</v>
      </c>
      <c r="L3020" s="6">
        <v>4.8</v>
      </c>
      <c r="M3020" s="7">
        <v>40</v>
      </c>
      <c r="N3020" s="7">
        <v>90</v>
      </c>
      <c r="O3020" s="7">
        <f t="shared" si="233"/>
        <v>188.97637795275591</v>
      </c>
      <c r="P3020" s="7">
        <f t="shared" si="234"/>
        <v>1.5748031496062993</v>
      </c>
      <c r="Q3020" s="7">
        <f t="shared" si="234"/>
        <v>3.5433070866141736</v>
      </c>
      <c r="R3020" s="6">
        <f t="shared" si="235"/>
        <v>911.34400000000005</v>
      </c>
      <c r="S3020" s="6">
        <f t="shared" si="236"/>
        <v>1.728E-2</v>
      </c>
      <c r="T3020" t="str">
        <f t="shared" si="237"/>
        <v>Maximo Thermo Ayous S4S E4E 2x4 Long</v>
      </c>
    </row>
    <row r="3021" spans="1:20" x14ac:dyDescent="0.25">
      <c r="A3021" t="s">
        <v>3073</v>
      </c>
      <c r="B3021" t="s">
        <v>3789</v>
      </c>
      <c r="C3021" t="s">
        <v>283</v>
      </c>
      <c r="D3021" t="s">
        <v>3044</v>
      </c>
      <c r="E3021" t="s">
        <v>3798</v>
      </c>
      <c r="F3021" t="s">
        <v>3791</v>
      </c>
      <c r="G3021" t="s">
        <v>3077</v>
      </c>
      <c r="H3021" t="s">
        <v>373</v>
      </c>
      <c r="I3021" t="s">
        <v>289</v>
      </c>
      <c r="J3021" t="s">
        <v>796</v>
      </c>
      <c r="K3021">
        <v>17</v>
      </c>
      <c r="L3021" s="6">
        <v>5.0999999999999996</v>
      </c>
      <c r="M3021" s="7">
        <v>40</v>
      </c>
      <c r="N3021" s="7">
        <v>90</v>
      </c>
      <c r="O3021" s="7">
        <f t="shared" si="233"/>
        <v>200.78740157480314</v>
      </c>
      <c r="P3021" s="7">
        <f t="shared" si="234"/>
        <v>1.5748031496062993</v>
      </c>
      <c r="Q3021" s="7">
        <f t="shared" si="234"/>
        <v>3.5433070866141736</v>
      </c>
      <c r="R3021" s="6">
        <f t="shared" si="235"/>
        <v>911.34400000000005</v>
      </c>
      <c r="S3021" s="6">
        <f t="shared" si="236"/>
        <v>1.8359999999999998E-2</v>
      </c>
      <c r="T3021" t="str">
        <f t="shared" si="237"/>
        <v>Maximo Thermo Ayous S4S E4E 2x4 Long</v>
      </c>
    </row>
    <row r="3022" spans="1:20" x14ac:dyDescent="0.25">
      <c r="A3022" t="s">
        <v>3073</v>
      </c>
      <c r="B3022" t="s">
        <v>3789</v>
      </c>
      <c r="C3022" t="s">
        <v>283</v>
      </c>
      <c r="D3022" t="s">
        <v>3044</v>
      </c>
      <c r="E3022" t="s">
        <v>3799</v>
      </c>
      <c r="F3022" t="s">
        <v>3791</v>
      </c>
      <c r="G3022" t="s">
        <v>3077</v>
      </c>
      <c r="H3022" t="s">
        <v>373</v>
      </c>
      <c r="I3022" t="s">
        <v>289</v>
      </c>
      <c r="J3022" t="s">
        <v>796</v>
      </c>
      <c r="K3022">
        <v>18</v>
      </c>
      <c r="L3022" s="6">
        <v>5.4</v>
      </c>
      <c r="M3022" s="7">
        <v>40</v>
      </c>
      <c r="N3022" s="7">
        <v>90</v>
      </c>
      <c r="O3022" s="7">
        <f t="shared" si="233"/>
        <v>212.59842519685043</v>
      </c>
      <c r="P3022" s="7">
        <f t="shared" si="234"/>
        <v>1.5748031496062993</v>
      </c>
      <c r="Q3022" s="7">
        <f t="shared" si="234"/>
        <v>3.5433070866141736</v>
      </c>
      <c r="R3022" s="6">
        <f t="shared" si="235"/>
        <v>911.34400000000005</v>
      </c>
      <c r="S3022" s="6">
        <f t="shared" si="236"/>
        <v>1.9440000000000002E-2</v>
      </c>
      <c r="T3022" t="str">
        <f t="shared" si="237"/>
        <v>Maximo Thermo Ayous S4S E4E 2x4 Long</v>
      </c>
    </row>
    <row r="3023" spans="1:20" x14ac:dyDescent="0.25">
      <c r="A3023" t="s">
        <v>3073</v>
      </c>
      <c r="B3023" t="s">
        <v>3789</v>
      </c>
      <c r="C3023" t="s">
        <v>524</v>
      </c>
      <c r="D3023" t="s">
        <v>3044</v>
      </c>
      <c r="E3023" t="s">
        <v>3800</v>
      </c>
      <c r="F3023" t="s">
        <v>3791</v>
      </c>
      <c r="G3023" t="s">
        <v>3077</v>
      </c>
      <c r="H3023" t="s">
        <v>373</v>
      </c>
      <c r="I3023" t="s">
        <v>289</v>
      </c>
      <c r="J3023" t="s">
        <v>796</v>
      </c>
      <c r="K3023">
        <v>4</v>
      </c>
      <c r="L3023" s="6">
        <v>1.2</v>
      </c>
      <c r="M3023" s="7">
        <v>40</v>
      </c>
      <c r="N3023" s="7">
        <v>90</v>
      </c>
      <c r="O3023" s="7">
        <f t="shared" si="233"/>
        <v>47.244094488188978</v>
      </c>
      <c r="P3023" s="7">
        <f t="shared" si="234"/>
        <v>1.5748031496062993</v>
      </c>
      <c r="Q3023" s="7">
        <f t="shared" si="234"/>
        <v>3.5433070866141736</v>
      </c>
      <c r="R3023" s="6">
        <f t="shared" si="235"/>
        <v>911.34400000000005</v>
      </c>
      <c r="S3023" s="6">
        <f t="shared" si="236"/>
        <v>4.3200000000000001E-3</v>
      </c>
      <c r="T3023" t="str">
        <f t="shared" si="237"/>
        <v>Maximo Thermo Ayous S4S E4E 2x4 Short</v>
      </c>
    </row>
    <row r="3024" spans="1:20" x14ac:dyDescent="0.25">
      <c r="A3024" t="s">
        <v>3073</v>
      </c>
      <c r="B3024" t="s">
        <v>3789</v>
      </c>
      <c r="C3024" t="s">
        <v>524</v>
      </c>
      <c r="D3024" t="s">
        <v>3044</v>
      </c>
      <c r="E3024" t="s">
        <v>3801</v>
      </c>
      <c r="F3024" t="s">
        <v>3791</v>
      </c>
      <c r="G3024" t="s">
        <v>3077</v>
      </c>
      <c r="H3024" t="s">
        <v>373</v>
      </c>
      <c r="I3024" t="s">
        <v>289</v>
      </c>
      <c r="J3024" t="s">
        <v>796</v>
      </c>
      <c r="K3024">
        <v>5</v>
      </c>
      <c r="L3024" s="6">
        <v>1.5</v>
      </c>
      <c r="M3024" s="7">
        <v>40</v>
      </c>
      <c r="N3024" s="7">
        <v>90</v>
      </c>
      <c r="O3024" s="7">
        <f t="shared" si="233"/>
        <v>59.055118110236222</v>
      </c>
      <c r="P3024" s="7">
        <f t="shared" si="234"/>
        <v>1.5748031496062993</v>
      </c>
      <c r="Q3024" s="7">
        <f t="shared" si="234"/>
        <v>3.5433070866141736</v>
      </c>
      <c r="R3024" s="6">
        <f t="shared" si="235"/>
        <v>911.34400000000005</v>
      </c>
      <c r="S3024" s="6">
        <f t="shared" si="236"/>
        <v>5.3999999999999994E-3</v>
      </c>
      <c r="T3024" t="str">
        <f t="shared" si="237"/>
        <v>Maximo Thermo Ayous S4S E4E 2x4 Short</v>
      </c>
    </row>
    <row r="3025" spans="1:20" x14ac:dyDescent="0.25">
      <c r="A3025" t="s">
        <v>3073</v>
      </c>
      <c r="B3025" t="s">
        <v>3789</v>
      </c>
      <c r="C3025" t="s">
        <v>524</v>
      </c>
      <c r="D3025" t="s">
        <v>3044</v>
      </c>
      <c r="E3025" t="s">
        <v>3802</v>
      </c>
      <c r="F3025" t="s">
        <v>3791</v>
      </c>
      <c r="G3025" t="s">
        <v>3077</v>
      </c>
      <c r="H3025" t="s">
        <v>373</v>
      </c>
      <c r="I3025" t="s">
        <v>289</v>
      </c>
      <c r="J3025" t="s">
        <v>796</v>
      </c>
      <c r="K3025">
        <v>6</v>
      </c>
      <c r="L3025" s="6">
        <v>1.8</v>
      </c>
      <c r="M3025" s="7">
        <v>40</v>
      </c>
      <c r="N3025" s="7">
        <v>90</v>
      </c>
      <c r="O3025" s="7">
        <f t="shared" si="233"/>
        <v>70.866141732283467</v>
      </c>
      <c r="P3025" s="7">
        <f t="shared" si="234"/>
        <v>1.5748031496062993</v>
      </c>
      <c r="Q3025" s="7">
        <f t="shared" si="234"/>
        <v>3.5433070866141736</v>
      </c>
      <c r="R3025" s="6">
        <f t="shared" si="235"/>
        <v>911.34400000000005</v>
      </c>
      <c r="S3025" s="6">
        <f t="shared" si="236"/>
        <v>6.4799999999999996E-3</v>
      </c>
      <c r="T3025" t="str">
        <f t="shared" si="237"/>
        <v>Maximo Thermo Ayous S4S E4E 2x4 Short</v>
      </c>
    </row>
    <row r="3026" spans="1:20" x14ac:dyDescent="0.25">
      <c r="A3026" t="s">
        <v>3073</v>
      </c>
      <c r="B3026" t="s">
        <v>3789</v>
      </c>
      <c r="C3026" t="s">
        <v>524</v>
      </c>
      <c r="D3026" t="s">
        <v>3044</v>
      </c>
      <c r="E3026" t="s">
        <v>3803</v>
      </c>
      <c r="F3026" t="s">
        <v>3791</v>
      </c>
      <c r="G3026" t="s">
        <v>3077</v>
      </c>
      <c r="H3026" t="s">
        <v>373</v>
      </c>
      <c r="I3026" t="s">
        <v>289</v>
      </c>
      <c r="J3026" t="s">
        <v>796</v>
      </c>
      <c r="K3026">
        <v>7</v>
      </c>
      <c r="L3026" s="6">
        <v>2.1</v>
      </c>
      <c r="M3026" s="7">
        <v>40</v>
      </c>
      <c r="N3026" s="7">
        <v>90</v>
      </c>
      <c r="O3026" s="7">
        <f t="shared" si="233"/>
        <v>82.677165354330711</v>
      </c>
      <c r="P3026" s="7">
        <f t="shared" si="234"/>
        <v>1.5748031496062993</v>
      </c>
      <c r="Q3026" s="7">
        <f t="shared" si="234"/>
        <v>3.5433070866141736</v>
      </c>
      <c r="R3026" s="6">
        <f t="shared" si="235"/>
        <v>911.34400000000005</v>
      </c>
      <c r="S3026" s="6">
        <f t="shared" si="236"/>
        <v>7.5600000000000007E-3</v>
      </c>
      <c r="T3026" t="str">
        <f t="shared" si="237"/>
        <v>Maximo Thermo Ayous S4S E4E 2x4 Short</v>
      </c>
    </row>
    <row r="3027" spans="1:20" x14ac:dyDescent="0.25">
      <c r="A3027" t="s">
        <v>3073</v>
      </c>
      <c r="B3027" t="s">
        <v>3789</v>
      </c>
      <c r="C3027" t="s">
        <v>283</v>
      </c>
      <c r="D3027" t="s">
        <v>3044</v>
      </c>
      <c r="E3027" t="s">
        <v>3804</v>
      </c>
      <c r="F3027" t="s">
        <v>3791</v>
      </c>
      <c r="G3027" t="s">
        <v>3077</v>
      </c>
      <c r="H3027" t="s">
        <v>373</v>
      </c>
      <c r="I3027" t="s">
        <v>289</v>
      </c>
      <c r="J3027" t="s">
        <v>796</v>
      </c>
      <c r="K3027">
        <v>8</v>
      </c>
      <c r="L3027" s="6">
        <v>2.4</v>
      </c>
      <c r="M3027" s="7">
        <v>40</v>
      </c>
      <c r="N3027" s="7">
        <v>90</v>
      </c>
      <c r="O3027" s="7">
        <f t="shared" si="233"/>
        <v>94.488188976377955</v>
      </c>
      <c r="P3027" s="7">
        <f t="shared" si="234"/>
        <v>1.5748031496062993</v>
      </c>
      <c r="Q3027" s="7">
        <f t="shared" si="234"/>
        <v>3.5433070866141736</v>
      </c>
      <c r="R3027" s="6">
        <f t="shared" si="235"/>
        <v>911.34400000000005</v>
      </c>
      <c r="S3027" s="6">
        <f t="shared" si="236"/>
        <v>8.6400000000000001E-3</v>
      </c>
      <c r="T3027" t="str">
        <f t="shared" si="237"/>
        <v>Maximo Thermo Ayous S4S E4E 2x4 Long</v>
      </c>
    </row>
    <row r="3028" spans="1:20" x14ac:dyDescent="0.25">
      <c r="A3028" t="s">
        <v>3073</v>
      </c>
      <c r="B3028" t="s">
        <v>3789</v>
      </c>
      <c r="C3028" t="s">
        <v>283</v>
      </c>
      <c r="D3028" t="s">
        <v>3044</v>
      </c>
      <c r="E3028" t="s">
        <v>3805</v>
      </c>
      <c r="F3028" t="s">
        <v>3791</v>
      </c>
      <c r="G3028" t="s">
        <v>3077</v>
      </c>
      <c r="H3028" t="s">
        <v>373</v>
      </c>
      <c r="I3028" t="s">
        <v>289</v>
      </c>
      <c r="J3028" t="s">
        <v>796</v>
      </c>
      <c r="K3028">
        <v>9</v>
      </c>
      <c r="L3028" s="6">
        <v>2.7</v>
      </c>
      <c r="M3028" s="7">
        <v>40</v>
      </c>
      <c r="N3028" s="7">
        <v>90</v>
      </c>
      <c r="O3028" s="7">
        <f t="shared" si="233"/>
        <v>106.29921259842521</v>
      </c>
      <c r="P3028" s="7">
        <f t="shared" si="234"/>
        <v>1.5748031496062993</v>
      </c>
      <c r="Q3028" s="7">
        <f t="shared" si="234"/>
        <v>3.5433070866141736</v>
      </c>
      <c r="R3028" s="6">
        <f t="shared" si="235"/>
        <v>911.34400000000005</v>
      </c>
      <c r="S3028" s="6">
        <f t="shared" si="236"/>
        <v>9.7200000000000012E-3</v>
      </c>
      <c r="T3028" t="str">
        <f t="shared" si="237"/>
        <v>Maximo Thermo Ayous S4S E4E 2x4 Long</v>
      </c>
    </row>
    <row r="3029" spans="1:20" x14ac:dyDescent="0.25">
      <c r="A3029" t="s">
        <v>3073</v>
      </c>
      <c r="B3029" t="s">
        <v>3074</v>
      </c>
      <c r="C3029" t="s">
        <v>283</v>
      </c>
      <c r="D3029" t="s">
        <v>3044</v>
      </c>
      <c r="E3029" t="s">
        <v>103</v>
      </c>
      <c r="F3029" t="s">
        <v>3806</v>
      </c>
      <c r="G3029" t="s">
        <v>3077</v>
      </c>
      <c r="H3029" t="s">
        <v>373</v>
      </c>
      <c r="I3029" t="s">
        <v>289</v>
      </c>
      <c r="J3029" t="s">
        <v>821</v>
      </c>
      <c r="K3029">
        <v>10</v>
      </c>
      <c r="L3029" s="6">
        <v>3</v>
      </c>
      <c r="M3029" s="7">
        <v>40</v>
      </c>
      <c r="N3029" s="7">
        <v>140</v>
      </c>
      <c r="O3029" s="7">
        <f t="shared" si="233"/>
        <v>118.11023622047244</v>
      </c>
      <c r="P3029" s="7">
        <f t="shared" si="234"/>
        <v>1.5748031496062993</v>
      </c>
      <c r="Q3029" s="7">
        <f t="shared" si="234"/>
        <v>5.5118110236220472</v>
      </c>
      <c r="R3029" s="6">
        <f t="shared" si="235"/>
        <v>585.86400000000003</v>
      </c>
      <c r="S3029" s="6">
        <f t="shared" si="236"/>
        <v>1.6800000000000002E-2</v>
      </c>
      <c r="T3029" t="str">
        <f t="shared" si="237"/>
        <v>Maximo Thermo Ayous S4S E4E 2x6 Long</v>
      </c>
    </row>
    <row r="3030" spans="1:20" x14ac:dyDescent="0.25">
      <c r="A3030" t="s">
        <v>3073</v>
      </c>
      <c r="B3030" t="s">
        <v>3074</v>
      </c>
      <c r="C3030" t="s">
        <v>283</v>
      </c>
      <c r="D3030" t="s">
        <v>3044</v>
      </c>
      <c r="E3030" t="s">
        <v>3807</v>
      </c>
      <c r="F3030" t="s">
        <v>3806</v>
      </c>
      <c r="G3030" t="s">
        <v>3077</v>
      </c>
      <c r="H3030" t="s">
        <v>373</v>
      </c>
      <c r="I3030" t="s">
        <v>289</v>
      </c>
      <c r="J3030" t="s">
        <v>821</v>
      </c>
      <c r="K3030">
        <v>11</v>
      </c>
      <c r="L3030" s="6">
        <v>3.3</v>
      </c>
      <c r="M3030" s="7">
        <v>40</v>
      </c>
      <c r="N3030" s="7">
        <v>140</v>
      </c>
      <c r="O3030" s="7">
        <f t="shared" si="233"/>
        <v>129.92125984251967</v>
      </c>
      <c r="P3030" s="7">
        <f t="shared" si="234"/>
        <v>1.5748031496062993</v>
      </c>
      <c r="Q3030" s="7">
        <f t="shared" si="234"/>
        <v>5.5118110236220472</v>
      </c>
      <c r="R3030" s="6">
        <f t="shared" si="235"/>
        <v>585.86400000000003</v>
      </c>
      <c r="S3030" s="6">
        <f t="shared" si="236"/>
        <v>1.848E-2</v>
      </c>
      <c r="T3030" t="str">
        <f t="shared" si="237"/>
        <v>Maximo Thermo Ayous S4S E4E 2x6 Long</v>
      </c>
    </row>
    <row r="3031" spans="1:20" x14ac:dyDescent="0.25">
      <c r="A3031" t="s">
        <v>3073</v>
      </c>
      <c r="B3031" t="s">
        <v>3074</v>
      </c>
      <c r="C3031" t="s">
        <v>283</v>
      </c>
      <c r="D3031" t="s">
        <v>3044</v>
      </c>
      <c r="E3031" t="s">
        <v>3808</v>
      </c>
      <c r="F3031" t="s">
        <v>3806</v>
      </c>
      <c r="G3031" t="s">
        <v>3077</v>
      </c>
      <c r="H3031" t="s">
        <v>373</v>
      </c>
      <c r="I3031" t="s">
        <v>289</v>
      </c>
      <c r="J3031" t="s">
        <v>821</v>
      </c>
      <c r="K3031">
        <v>12</v>
      </c>
      <c r="L3031" s="6">
        <v>3.6</v>
      </c>
      <c r="M3031" s="7">
        <v>40</v>
      </c>
      <c r="N3031" s="7">
        <v>140</v>
      </c>
      <c r="O3031" s="7">
        <f t="shared" si="233"/>
        <v>141.73228346456693</v>
      </c>
      <c r="P3031" s="7">
        <f t="shared" si="234"/>
        <v>1.5748031496062993</v>
      </c>
      <c r="Q3031" s="7">
        <f t="shared" si="234"/>
        <v>5.5118110236220472</v>
      </c>
      <c r="R3031" s="6">
        <f t="shared" si="235"/>
        <v>585.86400000000003</v>
      </c>
      <c r="S3031" s="6">
        <f t="shared" si="236"/>
        <v>2.0160000000000001E-2</v>
      </c>
      <c r="T3031" t="str">
        <f t="shared" si="237"/>
        <v>Maximo Thermo Ayous S4S E4E 2x6 Long</v>
      </c>
    </row>
    <row r="3032" spans="1:20" x14ac:dyDescent="0.25">
      <c r="A3032" t="s">
        <v>3073</v>
      </c>
      <c r="B3032" t="s">
        <v>3074</v>
      </c>
      <c r="C3032" t="s">
        <v>283</v>
      </c>
      <c r="D3032" t="s">
        <v>3044</v>
      </c>
      <c r="E3032" t="s">
        <v>3809</v>
      </c>
      <c r="F3032" t="s">
        <v>3806</v>
      </c>
      <c r="G3032" t="s">
        <v>3077</v>
      </c>
      <c r="H3032" t="s">
        <v>373</v>
      </c>
      <c r="I3032" t="s">
        <v>289</v>
      </c>
      <c r="J3032" t="s">
        <v>821</v>
      </c>
      <c r="K3032">
        <v>13</v>
      </c>
      <c r="L3032" s="6">
        <v>3.9</v>
      </c>
      <c r="M3032" s="7">
        <v>40</v>
      </c>
      <c r="N3032" s="7">
        <v>140</v>
      </c>
      <c r="O3032" s="7">
        <f t="shared" si="233"/>
        <v>153.54330708661416</v>
      </c>
      <c r="P3032" s="7">
        <f t="shared" si="234"/>
        <v>1.5748031496062993</v>
      </c>
      <c r="Q3032" s="7">
        <f t="shared" si="234"/>
        <v>5.5118110236220472</v>
      </c>
      <c r="R3032" s="6">
        <f t="shared" si="235"/>
        <v>585.86400000000003</v>
      </c>
      <c r="S3032" s="6">
        <f t="shared" si="236"/>
        <v>2.1839999999999998E-2</v>
      </c>
      <c r="T3032" t="str">
        <f t="shared" si="237"/>
        <v>Maximo Thermo Ayous S4S E4E 2x6 Long</v>
      </c>
    </row>
    <row r="3033" spans="1:20" x14ac:dyDescent="0.25">
      <c r="A3033" t="s">
        <v>3073</v>
      </c>
      <c r="B3033" t="s">
        <v>3074</v>
      </c>
      <c r="C3033" t="s">
        <v>283</v>
      </c>
      <c r="D3033" t="s">
        <v>3044</v>
      </c>
      <c r="E3033" t="s">
        <v>3810</v>
      </c>
      <c r="F3033" t="s">
        <v>3806</v>
      </c>
      <c r="G3033" t="s">
        <v>3077</v>
      </c>
      <c r="H3033" t="s">
        <v>373</v>
      </c>
      <c r="I3033" t="s">
        <v>289</v>
      </c>
      <c r="J3033" t="s">
        <v>821</v>
      </c>
      <c r="K3033">
        <v>14</v>
      </c>
      <c r="L3033" s="6">
        <v>4.2</v>
      </c>
      <c r="M3033" s="7">
        <v>40</v>
      </c>
      <c r="N3033" s="7">
        <v>140</v>
      </c>
      <c r="O3033" s="7">
        <f t="shared" si="233"/>
        <v>165.35433070866142</v>
      </c>
      <c r="P3033" s="7">
        <f t="shared" si="234"/>
        <v>1.5748031496062993</v>
      </c>
      <c r="Q3033" s="7">
        <f t="shared" si="234"/>
        <v>5.5118110236220472</v>
      </c>
      <c r="R3033" s="6">
        <f t="shared" si="235"/>
        <v>585.86400000000003</v>
      </c>
      <c r="S3033" s="6">
        <f t="shared" si="236"/>
        <v>2.3520000000000003E-2</v>
      </c>
      <c r="T3033" t="str">
        <f t="shared" si="237"/>
        <v>Maximo Thermo Ayous S4S E4E 2x6 Long</v>
      </c>
    </row>
    <row r="3034" spans="1:20" x14ac:dyDescent="0.25">
      <c r="A3034" t="s">
        <v>3073</v>
      </c>
      <c r="B3034" t="s">
        <v>3074</v>
      </c>
      <c r="C3034" t="s">
        <v>283</v>
      </c>
      <c r="D3034" t="s">
        <v>3044</v>
      </c>
      <c r="E3034" t="s">
        <v>3811</v>
      </c>
      <c r="F3034" t="s">
        <v>3806</v>
      </c>
      <c r="G3034" t="s">
        <v>3077</v>
      </c>
      <c r="H3034" t="s">
        <v>373</v>
      </c>
      <c r="I3034" t="s">
        <v>289</v>
      </c>
      <c r="J3034" t="s">
        <v>821</v>
      </c>
      <c r="K3034">
        <v>15</v>
      </c>
      <c r="L3034" s="6">
        <v>4.5</v>
      </c>
      <c r="M3034" s="7">
        <v>40</v>
      </c>
      <c r="N3034" s="7">
        <v>140</v>
      </c>
      <c r="O3034" s="7">
        <f t="shared" si="233"/>
        <v>177.16535433070868</v>
      </c>
      <c r="P3034" s="7">
        <f t="shared" si="234"/>
        <v>1.5748031496062993</v>
      </c>
      <c r="Q3034" s="7">
        <f t="shared" si="234"/>
        <v>5.5118110236220472</v>
      </c>
      <c r="R3034" s="6">
        <f t="shared" si="235"/>
        <v>585.86400000000003</v>
      </c>
      <c r="S3034" s="6">
        <f t="shared" si="236"/>
        <v>2.52E-2</v>
      </c>
      <c r="T3034" t="str">
        <f t="shared" si="237"/>
        <v>Maximo Thermo Ayous S4S E4E 2x6 Long</v>
      </c>
    </row>
    <row r="3035" spans="1:20" x14ac:dyDescent="0.25">
      <c r="A3035" t="s">
        <v>3073</v>
      </c>
      <c r="B3035" t="s">
        <v>3074</v>
      </c>
      <c r="C3035" t="s">
        <v>283</v>
      </c>
      <c r="D3035" t="s">
        <v>3044</v>
      </c>
      <c r="E3035" t="s">
        <v>3812</v>
      </c>
      <c r="F3035" t="s">
        <v>3806</v>
      </c>
      <c r="G3035" t="s">
        <v>3077</v>
      </c>
      <c r="H3035" t="s">
        <v>373</v>
      </c>
      <c r="I3035" t="s">
        <v>289</v>
      </c>
      <c r="J3035" t="s">
        <v>821</v>
      </c>
      <c r="K3035">
        <v>16</v>
      </c>
      <c r="L3035" s="6">
        <v>4.8</v>
      </c>
      <c r="M3035" s="7">
        <v>40</v>
      </c>
      <c r="N3035" s="7">
        <v>140</v>
      </c>
      <c r="O3035" s="7">
        <f t="shared" si="233"/>
        <v>188.97637795275591</v>
      </c>
      <c r="P3035" s="7">
        <f t="shared" si="234"/>
        <v>1.5748031496062993</v>
      </c>
      <c r="Q3035" s="7">
        <f t="shared" si="234"/>
        <v>5.5118110236220472</v>
      </c>
      <c r="R3035" s="6">
        <f t="shared" si="235"/>
        <v>585.86400000000003</v>
      </c>
      <c r="S3035" s="6">
        <f t="shared" si="236"/>
        <v>2.6879999999999998E-2</v>
      </c>
      <c r="T3035" t="str">
        <f t="shared" si="237"/>
        <v>Maximo Thermo Ayous S4S E4E 2x6 Long</v>
      </c>
    </row>
    <row r="3036" spans="1:20" x14ac:dyDescent="0.25">
      <c r="A3036" t="s">
        <v>3073</v>
      </c>
      <c r="B3036" t="s">
        <v>3074</v>
      </c>
      <c r="C3036" t="s">
        <v>283</v>
      </c>
      <c r="D3036" t="s">
        <v>3044</v>
      </c>
      <c r="E3036" t="s">
        <v>3813</v>
      </c>
      <c r="F3036" t="s">
        <v>3806</v>
      </c>
      <c r="G3036" t="s">
        <v>3077</v>
      </c>
      <c r="H3036" t="s">
        <v>373</v>
      </c>
      <c r="I3036" t="s">
        <v>289</v>
      </c>
      <c r="J3036" t="s">
        <v>821</v>
      </c>
      <c r="K3036">
        <v>17</v>
      </c>
      <c r="L3036" s="6">
        <v>5.0999999999999996</v>
      </c>
      <c r="M3036" s="7">
        <v>40</v>
      </c>
      <c r="N3036" s="7">
        <v>140</v>
      </c>
      <c r="O3036" s="7">
        <f t="shared" si="233"/>
        <v>200.78740157480314</v>
      </c>
      <c r="P3036" s="7">
        <f t="shared" si="234"/>
        <v>1.5748031496062993</v>
      </c>
      <c r="Q3036" s="7">
        <f t="shared" si="234"/>
        <v>5.5118110236220472</v>
      </c>
      <c r="R3036" s="6">
        <f t="shared" si="235"/>
        <v>585.86400000000003</v>
      </c>
      <c r="S3036" s="6">
        <f t="shared" si="236"/>
        <v>2.8559999999999999E-2</v>
      </c>
      <c r="T3036" t="str">
        <f t="shared" si="237"/>
        <v>Maximo Thermo Ayous S4S E4E 2x6 Long</v>
      </c>
    </row>
    <row r="3037" spans="1:20" x14ac:dyDescent="0.25">
      <c r="A3037" t="s">
        <v>3073</v>
      </c>
      <c r="B3037" t="s">
        <v>3074</v>
      </c>
      <c r="C3037" t="s">
        <v>283</v>
      </c>
      <c r="D3037" t="s">
        <v>3044</v>
      </c>
      <c r="E3037" t="s">
        <v>3814</v>
      </c>
      <c r="F3037" t="s">
        <v>3806</v>
      </c>
      <c r="G3037" t="s">
        <v>3077</v>
      </c>
      <c r="H3037" t="s">
        <v>373</v>
      </c>
      <c r="I3037" t="s">
        <v>289</v>
      </c>
      <c r="J3037" t="s">
        <v>821</v>
      </c>
      <c r="K3037">
        <v>18</v>
      </c>
      <c r="L3037" s="6">
        <v>5.4</v>
      </c>
      <c r="M3037" s="7">
        <v>40</v>
      </c>
      <c r="N3037" s="7">
        <v>140</v>
      </c>
      <c r="O3037" s="7">
        <f t="shared" si="233"/>
        <v>212.59842519685043</v>
      </c>
      <c r="P3037" s="7">
        <f t="shared" si="234"/>
        <v>1.5748031496062993</v>
      </c>
      <c r="Q3037" s="7">
        <f t="shared" si="234"/>
        <v>5.5118110236220472</v>
      </c>
      <c r="R3037" s="6">
        <f t="shared" si="235"/>
        <v>585.86400000000003</v>
      </c>
      <c r="S3037" s="6">
        <f t="shared" si="236"/>
        <v>3.024E-2</v>
      </c>
      <c r="T3037" t="str">
        <f t="shared" si="237"/>
        <v>Maximo Thermo Ayous S4S E4E 2x6 Long</v>
      </c>
    </row>
    <row r="3038" spans="1:20" x14ac:dyDescent="0.25">
      <c r="A3038" t="s">
        <v>3073</v>
      </c>
      <c r="B3038" t="s">
        <v>3074</v>
      </c>
      <c r="C3038" t="s">
        <v>524</v>
      </c>
      <c r="D3038" t="s">
        <v>3044</v>
      </c>
      <c r="E3038" t="s">
        <v>3815</v>
      </c>
      <c r="F3038" t="s">
        <v>3806</v>
      </c>
      <c r="G3038" t="s">
        <v>3077</v>
      </c>
      <c r="H3038" t="s">
        <v>373</v>
      </c>
      <c r="I3038" t="s">
        <v>289</v>
      </c>
      <c r="J3038" t="s">
        <v>821</v>
      </c>
      <c r="K3038">
        <v>4</v>
      </c>
      <c r="L3038" s="6">
        <v>1.2</v>
      </c>
      <c r="M3038" s="7">
        <v>40</v>
      </c>
      <c r="N3038" s="7">
        <v>140</v>
      </c>
      <c r="O3038" s="7">
        <f t="shared" si="233"/>
        <v>47.244094488188978</v>
      </c>
      <c r="P3038" s="7">
        <f t="shared" si="234"/>
        <v>1.5748031496062993</v>
      </c>
      <c r="Q3038" s="7">
        <f t="shared" si="234"/>
        <v>5.5118110236220472</v>
      </c>
      <c r="R3038" s="6">
        <f t="shared" si="235"/>
        <v>585.86400000000003</v>
      </c>
      <c r="S3038" s="6">
        <f t="shared" si="236"/>
        <v>6.7199999999999994E-3</v>
      </c>
      <c r="T3038" t="str">
        <f t="shared" si="237"/>
        <v>Maximo Thermo Ayous S4S E4E 2x6 Short</v>
      </c>
    </row>
    <row r="3039" spans="1:20" x14ac:dyDescent="0.25">
      <c r="A3039" t="s">
        <v>3073</v>
      </c>
      <c r="B3039" t="s">
        <v>3074</v>
      </c>
      <c r="C3039" t="s">
        <v>524</v>
      </c>
      <c r="D3039" t="s">
        <v>3044</v>
      </c>
      <c r="E3039" t="s">
        <v>3816</v>
      </c>
      <c r="F3039" t="s">
        <v>3806</v>
      </c>
      <c r="G3039" t="s">
        <v>3077</v>
      </c>
      <c r="H3039" t="s">
        <v>373</v>
      </c>
      <c r="I3039" t="s">
        <v>289</v>
      </c>
      <c r="J3039" t="s">
        <v>821</v>
      </c>
      <c r="K3039">
        <v>5</v>
      </c>
      <c r="L3039" s="6">
        <v>1.5</v>
      </c>
      <c r="M3039" s="7">
        <v>40</v>
      </c>
      <c r="N3039" s="7">
        <v>140</v>
      </c>
      <c r="O3039" s="7">
        <f t="shared" si="233"/>
        <v>59.055118110236222</v>
      </c>
      <c r="P3039" s="7">
        <f t="shared" si="234"/>
        <v>1.5748031496062993</v>
      </c>
      <c r="Q3039" s="7">
        <f t="shared" si="234"/>
        <v>5.5118110236220472</v>
      </c>
      <c r="R3039" s="6">
        <f t="shared" si="235"/>
        <v>585.86400000000003</v>
      </c>
      <c r="S3039" s="6">
        <f t="shared" si="236"/>
        <v>8.4000000000000012E-3</v>
      </c>
      <c r="T3039" t="str">
        <f t="shared" si="237"/>
        <v>Maximo Thermo Ayous S4S E4E 2x6 Short</v>
      </c>
    </row>
    <row r="3040" spans="1:20" x14ac:dyDescent="0.25">
      <c r="A3040" t="s">
        <v>3073</v>
      </c>
      <c r="B3040" t="s">
        <v>3074</v>
      </c>
      <c r="C3040" t="s">
        <v>524</v>
      </c>
      <c r="D3040" t="s">
        <v>3044</v>
      </c>
      <c r="E3040" t="s">
        <v>3817</v>
      </c>
      <c r="F3040" t="s">
        <v>3806</v>
      </c>
      <c r="G3040" t="s">
        <v>3077</v>
      </c>
      <c r="H3040" t="s">
        <v>373</v>
      </c>
      <c r="I3040" t="s">
        <v>289</v>
      </c>
      <c r="J3040" t="s">
        <v>821</v>
      </c>
      <c r="K3040">
        <v>6</v>
      </c>
      <c r="L3040" s="6">
        <v>1.8</v>
      </c>
      <c r="M3040" s="7">
        <v>40</v>
      </c>
      <c r="N3040" s="7">
        <v>140</v>
      </c>
      <c r="O3040" s="7">
        <f t="shared" si="233"/>
        <v>70.866141732283467</v>
      </c>
      <c r="P3040" s="7">
        <f t="shared" si="234"/>
        <v>1.5748031496062993</v>
      </c>
      <c r="Q3040" s="7">
        <f t="shared" si="234"/>
        <v>5.5118110236220472</v>
      </c>
      <c r="R3040" s="6">
        <f t="shared" si="235"/>
        <v>585.86400000000003</v>
      </c>
      <c r="S3040" s="6">
        <f t="shared" si="236"/>
        <v>1.008E-2</v>
      </c>
      <c r="T3040" t="str">
        <f t="shared" si="237"/>
        <v>Maximo Thermo Ayous S4S E4E 2x6 Short</v>
      </c>
    </row>
    <row r="3041" spans="1:20" x14ac:dyDescent="0.25">
      <c r="A3041" t="s">
        <v>3073</v>
      </c>
      <c r="B3041" t="s">
        <v>3074</v>
      </c>
      <c r="C3041" t="s">
        <v>524</v>
      </c>
      <c r="D3041" t="s">
        <v>3044</v>
      </c>
      <c r="E3041" t="s">
        <v>3818</v>
      </c>
      <c r="F3041" t="s">
        <v>3806</v>
      </c>
      <c r="G3041" t="s">
        <v>3077</v>
      </c>
      <c r="H3041" t="s">
        <v>373</v>
      </c>
      <c r="I3041" t="s">
        <v>289</v>
      </c>
      <c r="J3041" t="s">
        <v>821</v>
      </c>
      <c r="K3041">
        <v>7</v>
      </c>
      <c r="L3041" s="6">
        <v>2.1</v>
      </c>
      <c r="M3041" s="7">
        <v>40</v>
      </c>
      <c r="N3041" s="7">
        <v>140</v>
      </c>
      <c r="O3041" s="7">
        <f t="shared" si="233"/>
        <v>82.677165354330711</v>
      </c>
      <c r="P3041" s="7">
        <f t="shared" si="234"/>
        <v>1.5748031496062993</v>
      </c>
      <c r="Q3041" s="7">
        <f t="shared" si="234"/>
        <v>5.5118110236220472</v>
      </c>
      <c r="R3041" s="6">
        <f t="shared" si="235"/>
        <v>585.86400000000003</v>
      </c>
      <c r="S3041" s="6">
        <f t="shared" si="236"/>
        <v>1.1760000000000001E-2</v>
      </c>
      <c r="T3041" t="str">
        <f t="shared" si="237"/>
        <v>Maximo Thermo Ayous S4S E4E 2x6 Short</v>
      </c>
    </row>
    <row r="3042" spans="1:20" x14ac:dyDescent="0.25">
      <c r="A3042" t="s">
        <v>3073</v>
      </c>
      <c r="B3042" t="s">
        <v>3074</v>
      </c>
      <c r="C3042" t="s">
        <v>283</v>
      </c>
      <c r="D3042" t="s">
        <v>3044</v>
      </c>
      <c r="E3042" t="s">
        <v>3819</v>
      </c>
      <c r="F3042" t="s">
        <v>3806</v>
      </c>
      <c r="G3042" t="s">
        <v>3077</v>
      </c>
      <c r="H3042" t="s">
        <v>373</v>
      </c>
      <c r="I3042" t="s">
        <v>289</v>
      </c>
      <c r="J3042" t="s">
        <v>821</v>
      </c>
      <c r="K3042">
        <v>8</v>
      </c>
      <c r="L3042" s="6">
        <v>2.4</v>
      </c>
      <c r="M3042" s="7">
        <v>40</v>
      </c>
      <c r="N3042" s="7">
        <v>140</v>
      </c>
      <c r="O3042" s="7">
        <f t="shared" si="233"/>
        <v>94.488188976377955</v>
      </c>
      <c r="P3042" s="7">
        <f t="shared" si="234"/>
        <v>1.5748031496062993</v>
      </c>
      <c r="Q3042" s="7">
        <f t="shared" si="234"/>
        <v>5.5118110236220472</v>
      </c>
      <c r="R3042" s="6">
        <f t="shared" si="235"/>
        <v>585.86400000000003</v>
      </c>
      <c r="S3042" s="6">
        <f t="shared" si="236"/>
        <v>1.3439999999999999E-2</v>
      </c>
      <c r="T3042" t="str">
        <f t="shared" si="237"/>
        <v>Maximo Thermo Ayous S4S E4E 2x6 Long</v>
      </c>
    </row>
    <row r="3043" spans="1:20" x14ac:dyDescent="0.25">
      <c r="A3043" t="s">
        <v>3073</v>
      </c>
      <c r="B3043" t="s">
        <v>3074</v>
      </c>
      <c r="C3043" t="s">
        <v>283</v>
      </c>
      <c r="D3043" t="s">
        <v>3044</v>
      </c>
      <c r="E3043" t="s">
        <v>102</v>
      </c>
      <c r="F3043" t="s">
        <v>3806</v>
      </c>
      <c r="G3043" t="s">
        <v>3077</v>
      </c>
      <c r="H3043" t="s">
        <v>373</v>
      </c>
      <c r="I3043" t="s">
        <v>289</v>
      </c>
      <c r="J3043" t="s">
        <v>821</v>
      </c>
      <c r="K3043">
        <v>9</v>
      </c>
      <c r="L3043" s="6">
        <v>2.7</v>
      </c>
      <c r="M3043" s="7">
        <v>40</v>
      </c>
      <c r="N3043" s="7">
        <v>140</v>
      </c>
      <c r="O3043" s="7">
        <f t="shared" si="233"/>
        <v>106.29921259842521</v>
      </c>
      <c r="P3043" s="7">
        <f t="shared" si="234"/>
        <v>1.5748031496062993</v>
      </c>
      <c r="Q3043" s="7">
        <f t="shared" si="234"/>
        <v>5.5118110236220472</v>
      </c>
      <c r="R3043" s="6">
        <f t="shared" si="235"/>
        <v>585.86400000000003</v>
      </c>
      <c r="S3043" s="6">
        <f t="shared" si="236"/>
        <v>1.512E-2</v>
      </c>
      <c r="T3043" t="str">
        <f t="shared" si="237"/>
        <v>Maximo Thermo Ayous S4S E4E 2x6 Long</v>
      </c>
    </row>
    <row r="3044" spans="1:20" x14ac:dyDescent="0.25">
      <c r="A3044" t="s">
        <v>3073</v>
      </c>
      <c r="B3044" t="s">
        <v>3820</v>
      </c>
      <c r="C3044" t="s">
        <v>283</v>
      </c>
      <c r="D3044" t="s">
        <v>3044</v>
      </c>
      <c r="E3044" t="s">
        <v>3821</v>
      </c>
      <c r="F3044" t="s">
        <v>3822</v>
      </c>
      <c r="G3044" t="s">
        <v>3077</v>
      </c>
      <c r="H3044" t="s">
        <v>373</v>
      </c>
      <c r="I3044" t="s">
        <v>289</v>
      </c>
      <c r="J3044" t="s">
        <v>1968</v>
      </c>
      <c r="K3044">
        <v>10</v>
      </c>
      <c r="L3044" s="6">
        <v>3</v>
      </c>
      <c r="M3044" s="7">
        <v>25</v>
      </c>
      <c r="N3044" s="7">
        <v>90</v>
      </c>
      <c r="O3044" s="7">
        <f t="shared" si="233"/>
        <v>118.11023622047244</v>
      </c>
      <c r="P3044" s="7">
        <f t="shared" si="234"/>
        <v>0.98425196850393704</v>
      </c>
      <c r="Q3044" s="7">
        <f t="shared" si="234"/>
        <v>3.5433070866141736</v>
      </c>
      <c r="R3044" s="6">
        <f t="shared" si="235"/>
        <v>1458.1510000000001</v>
      </c>
      <c r="S3044" s="6">
        <f t="shared" si="236"/>
        <v>6.7499999999999999E-3</v>
      </c>
      <c r="T3044" t="str">
        <f t="shared" si="237"/>
        <v>Maximo Thermo Ayous S4S E4E 5/4x4 Long</v>
      </c>
    </row>
    <row r="3045" spans="1:20" x14ac:dyDescent="0.25">
      <c r="A3045" t="s">
        <v>3073</v>
      </c>
      <c r="B3045" t="s">
        <v>3820</v>
      </c>
      <c r="C3045" t="s">
        <v>283</v>
      </c>
      <c r="D3045" t="s">
        <v>3044</v>
      </c>
      <c r="E3045" t="s">
        <v>196</v>
      </c>
      <c r="F3045" t="s">
        <v>3822</v>
      </c>
      <c r="G3045" t="s">
        <v>3077</v>
      </c>
      <c r="H3045" t="s">
        <v>373</v>
      </c>
      <c r="I3045" t="s">
        <v>289</v>
      </c>
      <c r="J3045" t="s">
        <v>1968</v>
      </c>
      <c r="K3045">
        <v>11</v>
      </c>
      <c r="L3045" s="6">
        <v>3.3</v>
      </c>
      <c r="M3045" s="7">
        <v>25</v>
      </c>
      <c r="N3045" s="7">
        <v>90</v>
      </c>
      <c r="O3045" s="7">
        <f t="shared" si="233"/>
        <v>129.92125984251967</v>
      </c>
      <c r="P3045" s="7">
        <f t="shared" si="234"/>
        <v>0.98425196850393704</v>
      </c>
      <c r="Q3045" s="7">
        <f t="shared" si="234"/>
        <v>3.5433070866141736</v>
      </c>
      <c r="R3045" s="6">
        <f t="shared" si="235"/>
        <v>1458.1510000000001</v>
      </c>
      <c r="S3045" s="6">
        <f t="shared" si="236"/>
        <v>7.425000000000001E-3</v>
      </c>
      <c r="T3045" t="str">
        <f t="shared" si="237"/>
        <v>Maximo Thermo Ayous S4S E4E 5/4x4 Long</v>
      </c>
    </row>
    <row r="3046" spans="1:20" x14ac:dyDescent="0.25">
      <c r="A3046" t="s">
        <v>3073</v>
      </c>
      <c r="B3046" t="s">
        <v>3820</v>
      </c>
      <c r="C3046" t="s">
        <v>283</v>
      </c>
      <c r="D3046" t="s">
        <v>3044</v>
      </c>
      <c r="E3046" t="s">
        <v>3823</v>
      </c>
      <c r="F3046" t="s">
        <v>3822</v>
      </c>
      <c r="G3046" t="s">
        <v>3077</v>
      </c>
      <c r="H3046" t="s">
        <v>373</v>
      </c>
      <c r="I3046" t="s">
        <v>289</v>
      </c>
      <c r="J3046" t="s">
        <v>1968</v>
      </c>
      <c r="K3046">
        <v>12</v>
      </c>
      <c r="L3046" s="6">
        <v>3.6</v>
      </c>
      <c r="M3046" s="7">
        <v>25</v>
      </c>
      <c r="N3046" s="7">
        <v>90</v>
      </c>
      <c r="O3046" s="7">
        <f t="shared" si="233"/>
        <v>141.73228346456693</v>
      </c>
      <c r="P3046" s="7">
        <f t="shared" si="234"/>
        <v>0.98425196850393704</v>
      </c>
      <c r="Q3046" s="7">
        <f t="shared" si="234"/>
        <v>3.5433070866141736</v>
      </c>
      <c r="R3046" s="6">
        <f t="shared" si="235"/>
        <v>1458.1510000000001</v>
      </c>
      <c r="S3046" s="6">
        <f t="shared" si="236"/>
        <v>8.0999999999999996E-3</v>
      </c>
      <c r="T3046" t="str">
        <f t="shared" si="237"/>
        <v>Maximo Thermo Ayous S4S E4E 5/4x4 Long</v>
      </c>
    </row>
    <row r="3047" spans="1:20" x14ac:dyDescent="0.25">
      <c r="A3047" t="s">
        <v>3073</v>
      </c>
      <c r="B3047" t="s">
        <v>3820</v>
      </c>
      <c r="C3047" t="s">
        <v>283</v>
      </c>
      <c r="D3047" t="s">
        <v>3044</v>
      </c>
      <c r="E3047" t="s">
        <v>3824</v>
      </c>
      <c r="F3047" t="s">
        <v>3822</v>
      </c>
      <c r="G3047" t="s">
        <v>3077</v>
      </c>
      <c r="H3047" t="s">
        <v>373</v>
      </c>
      <c r="I3047" t="s">
        <v>289</v>
      </c>
      <c r="J3047" t="s">
        <v>1968</v>
      </c>
      <c r="K3047">
        <v>13</v>
      </c>
      <c r="L3047" s="6">
        <v>3.9</v>
      </c>
      <c r="M3047" s="7">
        <v>25</v>
      </c>
      <c r="N3047" s="7">
        <v>90</v>
      </c>
      <c r="O3047" s="7">
        <f t="shared" si="233"/>
        <v>153.54330708661416</v>
      </c>
      <c r="P3047" s="7">
        <f t="shared" si="234"/>
        <v>0.98425196850393704</v>
      </c>
      <c r="Q3047" s="7">
        <f t="shared" si="234"/>
        <v>3.5433070866141736</v>
      </c>
      <c r="R3047" s="6">
        <f t="shared" si="235"/>
        <v>1458.1510000000001</v>
      </c>
      <c r="S3047" s="6">
        <f t="shared" si="236"/>
        <v>8.7749999999999998E-3</v>
      </c>
      <c r="T3047" t="str">
        <f t="shared" si="237"/>
        <v>Maximo Thermo Ayous S4S E4E 5/4x4 Long</v>
      </c>
    </row>
    <row r="3048" spans="1:20" x14ac:dyDescent="0.25">
      <c r="A3048" t="s">
        <v>3073</v>
      </c>
      <c r="B3048" t="s">
        <v>3820</v>
      </c>
      <c r="C3048" t="s">
        <v>283</v>
      </c>
      <c r="D3048" t="s">
        <v>3044</v>
      </c>
      <c r="E3048" t="s">
        <v>3825</v>
      </c>
      <c r="F3048" t="s">
        <v>3822</v>
      </c>
      <c r="G3048" t="s">
        <v>3077</v>
      </c>
      <c r="H3048" t="s">
        <v>373</v>
      </c>
      <c r="I3048" t="s">
        <v>289</v>
      </c>
      <c r="J3048" t="s">
        <v>1968</v>
      </c>
      <c r="K3048">
        <v>14</v>
      </c>
      <c r="L3048" s="6">
        <v>4.2</v>
      </c>
      <c r="M3048" s="7">
        <v>25</v>
      </c>
      <c r="N3048" s="7">
        <v>90</v>
      </c>
      <c r="O3048" s="7">
        <f t="shared" si="233"/>
        <v>165.35433070866142</v>
      </c>
      <c r="P3048" s="7">
        <f t="shared" si="234"/>
        <v>0.98425196850393704</v>
      </c>
      <c r="Q3048" s="7">
        <f t="shared" si="234"/>
        <v>3.5433070866141736</v>
      </c>
      <c r="R3048" s="6">
        <f t="shared" si="235"/>
        <v>1458.1510000000001</v>
      </c>
      <c r="S3048" s="6">
        <f t="shared" si="236"/>
        <v>9.4500000000000001E-3</v>
      </c>
      <c r="T3048" t="str">
        <f t="shared" si="237"/>
        <v>Maximo Thermo Ayous S4S E4E 5/4x4 Long</v>
      </c>
    </row>
    <row r="3049" spans="1:20" x14ac:dyDescent="0.25">
      <c r="A3049" t="s">
        <v>3073</v>
      </c>
      <c r="B3049" t="s">
        <v>3820</v>
      </c>
      <c r="C3049" t="s">
        <v>283</v>
      </c>
      <c r="D3049" t="s">
        <v>3044</v>
      </c>
      <c r="E3049" t="s">
        <v>3826</v>
      </c>
      <c r="F3049" t="s">
        <v>3822</v>
      </c>
      <c r="G3049" t="s">
        <v>3077</v>
      </c>
      <c r="H3049" t="s">
        <v>373</v>
      </c>
      <c r="I3049" t="s">
        <v>289</v>
      </c>
      <c r="J3049" t="s">
        <v>1968</v>
      </c>
      <c r="K3049">
        <v>15</v>
      </c>
      <c r="L3049" s="6">
        <v>4.5</v>
      </c>
      <c r="M3049" s="7">
        <v>25</v>
      </c>
      <c r="N3049" s="7">
        <v>90</v>
      </c>
      <c r="O3049" s="7">
        <f t="shared" si="233"/>
        <v>177.16535433070868</v>
      </c>
      <c r="P3049" s="7">
        <f t="shared" si="234"/>
        <v>0.98425196850393704</v>
      </c>
      <c r="Q3049" s="7">
        <f t="shared" si="234"/>
        <v>3.5433070866141736</v>
      </c>
      <c r="R3049" s="6">
        <f t="shared" si="235"/>
        <v>1458.1510000000001</v>
      </c>
      <c r="S3049" s="6">
        <f t="shared" si="236"/>
        <v>1.0125E-2</v>
      </c>
      <c r="T3049" t="str">
        <f t="shared" si="237"/>
        <v>Maximo Thermo Ayous S4S E4E 5/4x4 Long</v>
      </c>
    </row>
    <row r="3050" spans="1:20" x14ac:dyDescent="0.25">
      <c r="A3050" t="s">
        <v>3073</v>
      </c>
      <c r="B3050" t="s">
        <v>3820</v>
      </c>
      <c r="C3050" t="s">
        <v>283</v>
      </c>
      <c r="D3050" t="s">
        <v>3044</v>
      </c>
      <c r="E3050" t="s">
        <v>3827</v>
      </c>
      <c r="F3050" t="s">
        <v>3822</v>
      </c>
      <c r="G3050" t="s">
        <v>3077</v>
      </c>
      <c r="H3050" t="s">
        <v>373</v>
      </c>
      <c r="I3050" t="s">
        <v>289</v>
      </c>
      <c r="J3050" t="s">
        <v>1968</v>
      </c>
      <c r="K3050">
        <v>16</v>
      </c>
      <c r="L3050" s="6">
        <v>4.8</v>
      </c>
      <c r="M3050" s="7">
        <v>25</v>
      </c>
      <c r="N3050" s="7">
        <v>90</v>
      </c>
      <c r="O3050" s="7">
        <f t="shared" si="233"/>
        <v>188.97637795275591</v>
      </c>
      <c r="P3050" s="7">
        <f t="shared" si="234"/>
        <v>0.98425196850393704</v>
      </c>
      <c r="Q3050" s="7">
        <f t="shared" si="234"/>
        <v>3.5433070866141736</v>
      </c>
      <c r="R3050" s="6">
        <f t="shared" si="235"/>
        <v>1458.1510000000001</v>
      </c>
      <c r="S3050" s="6">
        <f t="shared" si="236"/>
        <v>1.0799999999999999E-2</v>
      </c>
      <c r="T3050" t="str">
        <f t="shared" si="237"/>
        <v>Maximo Thermo Ayous S4S E4E 5/4x4 Long</v>
      </c>
    </row>
    <row r="3051" spans="1:20" x14ac:dyDescent="0.25">
      <c r="A3051" t="s">
        <v>3073</v>
      </c>
      <c r="B3051" t="s">
        <v>3820</v>
      </c>
      <c r="C3051" t="s">
        <v>283</v>
      </c>
      <c r="D3051" t="s">
        <v>3044</v>
      </c>
      <c r="E3051" t="s">
        <v>3828</v>
      </c>
      <c r="F3051" t="s">
        <v>3822</v>
      </c>
      <c r="G3051" t="s">
        <v>3077</v>
      </c>
      <c r="H3051" t="s">
        <v>373</v>
      </c>
      <c r="I3051" t="s">
        <v>289</v>
      </c>
      <c r="J3051" t="s">
        <v>1968</v>
      </c>
      <c r="K3051">
        <v>17</v>
      </c>
      <c r="L3051" s="6">
        <v>5.0999999999999996</v>
      </c>
      <c r="M3051" s="7">
        <v>25</v>
      </c>
      <c r="N3051" s="7">
        <v>90</v>
      </c>
      <c r="O3051" s="7">
        <f t="shared" si="233"/>
        <v>200.78740157480314</v>
      </c>
      <c r="P3051" s="7">
        <f t="shared" si="234"/>
        <v>0.98425196850393704</v>
      </c>
      <c r="Q3051" s="7">
        <f t="shared" si="234"/>
        <v>3.5433070866141736</v>
      </c>
      <c r="R3051" s="6">
        <f t="shared" si="235"/>
        <v>1458.1510000000001</v>
      </c>
      <c r="S3051" s="6">
        <f t="shared" si="236"/>
        <v>1.1474999999999997E-2</v>
      </c>
      <c r="T3051" t="str">
        <f t="shared" si="237"/>
        <v>Maximo Thermo Ayous S4S E4E 5/4x4 Long</v>
      </c>
    </row>
    <row r="3052" spans="1:20" x14ac:dyDescent="0.25">
      <c r="A3052" t="s">
        <v>3073</v>
      </c>
      <c r="B3052" t="s">
        <v>3820</v>
      </c>
      <c r="C3052" t="s">
        <v>283</v>
      </c>
      <c r="D3052" t="s">
        <v>3044</v>
      </c>
      <c r="E3052" t="s">
        <v>3829</v>
      </c>
      <c r="F3052" t="s">
        <v>3822</v>
      </c>
      <c r="G3052" t="s">
        <v>3077</v>
      </c>
      <c r="H3052" t="s">
        <v>373</v>
      </c>
      <c r="I3052" t="s">
        <v>289</v>
      </c>
      <c r="J3052" t="s">
        <v>1968</v>
      </c>
      <c r="K3052">
        <v>18</v>
      </c>
      <c r="L3052" s="6">
        <v>5.4</v>
      </c>
      <c r="M3052" s="7">
        <v>25</v>
      </c>
      <c r="N3052" s="7">
        <v>90</v>
      </c>
      <c r="O3052" s="7">
        <f t="shared" si="233"/>
        <v>212.59842519685043</v>
      </c>
      <c r="P3052" s="7">
        <f t="shared" si="234"/>
        <v>0.98425196850393704</v>
      </c>
      <c r="Q3052" s="7">
        <f t="shared" si="234"/>
        <v>3.5433070866141736</v>
      </c>
      <c r="R3052" s="6">
        <f t="shared" si="235"/>
        <v>1458.1510000000001</v>
      </c>
      <c r="S3052" s="6">
        <f t="shared" si="236"/>
        <v>1.2150000000000001E-2</v>
      </c>
      <c r="T3052" t="str">
        <f t="shared" si="237"/>
        <v>Maximo Thermo Ayous S4S E4E 5/4x4 Long</v>
      </c>
    </row>
    <row r="3053" spans="1:20" x14ac:dyDescent="0.25">
      <c r="A3053" t="s">
        <v>3073</v>
      </c>
      <c r="B3053" t="s">
        <v>3820</v>
      </c>
      <c r="C3053" t="s">
        <v>524</v>
      </c>
      <c r="D3053" t="s">
        <v>3044</v>
      </c>
      <c r="E3053" t="s">
        <v>3830</v>
      </c>
      <c r="F3053" t="s">
        <v>3822</v>
      </c>
      <c r="G3053" t="s">
        <v>3077</v>
      </c>
      <c r="H3053" t="s">
        <v>373</v>
      </c>
      <c r="I3053" t="s">
        <v>289</v>
      </c>
      <c r="J3053" t="s">
        <v>1968</v>
      </c>
      <c r="K3053">
        <v>4</v>
      </c>
      <c r="L3053" s="6">
        <v>1.2</v>
      </c>
      <c r="M3053" s="7">
        <v>25</v>
      </c>
      <c r="N3053" s="7">
        <v>90</v>
      </c>
      <c r="O3053" s="7">
        <f t="shared" si="233"/>
        <v>47.244094488188978</v>
      </c>
      <c r="P3053" s="7">
        <f t="shared" si="234"/>
        <v>0.98425196850393704</v>
      </c>
      <c r="Q3053" s="7">
        <f t="shared" si="234"/>
        <v>3.5433070866141736</v>
      </c>
      <c r="R3053" s="6">
        <f t="shared" si="235"/>
        <v>1458.1510000000001</v>
      </c>
      <c r="S3053" s="6">
        <f t="shared" si="236"/>
        <v>2.6999999999999997E-3</v>
      </c>
      <c r="T3053" t="str">
        <f t="shared" si="237"/>
        <v>Maximo Thermo Ayous S4S E4E 5/4x4 Short</v>
      </c>
    </row>
    <row r="3054" spans="1:20" x14ac:dyDescent="0.25">
      <c r="A3054" t="s">
        <v>3073</v>
      </c>
      <c r="B3054" t="s">
        <v>3820</v>
      </c>
      <c r="C3054" t="s">
        <v>524</v>
      </c>
      <c r="D3054" t="s">
        <v>3044</v>
      </c>
      <c r="E3054" t="s">
        <v>3831</v>
      </c>
      <c r="F3054" t="s">
        <v>3822</v>
      </c>
      <c r="G3054" t="s">
        <v>3077</v>
      </c>
      <c r="H3054" t="s">
        <v>373</v>
      </c>
      <c r="I3054" t="s">
        <v>289</v>
      </c>
      <c r="J3054" t="s">
        <v>1968</v>
      </c>
      <c r="K3054">
        <v>5</v>
      </c>
      <c r="L3054" s="6">
        <v>1.5</v>
      </c>
      <c r="M3054" s="7">
        <v>25</v>
      </c>
      <c r="N3054" s="7">
        <v>90</v>
      </c>
      <c r="O3054" s="7">
        <f t="shared" si="233"/>
        <v>59.055118110236222</v>
      </c>
      <c r="P3054" s="7">
        <f t="shared" si="234"/>
        <v>0.98425196850393704</v>
      </c>
      <c r="Q3054" s="7">
        <f t="shared" si="234"/>
        <v>3.5433070866141736</v>
      </c>
      <c r="R3054" s="6">
        <f t="shared" si="235"/>
        <v>1458.1510000000001</v>
      </c>
      <c r="S3054" s="6">
        <f t="shared" si="236"/>
        <v>3.375E-3</v>
      </c>
      <c r="T3054" t="str">
        <f t="shared" si="237"/>
        <v>Maximo Thermo Ayous S4S E4E 5/4x4 Short</v>
      </c>
    </row>
    <row r="3055" spans="1:20" x14ac:dyDescent="0.25">
      <c r="A3055" t="s">
        <v>3073</v>
      </c>
      <c r="B3055" t="s">
        <v>3820</v>
      </c>
      <c r="C3055" t="s">
        <v>524</v>
      </c>
      <c r="D3055" t="s">
        <v>3044</v>
      </c>
      <c r="E3055" t="s">
        <v>3832</v>
      </c>
      <c r="F3055" t="s">
        <v>3822</v>
      </c>
      <c r="G3055" t="s">
        <v>3077</v>
      </c>
      <c r="H3055" t="s">
        <v>373</v>
      </c>
      <c r="I3055" t="s">
        <v>289</v>
      </c>
      <c r="J3055" t="s">
        <v>1968</v>
      </c>
      <c r="K3055">
        <v>6</v>
      </c>
      <c r="L3055" s="6">
        <v>1.8</v>
      </c>
      <c r="M3055" s="7">
        <v>25</v>
      </c>
      <c r="N3055" s="7">
        <v>90</v>
      </c>
      <c r="O3055" s="7">
        <f t="shared" si="233"/>
        <v>70.866141732283467</v>
      </c>
      <c r="P3055" s="7">
        <f t="shared" si="234"/>
        <v>0.98425196850393704</v>
      </c>
      <c r="Q3055" s="7">
        <f t="shared" si="234"/>
        <v>3.5433070866141736</v>
      </c>
      <c r="R3055" s="6">
        <f t="shared" si="235"/>
        <v>1458.1510000000001</v>
      </c>
      <c r="S3055" s="6">
        <f t="shared" si="236"/>
        <v>4.0499999999999998E-3</v>
      </c>
      <c r="T3055" t="str">
        <f t="shared" si="237"/>
        <v>Maximo Thermo Ayous S4S E4E 5/4x4 Short</v>
      </c>
    </row>
    <row r="3056" spans="1:20" x14ac:dyDescent="0.25">
      <c r="A3056" t="s">
        <v>3073</v>
      </c>
      <c r="B3056" t="s">
        <v>3820</v>
      </c>
      <c r="C3056" t="s">
        <v>524</v>
      </c>
      <c r="D3056" t="s">
        <v>3044</v>
      </c>
      <c r="E3056" t="s">
        <v>194</v>
      </c>
      <c r="F3056" t="s">
        <v>3822</v>
      </c>
      <c r="G3056" t="s">
        <v>3077</v>
      </c>
      <c r="H3056" t="s">
        <v>373</v>
      </c>
      <c r="I3056" t="s">
        <v>289</v>
      </c>
      <c r="J3056" t="s">
        <v>1968</v>
      </c>
      <c r="K3056">
        <v>7</v>
      </c>
      <c r="L3056" s="6">
        <v>2.1</v>
      </c>
      <c r="M3056" s="7">
        <v>25</v>
      </c>
      <c r="N3056" s="7">
        <v>90</v>
      </c>
      <c r="O3056" s="7">
        <f t="shared" ref="O3056:O3119" si="238">L3056/0.0254</f>
        <v>82.677165354330711</v>
      </c>
      <c r="P3056" s="7">
        <f t="shared" ref="P3056:Q3119" si="239">M3056/25.4</f>
        <v>0.98425196850393704</v>
      </c>
      <c r="Q3056" s="7">
        <f t="shared" si="239"/>
        <v>3.5433070866141736</v>
      </c>
      <c r="R3056" s="6">
        <f t="shared" ref="R3056:R3119" si="240">ROUND(IFERROR(1/((M3056*N3056*0.3048)/1000000),0),3)</f>
        <v>1458.1510000000001</v>
      </c>
      <c r="S3056" s="6">
        <f t="shared" ref="S3056:S3119" si="241">L3056*M3056/1000*N3056/1000</f>
        <v>4.725E-3</v>
      </c>
      <c r="T3056" t="str">
        <f t="shared" si="237"/>
        <v>Maximo Thermo Ayous S4S E4E 5/4x4 Short</v>
      </c>
    </row>
    <row r="3057" spans="1:20" x14ac:dyDescent="0.25">
      <c r="A3057" t="s">
        <v>3073</v>
      </c>
      <c r="B3057" t="s">
        <v>3820</v>
      </c>
      <c r="C3057" t="s">
        <v>283</v>
      </c>
      <c r="D3057" t="s">
        <v>3044</v>
      </c>
      <c r="E3057" t="s">
        <v>3833</v>
      </c>
      <c r="F3057" t="s">
        <v>3822</v>
      </c>
      <c r="G3057" t="s">
        <v>3077</v>
      </c>
      <c r="H3057" t="s">
        <v>373</v>
      </c>
      <c r="I3057" t="s">
        <v>289</v>
      </c>
      <c r="J3057" t="s">
        <v>1968</v>
      </c>
      <c r="K3057">
        <v>8</v>
      </c>
      <c r="L3057" s="6">
        <v>2.4</v>
      </c>
      <c r="M3057" s="7">
        <v>25</v>
      </c>
      <c r="N3057" s="7">
        <v>90</v>
      </c>
      <c r="O3057" s="7">
        <f t="shared" si="238"/>
        <v>94.488188976377955</v>
      </c>
      <c r="P3057" s="7">
        <f t="shared" si="239"/>
        <v>0.98425196850393704</v>
      </c>
      <c r="Q3057" s="7">
        <f t="shared" si="239"/>
        <v>3.5433070866141736</v>
      </c>
      <c r="R3057" s="6">
        <f t="shared" si="240"/>
        <v>1458.1510000000001</v>
      </c>
      <c r="S3057" s="6">
        <f t="shared" si="241"/>
        <v>5.3999999999999994E-3</v>
      </c>
      <c r="T3057" t="str">
        <f t="shared" si="237"/>
        <v>Maximo Thermo Ayous S4S E4E 5/4x4 Long</v>
      </c>
    </row>
    <row r="3058" spans="1:20" x14ac:dyDescent="0.25">
      <c r="A3058" t="s">
        <v>3073</v>
      </c>
      <c r="B3058" t="s">
        <v>3820</v>
      </c>
      <c r="C3058" t="s">
        <v>283</v>
      </c>
      <c r="D3058" t="s">
        <v>3044</v>
      </c>
      <c r="E3058" t="s">
        <v>195</v>
      </c>
      <c r="F3058" t="s">
        <v>3822</v>
      </c>
      <c r="G3058" t="s">
        <v>3077</v>
      </c>
      <c r="H3058" t="s">
        <v>373</v>
      </c>
      <c r="I3058" t="s">
        <v>289</v>
      </c>
      <c r="J3058" t="s">
        <v>1968</v>
      </c>
      <c r="K3058">
        <v>9</v>
      </c>
      <c r="L3058" s="6">
        <v>2.7</v>
      </c>
      <c r="M3058" s="7">
        <v>25</v>
      </c>
      <c r="N3058" s="7">
        <v>90</v>
      </c>
      <c r="O3058" s="7">
        <f t="shared" si="238"/>
        <v>106.29921259842521</v>
      </c>
      <c r="P3058" s="7">
        <f t="shared" si="239"/>
        <v>0.98425196850393704</v>
      </c>
      <c r="Q3058" s="7">
        <f t="shared" si="239"/>
        <v>3.5433070866141736</v>
      </c>
      <c r="R3058" s="6">
        <f t="shared" si="240"/>
        <v>1458.1510000000001</v>
      </c>
      <c r="S3058" s="6">
        <f t="shared" si="241"/>
        <v>6.0750000000000005E-3</v>
      </c>
      <c r="T3058" t="str">
        <f t="shared" si="237"/>
        <v>Maximo Thermo Ayous S4S E4E 5/4x4 Long</v>
      </c>
    </row>
    <row r="3059" spans="1:20" x14ac:dyDescent="0.25">
      <c r="A3059" t="s">
        <v>3073</v>
      </c>
      <c r="B3059" t="s">
        <v>3666</v>
      </c>
      <c r="C3059" t="s">
        <v>283</v>
      </c>
      <c r="D3059" t="s">
        <v>3044</v>
      </c>
      <c r="E3059" t="s">
        <v>3834</v>
      </c>
      <c r="F3059" t="s">
        <v>3835</v>
      </c>
      <c r="G3059" t="s">
        <v>3077</v>
      </c>
      <c r="H3059" t="s">
        <v>373</v>
      </c>
      <c r="I3059" t="s">
        <v>289</v>
      </c>
      <c r="J3059" t="s">
        <v>301</v>
      </c>
      <c r="K3059">
        <v>10</v>
      </c>
      <c r="L3059" s="6">
        <v>3</v>
      </c>
      <c r="M3059" s="7">
        <v>25</v>
      </c>
      <c r="N3059" s="7">
        <v>140</v>
      </c>
      <c r="O3059" s="7">
        <f t="shared" si="238"/>
        <v>118.11023622047244</v>
      </c>
      <c r="P3059" s="7">
        <f t="shared" si="239"/>
        <v>0.98425196850393704</v>
      </c>
      <c r="Q3059" s="7">
        <f t="shared" si="239"/>
        <v>5.5118110236220472</v>
      </c>
      <c r="R3059" s="6">
        <f t="shared" si="240"/>
        <v>937.38300000000004</v>
      </c>
      <c r="S3059" s="6">
        <f t="shared" si="241"/>
        <v>1.0500000000000001E-2</v>
      </c>
      <c r="T3059" t="str">
        <f t="shared" si="237"/>
        <v>Maximo Thermo Ayous S4S E4E 5/4x6 Long</v>
      </c>
    </row>
    <row r="3060" spans="1:20" x14ac:dyDescent="0.25">
      <c r="A3060" t="s">
        <v>3073</v>
      </c>
      <c r="B3060" t="s">
        <v>3666</v>
      </c>
      <c r="C3060" t="s">
        <v>283</v>
      </c>
      <c r="D3060" t="s">
        <v>3044</v>
      </c>
      <c r="E3060" t="s">
        <v>3836</v>
      </c>
      <c r="F3060" t="s">
        <v>3835</v>
      </c>
      <c r="G3060" t="s">
        <v>3077</v>
      </c>
      <c r="H3060" t="s">
        <v>373</v>
      </c>
      <c r="I3060" t="s">
        <v>289</v>
      </c>
      <c r="J3060" t="s">
        <v>301</v>
      </c>
      <c r="K3060">
        <v>11</v>
      </c>
      <c r="L3060" s="6">
        <v>3.3</v>
      </c>
      <c r="M3060" s="7">
        <v>25</v>
      </c>
      <c r="N3060" s="7">
        <v>140</v>
      </c>
      <c r="O3060" s="7">
        <f t="shared" si="238"/>
        <v>129.92125984251967</v>
      </c>
      <c r="P3060" s="7">
        <f t="shared" si="239"/>
        <v>0.98425196850393704</v>
      </c>
      <c r="Q3060" s="7">
        <f t="shared" si="239"/>
        <v>5.5118110236220472</v>
      </c>
      <c r="R3060" s="6">
        <f t="shared" si="240"/>
        <v>937.38300000000004</v>
      </c>
      <c r="S3060" s="6">
        <f t="shared" si="241"/>
        <v>1.1550000000000001E-2</v>
      </c>
      <c r="T3060" t="str">
        <f t="shared" si="237"/>
        <v>Maximo Thermo Ayous S4S E4E 5/4x6 Long</v>
      </c>
    </row>
    <row r="3061" spans="1:20" x14ac:dyDescent="0.25">
      <c r="A3061" t="s">
        <v>3073</v>
      </c>
      <c r="B3061" t="s">
        <v>3666</v>
      </c>
      <c r="C3061" t="s">
        <v>283</v>
      </c>
      <c r="D3061" t="s">
        <v>3044</v>
      </c>
      <c r="E3061" t="s">
        <v>3837</v>
      </c>
      <c r="F3061" t="s">
        <v>3835</v>
      </c>
      <c r="G3061" t="s">
        <v>3077</v>
      </c>
      <c r="H3061" t="s">
        <v>373</v>
      </c>
      <c r="I3061" t="s">
        <v>289</v>
      </c>
      <c r="J3061" t="s">
        <v>301</v>
      </c>
      <c r="K3061">
        <v>12</v>
      </c>
      <c r="L3061" s="6">
        <v>3.6</v>
      </c>
      <c r="M3061" s="7">
        <v>25</v>
      </c>
      <c r="N3061" s="7">
        <v>140</v>
      </c>
      <c r="O3061" s="7">
        <f t="shared" si="238"/>
        <v>141.73228346456693</v>
      </c>
      <c r="P3061" s="7">
        <f t="shared" si="239"/>
        <v>0.98425196850393704</v>
      </c>
      <c r="Q3061" s="7">
        <f t="shared" si="239"/>
        <v>5.5118110236220472</v>
      </c>
      <c r="R3061" s="6">
        <f t="shared" si="240"/>
        <v>937.38300000000004</v>
      </c>
      <c r="S3061" s="6">
        <f t="shared" si="241"/>
        <v>1.26E-2</v>
      </c>
      <c r="T3061" t="str">
        <f t="shared" si="237"/>
        <v>Maximo Thermo Ayous S4S E4E 5/4x6 Long</v>
      </c>
    </row>
    <row r="3062" spans="1:20" x14ac:dyDescent="0.25">
      <c r="A3062" t="s">
        <v>3073</v>
      </c>
      <c r="B3062" t="s">
        <v>3666</v>
      </c>
      <c r="C3062" t="s">
        <v>283</v>
      </c>
      <c r="D3062" t="s">
        <v>3044</v>
      </c>
      <c r="E3062" t="s">
        <v>3838</v>
      </c>
      <c r="F3062" t="s">
        <v>3835</v>
      </c>
      <c r="G3062" t="s">
        <v>3077</v>
      </c>
      <c r="H3062" t="s">
        <v>373</v>
      </c>
      <c r="I3062" t="s">
        <v>289</v>
      </c>
      <c r="J3062" t="s">
        <v>301</v>
      </c>
      <c r="K3062">
        <v>13</v>
      </c>
      <c r="L3062" s="6">
        <v>3.9</v>
      </c>
      <c r="M3062" s="7">
        <v>25</v>
      </c>
      <c r="N3062" s="7">
        <v>140</v>
      </c>
      <c r="O3062" s="7">
        <f t="shared" si="238"/>
        <v>153.54330708661416</v>
      </c>
      <c r="P3062" s="7">
        <f t="shared" si="239"/>
        <v>0.98425196850393704</v>
      </c>
      <c r="Q3062" s="7">
        <f t="shared" si="239"/>
        <v>5.5118110236220472</v>
      </c>
      <c r="R3062" s="6">
        <f t="shared" si="240"/>
        <v>937.38300000000004</v>
      </c>
      <c r="S3062" s="6">
        <f t="shared" si="241"/>
        <v>1.3650000000000001E-2</v>
      </c>
      <c r="T3062" t="str">
        <f t="shared" si="237"/>
        <v>Maximo Thermo Ayous S4S E4E 5/4x6 Long</v>
      </c>
    </row>
    <row r="3063" spans="1:20" x14ac:dyDescent="0.25">
      <c r="A3063" t="s">
        <v>3073</v>
      </c>
      <c r="B3063" t="s">
        <v>3666</v>
      </c>
      <c r="C3063" t="s">
        <v>283</v>
      </c>
      <c r="D3063" t="s">
        <v>3044</v>
      </c>
      <c r="E3063" t="s">
        <v>3839</v>
      </c>
      <c r="F3063" t="s">
        <v>3835</v>
      </c>
      <c r="G3063" t="s">
        <v>3077</v>
      </c>
      <c r="H3063" t="s">
        <v>373</v>
      </c>
      <c r="I3063" t="s">
        <v>289</v>
      </c>
      <c r="J3063" t="s">
        <v>301</v>
      </c>
      <c r="K3063">
        <v>14</v>
      </c>
      <c r="L3063" s="6">
        <v>4.2</v>
      </c>
      <c r="M3063" s="7">
        <v>25</v>
      </c>
      <c r="N3063" s="7">
        <v>140</v>
      </c>
      <c r="O3063" s="7">
        <f t="shared" si="238"/>
        <v>165.35433070866142</v>
      </c>
      <c r="P3063" s="7">
        <f t="shared" si="239"/>
        <v>0.98425196850393704</v>
      </c>
      <c r="Q3063" s="7">
        <f t="shared" si="239"/>
        <v>5.5118110236220472</v>
      </c>
      <c r="R3063" s="6">
        <f t="shared" si="240"/>
        <v>937.38300000000004</v>
      </c>
      <c r="S3063" s="6">
        <f t="shared" si="241"/>
        <v>1.47E-2</v>
      </c>
      <c r="T3063" t="str">
        <f t="shared" si="237"/>
        <v>Maximo Thermo Ayous S4S E4E 5/4x6 Long</v>
      </c>
    </row>
    <row r="3064" spans="1:20" x14ac:dyDescent="0.25">
      <c r="A3064" t="s">
        <v>3073</v>
      </c>
      <c r="B3064" t="s">
        <v>3666</v>
      </c>
      <c r="C3064" t="s">
        <v>283</v>
      </c>
      <c r="D3064" t="s">
        <v>3044</v>
      </c>
      <c r="E3064" t="s">
        <v>3840</v>
      </c>
      <c r="F3064" t="s">
        <v>3835</v>
      </c>
      <c r="G3064" t="s">
        <v>3077</v>
      </c>
      <c r="H3064" t="s">
        <v>373</v>
      </c>
      <c r="I3064" t="s">
        <v>289</v>
      </c>
      <c r="J3064" t="s">
        <v>301</v>
      </c>
      <c r="K3064">
        <v>15</v>
      </c>
      <c r="L3064" s="6">
        <v>4.5</v>
      </c>
      <c r="M3064" s="7">
        <v>25</v>
      </c>
      <c r="N3064" s="7">
        <v>140</v>
      </c>
      <c r="O3064" s="7">
        <f t="shared" si="238"/>
        <v>177.16535433070868</v>
      </c>
      <c r="P3064" s="7">
        <f t="shared" si="239"/>
        <v>0.98425196850393704</v>
      </c>
      <c r="Q3064" s="7">
        <f t="shared" si="239"/>
        <v>5.5118110236220472</v>
      </c>
      <c r="R3064" s="6">
        <f t="shared" si="240"/>
        <v>937.38300000000004</v>
      </c>
      <c r="S3064" s="6">
        <f t="shared" si="241"/>
        <v>1.575E-2</v>
      </c>
      <c r="T3064" t="str">
        <f t="shared" si="237"/>
        <v>Maximo Thermo Ayous S4S E4E 5/4x6 Long</v>
      </c>
    </row>
    <row r="3065" spans="1:20" x14ac:dyDescent="0.25">
      <c r="A3065" t="s">
        <v>3073</v>
      </c>
      <c r="B3065" t="s">
        <v>3666</v>
      </c>
      <c r="C3065" t="s">
        <v>283</v>
      </c>
      <c r="D3065" t="s">
        <v>3044</v>
      </c>
      <c r="E3065" t="s">
        <v>3841</v>
      </c>
      <c r="F3065" t="s">
        <v>3835</v>
      </c>
      <c r="G3065" t="s">
        <v>3077</v>
      </c>
      <c r="H3065" t="s">
        <v>373</v>
      </c>
      <c r="I3065" t="s">
        <v>289</v>
      </c>
      <c r="J3065" t="s">
        <v>301</v>
      </c>
      <c r="K3065">
        <v>16</v>
      </c>
      <c r="L3065" s="6">
        <v>4.8</v>
      </c>
      <c r="M3065" s="7">
        <v>25</v>
      </c>
      <c r="N3065" s="7">
        <v>140</v>
      </c>
      <c r="O3065" s="7">
        <f t="shared" si="238"/>
        <v>188.97637795275591</v>
      </c>
      <c r="P3065" s="7">
        <f t="shared" si="239"/>
        <v>0.98425196850393704</v>
      </c>
      <c r="Q3065" s="7">
        <f t="shared" si="239"/>
        <v>5.5118110236220472</v>
      </c>
      <c r="R3065" s="6">
        <f t="shared" si="240"/>
        <v>937.38300000000004</v>
      </c>
      <c r="S3065" s="6">
        <f t="shared" si="241"/>
        <v>1.6800000000000002E-2</v>
      </c>
      <c r="T3065" t="str">
        <f t="shared" si="237"/>
        <v>Maximo Thermo Ayous S4S E4E 5/4x6 Long</v>
      </c>
    </row>
    <row r="3066" spans="1:20" x14ac:dyDescent="0.25">
      <c r="A3066" t="s">
        <v>3073</v>
      </c>
      <c r="B3066" t="s">
        <v>3666</v>
      </c>
      <c r="C3066" t="s">
        <v>283</v>
      </c>
      <c r="D3066" t="s">
        <v>3044</v>
      </c>
      <c r="E3066" t="s">
        <v>3842</v>
      </c>
      <c r="F3066" t="s">
        <v>3835</v>
      </c>
      <c r="G3066" t="s">
        <v>3077</v>
      </c>
      <c r="H3066" t="s">
        <v>373</v>
      </c>
      <c r="I3066" t="s">
        <v>289</v>
      </c>
      <c r="J3066" t="s">
        <v>301</v>
      </c>
      <c r="K3066">
        <v>17</v>
      </c>
      <c r="L3066" s="6">
        <v>5.0999999999999996</v>
      </c>
      <c r="M3066" s="7">
        <v>25</v>
      </c>
      <c r="N3066" s="7">
        <v>140</v>
      </c>
      <c r="O3066" s="7">
        <f t="shared" si="238"/>
        <v>200.78740157480314</v>
      </c>
      <c r="P3066" s="7">
        <f t="shared" si="239"/>
        <v>0.98425196850393704</v>
      </c>
      <c r="Q3066" s="7">
        <f t="shared" si="239"/>
        <v>5.5118110236220472</v>
      </c>
      <c r="R3066" s="6">
        <f t="shared" si="240"/>
        <v>937.38300000000004</v>
      </c>
      <c r="S3066" s="6">
        <f t="shared" si="241"/>
        <v>1.7849999999999998E-2</v>
      </c>
      <c r="T3066" t="str">
        <f t="shared" si="237"/>
        <v>Maximo Thermo Ayous S4S E4E 5/4x6 Long</v>
      </c>
    </row>
    <row r="3067" spans="1:20" x14ac:dyDescent="0.25">
      <c r="A3067" t="s">
        <v>3073</v>
      </c>
      <c r="B3067" t="s">
        <v>3666</v>
      </c>
      <c r="C3067" t="s">
        <v>283</v>
      </c>
      <c r="D3067" t="s">
        <v>3044</v>
      </c>
      <c r="E3067" t="s">
        <v>3843</v>
      </c>
      <c r="F3067" t="s">
        <v>3835</v>
      </c>
      <c r="G3067" t="s">
        <v>3077</v>
      </c>
      <c r="H3067" t="s">
        <v>373</v>
      </c>
      <c r="I3067" t="s">
        <v>289</v>
      </c>
      <c r="J3067" t="s">
        <v>301</v>
      </c>
      <c r="K3067">
        <v>18</v>
      </c>
      <c r="L3067" s="6">
        <v>5.4</v>
      </c>
      <c r="M3067" s="7">
        <v>25</v>
      </c>
      <c r="N3067" s="7">
        <v>140</v>
      </c>
      <c r="O3067" s="7">
        <f t="shared" si="238"/>
        <v>212.59842519685043</v>
      </c>
      <c r="P3067" s="7">
        <f t="shared" si="239"/>
        <v>0.98425196850393704</v>
      </c>
      <c r="Q3067" s="7">
        <f t="shared" si="239"/>
        <v>5.5118110236220472</v>
      </c>
      <c r="R3067" s="6">
        <f t="shared" si="240"/>
        <v>937.38300000000004</v>
      </c>
      <c r="S3067" s="6">
        <f t="shared" si="241"/>
        <v>1.8900000000000004E-2</v>
      </c>
      <c r="T3067" t="str">
        <f t="shared" si="237"/>
        <v>Maximo Thermo Ayous S4S E4E 5/4x6 Long</v>
      </c>
    </row>
    <row r="3068" spans="1:20" x14ac:dyDescent="0.25">
      <c r="A3068" t="s">
        <v>3073</v>
      </c>
      <c r="B3068" t="s">
        <v>3666</v>
      </c>
      <c r="C3068" t="s">
        <v>524</v>
      </c>
      <c r="D3068" t="s">
        <v>3044</v>
      </c>
      <c r="E3068" t="s">
        <v>3844</v>
      </c>
      <c r="F3068" t="s">
        <v>3835</v>
      </c>
      <c r="G3068" t="s">
        <v>3077</v>
      </c>
      <c r="H3068" t="s">
        <v>373</v>
      </c>
      <c r="I3068" t="s">
        <v>289</v>
      </c>
      <c r="J3068" t="s">
        <v>301</v>
      </c>
      <c r="K3068">
        <v>4</v>
      </c>
      <c r="L3068" s="6">
        <v>1.2</v>
      </c>
      <c r="M3068" s="7">
        <v>25</v>
      </c>
      <c r="N3068" s="7">
        <v>140</v>
      </c>
      <c r="O3068" s="7">
        <f t="shared" si="238"/>
        <v>47.244094488188978</v>
      </c>
      <c r="P3068" s="7">
        <f t="shared" si="239"/>
        <v>0.98425196850393704</v>
      </c>
      <c r="Q3068" s="7">
        <f t="shared" si="239"/>
        <v>5.5118110236220472</v>
      </c>
      <c r="R3068" s="6">
        <f t="shared" si="240"/>
        <v>937.38300000000004</v>
      </c>
      <c r="S3068" s="6">
        <f t="shared" si="241"/>
        <v>4.2000000000000006E-3</v>
      </c>
      <c r="T3068" t="str">
        <f t="shared" si="237"/>
        <v>Maximo Thermo Ayous S4S E4E 5/4x6 Short</v>
      </c>
    </row>
    <row r="3069" spans="1:20" x14ac:dyDescent="0.25">
      <c r="A3069" t="s">
        <v>3073</v>
      </c>
      <c r="B3069" t="s">
        <v>3666</v>
      </c>
      <c r="C3069" t="s">
        <v>524</v>
      </c>
      <c r="D3069" t="s">
        <v>3044</v>
      </c>
      <c r="E3069" t="s">
        <v>3845</v>
      </c>
      <c r="F3069" t="s">
        <v>3835</v>
      </c>
      <c r="G3069" t="s">
        <v>3077</v>
      </c>
      <c r="H3069" t="s">
        <v>373</v>
      </c>
      <c r="I3069" t="s">
        <v>289</v>
      </c>
      <c r="J3069" t="s">
        <v>301</v>
      </c>
      <c r="K3069">
        <v>5</v>
      </c>
      <c r="L3069" s="6">
        <v>1.5</v>
      </c>
      <c r="M3069" s="7">
        <v>25</v>
      </c>
      <c r="N3069" s="7">
        <v>140</v>
      </c>
      <c r="O3069" s="7">
        <f t="shared" si="238"/>
        <v>59.055118110236222</v>
      </c>
      <c r="P3069" s="7">
        <f t="shared" si="239"/>
        <v>0.98425196850393704</v>
      </c>
      <c r="Q3069" s="7">
        <f t="shared" si="239"/>
        <v>5.5118110236220472</v>
      </c>
      <c r="R3069" s="6">
        <f t="shared" si="240"/>
        <v>937.38300000000004</v>
      </c>
      <c r="S3069" s="6">
        <f t="shared" si="241"/>
        <v>5.2500000000000003E-3</v>
      </c>
      <c r="T3069" t="str">
        <f t="shared" si="237"/>
        <v>Maximo Thermo Ayous S4S E4E 5/4x6 Short</v>
      </c>
    </row>
    <row r="3070" spans="1:20" x14ac:dyDescent="0.25">
      <c r="A3070" t="s">
        <v>3073</v>
      </c>
      <c r="B3070" t="s">
        <v>3666</v>
      </c>
      <c r="C3070" t="s">
        <v>524</v>
      </c>
      <c r="D3070" t="s">
        <v>3044</v>
      </c>
      <c r="E3070" t="s">
        <v>3846</v>
      </c>
      <c r="F3070" t="s">
        <v>3835</v>
      </c>
      <c r="G3070" t="s">
        <v>3077</v>
      </c>
      <c r="H3070" t="s">
        <v>373</v>
      </c>
      <c r="I3070" t="s">
        <v>289</v>
      </c>
      <c r="J3070" t="s">
        <v>301</v>
      </c>
      <c r="K3070">
        <v>6</v>
      </c>
      <c r="L3070" s="6">
        <v>1.8</v>
      </c>
      <c r="M3070" s="7">
        <v>25</v>
      </c>
      <c r="N3070" s="7">
        <v>140</v>
      </c>
      <c r="O3070" s="7">
        <f t="shared" si="238"/>
        <v>70.866141732283467</v>
      </c>
      <c r="P3070" s="7">
        <f t="shared" si="239"/>
        <v>0.98425196850393704</v>
      </c>
      <c r="Q3070" s="7">
        <f t="shared" si="239"/>
        <v>5.5118110236220472</v>
      </c>
      <c r="R3070" s="6">
        <f t="shared" si="240"/>
        <v>937.38300000000004</v>
      </c>
      <c r="S3070" s="6">
        <f t="shared" si="241"/>
        <v>6.3E-3</v>
      </c>
      <c r="T3070" t="str">
        <f t="shared" si="237"/>
        <v>Maximo Thermo Ayous S4S E4E 5/4x6 Short</v>
      </c>
    </row>
    <row r="3071" spans="1:20" x14ac:dyDescent="0.25">
      <c r="A3071" t="s">
        <v>3073</v>
      </c>
      <c r="B3071" t="s">
        <v>3666</v>
      </c>
      <c r="C3071" t="s">
        <v>524</v>
      </c>
      <c r="D3071" t="s">
        <v>3044</v>
      </c>
      <c r="E3071" t="s">
        <v>3847</v>
      </c>
      <c r="F3071" t="s">
        <v>3835</v>
      </c>
      <c r="G3071" t="s">
        <v>3077</v>
      </c>
      <c r="H3071" t="s">
        <v>373</v>
      </c>
      <c r="I3071" t="s">
        <v>289</v>
      </c>
      <c r="J3071" t="s">
        <v>301</v>
      </c>
      <c r="K3071">
        <v>7</v>
      </c>
      <c r="L3071" s="6">
        <v>2.1</v>
      </c>
      <c r="M3071" s="7">
        <v>25</v>
      </c>
      <c r="N3071" s="7">
        <v>140</v>
      </c>
      <c r="O3071" s="7">
        <f t="shared" si="238"/>
        <v>82.677165354330711</v>
      </c>
      <c r="P3071" s="7">
        <f t="shared" si="239"/>
        <v>0.98425196850393704</v>
      </c>
      <c r="Q3071" s="7">
        <f t="shared" si="239"/>
        <v>5.5118110236220472</v>
      </c>
      <c r="R3071" s="6">
        <f t="shared" si="240"/>
        <v>937.38300000000004</v>
      </c>
      <c r="S3071" s="6">
        <f t="shared" si="241"/>
        <v>7.3499999999999998E-3</v>
      </c>
      <c r="T3071" t="str">
        <f t="shared" si="237"/>
        <v>Maximo Thermo Ayous S4S E4E 5/4x6 Short</v>
      </c>
    </row>
    <row r="3072" spans="1:20" x14ac:dyDescent="0.25">
      <c r="A3072" t="s">
        <v>3073</v>
      </c>
      <c r="B3072" t="s">
        <v>3666</v>
      </c>
      <c r="C3072" t="s">
        <v>283</v>
      </c>
      <c r="D3072" t="s">
        <v>3044</v>
      </c>
      <c r="E3072" t="s">
        <v>3848</v>
      </c>
      <c r="F3072" t="s">
        <v>3835</v>
      </c>
      <c r="G3072" t="s">
        <v>3077</v>
      </c>
      <c r="H3072" t="s">
        <v>373</v>
      </c>
      <c r="I3072" t="s">
        <v>289</v>
      </c>
      <c r="J3072" t="s">
        <v>301</v>
      </c>
      <c r="K3072">
        <v>8</v>
      </c>
      <c r="L3072" s="6">
        <v>2.4</v>
      </c>
      <c r="M3072" s="7">
        <v>25</v>
      </c>
      <c r="N3072" s="7">
        <v>140</v>
      </c>
      <c r="O3072" s="7">
        <f t="shared" si="238"/>
        <v>94.488188976377955</v>
      </c>
      <c r="P3072" s="7">
        <f t="shared" si="239"/>
        <v>0.98425196850393704</v>
      </c>
      <c r="Q3072" s="7">
        <f t="shared" si="239"/>
        <v>5.5118110236220472</v>
      </c>
      <c r="R3072" s="6">
        <f t="shared" si="240"/>
        <v>937.38300000000004</v>
      </c>
      <c r="S3072" s="6">
        <f t="shared" si="241"/>
        <v>8.4000000000000012E-3</v>
      </c>
      <c r="T3072" t="str">
        <f t="shared" si="237"/>
        <v>Maximo Thermo Ayous S4S E4E 5/4x6 Long</v>
      </c>
    </row>
    <row r="3073" spans="1:20" x14ac:dyDescent="0.25">
      <c r="A3073" t="s">
        <v>3073</v>
      </c>
      <c r="B3073" t="s">
        <v>3666</v>
      </c>
      <c r="C3073" t="s">
        <v>283</v>
      </c>
      <c r="D3073" t="s">
        <v>3044</v>
      </c>
      <c r="E3073" t="s">
        <v>3849</v>
      </c>
      <c r="F3073" t="s">
        <v>3835</v>
      </c>
      <c r="G3073" t="s">
        <v>3077</v>
      </c>
      <c r="H3073" t="s">
        <v>373</v>
      </c>
      <c r="I3073" t="s">
        <v>289</v>
      </c>
      <c r="J3073" t="s">
        <v>301</v>
      </c>
      <c r="K3073">
        <v>9</v>
      </c>
      <c r="L3073" s="6">
        <v>2.7</v>
      </c>
      <c r="M3073" s="7">
        <v>25</v>
      </c>
      <c r="N3073" s="7">
        <v>140</v>
      </c>
      <c r="O3073" s="7">
        <f t="shared" si="238"/>
        <v>106.29921259842521</v>
      </c>
      <c r="P3073" s="7">
        <f t="shared" si="239"/>
        <v>0.98425196850393704</v>
      </c>
      <c r="Q3073" s="7">
        <f t="shared" si="239"/>
        <v>5.5118110236220472</v>
      </c>
      <c r="R3073" s="6">
        <f t="shared" si="240"/>
        <v>937.38300000000004</v>
      </c>
      <c r="S3073" s="6">
        <f t="shared" si="241"/>
        <v>9.4500000000000018E-3</v>
      </c>
      <c r="T3073" t="str">
        <f t="shared" si="237"/>
        <v>Maximo Thermo Ayous S4S E4E 5/4x6 Long</v>
      </c>
    </row>
    <row r="3074" spans="1:20" x14ac:dyDescent="0.25">
      <c r="A3074" t="s">
        <v>3073</v>
      </c>
      <c r="B3074" t="s">
        <v>3080</v>
      </c>
      <c r="C3074" t="s">
        <v>283</v>
      </c>
      <c r="D3074" t="s">
        <v>3044</v>
      </c>
      <c r="E3074" t="s">
        <v>3850</v>
      </c>
      <c r="F3074" t="s">
        <v>3851</v>
      </c>
      <c r="G3074" t="s">
        <v>3077</v>
      </c>
      <c r="H3074" t="s">
        <v>3638</v>
      </c>
      <c r="I3074" t="s">
        <v>3852</v>
      </c>
      <c r="J3074" t="s">
        <v>344</v>
      </c>
      <c r="K3074">
        <v>10</v>
      </c>
      <c r="L3074" s="6">
        <v>3</v>
      </c>
      <c r="M3074" s="7">
        <v>19</v>
      </c>
      <c r="N3074" s="7">
        <v>140</v>
      </c>
      <c r="O3074" s="7">
        <f t="shared" si="238"/>
        <v>118.11023622047244</v>
      </c>
      <c r="P3074" s="7">
        <f t="shared" si="239"/>
        <v>0.74803149606299213</v>
      </c>
      <c r="Q3074" s="7">
        <f t="shared" si="239"/>
        <v>5.5118110236220472</v>
      </c>
      <c r="R3074" s="6">
        <f t="shared" si="240"/>
        <v>1233.3979999999999</v>
      </c>
      <c r="S3074" s="6">
        <f t="shared" si="241"/>
        <v>7.980000000000001E-3</v>
      </c>
      <c r="T3074" t="str">
        <f t="shared" ref="T3074:T3137" si="242">F3074&amp;" "&amp;C3074</f>
        <v>Maximo Thermo Ayous VJoint - Nickel Gap Burn Blocked 1x6 Long</v>
      </c>
    </row>
    <row r="3075" spans="1:20" x14ac:dyDescent="0.25">
      <c r="A3075" t="s">
        <v>3073</v>
      </c>
      <c r="B3075" t="s">
        <v>3080</v>
      </c>
      <c r="C3075" t="s">
        <v>283</v>
      </c>
      <c r="D3075" t="s">
        <v>3044</v>
      </c>
      <c r="E3075" t="s">
        <v>3853</v>
      </c>
      <c r="F3075" t="s">
        <v>3851</v>
      </c>
      <c r="G3075" t="s">
        <v>3077</v>
      </c>
      <c r="H3075" t="s">
        <v>3638</v>
      </c>
      <c r="I3075" t="s">
        <v>3852</v>
      </c>
      <c r="J3075" t="s">
        <v>344</v>
      </c>
      <c r="K3075">
        <v>11</v>
      </c>
      <c r="L3075" s="6">
        <v>3.3</v>
      </c>
      <c r="M3075" s="7">
        <v>19</v>
      </c>
      <c r="N3075" s="7">
        <v>140</v>
      </c>
      <c r="O3075" s="7">
        <f t="shared" si="238"/>
        <v>129.92125984251967</v>
      </c>
      <c r="P3075" s="7">
        <f t="shared" si="239"/>
        <v>0.74803149606299213</v>
      </c>
      <c r="Q3075" s="7">
        <f t="shared" si="239"/>
        <v>5.5118110236220472</v>
      </c>
      <c r="R3075" s="6">
        <f t="shared" si="240"/>
        <v>1233.3979999999999</v>
      </c>
      <c r="S3075" s="6">
        <f t="shared" si="241"/>
        <v>8.7779999999999993E-3</v>
      </c>
      <c r="T3075" t="str">
        <f t="shared" si="242"/>
        <v>Maximo Thermo Ayous VJoint - Nickel Gap Burn Blocked 1x6 Long</v>
      </c>
    </row>
    <row r="3076" spans="1:20" x14ac:dyDescent="0.25">
      <c r="A3076" t="s">
        <v>3073</v>
      </c>
      <c r="B3076" t="s">
        <v>3080</v>
      </c>
      <c r="C3076" t="s">
        <v>283</v>
      </c>
      <c r="D3076" t="s">
        <v>3044</v>
      </c>
      <c r="E3076" t="s">
        <v>3854</v>
      </c>
      <c r="F3076" t="s">
        <v>3851</v>
      </c>
      <c r="G3076" t="s">
        <v>3077</v>
      </c>
      <c r="H3076" t="s">
        <v>3638</v>
      </c>
      <c r="I3076" t="s">
        <v>3852</v>
      </c>
      <c r="J3076" t="s">
        <v>344</v>
      </c>
      <c r="K3076">
        <v>12</v>
      </c>
      <c r="L3076" s="6">
        <v>3.6</v>
      </c>
      <c r="M3076" s="7">
        <v>19</v>
      </c>
      <c r="N3076" s="7">
        <v>140</v>
      </c>
      <c r="O3076" s="7">
        <f t="shared" si="238"/>
        <v>141.73228346456693</v>
      </c>
      <c r="P3076" s="7">
        <f t="shared" si="239"/>
        <v>0.74803149606299213</v>
      </c>
      <c r="Q3076" s="7">
        <f t="shared" si="239"/>
        <v>5.5118110236220472</v>
      </c>
      <c r="R3076" s="6">
        <f t="shared" si="240"/>
        <v>1233.3979999999999</v>
      </c>
      <c r="S3076" s="6">
        <f t="shared" si="241"/>
        <v>9.5760000000000012E-3</v>
      </c>
      <c r="T3076" t="str">
        <f t="shared" si="242"/>
        <v>Maximo Thermo Ayous VJoint - Nickel Gap Burn Blocked 1x6 Long</v>
      </c>
    </row>
    <row r="3077" spans="1:20" x14ac:dyDescent="0.25">
      <c r="A3077" t="s">
        <v>3073</v>
      </c>
      <c r="B3077" t="s">
        <v>3080</v>
      </c>
      <c r="C3077" t="s">
        <v>283</v>
      </c>
      <c r="D3077" t="s">
        <v>3044</v>
      </c>
      <c r="E3077" t="s">
        <v>3855</v>
      </c>
      <c r="F3077" t="s">
        <v>3851</v>
      </c>
      <c r="G3077" t="s">
        <v>3077</v>
      </c>
      <c r="H3077" t="s">
        <v>3638</v>
      </c>
      <c r="I3077" t="s">
        <v>3852</v>
      </c>
      <c r="J3077" t="s">
        <v>344</v>
      </c>
      <c r="K3077">
        <v>13</v>
      </c>
      <c r="L3077" s="6">
        <v>3.9</v>
      </c>
      <c r="M3077" s="7">
        <v>19</v>
      </c>
      <c r="N3077" s="7">
        <v>140</v>
      </c>
      <c r="O3077" s="7">
        <f t="shared" si="238"/>
        <v>153.54330708661416</v>
      </c>
      <c r="P3077" s="7">
        <f t="shared" si="239"/>
        <v>0.74803149606299213</v>
      </c>
      <c r="Q3077" s="7">
        <f t="shared" si="239"/>
        <v>5.5118110236220472</v>
      </c>
      <c r="R3077" s="6">
        <f t="shared" si="240"/>
        <v>1233.3979999999999</v>
      </c>
      <c r="S3077" s="6">
        <f t="shared" si="241"/>
        <v>1.0374000000000001E-2</v>
      </c>
      <c r="T3077" t="str">
        <f t="shared" si="242"/>
        <v>Maximo Thermo Ayous VJoint - Nickel Gap Burn Blocked 1x6 Long</v>
      </c>
    </row>
    <row r="3078" spans="1:20" x14ac:dyDescent="0.25">
      <c r="A3078" t="s">
        <v>3073</v>
      </c>
      <c r="B3078" t="s">
        <v>3080</v>
      </c>
      <c r="C3078" t="s">
        <v>283</v>
      </c>
      <c r="D3078" t="s">
        <v>3044</v>
      </c>
      <c r="E3078" t="s">
        <v>3856</v>
      </c>
      <c r="F3078" t="s">
        <v>3851</v>
      </c>
      <c r="G3078" t="s">
        <v>3077</v>
      </c>
      <c r="H3078" t="s">
        <v>3638</v>
      </c>
      <c r="I3078" t="s">
        <v>3852</v>
      </c>
      <c r="J3078" t="s">
        <v>344</v>
      </c>
      <c r="K3078">
        <v>14</v>
      </c>
      <c r="L3078" s="6">
        <v>4.2</v>
      </c>
      <c r="M3078" s="7">
        <v>19</v>
      </c>
      <c r="N3078" s="7">
        <v>140</v>
      </c>
      <c r="O3078" s="7">
        <f t="shared" si="238"/>
        <v>165.35433070866142</v>
      </c>
      <c r="P3078" s="7">
        <f t="shared" si="239"/>
        <v>0.74803149606299213</v>
      </c>
      <c r="Q3078" s="7">
        <f t="shared" si="239"/>
        <v>5.5118110236220472</v>
      </c>
      <c r="R3078" s="6">
        <f t="shared" si="240"/>
        <v>1233.3979999999999</v>
      </c>
      <c r="S3078" s="6">
        <f t="shared" si="241"/>
        <v>1.1172E-2</v>
      </c>
      <c r="T3078" t="str">
        <f t="shared" si="242"/>
        <v>Maximo Thermo Ayous VJoint - Nickel Gap Burn Blocked 1x6 Long</v>
      </c>
    </row>
    <row r="3079" spans="1:20" x14ac:dyDescent="0.25">
      <c r="A3079" t="s">
        <v>3073</v>
      </c>
      <c r="B3079" t="s">
        <v>3080</v>
      </c>
      <c r="C3079" t="s">
        <v>283</v>
      </c>
      <c r="D3079" t="s">
        <v>3044</v>
      </c>
      <c r="E3079" t="s">
        <v>3857</v>
      </c>
      <c r="F3079" t="s">
        <v>3851</v>
      </c>
      <c r="G3079" t="s">
        <v>3077</v>
      </c>
      <c r="H3079" t="s">
        <v>3638</v>
      </c>
      <c r="I3079" t="s">
        <v>3852</v>
      </c>
      <c r="J3079" t="s">
        <v>344</v>
      </c>
      <c r="K3079">
        <v>15</v>
      </c>
      <c r="L3079" s="6">
        <v>4.5</v>
      </c>
      <c r="M3079" s="7">
        <v>19</v>
      </c>
      <c r="N3079" s="7">
        <v>140</v>
      </c>
      <c r="O3079" s="7">
        <f t="shared" si="238"/>
        <v>177.16535433070868</v>
      </c>
      <c r="P3079" s="7">
        <f t="shared" si="239"/>
        <v>0.74803149606299213</v>
      </c>
      <c r="Q3079" s="7">
        <f t="shared" si="239"/>
        <v>5.5118110236220472</v>
      </c>
      <c r="R3079" s="6">
        <f t="shared" si="240"/>
        <v>1233.3979999999999</v>
      </c>
      <c r="S3079" s="6">
        <f t="shared" si="241"/>
        <v>1.1970000000000001E-2</v>
      </c>
      <c r="T3079" t="str">
        <f t="shared" si="242"/>
        <v>Maximo Thermo Ayous VJoint - Nickel Gap Burn Blocked 1x6 Long</v>
      </c>
    </row>
    <row r="3080" spans="1:20" x14ac:dyDescent="0.25">
      <c r="A3080" t="s">
        <v>3073</v>
      </c>
      <c r="B3080" t="s">
        <v>3080</v>
      </c>
      <c r="C3080" t="s">
        <v>283</v>
      </c>
      <c r="D3080" t="s">
        <v>3044</v>
      </c>
      <c r="E3080" t="s">
        <v>3858</v>
      </c>
      <c r="F3080" t="s">
        <v>3851</v>
      </c>
      <c r="G3080" t="s">
        <v>3077</v>
      </c>
      <c r="H3080" t="s">
        <v>3638</v>
      </c>
      <c r="I3080" t="s">
        <v>3852</v>
      </c>
      <c r="J3080" t="s">
        <v>344</v>
      </c>
      <c r="K3080">
        <v>16</v>
      </c>
      <c r="L3080" s="6">
        <v>4.8</v>
      </c>
      <c r="M3080" s="7">
        <v>19</v>
      </c>
      <c r="N3080" s="7">
        <v>140</v>
      </c>
      <c r="O3080" s="7">
        <f t="shared" si="238"/>
        <v>188.97637795275591</v>
      </c>
      <c r="P3080" s="7">
        <f t="shared" si="239"/>
        <v>0.74803149606299213</v>
      </c>
      <c r="Q3080" s="7">
        <f t="shared" si="239"/>
        <v>5.5118110236220472</v>
      </c>
      <c r="R3080" s="6">
        <f t="shared" si="240"/>
        <v>1233.3979999999999</v>
      </c>
      <c r="S3080" s="6">
        <f t="shared" si="241"/>
        <v>1.2768E-2</v>
      </c>
      <c r="T3080" t="str">
        <f t="shared" si="242"/>
        <v>Maximo Thermo Ayous VJoint - Nickel Gap Burn Blocked 1x6 Long</v>
      </c>
    </row>
    <row r="3081" spans="1:20" x14ac:dyDescent="0.25">
      <c r="A3081" t="s">
        <v>3073</v>
      </c>
      <c r="B3081" t="s">
        <v>3080</v>
      </c>
      <c r="C3081" t="s">
        <v>283</v>
      </c>
      <c r="D3081" t="s">
        <v>3044</v>
      </c>
      <c r="E3081" t="s">
        <v>3859</v>
      </c>
      <c r="F3081" t="s">
        <v>3851</v>
      </c>
      <c r="G3081" t="s">
        <v>3077</v>
      </c>
      <c r="H3081" t="s">
        <v>3638</v>
      </c>
      <c r="I3081" t="s">
        <v>3852</v>
      </c>
      <c r="J3081" t="s">
        <v>344</v>
      </c>
      <c r="K3081">
        <v>17</v>
      </c>
      <c r="L3081" s="6">
        <v>5.0999999999999996</v>
      </c>
      <c r="M3081" s="7">
        <v>19</v>
      </c>
      <c r="N3081" s="7">
        <v>140</v>
      </c>
      <c r="O3081" s="7">
        <f t="shared" si="238"/>
        <v>200.78740157480314</v>
      </c>
      <c r="P3081" s="7">
        <f t="shared" si="239"/>
        <v>0.74803149606299213</v>
      </c>
      <c r="Q3081" s="7">
        <f t="shared" si="239"/>
        <v>5.5118110236220472</v>
      </c>
      <c r="R3081" s="6">
        <f t="shared" si="240"/>
        <v>1233.3979999999999</v>
      </c>
      <c r="S3081" s="6">
        <f t="shared" si="241"/>
        <v>1.3565999999999998E-2</v>
      </c>
      <c r="T3081" t="str">
        <f t="shared" si="242"/>
        <v>Maximo Thermo Ayous VJoint - Nickel Gap Burn Blocked 1x6 Long</v>
      </c>
    </row>
    <row r="3082" spans="1:20" x14ac:dyDescent="0.25">
      <c r="A3082" t="s">
        <v>3073</v>
      </c>
      <c r="B3082" t="s">
        <v>3080</v>
      </c>
      <c r="C3082" t="s">
        <v>283</v>
      </c>
      <c r="D3082" t="s">
        <v>3044</v>
      </c>
      <c r="E3082" t="s">
        <v>3860</v>
      </c>
      <c r="F3082" t="s">
        <v>3851</v>
      </c>
      <c r="G3082" t="s">
        <v>3077</v>
      </c>
      <c r="H3082" t="s">
        <v>3638</v>
      </c>
      <c r="I3082" t="s">
        <v>3852</v>
      </c>
      <c r="J3082" t="s">
        <v>344</v>
      </c>
      <c r="K3082">
        <v>18</v>
      </c>
      <c r="L3082" s="6">
        <v>5.4</v>
      </c>
      <c r="M3082" s="7">
        <v>19</v>
      </c>
      <c r="N3082" s="7">
        <v>140</v>
      </c>
      <c r="O3082" s="7">
        <f t="shared" si="238"/>
        <v>212.59842519685043</v>
      </c>
      <c r="P3082" s="7">
        <f t="shared" si="239"/>
        <v>0.74803149606299213</v>
      </c>
      <c r="Q3082" s="7">
        <f t="shared" si="239"/>
        <v>5.5118110236220472</v>
      </c>
      <c r="R3082" s="6">
        <f t="shared" si="240"/>
        <v>1233.3979999999999</v>
      </c>
      <c r="S3082" s="6">
        <f t="shared" si="241"/>
        <v>1.4364E-2</v>
      </c>
      <c r="T3082" t="str">
        <f t="shared" si="242"/>
        <v>Maximo Thermo Ayous VJoint - Nickel Gap Burn Blocked 1x6 Long</v>
      </c>
    </row>
    <row r="3083" spans="1:20" x14ac:dyDescent="0.25">
      <c r="A3083" t="s">
        <v>3073</v>
      </c>
      <c r="B3083" t="s">
        <v>3080</v>
      </c>
      <c r="C3083" t="s">
        <v>524</v>
      </c>
      <c r="D3083" t="s">
        <v>3044</v>
      </c>
      <c r="E3083" t="s">
        <v>3861</v>
      </c>
      <c r="F3083" t="s">
        <v>3851</v>
      </c>
      <c r="G3083" t="s">
        <v>3077</v>
      </c>
      <c r="H3083" t="s">
        <v>3638</v>
      </c>
      <c r="I3083" t="s">
        <v>3852</v>
      </c>
      <c r="J3083" t="s">
        <v>344</v>
      </c>
      <c r="K3083">
        <v>4</v>
      </c>
      <c r="L3083" s="6">
        <v>1.2</v>
      </c>
      <c r="M3083" s="7">
        <v>19</v>
      </c>
      <c r="N3083" s="7">
        <v>140</v>
      </c>
      <c r="O3083" s="7">
        <f t="shared" si="238"/>
        <v>47.244094488188978</v>
      </c>
      <c r="P3083" s="7">
        <f t="shared" si="239"/>
        <v>0.74803149606299213</v>
      </c>
      <c r="Q3083" s="7">
        <f t="shared" si="239"/>
        <v>5.5118110236220472</v>
      </c>
      <c r="R3083" s="6">
        <f t="shared" si="240"/>
        <v>1233.3979999999999</v>
      </c>
      <c r="S3083" s="6">
        <f t="shared" si="241"/>
        <v>3.192E-3</v>
      </c>
      <c r="T3083" t="str">
        <f t="shared" si="242"/>
        <v>Maximo Thermo Ayous VJoint - Nickel Gap Burn Blocked 1x6 Short</v>
      </c>
    </row>
    <row r="3084" spans="1:20" x14ac:dyDescent="0.25">
      <c r="A3084" t="s">
        <v>3073</v>
      </c>
      <c r="B3084" t="s">
        <v>3080</v>
      </c>
      <c r="C3084" t="s">
        <v>524</v>
      </c>
      <c r="D3084" t="s">
        <v>3044</v>
      </c>
      <c r="E3084" t="s">
        <v>3862</v>
      </c>
      <c r="F3084" t="s">
        <v>3851</v>
      </c>
      <c r="G3084" t="s">
        <v>3077</v>
      </c>
      <c r="H3084" t="s">
        <v>3638</v>
      </c>
      <c r="I3084" t="s">
        <v>3852</v>
      </c>
      <c r="J3084" t="s">
        <v>344</v>
      </c>
      <c r="K3084">
        <v>5</v>
      </c>
      <c r="L3084" s="6">
        <v>1.5</v>
      </c>
      <c r="M3084" s="7">
        <v>19</v>
      </c>
      <c r="N3084" s="7">
        <v>140</v>
      </c>
      <c r="O3084" s="7">
        <f t="shared" si="238"/>
        <v>59.055118110236222</v>
      </c>
      <c r="P3084" s="7">
        <f t="shared" si="239"/>
        <v>0.74803149606299213</v>
      </c>
      <c r="Q3084" s="7">
        <f t="shared" si="239"/>
        <v>5.5118110236220472</v>
      </c>
      <c r="R3084" s="6">
        <f t="shared" si="240"/>
        <v>1233.3979999999999</v>
      </c>
      <c r="S3084" s="6">
        <f t="shared" si="241"/>
        <v>3.9900000000000005E-3</v>
      </c>
      <c r="T3084" t="str">
        <f t="shared" si="242"/>
        <v>Maximo Thermo Ayous VJoint - Nickel Gap Burn Blocked 1x6 Short</v>
      </c>
    </row>
    <row r="3085" spans="1:20" x14ac:dyDescent="0.25">
      <c r="A3085" t="s">
        <v>3073</v>
      </c>
      <c r="B3085" t="s">
        <v>3080</v>
      </c>
      <c r="C3085" t="s">
        <v>524</v>
      </c>
      <c r="D3085" t="s">
        <v>3044</v>
      </c>
      <c r="E3085" t="s">
        <v>3863</v>
      </c>
      <c r="F3085" t="s">
        <v>3851</v>
      </c>
      <c r="G3085" t="s">
        <v>3077</v>
      </c>
      <c r="H3085" t="s">
        <v>3638</v>
      </c>
      <c r="I3085" t="s">
        <v>3852</v>
      </c>
      <c r="J3085" t="s">
        <v>344</v>
      </c>
      <c r="K3085">
        <v>6</v>
      </c>
      <c r="L3085" s="6">
        <v>1.8</v>
      </c>
      <c r="M3085" s="7">
        <v>19</v>
      </c>
      <c r="N3085" s="7">
        <v>140</v>
      </c>
      <c r="O3085" s="7">
        <f t="shared" si="238"/>
        <v>70.866141732283467</v>
      </c>
      <c r="P3085" s="7">
        <f t="shared" si="239"/>
        <v>0.74803149606299213</v>
      </c>
      <c r="Q3085" s="7">
        <f t="shared" si="239"/>
        <v>5.5118110236220472</v>
      </c>
      <c r="R3085" s="6">
        <f t="shared" si="240"/>
        <v>1233.3979999999999</v>
      </c>
      <c r="S3085" s="6">
        <f t="shared" si="241"/>
        <v>4.7880000000000006E-3</v>
      </c>
      <c r="T3085" t="str">
        <f t="shared" si="242"/>
        <v>Maximo Thermo Ayous VJoint - Nickel Gap Burn Blocked 1x6 Short</v>
      </c>
    </row>
    <row r="3086" spans="1:20" x14ac:dyDescent="0.25">
      <c r="A3086" t="s">
        <v>3073</v>
      </c>
      <c r="B3086" t="s">
        <v>3080</v>
      </c>
      <c r="C3086" t="s">
        <v>524</v>
      </c>
      <c r="D3086" t="s">
        <v>3044</v>
      </c>
      <c r="E3086" t="s">
        <v>3864</v>
      </c>
      <c r="F3086" t="s">
        <v>3851</v>
      </c>
      <c r="G3086" t="s">
        <v>3077</v>
      </c>
      <c r="H3086" t="s">
        <v>3638</v>
      </c>
      <c r="I3086" t="s">
        <v>3852</v>
      </c>
      <c r="J3086" t="s">
        <v>344</v>
      </c>
      <c r="K3086">
        <v>7</v>
      </c>
      <c r="L3086" s="6">
        <v>2.1</v>
      </c>
      <c r="M3086" s="7">
        <v>19</v>
      </c>
      <c r="N3086" s="7">
        <v>140</v>
      </c>
      <c r="O3086" s="7">
        <f t="shared" si="238"/>
        <v>82.677165354330711</v>
      </c>
      <c r="P3086" s="7">
        <f t="shared" si="239"/>
        <v>0.74803149606299213</v>
      </c>
      <c r="Q3086" s="7">
        <f t="shared" si="239"/>
        <v>5.5118110236220472</v>
      </c>
      <c r="R3086" s="6">
        <f t="shared" si="240"/>
        <v>1233.3979999999999</v>
      </c>
      <c r="S3086" s="6">
        <f t="shared" si="241"/>
        <v>5.5859999999999998E-3</v>
      </c>
      <c r="T3086" t="str">
        <f t="shared" si="242"/>
        <v>Maximo Thermo Ayous VJoint - Nickel Gap Burn Blocked 1x6 Short</v>
      </c>
    </row>
    <row r="3087" spans="1:20" x14ac:dyDescent="0.25">
      <c r="A3087" t="s">
        <v>3073</v>
      </c>
      <c r="B3087" t="s">
        <v>3080</v>
      </c>
      <c r="C3087" t="s">
        <v>283</v>
      </c>
      <c r="D3087" t="s">
        <v>3044</v>
      </c>
      <c r="E3087" t="s">
        <v>3865</v>
      </c>
      <c r="F3087" t="s">
        <v>3851</v>
      </c>
      <c r="G3087" t="s">
        <v>3077</v>
      </c>
      <c r="H3087" t="s">
        <v>3638</v>
      </c>
      <c r="I3087" t="s">
        <v>3852</v>
      </c>
      <c r="J3087" t="s">
        <v>344</v>
      </c>
      <c r="K3087">
        <v>8</v>
      </c>
      <c r="L3087" s="6">
        <v>2.4</v>
      </c>
      <c r="M3087" s="7">
        <v>19</v>
      </c>
      <c r="N3087" s="7">
        <v>140</v>
      </c>
      <c r="O3087" s="7">
        <f t="shared" si="238"/>
        <v>94.488188976377955</v>
      </c>
      <c r="P3087" s="7">
        <f t="shared" si="239"/>
        <v>0.74803149606299213</v>
      </c>
      <c r="Q3087" s="7">
        <f t="shared" si="239"/>
        <v>5.5118110236220472</v>
      </c>
      <c r="R3087" s="6">
        <f t="shared" si="240"/>
        <v>1233.3979999999999</v>
      </c>
      <c r="S3087" s="6">
        <f t="shared" si="241"/>
        <v>6.3839999999999999E-3</v>
      </c>
      <c r="T3087" t="str">
        <f t="shared" si="242"/>
        <v>Maximo Thermo Ayous VJoint - Nickel Gap Burn Blocked 1x6 Long</v>
      </c>
    </row>
    <row r="3088" spans="1:20" x14ac:dyDescent="0.25">
      <c r="A3088" t="s">
        <v>3073</v>
      </c>
      <c r="B3088" t="s">
        <v>3080</v>
      </c>
      <c r="C3088" t="s">
        <v>283</v>
      </c>
      <c r="D3088" t="s">
        <v>3044</v>
      </c>
      <c r="E3088" t="s">
        <v>3866</v>
      </c>
      <c r="F3088" t="s">
        <v>3851</v>
      </c>
      <c r="G3088" t="s">
        <v>3077</v>
      </c>
      <c r="H3088" t="s">
        <v>3638</v>
      </c>
      <c r="I3088" t="s">
        <v>3852</v>
      </c>
      <c r="J3088" t="s">
        <v>344</v>
      </c>
      <c r="K3088">
        <v>9</v>
      </c>
      <c r="L3088" s="6">
        <v>2.7</v>
      </c>
      <c r="M3088" s="7">
        <v>19</v>
      </c>
      <c r="N3088" s="7">
        <v>140</v>
      </c>
      <c r="O3088" s="7">
        <f t="shared" si="238"/>
        <v>106.29921259842521</v>
      </c>
      <c r="P3088" s="7">
        <f t="shared" si="239"/>
        <v>0.74803149606299213</v>
      </c>
      <c r="Q3088" s="7">
        <f t="shared" si="239"/>
        <v>5.5118110236220472</v>
      </c>
      <c r="R3088" s="6">
        <f t="shared" si="240"/>
        <v>1233.3979999999999</v>
      </c>
      <c r="S3088" s="6">
        <f t="shared" si="241"/>
        <v>7.182E-3</v>
      </c>
      <c r="T3088" t="str">
        <f t="shared" si="242"/>
        <v>Maximo Thermo Ayous VJoint - Nickel Gap Burn Blocked 1x6 Long</v>
      </c>
    </row>
    <row r="3089" spans="1:20" x14ac:dyDescent="0.25">
      <c r="A3089" t="s">
        <v>3073</v>
      </c>
      <c r="B3089" t="s">
        <v>3080</v>
      </c>
      <c r="C3089" t="s">
        <v>283</v>
      </c>
      <c r="D3089" t="s">
        <v>3044</v>
      </c>
      <c r="E3089" t="s">
        <v>3867</v>
      </c>
      <c r="F3089" t="s">
        <v>3868</v>
      </c>
      <c r="G3089" t="s">
        <v>3077</v>
      </c>
      <c r="H3089" t="s">
        <v>3638</v>
      </c>
      <c r="I3089" t="s">
        <v>3869</v>
      </c>
      <c r="J3089" t="s">
        <v>344</v>
      </c>
      <c r="K3089">
        <v>10</v>
      </c>
      <c r="L3089" s="6">
        <v>3</v>
      </c>
      <c r="M3089" s="7">
        <v>19</v>
      </c>
      <c r="N3089" s="7">
        <v>140</v>
      </c>
      <c r="O3089" s="7">
        <f t="shared" si="238"/>
        <v>118.11023622047244</v>
      </c>
      <c r="P3089" s="7">
        <f t="shared" si="239"/>
        <v>0.74803149606299213</v>
      </c>
      <c r="Q3089" s="7">
        <f t="shared" si="239"/>
        <v>5.5118110236220472</v>
      </c>
      <c r="R3089" s="6">
        <f t="shared" si="240"/>
        <v>1233.3979999999999</v>
      </c>
      <c r="S3089" s="6">
        <f t="shared" si="241"/>
        <v>7.980000000000001E-3</v>
      </c>
      <c r="T3089" t="str">
        <f t="shared" si="242"/>
        <v>Maximo Thermo Ayous VJoint - Nickel Gap Pre Finished - Saicos 1x6 Long</v>
      </c>
    </row>
    <row r="3090" spans="1:20" x14ac:dyDescent="0.25">
      <c r="A3090" t="s">
        <v>3073</v>
      </c>
      <c r="B3090" t="s">
        <v>3080</v>
      </c>
      <c r="C3090" t="s">
        <v>283</v>
      </c>
      <c r="D3090" t="s">
        <v>3044</v>
      </c>
      <c r="E3090" t="s">
        <v>3870</v>
      </c>
      <c r="F3090" t="s">
        <v>3868</v>
      </c>
      <c r="G3090" t="s">
        <v>3077</v>
      </c>
      <c r="H3090" t="s">
        <v>3638</v>
      </c>
      <c r="I3090" t="s">
        <v>3869</v>
      </c>
      <c r="J3090" t="s">
        <v>344</v>
      </c>
      <c r="K3090">
        <v>11</v>
      </c>
      <c r="L3090" s="6">
        <v>3.3</v>
      </c>
      <c r="M3090" s="7">
        <v>19</v>
      </c>
      <c r="N3090" s="7">
        <v>140</v>
      </c>
      <c r="O3090" s="7">
        <f t="shared" si="238"/>
        <v>129.92125984251967</v>
      </c>
      <c r="P3090" s="7">
        <f t="shared" si="239"/>
        <v>0.74803149606299213</v>
      </c>
      <c r="Q3090" s="7">
        <f t="shared" si="239"/>
        <v>5.5118110236220472</v>
      </c>
      <c r="R3090" s="6">
        <f t="shared" si="240"/>
        <v>1233.3979999999999</v>
      </c>
      <c r="S3090" s="6">
        <f t="shared" si="241"/>
        <v>8.7779999999999993E-3</v>
      </c>
      <c r="T3090" t="str">
        <f t="shared" si="242"/>
        <v>Maximo Thermo Ayous VJoint - Nickel Gap Pre Finished - Saicos 1x6 Long</v>
      </c>
    </row>
    <row r="3091" spans="1:20" x14ac:dyDescent="0.25">
      <c r="A3091" t="s">
        <v>3073</v>
      </c>
      <c r="B3091" t="s">
        <v>3080</v>
      </c>
      <c r="C3091" t="s">
        <v>283</v>
      </c>
      <c r="D3091" t="s">
        <v>3044</v>
      </c>
      <c r="E3091" t="s">
        <v>3871</v>
      </c>
      <c r="F3091" t="s">
        <v>3868</v>
      </c>
      <c r="G3091" t="s">
        <v>3077</v>
      </c>
      <c r="H3091" t="s">
        <v>3638</v>
      </c>
      <c r="I3091" t="s">
        <v>3869</v>
      </c>
      <c r="J3091" t="s">
        <v>344</v>
      </c>
      <c r="K3091">
        <v>12</v>
      </c>
      <c r="L3091" s="6">
        <v>3.6</v>
      </c>
      <c r="M3091" s="7">
        <v>19</v>
      </c>
      <c r="N3091" s="7">
        <v>140</v>
      </c>
      <c r="O3091" s="7">
        <f t="shared" si="238"/>
        <v>141.73228346456693</v>
      </c>
      <c r="P3091" s="7">
        <f t="shared" si="239"/>
        <v>0.74803149606299213</v>
      </c>
      <c r="Q3091" s="7">
        <f t="shared" si="239"/>
        <v>5.5118110236220472</v>
      </c>
      <c r="R3091" s="6">
        <f t="shared" si="240"/>
        <v>1233.3979999999999</v>
      </c>
      <c r="S3091" s="6">
        <f t="shared" si="241"/>
        <v>9.5760000000000012E-3</v>
      </c>
      <c r="T3091" t="str">
        <f t="shared" si="242"/>
        <v>Maximo Thermo Ayous VJoint - Nickel Gap Pre Finished - Saicos 1x6 Long</v>
      </c>
    </row>
    <row r="3092" spans="1:20" x14ac:dyDescent="0.25">
      <c r="A3092" t="s">
        <v>3073</v>
      </c>
      <c r="B3092" t="s">
        <v>3080</v>
      </c>
      <c r="C3092" t="s">
        <v>283</v>
      </c>
      <c r="D3092" t="s">
        <v>3044</v>
      </c>
      <c r="E3092" t="s">
        <v>3872</v>
      </c>
      <c r="F3092" t="s">
        <v>3868</v>
      </c>
      <c r="G3092" t="s">
        <v>3077</v>
      </c>
      <c r="H3092" t="s">
        <v>3638</v>
      </c>
      <c r="I3092" t="s">
        <v>3869</v>
      </c>
      <c r="J3092" t="s">
        <v>344</v>
      </c>
      <c r="K3092">
        <v>13</v>
      </c>
      <c r="L3092" s="6">
        <v>3.9</v>
      </c>
      <c r="M3092" s="7">
        <v>19</v>
      </c>
      <c r="N3092" s="7">
        <v>140</v>
      </c>
      <c r="O3092" s="7">
        <f t="shared" si="238"/>
        <v>153.54330708661416</v>
      </c>
      <c r="P3092" s="7">
        <f t="shared" si="239"/>
        <v>0.74803149606299213</v>
      </c>
      <c r="Q3092" s="7">
        <f t="shared" si="239"/>
        <v>5.5118110236220472</v>
      </c>
      <c r="R3092" s="6">
        <f t="shared" si="240"/>
        <v>1233.3979999999999</v>
      </c>
      <c r="S3092" s="6">
        <f t="shared" si="241"/>
        <v>1.0374000000000001E-2</v>
      </c>
      <c r="T3092" t="str">
        <f t="shared" si="242"/>
        <v>Maximo Thermo Ayous VJoint - Nickel Gap Pre Finished - Saicos 1x6 Long</v>
      </c>
    </row>
    <row r="3093" spans="1:20" x14ac:dyDescent="0.25">
      <c r="A3093" t="s">
        <v>3073</v>
      </c>
      <c r="B3093" t="s">
        <v>3080</v>
      </c>
      <c r="C3093" t="s">
        <v>283</v>
      </c>
      <c r="D3093" t="s">
        <v>3044</v>
      </c>
      <c r="E3093" t="s">
        <v>3873</v>
      </c>
      <c r="F3093" t="s">
        <v>3868</v>
      </c>
      <c r="G3093" t="s">
        <v>3077</v>
      </c>
      <c r="H3093" t="s">
        <v>3638</v>
      </c>
      <c r="I3093" t="s">
        <v>3869</v>
      </c>
      <c r="J3093" t="s">
        <v>344</v>
      </c>
      <c r="K3093">
        <v>14</v>
      </c>
      <c r="L3093" s="6">
        <v>4.2</v>
      </c>
      <c r="M3093" s="7">
        <v>19</v>
      </c>
      <c r="N3093" s="7">
        <v>140</v>
      </c>
      <c r="O3093" s="7">
        <f t="shared" si="238"/>
        <v>165.35433070866142</v>
      </c>
      <c r="P3093" s="7">
        <f t="shared" si="239"/>
        <v>0.74803149606299213</v>
      </c>
      <c r="Q3093" s="7">
        <f t="shared" si="239"/>
        <v>5.5118110236220472</v>
      </c>
      <c r="R3093" s="6">
        <f t="shared" si="240"/>
        <v>1233.3979999999999</v>
      </c>
      <c r="S3093" s="6">
        <f t="shared" si="241"/>
        <v>1.1172E-2</v>
      </c>
      <c r="T3093" t="str">
        <f t="shared" si="242"/>
        <v>Maximo Thermo Ayous VJoint - Nickel Gap Pre Finished - Saicos 1x6 Long</v>
      </c>
    </row>
    <row r="3094" spans="1:20" x14ac:dyDescent="0.25">
      <c r="A3094" t="s">
        <v>3073</v>
      </c>
      <c r="B3094" t="s">
        <v>3080</v>
      </c>
      <c r="C3094" t="s">
        <v>283</v>
      </c>
      <c r="D3094" t="s">
        <v>3044</v>
      </c>
      <c r="E3094" t="s">
        <v>3874</v>
      </c>
      <c r="F3094" t="s">
        <v>3868</v>
      </c>
      <c r="G3094" t="s">
        <v>3077</v>
      </c>
      <c r="H3094" t="s">
        <v>3638</v>
      </c>
      <c r="I3094" t="s">
        <v>3869</v>
      </c>
      <c r="J3094" t="s">
        <v>344</v>
      </c>
      <c r="K3094">
        <v>15</v>
      </c>
      <c r="L3094" s="6">
        <v>4.5</v>
      </c>
      <c r="M3094" s="7">
        <v>19</v>
      </c>
      <c r="N3094" s="7">
        <v>140</v>
      </c>
      <c r="O3094" s="7">
        <f t="shared" si="238"/>
        <v>177.16535433070868</v>
      </c>
      <c r="P3094" s="7">
        <f t="shared" si="239"/>
        <v>0.74803149606299213</v>
      </c>
      <c r="Q3094" s="7">
        <f t="shared" si="239"/>
        <v>5.5118110236220472</v>
      </c>
      <c r="R3094" s="6">
        <f t="shared" si="240"/>
        <v>1233.3979999999999</v>
      </c>
      <c r="S3094" s="6">
        <f t="shared" si="241"/>
        <v>1.1970000000000001E-2</v>
      </c>
      <c r="T3094" t="str">
        <f t="shared" si="242"/>
        <v>Maximo Thermo Ayous VJoint - Nickel Gap Pre Finished - Saicos 1x6 Long</v>
      </c>
    </row>
    <row r="3095" spans="1:20" x14ac:dyDescent="0.25">
      <c r="A3095" t="s">
        <v>3073</v>
      </c>
      <c r="B3095" t="s">
        <v>3080</v>
      </c>
      <c r="C3095" t="s">
        <v>283</v>
      </c>
      <c r="D3095" t="s">
        <v>3044</v>
      </c>
      <c r="E3095" t="s">
        <v>3875</v>
      </c>
      <c r="F3095" t="s">
        <v>3868</v>
      </c>
      <c r="G3095" t="s">
        <v>3077</v>
      </c>
      <c r="H3095" t="s">
        <v>3638</v>
      </c>
      <c r="I3095" t="s">
        <v>3869</v>
      </c>
      <c r="J3095" t="s">
        <v>344</v>
      </c>
      <c r="K3095">
        <v>16</v>
      </c>
      <c r="L3095" s="6">
        <v>4.8</v>
      </c>
      <c r="M3095" s="7">
        <v>19</v>
      </c>
      <c r="N3095" s="7">
        <v>140</v>
      </c>
      <c r="O3095" s="7">
        <f t="shared" si="238"/>
        <v>188.97637795275591</v>
      </c>
      <c r="P3095" s="7">
        <f t="shared" si="239"/>
        <v>0.74803149606299213</v>
      </c>
      <c r="Q3095" s="7">
        <f t="shared" si="239"/>
        <v>5.5118110236220472</v>
      </c>
      <c r="R3095" s="6">
        <f t="shared" si="240"/>
        <v>1233.3979999999999</v>
      </c>
      <c r="S3095" s="6">
        <f t="shared" si="241"/>
        <v>1.2768E-2</v>
      </c>
      <c r="T3095" t="str">
        <f t="shared" si="242"/>
        <v>Maximo Thermo Ayous VJoint - Nickel Gap Pre Finished - Saicos 1x6 Long</v>
      </c>
    </row>
    <row r="3096" spans="1:20" x14ac:dyDescent="0.25">
      <c r="A3096" t="s">
        <v>3073</v>
      </c>
      <c r="B3096" t="s">
        <v>3080</v>
      </c>
      <c r="C3096" t="s">
        <v>283</v>
      </c>
      <c r="D3096" t="s">
        <v>3044</v>
      </c>
      <c r="E3096" t="s">
        <v>3876</v>
      </c>
      <c r="F3096" t="s">
        <v>3868</v>
      </c>
      <c r="G3096" t="s">
        <v>3077</v>
      </c>
      <c r="H3096" t="s">
        <v>3638</v>
      </c>
      <c r="I3096" t="s">
        <v>3869</v>
      </c>
      <c r="J3096" t="s">
        <v>344</v>
      </c>
      <c r="K3096">
        <v>17</v>
      </c>
      <c r="L3096" s="6">
        <v>5.0999999999999996</v>
      </c>
      <c r="M3096" s="7">
        <v>19</v>
      </c>
      <c r="N3096" s="7">
        <v>140</v>
      </c>
      <c r="O3096" s="7">
        <f t="shared" si="238"/>
        <v>200.78740157480314</v>
      </c>
      <c r="P3096" s="7">
        <f t="shared" si="239"/>
        <v>0.74803149606299213</v>
      </c>
      <c r="Q3096" s="7">
        <f t="shared" si="239"/>
        <v>5.5118110236220472</v>
      </c>
      <c r="R3096" s="6">
        <f t="shared" si="240"/>
        <v>1233.3979999999999</v>
      </c>
      <c r="S3096" s="6">
        <f t="shared" si="241"/>
        <v>1.3565999999999998E-2</v>
      </c>
      <c r="T3096" t="str">
        <f t="shared" si="242"/>
        <v>Maximo Thermo Ayous VJoint - Nickel Gap Pre Finished - Saicos 1x6 Long</v>
      </c>
    </row>
    <row r="3097" spans="1:20" x14ac:dyDescent="0.25">
      <c r="A3097" t="s">
        <v>3073</v>
      </c>
      <c r="B3097" t="s">
        <v>3080</v>
      </c>
      <c r="C3097" t="s">
        <v>283</v>
      </c>
      <c r="D3097" t="s">
        <v>3044</v>
      </c>
      <c r="E3097" t="s">
        <v>3877</v>
      </c>
      <c r="F3097" t="s">
        <v>3868</v>
      </c>
      <c r="G3097" t="s">
        <v>3077</v>
      </c>
      <c r="H3097" t="s">
        <v>3638</v>
      </c>
      <c r="I3097" t="s">
        <v>3869</v>
      </c>
      <c r="J3097" t="s">
        <v>344</v>
      </c>
      <c r="K3097">
        <v>18</v>
      </c>
      <c r="L3097" s="6">
        <v>5.4</v>
      </c>
      <c r="M3097" s="7">
        <v>19</v>
      </c>
      <c r="N3097" s="7">
        <v>140</v>
      </c>
      <c r="O3097" s="7">
        <f t="shared" si="238"/>
        <v>212.59842519685043</v>
      </c>
      <c r="P3097" s="7">
        <f t="shared" si="239"/>
        <v>0.74803149606299213</v>
      </c>
      <c r="Q3097" s="7">
        <f t="shared" si="239"/>
        <v>5.5118110236220472</v>
      </c>
      <c r="R3097" s="6">
        <f t="shared" si="240"/>
        <v>1233.3979999999999</v>
      </c>
      <c r="S3097" s="6">
        <f t="shared" si="241"/>
        <v>1.4364E-2</v>
      </c>
      <c r="T3097" t="str">
        <f t="shared" si="242"/>
        <v>Maximo Thermo Ayous VJoint - Nickel Gap Pre Finished - Saicos 1x6 Long</v>
      </c>
    </row>
    <row r="3098" spans="1:20" x14ac:dyDescent="0.25">
      <c r="A3098" t="s">
        <v>3073</v>
      </c>
      <c r="B3098" t="s">
        <v>3080</v>
      </c>
      <c r="C3098" t="s">
        <v>524</v>
      </c>
      <c r="D3098" t="s">
        <v>3044</v>
      </c>
      <c r="E3098" t="s">
        <v>3878</v>
      </c>
      <c r="F3098" t="s">
        <v>3868</v>
      </c>
      <c r="G3098" t="s">
        <v>3077</v>
      </c>
      <c r="H3098" t="s">
        <v>3638</v>
      </c>
      <c r="I3098" t="s">
        <v>3869</v>
      </c>
      <c r="J3098" t="s">
        <v>344</v>
      </c>
      <c r="K3098">
        <v>4</v>
      </c>
      <c r="L3098" s="6">
        <v>1.2</v>
      </c>
      <c r="M3098" s="7">
        <v>19</v>
      </c>
      <c r="N3098" s="7">
        <v>140</v>
      </c>
      <c r="O3098" s="7">
        <f t="shared" si="238"/>
        <v>47.244094488188978</v>
      </c>
      <c r="P3098" s="7">
        <f t="shared" si="239"/>
        <v>0.74803149606299213</v>
      </c>
      <c r="Q3098" s="7">
        <f t="shared" si="239"/>
        <v>5.5118110236220472</v>
      </c>
      <c r="R3098" s="6">
        <f t="shared" si="240"/>
        <v>1233.3979999999999</v>
      </c>
      <c r="S3098" s="6">
        <f t="shared" si="241"/>
        <v>3.192E-3</v>
      </c>
      <c r="T3098" t="str">
        <f t="shared" si="242"/>
        <v>Maximo Thermo Ayous VJoint - Nickel Gap Pre Finished - Saicos 1x6 Short</v>
      </c>
    </row>
    <row r="3099" spans="1:20" x14ac:dyDescent="0.25">
      <c r="A3099" t="s">
        <v>3073</v>
      </c>
      <c r="B3099" t="s">
        <v>3080</v>
      </c>
      <c r="C3099" t="s">
        <v>524</v>
      </c>
      <c r="D3099" t="s">
        <v>3044</v>
      </c>
      <c r="E3099" t="s">
        <v>3879</v>
      </c>
      <c r="F3099" t="s">
        <v>3868</v>
      </c>
      <c r="G3099" t="s">
        <v>3077</v>
      </c>
      <c r="H3099" t="s">
        <v>3638</v>
      </c>
      <c r="I3099" t="s">
        <v>3869</v>
      </c>
      <c r="J3099" t="s">
        <v>344</v>
      </c>
      <c r="K3099">
        <v>5</v>
      </c>
      <c r="L3099" s="6">
        <v>1.5</v>
      </c>
      <c r="M3099" s="7">
        <v>19</v>
      </c>
      <c r="N3099" s="7">
        <v>140</v>
      </c>
      <c r="O3099" s="7">
        <f t="shared" si="238"/>
        <v>59.055118110236222</v>
      </c>
      <c r="P3099" s="7">
        <f t="shared" si="239"/>
        <v>0.74803149606299213</v>
      </c>
      <c r="Q3099" s="7">
        <f t="shared" si="239"/>
        <v>5.5118110236220472</v>
      </c>
      <c r="R3099" s="6">
        <f t="shared" si="240"/>
        <v>1233.3979999999999</v>
      </c>
      <c r="S3099" s="6">
        <f t="shared" si="241"/>
        <v>3.9900000000000005E-3</v>
      </c>
      <c r="T3099" t="str">
        <f t="shared" si="242"/>
        <v>Maximo Thermo Ayous VJoint - Nickel Gap Pre Finished - Saicos 1x6 Short</v>
      </c>
    </row>
    <row r="3100" spans="1:20" x14ac:dyDescent="0.25">
      <c r="A3100" t="s">
        <v>3073</v>
      </c>
      <c r="B3100" t="s">
        <v>3080</v>
      </c>
      <c r="C3100" t="s">
        <v>524</v>
      </c>
      <c r="D3100" t="s">
        <v>3044</v>
      </c>
      <c r="E3100" t="s">
        <v>3880</v>
      </c>
      <c r="F3100" t="s">
        <v>3868</v>
      </c>
      <c r="G3100" t="s">
        <v>3077</v>
      </c>
      <c r="H3100" t="s">
        <v>3638</v>
      </c>
      <c r="I3100" t="s">
        <v>3869</v>
      </c>
      <c r="J3100" t="s">
        <v>344</v>
      </c>
      <c r="K3100">
        <v>6</v>
      </c>
      <c r="L3100" s="6">
        <v>1.8</v>
      </c>
      <c r="M3100" s="7">
        <v>19</v>
      </c>
      <c r="N3100" s="7">
        <v>140</v>
      </c>
      <c r="O3100" s="7">
        <f t="shared" si="238"/>
        <v>70.866141732283467</v>
      </c>
      <c r="P3100" s="7">
        <f t="shared" si="239"/>
        <v>0.74803149606299213</v>
      </c>
      <c r="Q3100" s="7">
        <f t="shared" si="239"/>
        <v>5.5118110236220472</v>
      </c>
      <c r="R3100" s="6">
        <f t="shared" si="240"/>
        <v>1233.3979999999999</v>
      </c>
      <c r="S3100" s="6">
        <f t="shared" si="241"/>
        <v>4.7880000000000006E-3</v>
      </c>
      <c r="T3100" t="str">
        <f t="shared" si="242"/>
        <v>Maximo Thermo Ayous VJoint - Nickel Gap Pre Finished - Saicos 1x6 Short</v>
      </c>
    </row>
    <row r="3101" spans="1:20" x14ac:dyDescent="0.25">
      <c r="A3101" t="s">
        <v>3073</v>
      </c>
      <c r="B3101" t="s">
        <v>3080</v>
      </c>
      <c r="C3101" t="s">
        <v>524</v>
      </c>
      <c r="D3101" t="s">
        <v>3044</v>
      </c>
      <c r="E3101" t="s">
        <v>3881</v>
      </c>
      <c r="F3101" t="s">
        <v>3868</v>
      </c>
      <c r="G3101" t="s">
        <v>3077</v>
      </c>
      <c r="H3101" t="s">
        <v>3638</v>
      </c>
      <c r="I3101" t="s">
        <v>3869</v>
      </c>
      <c r="J3101" t="s">
        <v>344</v>
      </c>
      <c r="K3101">
        <v>7</v>
      </c>
      <c r="L3101" s="6">
        <v>2.1</v>
      </c>
      <c r="M3101" s="7">
        <v>19</v>
      </c>
      <c r="N3101" s="7">
        <v>140</v>
      </c>
      <c r="O3101" s="7">
        <f t="shared" si="238"/>
        <v>82.677165354330711</v>
      </c>
      <c r="P3101" s="7">
        <f t="shared" si="239"/>
        <v>0.74803149606299213</v>
      </c>
      <c r="Q3101" s="7">
        <f t="shared" si="239"/>
        <v>5.5118110236220472</v>
      </c>
      <c r="R3101" s="6">
        <f t="shared" si="240"/>
        <v>1233.3979999999999</v>
      </c>
      <c r="S3101" s="6">
        <f t="shared" si="241"/>
        <v>5.5859999999999998E-3</v>
      </c>
      <c r="T3101" t="str">
        <f t="shared" si="242"/>
        <v>Maximo Thermo Ayous VJoint - Nickel Gap Pre Finished - Saicos 1x6 Short</v>
      </c>
    </row>
    <row r="3102" spans="1:20" x14ac:dyDescent="0.25">
      <c r="A3102" t="s">
        <v>3073</v>
      </c>
      <c r="B3102" t="s">
        <v>3080</v>
      </c>
      <c r="C3102" t="s">
        <v>283</v>
      </c>
      <c r="D3102" t="s">
        <v>3044</v>
      </c>
      <c r="E3102" t="s">
        <v>3882</v>
      </c>
      <c r="F3102" t="s">
        <v>3868</v>
      </c>
      <c r="G3102" t="s">
        <v>3077</v>
      </c>
      <c r="H3102" t="s">
        <v>3638</v>
      </c>
      <c r="I3102" t="s">
        <v>3869</v>
      </c>
      <c r="J3102" t="s">
        <v>344</v>
      </c>
      <c r="K3102">
        <v>8</v>
      </c>
      <c r="L3102" s="6">
        <v>2.4</v>
      </c>
      <c r="M3102" s="7">
        <v>19</v>
      </c>
      <c r="N3102" s="7">
        <v>140</v>
      </c>
      <c r="O3102" s="7">
        <f t="shared" si="238"/>
        <v>94.488188976377955</v>
      </c>
      <c r="P3102" s="7">
        <f t="shared" si="239"/>
        <v>0.74803149606299213</v>
      </c>
      <c r="Q3102" s="7">
        <f t="shared" si="239"/>
        <v>5.5118110236220472</v>
      </c>
      <c r="R3102" s="6">
        <f t="shared" si="240"/>
        <v>1233.3979999999999</v>
      </c>
      <c r="S3102" s="6">
        <f t="shared" si="241"/>
        <v>6.3839999999999999E-3</v>
      </c>
      <c r="T3102" t="str">
        <f t="shared" si="242"/>
        <v>Maximo Thermo Ayous VJoint - Nickel Gap Pre Finished - Saicos 1x6 Long</v>
      </c>
    </row>
    <row r="3103" spans="1:20" x14ac:dyDescent="0.25">
      <c r="A3103" t="s">
        <v>3073</v>
      </c>
      <c r="B3103" t="s">
        <v>3080</v>
      </c>
      <c r="C3103" t="s">
        <v>283</v>
      </c>
      <c r="D3103" t="s">
        <v>3044</v>
      </c>
      <c r="E3103" t="s">
        <v>3883</v>
      </c>
      <c r="F3103" t="s">
        <v>3868</v>
      </c>
      <c r="G3103" t="s">
        <v>3077</v>
      </c>
      <c r="H3103" t="s">
        <v>3638</v>
      </c>
      <c r="I3103" t="s">
        <v>3869</v>
      </c>
      <c r="J3103" t="s">
        <v>344</v>
      </c>
      <c r="K3103">
        <v>9</v>
      </c>
      <c r="L3103" s="6">
        <v>2.7</v>
      </c>
      <c r="M3103" s="7">
        <v>19</v>
      </c>
      <c r="N3103" s="7">
        <v>140</v>
      </c>
      <c r="O3103" s="7">
        <f t="shared" si="238"/>
        <v>106.29921259842521</v>
      </c>
      <c r="P3103" s="7">
        <f t="shared" si="239"/>
        <v>0.74803149606299213</v>
      </c>
      <c r="Q3103" s="7">
        <f t="shared" si="239"/>
        <v>5.5118110236220472</v>
      </c>
      <c r="R3103" s="6">
        <f t="shared" si="240"/>
        <v>1233.3979999999999</v>
      </c>
      <c r="S3103" s="6">
        <f t="shared" si="241"/>
        <v>7.182E-3</v>
      </c>
      <c r="T3103" t="str">
        <f t="shared" si="242"/>
        <v>Maximo Thermo Ayous VJoint - Nickel Gap Pre Finished - Saicos 1x6 Long</v>
      </c>
    </row>
    <row r="3104" spans="1:20" x14ac:dyDescent="0.25">
      <c r="A3104" t="s">
        <v>3073</v>
      </c>
      <c r="B3104" t="s">
        <v>3080</v>
      </c>
      <c r="C3104" t="s">
        <v>283</v>
      </c>
      <c r="D3104" t="s">
        <v>3044</v>
      </c>
      <c r="E3104" t="s">
        <v>3884</v>
      </c>
      <c r="F3104" t="s">
        <v>3885</v>
      </c>
      <c r="G3104" t="s">
        <v>3077</v>
      </c>
      <c r="H3104" t="s">
        <v>3638</v>
      </c>
      <c r="I3104" t="s">
        <v>3886</v>
      </c>
      <c r="J3104" t="s">
        <v>344</v>
      </c>
      <c r="K3104">
        <v>10</v>
      </c>
      <c r="L3104" s="6">
        <v>3</v>
      </c>
      <c r="M3104" s="7">
        <v>19</v>
      </c>
      <c r="N3104" s="7">
        <v>140</v>
      </c>
      <c r="O3104" s="7">
        <f t="shared" si="238"/>
        <v>118.11023622047244</v>
      </c>
      <c r="P3104" s="7">
        <f t="shared" si="239"/>
        <v>0.74803149606299213</v>
      </c>
      <c r="Q3104" s="7">
        <f t="shared" si="239"/>
        <v>5.5118110236220472</v>
      </c>
      <c r="R3104" s="6">
        <f t="shared" si="240"/>
        <v>1233.3979999999999</v>
      </c>
      <c r="S3104" s="6">
        <f t="shared" si="241"/>
        <v>7.980000000000001E-3</v>
      </c>
      <c r="T3104" t="str">
        <f t="shared" si="242"/>
        <v>Maximo Thermo Ayous VJoint - Nickel Gap Pre Finished - Hemel 1x6 Long</v>
      </c>
    </row>
    <row r="3105" spans="1:20" x14ac:dyDescent="0.25">
      <c r="A3105" t="s">
        <v>3073</v>
      </c>
      <c r="B3105" t="s">
        <v>3080</v>
      </c>
      <c r="C3105" t="s">
        <v>283</v>
      </c>
      <c r="D3105" t="s">
        <v>3044</v>
      </c>
      <c r="E3105" t="s">
        <v>3887</v>
      </c>
      <c r="F3105" t="s">
        <v>3885</v>
      </c>
      <c r="G3105" t="s">
        <v>3077</v>
      </c>
      <c r="H3105" t="s">
        <v>3638</v>
      </c>
      <c r="I3105" t="s">
        <v>3886</v>
      </c>
      <c r="J3105" t="s">
        <v>344</v>
      </c>
      <c r="K3105">
        <v>11</v>
      </c>
      <c r="L3105" s="6">
        <v>3.3</v>
      </c>
      <c r="M3105" s="7">
        <v>19</v>
      </c>
      <c r="N3105" s="7">
        <v>140</v>
      </c>
      <c r="O3105" s="7">
        <f t="shared" si="238"/>
        <v>129.92125984251967</v>
      </c>
      <c r="P3105" s="7">
        <f t="shared" si="239"/>
        <v>0.74803149606299213</v>
      </c>
      <c r="Q3105" s="7">
        <f t="shared" si="239"/>
        <v>5.5118110236220472</v>
      </c>
      <c r="R3105" s="6">
        <f t="shared" si="240"/>
        <v>1233.3979999999999</v>
      </c>
      <c r="S3105" s="6">
        <f t="shared" si="241"/>
        <v>8.7779999999999993E-3</v>
      </c>
      <c r="T3105" t="str">
        <f t="shared" si="242"/>
        <v>Maximo Thermo Ayous VJoint - Nickel Gap Pre Finished - Hemel 1x6 Long</v>
      </c>
    </row>
    <row r="3106" spans="1:20" x14ac:dyDescent="0.25">
      <c r="A3106" t="s">
        <v>3073</v>
      </c>
      <c r="B3106" t="s">
        <v>3080</v>
      </c>
      <c r="C3106" t="s">
        <v>283</v>
      </c>
      <c r="D3106" t="s">
        <v>3044</v>
      </c>
      <c r="E3106" t="s">
        <v>3888</v>
      </c>
      <c r="F3106" t="s">
        <v>3885</v>
      </c>
      <c r="G3106" t="s">
        <v>3077</v>
      </c>
      <c r="H3106" t="s">
        <v>3638</v>
      </c>
      <c r="I3106" t="s">
        <v>3886</v>
      </c>
      <c r="J3106" t="s">
        <v>344</v>
      </c>
      <c r="K3106">
        <v>12</v>
      </c>
      <c r="L3106" s="6">
        <v>3.6</v>
      </c>
      <c r="M3106" s="7">
        <v>19</v>
      </c>
      <c r="N3106" s="7">
        <v>140</v>
      </c>
      <c r="O3106" s="7">
        <f t="shared" si="238"/>
        <v>141.73228346456693</v>
      </c>
      <c r="P3106" s="7">
        <f t="shared" si="239"/>
        <v>0.74803149606299213</v>
      </c>
      <c r="Q3106" s="7">
        <f t="shared" si="239"/>
        <v>5.5118110236220472</v>
      </c>
      <c r="R3106" s="6">
        <f t="shared" si="240"/>
        <v>1233.3979999999999</v>
      </c>
      <c r="S3106" s="6">
        <f t="shared" si="241"/>
        <v>9.5760000000000012E-3</v>
      </c>
      <c r="T3106" t="str">
        <f t="shared" si="242"/>
        <v>Maximo Thermo Ayous VJoint - Nickel Gap Pre Finished - Hemel 1x6 Long</v>
      </c>
    </row>
    <row r="3107" spans="1:20" x14ac:dyDescent="0.25">
      <c r="A3107" t="s">
        <v>3073</v>
      </c>
      <c r="B3107" t="s">
        <v>3080</v>
      </c>
      <c r="C3107" t="s">
        <v>283</v>
      </c>
      <c r="D3107" t="s">
        <v>3044</v>
      </c>
      <c r="E3107" t="s">
        <v>3889</v>
      </c>
      <c r="F3107" t="s">
        <v>3885</v>
      </c>
      <c r="G3107" t="s">
        <v>3077</v>
      </c>
      <c r="H3107" t="s">
        <v>3638</v>
      </c>
      <c r="I3107" t="s">
        <v>3886</v>
      </c>
      <c r="J3107" t="s">
        <v>344</v>
      </c>
      <c r="K3107">
        <v>13</v>
      </c>
      <c r="L3107" s="6">
        <v>3.9</v>
      </c>
      <c r="M3107" s="7">
        <v>19</v>
      </c>
      <c r="N3107" s="7">
        <v>140</v>
      </c>
      <c r="O3107" s="7">
        <f t="shared" si="238"/>
        <v>153.54330708661416</v>
      </c>
      <c r="P3107" s="7">
        <f t="shared" si="239"/>
        <v>0.74803149606299213</v>
      </c>
      <c r="Q3107" s="7">
        <f t="shared" si="239"/>
        <v>5.5118110236220472</v>
      </c>
      <c r="R3107" s="6">
        <f t="shared" si="240"/>
        <v>1233.3979999999999</v>
      </c>
      <c r="S3107" s="6">
        <f t="shared" si="241"/>
        <v>1.0374000000000001E-2</v>
      </c>
      <c r="T3107" t="str">
        <f t="shared" si="242"/>
        <v>Maximo Thermo Ayous VJoint - Nickel Gap Pre Finished - Hemel 1x6 Long</v>
      </c>
    </row>
    <row r="3108" spans="1:20" x14ac:dyDescent="0.25">
      <c r="A3108" t="s">
        <v>3073</v>
      </c>
      <c r="B3108" t="s">
        <v>3080</v>
      </c>
      <c r="C3108" t="s">
        <v>283</v>
      </c>
      <c r="D3108" t="s">
        <v>3044</v>
      </c>
      <c r="E3108" t="s">
        <v>179</v>
      </c>
      <c r="F3108" t="s">
        <v>3885</v>
      </c>
      <c r="G3108" t="s">
        <v>3077</v>
      </c>
      <c r="H3108" t="s">
        <v>3638</v>
      </c>
      <c r="I3108" t="s">
        <v>3886</v>
      </c>
      <c r="J3108" t="s">
        <v>344</v>
      </c>
      <c r="K3108">
        <v>14</v>
      </c>
      <c r="L3108" s="6">
        <v>4.2</v>
      </c>
      <c r="M3108" s="7">
        <v>19</v>
      </c>
      <c r="N3108" s="7">
        <v>140</v>
      </c>
      <c r="O3108" s="7">
        <f t="shared" si="238"/>
        <v>165.35433070866142</v>
      </c>
      <c r="P3108" s="7">
        <f t="shared" si="239"/>
        <v>0.74803149606299213</v>
      </c>
      <c r="Q3108" s="7">
        <f t="shared" si="239"/>
        <v>5.5118110236220472</v>
      </c>
      <c r="R3108" s="6">
        <f t="shared" si="240"/>
        <v>1233.3979999999999</v>
      </c>
      <c r="S3108" s="6">
        <f t="shared" si="241"/>
        <v>1.1172E-2</v>
      </c>
      <c r="T3108" t="str">
        <f t="shared" si="242"/>
        <v>Maximo Thermo Ayous VJoint - Nickel Gap Pre Finished - Hemel 1x6 Long</v>
      </c>
    </row>
    <row r="3109" spans="1:20" x14ac:dyDescent="0.25">
      <c r="A3109" t="s">
        <v>3073</v>
      </c>
      <c r="B3109" t="s">
        <v>3080</v>
      </c>
      <c r="C3109" t="s">
        <v>283</v>
      </c>
      <c r="D3109" t="s">
        <v>3044</v>
      </c>
      <c r="E3109" t="s">
        <v>3890</v>
      </c>
      <c r="F3109" t="s">
        <v>3885</v>
      </c>
      <c r="G3109" t="s">
        <v>3077</v>
      </c>
      <c r="H3109" t="s">
        <v>3638</v>
      </c>
      <c r="I3109" t="s">
        <v>3886</v>
      </c>
      <c r="J3109" t="s">
        <v>344</v>
      </c>
      <c r="K3109">
        <v>15</v>
      </c>
      <c r="L3109" s="6">
        <v>4.5</v>
      </c>
      <c r="M3109" s="7">
        <v>19</v>
      </c>
      <c r="N3109" s="7">
        <v>140</v>
      </c>
      <c r="O3109" s="7">
        <f t="shared" si="238"/>
        <v>177.16535433070868</v>
      </c>
      <c r="P3109" s="7">
        <f t="shared" si="239"/>
        <v>0.74803149606299213</v>
      </c>
      <c r="Q3109" s="7">
        <f t="shared" si="239"/>
        <v>5.5118110236220472</v>
      </c>
      <c r="R3109" s="6">
        <f t="shared" si="240"/>
        <v>1233.3979999999999</v>
      </c>
      <c r="S3109" s="6">
        <f t="shared" si="241"/>
        <v>1.1970000000000001E-2</v>
      </c>
      <c r="T3109" t="str">
        <f t="shared" si="242"/>
        <v>Maximo Thermo Ayous VJoint - Nickel Gap Pre Finished - Hemel 1x6 Long</v>
      </c>
    </row>
    <row r="3110" spans="1:20" x14ac:dyDescent="0.25">
      <c r="A3110" t="s">
        <v>3073</v>
      </c>
      <c r="B3110" t="s">
        <v>3080</v>
      </c>
      <c r="C3110" t="s">
        <v>283</v>
      </c>
      <c r="D3110" t="s">
        <v>3044</v>
      </c>
      <c r="E3110" t="s">
        <v>3891</v>
      </c>
      <c r="F3110" t="s">
        <v>3885</v>
      </c>
      <c r="G3110" t="s">
        <v>3077</v>
      </c>
      <c r="H3110" t="s">
        <v>3638</v>
      </c>
      <c r="I3110" t="s">
        <v>3886</v>
      </c>
      <c r="J3110" t="s">
        <v>344</v>
      </c>
      <c r="K3110">
        <v>16</v>
      </c>
      <c r="L3110" s="6">
        <v>4.8</v>
      </c>
      <c r="M3110" s="7">
        <v>19</v>
      </c>
      <c r="N3110" s="7">
        <v>140</v>
      </c>
      <c r="O3110" s="7">
        <f t="shared" si="238"/>
        <v>188.97637795275591</v>
      </c>
      <c r="P3110" s="7">
        <f t="shared" si="239"/>
        <v>0.74803149606299213</v>
      </c>
      <c r="Q3110" s="7">
        <f t="shared" si="239"/>
        <v>5.5118110236220472</v>
      </c>
      <c r="R3110" s="6">
        <f t="shared" si="240"/>
        <v>1233.3979999999999</v>
      </c>
      <c r="S3110" s="6">
        <f t="shared" si="241"/>
        <v>1.2768E-2</v>
      </c>
      <c r="T3110" t="str">
        <f t="shared" si="242"/>
        <v>Maximo Thermo Ayous VJoint - Nickel Gap Pre Finished - Hemel 1x6 Long</v>
      </c>
    </row>
    <row r="3111" spans="1:20" x14ac:dyDescent="0.25">
      <c r="A3111" t="s">
        <v>3073</v>
      </c>
      <c r="B3111" t="s">
        <v>3080</v>
      </c>
      <c r="C3111" t="s">
        <v>283</v>
      </c>
      <c r="D3111" t="s">
        <v>3044</v>
      </c>
      <c r="E3111" t="s">
        <v>3892</v>
      </c>
      <c r="F3111" t="s">
        <v>3885</v>
      </c>
      <c r="G3111" t="s">
        <v>3077</v>
      </c>
      <c r="H3111" t="s">
        <v>3638</v>
      </c>
      <c r="I3111" t="s">
        <v>3886</v>
      </c>
      <c r="J3111" t="s">
        <v>344</v>
      </c>
      <c r="K3111">
        <v>17</v>
      </c>
      <c r="L3111" s="6">
        <v>5.0999999999999996</v>
      </c>
      <c r="M3111" s="7">
        <v>19</v>
      </c>
      <c r="N3111" s="7">
        <v>140</v>
      </c>
      <c r="O3111" s="7">
        <f t="shared" si="238"/>
        <v>200.78740157480314</v>
      </c>
      <c r="P3111" s="7">
        <f t="shared" si="239"/>
        <v>0.74803149606299213</v>
      </c>
      <c r="Q3111" s="7">
        <f t="shared" si="239"/>
        <v>5.5118110236220472</v>
      </c>
      <c r="R3111" s="6">
        <f t="shared" si="240"/>
        <v>1233.3979999999999</v>
      </c>
      <c r="S3111" s="6">
        <f t="shared" si="241"/>
        <v>1.3565999999999998E-2</v>
      </c>
      <c r="T3111" t="str">
        <f t="shared" si="242"/>
        <v>Maximo Thermo Ayous VJoint - Nickel Gap Pre Finished - Hemel 1x6 Long</v>
      </c>
    </row>
    <row r="3112" spans="1:20" x14ac:dyDescent="0.25">
      <c r="A3112" t="s">
        <v>3073</v>
      </c>
      <c r="B3112" t="s">
        <v>3080</v>
      </c>
      <c r="C3112" t="s">
        <v>283</v>
      </c>
      <c r="D3112" t="s">
        <v>3044</v>
      </c>
      <c r="E3112" t="s">
        <v>3893</v>
      </c>
      <c r="F3112" t="s">
        <v>3885</v>
      </c>
      <c r="G3112" t="s">
        <v>3077</v>
      </c>
      <c r="H3112" t="s">
        <v>3638</v>
      </c>
      <c r="I3112" t="s">
        <v>3886</v>
      </c>
      <c r="J3112" t="s">
        <v>344</v>
      </c>
      <c r="K3112">
        <v>18</v>
      </c>
      <c r="L3112" s="6">
        <v>5.4</v>
      </c>
      <c r="M3112" s="7">
        <v>19</v>
      </c>
      <c r="N3112" s="7">
        <v>140</v>
      </c>
      <c r="O3112" s="7">
        <f t="shared" si="238"/>
        <v>212.59842519685043</v>
      </c>
      <c r="P3112" s="7">
        <f t="shared" si="239"/>
        <v>0.74803149606299213</v>
      </c>
      <c r="Q3112" s="7">
        <f t="shared" si="239"/>
        <v>5.5118110236220472</v>
      </c>
      <c r="R3112" s="6">
        <f t="shared" si="240"/>
        <v>1233.3979999999999</v>
      </c>
      <c r="S3112" s="6">
        <f t="shared" si="241"/>
        <v>1.4364E-2</v>
      </c>
      <c r="T3112" t="str">
        <f t="shared" si="242"/>
        <v>Maximo Thermo Ayous VJoint - Nickel Gap Pre Finished - Hemel 1x6 Long</v>
      </c>
    </row>
    <row r="3113" spans="1:20" x14ac:dyDescent="0.25">
      <c r="A3113" t="s">
        <v>3073</v>
      </c>
      <c r="B3113" t="s">
        <v>3080</v>
      </c>
      <c r="C3113" t="s">
        <v>524</v>
      </c>
      <c r="D3113" t="s">
        <v>3044</v>
      </c>
      <c r="E3113" t="s">
        <v>3894</v>
      </c>
      <c r="F3113" t="s">
        <v>3885</v>
      </c>
      <c r="G3113" t="s">
        <v>3077</v>
      </c>
      <c r="H3113" t="s">
        <v>3638</v>
      </c>
      <c r="I3113" t="s">
        <v>3886</v>
      </c>
      <c r="J3113" t="s">
        <v>344</v>
      </c>
      <c r="K3113">
        <v>4</v>
      </c>
      <c r="L3113" s="6">
        <v>1.2</v>
      </c>
      <c r="M3113" s="7">
        <v>19</v>
      </c>
      <c r="N3113" s="7">
        <v>140</v>
      </c>
      <c r="O3113" s="7">
        <f t="shared" si="238"/>
        <v>47.244094488188978</v>
      </c>
      <c r="P3113" s="7">
        <f t="shared" si="239"/>
        <v>0.74803149606299213</v>
      </c>
      <c r="Q3113" s="7">
        <f t="shared" si="239"/>
        <v>5.5118110236220472</v>
      </c>
      <c r="R3113" s="6">
        <f t="shared" si="240"/>
        <v>1233.3979999999999</v>
      </c>
      <c r="S3113" s="6">
        <f t="shared" si="241"/>
        <v>3.192E-3</v>
      </c>
      <c r="T3113" t="str">
        <f t="shared" si="242"/>
        <v>Maximo Thermo Ayous VJoint - Nickel Gap Pre Finished - Hemel 1x6 Short</v>
      </c>
    </row>
    <row r="3114" spans="1:20" x14ac:dyDescent="0.25">
      <c r="A3114" t="s">
        <v>3073</v>
      </c>
      <c r="B3114" t="s">
        <v>3080</v>
      </c>
      <c r="C3114" t="s">
        <v>524</v>
      </c>
      <c r="D3114" t="s">
        <v>3044</v>
      </c>
      <c r="E3114" t="s">
        <v>3895</v>
      </c>
      <c r="F3114" t="s">
        <v>3885</v>
      </c>
      <c r="G3114" t="s">
        <v>3077</v>
      </c>
      <c r="H3114" t="s">
        <v>3638</v>
      </c>
      <c r="I3114" t="s">
        <v>3886</v>
      </c>
      <c r="J3114" t="s">
        <v>344</v>
      </c>
      <c r="K3114">
        <v>5</v>
      </c>
      <c r="L3114" s="6">
        <v>1.5</v>
      </c>
      <c r="M3114" s="7">
        <v>19</v>
      </c>
      <c r="N3114" s="7">
        <v>140</v>
      </c>
      <c r="O3114" s="7">
        <f t="shared" si="238"/>
        <v>59.055118110236222</v>
      </c>
      <c r="P3114" s="7">
        <f t="shared" si="239"/>
        <v>0.74803149606299213</v>
      </c>
      <c r="Q3114" s="7">
        <f t="shared" si="239"/>
        <v>5.5118110236220472</v>
      </c>
      <c r="R3114" s="6">
        <f t="shared" si="240"/>
        <v>1233.3979999999999</v>
      </c>
      <c r="S3114" s="6">
        <f t="shared" si="241"/>
        <v>3.9900000000000005E-3</v>
      </c>
      <c r="T3114" t="str">
        <f t="shared" si="242"/>
        <v>Maximo Thermo Ayous VJoint - Nickel Gap Pre Finished - Hemel 1x6 Short</v>
      </c>
    </row>
    <row r="3115" spans="1:20" x14ac:dyDescent="0.25">
      <c r="A3115" t="s">
        <v>3073</v>
      </c>
      <c r="B3115" t="s">
        <v>3080</v>
      </c>
      <c r="C3115" t="s">
        <v>524</v>
      </c>
      <c r="D3115" t="s">
        <v>3044</v>
      </c>
      <c r="E3115" t="s">
        <v>3896</v>
      </c>
      <c r="F3115" t="s">
        <v>3885</v>
      </c>
      <c r="G3115" t="s">
        <v>3077</v>
      </c>
      <c r="H3115" t="s">
        <v>3638</v>
      </c>
      <c r="I3115" t="s">
        <v>3886</v>
      </c>
      <c r="J3115" t="s">
        <v>344</v>
      </c>
      <c r="K3115">
        <v>6</v>
      </c>
      <c r="L3115" s="6">
        <v>1.8</v>
      </c>
      <c r="M3115" s="7">
        <v>19</v>
      </c>
      <c r="N3115" s="7">
        <v>140</v>
      </c>
      <c r="O3115" s="7">
        <f t="shared" si="238"/>
        <v>70.866141732283467</v>
      </c>
      <c r="P3115" s="7">
        <f t="shared" si="239"/>
        <v>0.74803149606299213</v>
      </c>
      <c r="Q3115" s="7">
        <f t="shared" si="239"/>
        <v>5.5118110236220472</v>
      </c>
      <c r="R3115" s="6">
        <f t="shared" si="240"/>
        <v>1233.3979999999999</v>
      </c>
      <c r="S3115" s="6">
        <f t="shared" si="241"/>
        <v>4.7880000000000006E-3</v>
      </c>
      <c r="T3115" t="str">
        <f t="shared" si="242"/>
        <v>Maximo Thermo Ayous VJoint - Nickel Gap Pre Finished - Hemel 1x6 Short</v>
      </c>
    </row>
    <row r="3116" spans="1:20" x14ac:dyDescent="0.25">
      <c r="A3116" t="s">
        <v>3073</v>
      </c>
      <c r="B3116" t="s">
        <v>3080</v>
      </c>
      <c r="C3116" t="s">
        <v>524</v>
      </c>
      <c r="D3116" t="s">
        <v>3044</v>
      </c>
      <c r="E3116" t="s">
        <v>3897</v>
      </c>
      <c r="F3116" t="s">
        <v>3885</v>
      </c>
      <c r="G3116" t="s">
        <v>3077</v>
      </c>
      <c r="H3116" t="s">
        <v>3638</v>
      </c>
      <c r="I3116" t="s">
        <v>3886</v>
      </c>
      <c r="J3116" t="s">
        <v>344</v>
      </c>
      <c r="K3116">
        <v>7</v>
      </c>
      <c r="L3116" s="6">
        <v>2.1</v>
      </c>
      <c r="M3116" s="7">
        <v>19</v>
      </c>
      <c r="N3116" s="7">
        <v>140</v>
      </c>
      <c r="O3116" s="7">
        <f t="shared" si="238"/>
        <v>82.677165354330711</v>
      </c>
      <c r="P3116" s="7">
        <f t="shared" si="239"/>
        <v>0.74803149606299213</v>
      </c>
      <c r="Q3116" s="7">
        <f t="shared" si="239"/>
        <v>5.5118110236220472</v>
      </c>
      <c r="R3116" s="6">
        <f t="shared" si="240"/>
        <v>1233.3979999999999</v>
      </c>
      <c r="S3116" s="6">
        <f t="shared" si="241"/>
        <v>5.5859999999999998E-3</v>
      </c>
      <c r="T3116" t="str">
        <f t="shared" si="242"/>
        <v>Maximo Thermo Ayous VJoint - Nickel Gap Pre Finished - Hemel 1x6 Short</v>
      </c>
    </row>
    <row r="3117" spans="1:20" x14ac:dyDescent="0.25">
      <c r="A3117" t="s">
        <v>3073</v>
      </c>
      <c r="B3117" t="s">
        <v>3080</v>
      </c>
      <c r="C3117" t="s">
        <v>283</v>
      </c>
      <c r="D3117" t="s">
        <v>3044</v>
      </c>
      <c r="E3117" t="s">
        <v>180</v>
      </c>
      <c r="F3117" t="s">
        <v>3885</v>
      </c>
      <c r="G3117" t="s">
        <v>3077</v>
      </c>
      <c r="H3117" t="s">
        <v>3638</v>
      </c>
      <c r="I3117" t="s">
        <v>3886</v>
      </c>
      <c r="J3117" t="s">
        <v>344</v>
      </c>
      <c r="K3117">
        <v>8</v>
      </c>
      <c r="L3117" s="6">
        <v>2.4</v>
      </c>
      <c r="M3117" s="7">
        <v>19</v>
      </c>
      <c r="N3117" s="7">
        <v>140</v>
      </c>
      <c r="O3117" s="7">
        <f t="shared" si="238"/>
        <v>94.488188976377955</v>
      </c>
      <c r="P3117" s="7">
        <f t="shared" si="239"/>
        <v>0.74803149606299213</v>
      </c>
      <c r="Q3117" s="7">
        <f t="shared" si="239"/>
        <v>5.5118110236220472</v>
      </c>
      <c r="R3117" s="6">
        <f t="shared" si="240"/>
        <v>1233.3979999999999</v>
      </c>
      <c r="S3117" s="6">
        <f t="shared" si="241"/>
        <v>6.3839999999999999E-3</v>
      </c>
      <c r="T3117" t="str">
        <f t="shared" si="242"/>
        <v>Maximo Thermo Ayous VJoint - Nickel Gap Pre Finished - Hemel 1x6 Long</v>
      </c>
    </row>
    <row r="3118" spans="1:20" x14ac:dyDescent="0.25">
      <c r="A3118" t="s">
        <v>3073</v>
      </c>
      <c r="B3118" t="s">
        <v>3080</v>
      </c>
      <c r="C3118" t="s">
        <v>283</v>
      </c>
      <c r="D3118" t="s">
        <v>3044</v>
      </c>
      <c r="E3118" t="s">
        <v>3898</v>
      </c>
      <c r="F3118" t="s">
        <v>3885</v>
      </c>
      <c r="G3118" t="s">
        <v>3077</v>
      </c>
      <c r="H3118" t="s">
        <v>3638</v>
      </c>
      <c r="I3118" t="s">
        <v>3886</v>
      </c>
      <c r="J3118" t="s">
        <v>344</v>
      </c>
      <c r="K3118">
        <v>9</v>
      </c>
      <c r="L3118" s="6">
        <v>2.7</v>
      </c>
      <c r="M3118" s="7">
        <v>19</v>
      </c>
      <c r="N3118" s="7">
        <v>140</v>
      </c>
      <c r="O3118" s="7">
        <f t="shared" si="238"/>
        <v>106.29921259842521</v>
      </c>
      <c r="P3118" s="7">
        <f t="shared" si="239"/>
        <v>0.74803149606299213</v>
      </c>
      <c r="Q3118" s="7">
        <f t="shared" si="239"/>
        <v>5.5118110236220472</v>
      </c>
      <c r="R3118" s="6">
        <f t="shared" si="240"/>
        <v>1233.3979999999999</v>
      </c>
      <c r="S3118" s="6">
        <f t="shared" si="241"/>
        <v>7.182E-3</v>
      </c>
      <c r="T3118" t="str">
        <f t="shared" si="242"/>
        <v>Maximo Thermo Ayous VJoint - Nickel Gap Pre Finished - Hemel 1x6 Long</v>
      </c>
    </row>
    <row r="3119" spans="1:20" x14ac:dyDescent="0.25">
      <c r="A3119" t="s">
        <v>3073</v>
      </c>
      <c r="B3119" t="s">
        <v>3080</v>
      </c>
      <c r="C3119" t="s">
        <v>283</v>
      </c>
      <c r="D3119" t="s">
        <v>3044</v>
      </c>
      <c r="E3119" t="s">
        <v>49</v>
      </c>
      <c r="F3119" t="s">
        <v>3899</v>
      </c>
      <c r="G3119" t="s">
        <v>3077</v>
      </c>
      <c r="H3119" t="s">
        <v>3638</v>
      </c>
      <c r="I3119" t="s">
        <v>289</v>
      </c>
      <c r="J3119" t="s">
        <v>344</v>
      </c>
      <c r="K3119">
        <v>10</v>
      </c>
      <c r="L3119" s="6">
        <v>3</v>
      </c>
      <c r="M3119" s="7">
        <v>19</v>
      </c>
      <c r="N3119" s="7">
        <v>140</v>
      </c>
      <c r="O3119" s="7">
        <f t="shared" si="238"/>
        <v>118.11023622047244</v>
      </c>
      <c r="P3119" s="7">
        <f t="shared" si="239"/>
        <v>0.74803149606299213</v>
      </c>
      <c r="Q3119" s="7">
        <f t="shared" si="239"/>
        <v>5.5118110236220472</v>
      </c>
      <c r="R3119" s="6">
        <f t="shared" si="240"/>
        <v>1233.3979999999999</v>
      </c>
      <c r="S3119" s="6">
        <f t="shared" si="241"/>
        <v>7.980000000000001E-3</v>
      </c>
      <c r="T3119" t="str">
        <f t="shared" si="242"/>
        <v>Maximo Thermo Ayous VJoint - Nickel Gap 1x6 Long</v>
      </c>
    </row>
    <row r="3120" spans="1:20" x14ac:dyDescent="0.25">
      <c r="A3120" t="s">
        <v>3073</v>
      </c>
      <c r="B3120" t="s">
        <v>3080</v>
      </c>
      <c r="C3120" t="s">
        <v>283</v>
      </c>
      <c r="D3120" t="s">
        <v>3044</v>
      </c>
      <c r="E3120" t="s">
        <v>50</v>
      </c>
      <c r="F3120" t="s">
        <v>3899</v>
      </c>
      <c r="G3120" t="s">
        <v>3077</v>
      </c>
      <c r="H3120" t="s">
        <v>3638</v>
      </c>
      <c r="I3120" t="s">
        <v>289</v>
      </c>
      <c r="J3120" t="s">
        <v>344</v>
      </c>
      <c r="K3120">
        <v>11</v>
      </c>
      <c r="L3120" s="6">
        <v>3.3</v>
      </c>
      <c r="M3120" s="7">
        <v>19</v>
      </c>
      <c r="N3120" s="7">
        <v>140</v>
      </c>
      <c r="O3120" s="7">
        <f t="shared" ref="O3120:O3183" si="243">L3120/0.0254</f>
        <v>129.92125984251967</v>
      </c>
      <c r="P3120" s="7">
        <f t="shared" ref="P3120:Q3183" si="244">M3120/25.4</f>
        <v>0.74803149606299213</v>
      </c>
      <c r="Q3120" s="7">
        <f t="shared" si="244"/>
        <v>5.5118110236220472</v>
      </c>
      <c r="R3120" s="6">
        <f t="shared" ref="R3120:R3183" si="245">ROUND(IFERROR(1/((M3120*N3120*0.3048)/1000000),0),3)</f>
        <v>1233.3979999999999</v>
      </c>
      <c r="S3120" s="6">
        <f t="shared" ref="S3120:S3183" si="246">L3120*M3120/1000*N3120/1000</f>
        <v>8.7779999999999993E-3</v>
      </c>
      <c r="T3120" t="str">
        <f t="shared" si="242"/>
        <v>Maximo Thermo Ayous VJoint - Nickel Gap 1x6 Long</v>
      </c>
    </row>
    <row r="3121" spans="1:20" x14ac:dyDescent="0.25">
      <c r="A3121" t="s">
        <v>3073</v>
      </c>
      <c r="B3121" t="s">
        <v>3080</v>
      </c>
      <c r="C3121" t="s">
        <v>283</v>
      </c>
      <c r="D3121" t="s">
        <v>3044</v>
      </c>
      <c r="E3121" t="s">
        <v>115</v>
      </c>
      <c r="F3121" t="s">
        <v>3899</v>
      </c>
      <c r="G3121" t="s">
        <v>3077</v>
      </c>
      <c r="H3121" t="s">
        <v>3638</v>
      </c>
      <c r="I3121" t="s">
        <v>289</v>
      </c>
      <c r="J3121" t="s">
        <v>344</v>
      </c>
      <c r="K3121">
        <v>12</v>
      </c>
      <c r="L3121" s="6">
        <v>3.6</v>
      </c>
      <c r="M3121" s="7">
        <v>19</v>
      </c>
      <c r="N3121" s="7">
        <v>140</v>
      </c>
      <c r="O3121" s="7">
        <f t="shared" si="243"/>
        <v>141.73228346456693</v>
      </c>
      <c r="P3121" s="7">
        <f t="shared" si="244"/>
        <v>0.74803149606299213</v>
      </c>
      <c r="Q3121" s="7">
        <f t="shared" si="244"/>
        <v>5.5118110236220472</v>
      </c>
      <c r="R3121" s="6">
        <f t="shared" si="245"/>
        <v>1233.3979999999999</v>
      </c>
      <c r="S3121" s="6">
        <f t="shared" si="246"/>
        <v>9.5760000000000012E-3</v>
      </c>
      <c r="T3121" t="str">
        <f t="shared" si="242"/>
        <v>Maximo Thermo Ayous VJoint - Nickel Gap 1x6 Long</v>
      </c>
    </row>
    <row r="3122" spans="1:20" x14ac:dyDescent="0.25">
      <c r="A3122" t="s">
        <v>3073</v>
      </c>
      <c r="B3122" t="s">
        <v>3080</v>
      </c>
      <c r="C3122" t="s">
        <v>283</v>
      </c>
      <c r="D3122" t="s">
        <v>3044</v>
      </c>
      <c r="E3122" t="s">
        <v>122</v>
      </c>
      <c r="F3122" t="s">
        <v>3899</v>
      </c>
      <c r="G3122" t="s">
        <v>3077</v>
      </c>
      <c r="H3122" t="s">
        <v>3638</v>
      </c>
      <c r="I3122" t="s">
        <v>289</v>
      </c>
      <c r="J3122" t="s">
        <v>344</v>
      </c>
      <c r="K3122">
        <v>13</v>
      </c>
      <c r="L3122" s="6">
        <v>3.9</v>
      </c>
      <c r="M3122" s="7">
        <v>19</v>
      </c>
      <c r="N3122" s="7">
        <v>140</v>
      </c>
      <c r="O3122" s="7">
        <f t="shared" si="243"/>
        <v>153.54330708661416</v>
      </c>
      <c r="P3122" s="7">
        <f t="shared" si="244"/>
        <v>0.74803149606299213</v>
      </c>
      <c r="Q3122" s="7">
        <f t="shared" si="244"/>
        <v>5.5118110236220472</v>
      </c>
      <c r="R3122" s="6">
        <f t="shared" si="245"/>
        <v>1233.3979999999999</v>
      </c>
      <c r="S3122" s="6">
        <f t="shared" si="246"/>
        <v>1.0374000000000001E-2</v>
      </c>
      <c r="T3122" t="str">
        <f t="shared" si="242"/>
        <v>Maximo Thermo Ayous VJoint - Nickel Gap 1x6 Long</v>
      </c>
    </row>
    <row r="3123" spans="1:20" x14ac:dyDescent="0.25">
      <c r="A3123" t="s">
        <v>3073</v>
      </c>
      <c r="B3123" t="s">
        <v>3080</v>
      </c>
      <c r="C3123" t="s">
        <v>283</v>
      </c>
      <c r="D3123" t="s">
        <v>3044</v>
      </c>
      <c r="E3123" t="s">
        <v>6</v>
      </c>
      <c r="F3123" t="s">
        <v>3899</v>
      </c>
      <c r="G3123" t="s">
        <v>3077</v>
      </c>
      <c r="H3123" t="s">
        <v>3638</v>
      </c>
      <c r="I3123" t="s">
        <v>289</v>
      </c>
      <c r="J3123" t="s">
        <v>344</v>
      </c>
      <c r="K3123">
        <v>14</v>
      </c>
      <c r="L3123" s="6">
        <v>4.2</v>
      </c>
      <c r="M3123" s="7">
        <v>19</v>
      </c>
      <c r="N3123" s="7">
        <v>140</v>
      </c>
      <c r="O3123" s="7">
        <f t="shared" si="243"/>
        <v>165.35433070866142</v>
      </c>
      <c r="P3123" s="7">
        <f t="shared" si="244"/>
        <v>0.74803149606299213</v>
      </c>
      <c r="Q3123" s="7">
        <f t="shared" si="244"/>
        <v>5.5118110236220472</v>
      </c>
      <c r="R3123" s="6">
        <f t="shared" si="245"/>
        <v>1233.3979999999999</v>
      </c>
      <c r="S3123" s="6">
        <f t="shared" si="246"/>
        <v>1.1172E-2</v>
      </c>
      <c r="T3123" t="str">
        <f t="shared" si="242"/>
        <v>Maximo Thermo Ayous VJoint - Nickel Gap 1x6 Long</v>
      </c>
    </row>
    <row r="3124" spans="1:20" x14ac:dyDescent="0.25">
      <c r="A3124" t="s">
        <v>3073</v>
      </c>
      <c r="B3124" t="s">
        <v>3080</v>
      </c>
      <c r="C3124" t="s">
        <v>283</v>
      </c>
      <c r="D3124" t="s">
        <v>3044</v>
      </c>
      <c r="E3124" t="s">
        <v>169</v>
      </c>
      <c r="F3124" t="s">
        <v>3899</v>
      </c>
      <c r="G3124" t="s">
        <v>3077</v>
      </c>
      <c r="H3124" t="s">
        <v>3638</v>
      </c>
      <c r="I3124" t="s">
        <v>289</v>
      </c>
      <c r="J3124" t="s">
        <v>344</v>
      </c>
      <c r="K3124">
        <v>15</v>
      </c>
      <c r="L3124" s="6">
        <v>4.5</v>
      </c>
      <c r="M3124" s="7">
        <v>19</v>
      </c>
      <c r="N3124" s="7">
        <v>140</v>
      </c>
      <c r="O3124" s="7">
        <f t="shared" si="243"/>
        <v>177.16535433070868</v>
      </c>
      <c r="P3124" s="7">
        <f t="shared" si="244"/>
        <v>0.74803149606299213</v>
      </c>
      <c r="Q3124" s="7">
        <f t="shared" si="244"/>
        <v>5.5118110236220472</v>
      </c>
      <c r="R3124" s="6">
        <f t="shared" si="245"/>
        <v>1233.3979999999999</v>
      </c>
      <c r="S3124" s="6">
        <f t="shared" si="246"/>
        <v>1.1970000000000001E-2</v>
      </c>
      <c r="T3124" t="str">
        <f t="shared" si="242"/>
        <v>Maximo Thermo Ayous VJoint - Nickel Gap 1x6 Long</v>
      </c>
    </row>
    <row r="3125" spans="1:20" x14ac:dyDescent="0.25">
      <c r="A3125" t="s">
        <v>3073</v>
      </c>
      <c r="B3125" t="s">
        <v>3080</v>
      </c>
      <c r="C3125" t="s">
        <v>283</v>
      </c>
      <c r="D3125" t="s">
        <v>3044</v>
      </c>
      <c r="E3125" t="s">
        <v>15</v>
      </c>
      <c r="F3125" t="s">
        <v>3899</v>
      </c>
      <c r="G3125" t="s">
        <v>3077</v>
      </c>
      <c r="H3125" t="s">
        <v>3638</v>
      </c>
      <c r="I3125" t="s">
        <v>289</v>
      </c>
      <c r="J3125" t="s">
        <v>344</v>
      </c>
      <c r="K3125">
        <v>16</v>
      </c>
      <c r="L3125" s="6">
        <v>4.8</v>
      </c>
      <c r="M3125" s="7">
        <v>19</v>
      </c>
      <c r="N3125" s="7">
        <v>140</v>
      </c>
      <c r="O3125" s="7">
        <f t="shared" si="243"/>
        <v>188.97637795275591</v>
      </c>
      <c r="P3125" s="7">
        <f t="shared" si="244"/>
        <v>0.74803149606299213</v>
      </c>
      <c r="Q3125" s="7">
        <f t="shared" si="244"/>
        <v>5.5118110236220472</v>
      </c>
      <c r="R3125" s="6">
        <f t="shared" si="245"/>
        <v>1233.3979999999999</v>
      </c>
      <c r="S3125" s="6">
        <f t="shared" si="246"/>
        <v>1.2768E-2</v>
      </c>
      <c r="T3125" t="str">
        <f t="shared" si="242"/>
        <v>Maximo Thermo Ayous VJoint - Nickel Gap 1x6 Long</v>
      </c>
    </row>
    <row r="3126" spans="1:20" x14ac:dyDescent="0.25">
      <c r="A3126" t="s">
        <v>3073</v>
      </c>
      <c r="B3126" t="s">
        <v>3080</v>
      </c>
      <c r="C3126" t="s">
        <v>283</v>
      </c>
      <c r="D3126" t="s">
        <v>3044</v>
      </c>
      <c r="E3126" t="s">
        <v>3900</v>
      </c>
      <c r="F3126" t="s">
        <v>3899</v>
      </c>
      <c r="G3126" t="s">
        <v>3077</v>
      </c>
      <c r="H3126" t="s">
        <v>3638</v>
      </c>
      <c r="I3126" t="s">
        <v>289</v>
      </c>
      <c r="J3126" t="s">
        <v>344</v>
      </c>
      <c r="K3126">
        <v>17</v>
      </c>
      <c r="L3126" s="6">
        <v>5.0999999999999996</v>
      </c>
      <c r="M3126" s="7">
        <v>19</v>
      </c>
      <c r="N3126" s="7">
        <v>140</v>
      </c>
      <c r="O3126" s="7">
        <f t="shared" si="243"/>
        <v>200.78740157480314</v>
      </c>
      <c r="P3126" s="7">
        <f t="shared" si="244"/>
        <v>0.74803149606299213</v>
      </c>
      <c r="Q3126" s="7">
        <f t="shared" si="244"/>
        <v>5.5118110236220472</v>
      </c>
      <c r="R3126" s="6">
        <f t="shared" si="245"/>
        <v>1233.3979999999999</v>
      </c>
      <c r="S3126" s="6">
        <f t="shared" si="246"/>
        <v>1.3565999999999998E-2</v>
      </c>
      <c r="T3126" t="str">
        <f t="shared" si="242"/>
        <v>Maximo Thermo Ayous VJoint - Nickel Gap 1x6 Long</v>
      </c>
    </row>
    <row r="3127" spans="1:20" x14ac:dyDescent="0.25">
      <c r="A3127" t="s">
        <v>3073</v>
      </c>
      <c r="B3127" t="s">
        <v>3080</v>
      </c>
      <c r="C3127" t="s">
        <v>283</v>
      </c>
      <c r="D3127" t="s">
        <v>3044</v>
      </c>
      <c r="E3127" t="s">
        <v>3901</v>
      </c>
      <c r="F3127" t="s">
        <v>3899</v>
      </c>
      <c r="G3127" t="s">
        <v>3077</v>
      </c>
      <c r="H3127" t="s">
        <v>3638</v>
      </c>
      <c r="I3127" t="s">
        <v>289</v>
      </c>
      <c r="J3127" t="s">
        <v>344</v>
      </c>
      <c r="K3127">
        <v>18</v>
      </c>
      <c r="L3127" s="6">
        <v>5.4</v>
      </c>
      <c r="M3127" s="7">
        <v>19</v>
      </c>
      <c r="N3127" s="7">
        <v>140</v>
      </c>
      <c r="O3127" s="7">
        <f t="shared" si="243"/>
        <v>212.59842519685043</v>
      </c>
      <c r="P3127" s="7">
        <f t="shared" si="244"/>
        <v>0.74803149606299213</v>
      </c>
      <c r="Q3127" s="7">
        <f t="shared" si="244"/>
        <v>5.5118110236220472</v>
      </c>
      <c r="R3127" s="6">
        <f t="shared" si="245"/>
        <v>1233.3979999999999</v>
      </c>
      <c r="S3127" s="6">
        <f t="shared" si="246"/>
        <v>1.4364E-2</v>
      </c>
      <c r="T3127" t="str">
        <f t="shared" si="242"/>
        <v>Maximo Thermo Ayous VJoint - Nickel Gap 1x6 Long</v>
      </c>
    </row>
    <row r="3128" spans="1:20" x14ac:dyDescent="0.25">
      <c r="A3128" t="s">
        <v>3073</v>
      </c>
      <c r="B3128" t="s">
        <v>3080</v>
      </c>
      <c r="C3128" t="s">
        <v>524</v>
      </c>
      <c r="D3128" t="s">
        <v>3044</v>
      </c>
      <c r="E3128" t="s">
        <v>95</v>
      </c>
      <c r="F3128" t="s">
        <v>3899</v>
      </c>
      <c r="G3128" t="s">
        <v>3077</v>
      </c>
      <c r="H3128" t="s">
        <v>3638</v>
      </c>
      <c r="I3128" t="s">
        <v>289</v>
      </c>
      <c r="J3128" t="s">
        <v>344</v>
      </c>
      <c r="K3128">
        <v>4</v>
      </c>
      <c r="L3128" s="6">
        <v>1.2</v>
      </c>
      <c r="M3128" s="7">
        <v>19</v>
      </c>
      <c r="N3128" s="7">
        <v>140</v>
      </c>
      <c r="O3128" s="7">
        <f t="shared" si="243"/>
        <v>47.244094488188978</v>
      </c>
      <c r="P3128" s="7">
        <f t="shared" si="244"/>
        <v>0.74803149606299213</v>
      </c>
      <c r="Q3128" s="7">
        <f t="shared" si="244"/>
        <v>5.5118110236220472</v>
      </c>
      <c r="R3128" s="6">
        <f t="shared" si="245"/>
        <v>1233.3979999999999</v>
      </c>
      <c r="S3128" s="6">
        <f t="shared" si="246"/>
        <v>3.192E-3</v>
      </c>
      <c r="T3128" t="str">
        <f t="shared" si="242"/>
        <v>Maximo Thermo Ayous VJoint - Nickel Gap 1x6 Short</v>
      </c>
    </row>
    <row r="3129" spans="1:20" x14ac:dyDescent="0.25">
      <c r="A3129" t="s">
        <v>3073</v>
      </c>
      <c r="B3129" t="s">
        <v>3080</v>
      </c>
      <c r="C3129" t="s">
        <v>524</v>
      </c>
      <c r="D3129" t="s">
        <v>3044</v>
      </c>
      <c r="E3129" t="s">
        <v>155</v>
      </c>
      <c r="F3129" t="s">
        <v>3899</v>
      </c>
      <c r="G3129" t="s">
        <v>3077</v>
      </c>
      <c r="H3129" t="s">
        <v>3638</v>
      </c>
      <c r="I3129" t="s">
        <v>289</v>
      </c>
      <c r="J3129" t="s">
        <v>344</v>
      </c>
      <c r="K3129">
        <v>5</v>
      </c>
      <c r="L3129" s="6">
        <v>1.5</v>
      </c>
      <c r="M3129" s="7">
        <v>19</v>
      </c>
      <c r="N3129" s="7">
        <v>140</v>
      </c>
      <c r="O3129" s="7">
        <f t="shared" si="243"/>
        <v>59.055118110236222</v>
      </c>
      <c r="P3129" s="7">
        <f t="shared" si="244"/>
        <v>0.74803149606299213</v>
      </c>
      <c r="Q3129" s="7">
        <f t="shared" si="244"/>
        <v>5.5118110236220472</v>
      </c>
      <c r="R3129" s="6">
        <f t="shared" si="245"/>
        <v>1233.3979999999999</v>
      </c>
      <c r="S3129" s="6">
        <f t="shared" si="246"/>
        <v>3.9900000000000005E-3</v>
      </c>
      <c r="T3129" t="str">
        <f t="shared" si="242"/>
        <v>Maximo Thermo Ayous VJoint - Nickel Gap 1x6 Short</v>
      </c>
    </row>
    <row r="3130" spans="1:20" x14ac:dyDescent="0.25">
      <c r="A3130" t="s">
        <v>3073</v>
      </c>
      <c r="B3130" t="s">
        <v>3080</v>
      </c>
      <c r="C3130" t="s">
        <v>524</v>
      </c>
      <c r="D3130" t="s">
        <v>3044</v>
      </c>
      <c r="E3130" t="s">
        <v>96</v>
      </c>
      <c r="F3130" t="s">
        <v>3899</v>
      </c>
      <c r="G3130" t="s">
        <v>3077</v>
      </c>
      <c r="H3130" t="s">
        <v>3638</v>
      </c>
      <c r="I3130" t="s">
        <v>289</v>
      </c>
      <c r="J3130" t="s">
        <v>344</v>
      </c>
      <c r="K3130">
        <v>6</v>
      </c>
      <c r="L3130" s="6">
        <v>1.8</v>
      </c>
      <c r="M3130" s="7">
        <v>19</v>
      </c>
      <c r="N3130" s="7">
        <v>140</v>
      </c>
      <c r="O3130" s="7">
        <f t="shared" si="243"/>
        <v>70.866141732283467</v>
      </c>
      <c r="P3130" s="7">
        <f t="shared" si="244"/>
        <v>0.74803149606299213</v>
      </c>
      <c r="Q3130" s="7">
        <f t="shared" si="244"/>
        <v>5.5118110236220472</v>
      </c>
      <c r="R3130" s="6">
        <f t="shared" si="245"/>
        <v>1233.3979999999999</v>
      </c>
      <c r="S3130" s="6">
        <f t="shared" si="246"/>
        <v>4.7880000000000006E-3</v>
      </c>
      <c r="T3130" t="str">
        <f t="shared" si="242"/>
        <v>Maximo Thermo Ayous VJoint - Nickel Gap 1x6 Short</v>
      </c>
    </row>
    <row r="3131" spans="1:20" x14ac:dyDescent="0.25">
      <c r="A3131" t="s">
        <v>3073</v>
      </c>
      <c r="B3131" t="s">
        <v>3080</v>
      </c>
      <c r="C3131" t="s">
        <v>524</v>
      </c>
      <c r="D3131" t="s">
        <v>3044</v>
      </c>
      <c r="E3131" t="s">
        <v>97</v>
      </c>
      <c r="F3131" t="s">
        <v>3899</v>
      </c>
      <c r="G3131" t="s">
        <v>3077</v>
      </c>
      <c r="H3131" t="s">
        <v>3638</v>
      </c>
      <c r="I3131" t="s">
        <v>289</v>
      </c>
      <c r="J3131" t="s">
        <v>344</v>
      </c>
      <c r="K3131">
        <v>7</v>
      </c>
      <c r="L3131" s="6">
        <v>2.1</v>
      </c>
      <c r="M3131" s="7">
        <v>19</v>
      </c>
      <c r="N3131" s="7">
        <v>140</v>
      </c>
      <c r="O3131" s="7">
        <f t="shared" si="243"/>
        <v>82.677165354330711</v>
      </c>
      <c r="P3131" s="7">
        <f t="shared" si="244"/>
        <v>0.74803149606299213</v>
      </c>
      <c r="Q3131" s="7">
        <f t="shared" si="244"/>
        <v>5.5118110236220472</v>
      </c>
      <c r="R3131" s="6">
        <f t="shared" si="245"/>
        <v>1233.3979999999999</v>
      </c>
      <c r="S3131" s="6">
        <f t="shared" si="246"/>
        <v>5.5859999999999998E-3</v>
      </c>
      <c r="T3131" t="str">
        <f t="shared" si="242"/>
        <v>Maximo Thermo Ayous VJoint - Nickel Gap 1x6 Short</v>
      </c>
    </row>
    <row r="3132" spans="1:20" x14ac:dyDescent="0.25">
      <c r="A3132" t="s">
        <v>3073</v>
      </c>
      <c r="B3132" t="s">
        <v>3080</v>
      </c>
      <c r="C3132" t="s">
        <v>283</v>
      </c>
      <c r="D3132" t="s">
        <v>3044</v>
      </c>
      <c r="E3132" t="s">
        <v>14</v>
      </c>
      <c r="F3132" t="s">
        <v>3899</v>
      </c>
      <c r="G3132" t="s">
        <v>3077</v>
      </c>
      <c r="H3132" t="s">
        <v>3638</v>
      </c>
      <c r="I3132" t="s">
        <v>289</v>
      </c>
      <c r="J3132" t="s">
        <v>344</v>
      </c>
      <c r="K3132">
        <v>8</v>
      </c>
      <c r="L3132" s="6">
        <v>2.4</v>
      </c>
      <c r="M3132" s="7">
        <v>19</v>
      </c>
      <c r="N3132" s="7">
        <v>140</v>
      </c>
      <c r="O3132" s="7">
        <f t="shared" si="243"/>
        <v>94.488188976377955</v>
      </c>
      <c r="P3132" s="7">
        <f t="shared" si="244"/>
        <v>0.74803149606299213</v>
      </c>
      <c r="Q3132" s="7">
        <f t="shared" si="244"/>
        <v>5.5118110236220472</v>
      </c>
      <c r="R3132" s="6">
        <f t="shared" si="245"/>
        <v>1233.3979999999999</v>
      </c>
      <c r="S3132" s="6">
        <f t="shared" si="246"/>
        <v>6.3839999999999999E-3</v>
      </c>
      <c r="T3132" t="str">
        <f t="shared" si="242"/>
        <v>Maximo Thermo Ayous VJoint - Nickel Gap 1x6 Long</v>
      </c>
    </row>
    <row r="3133" spans="1:20" x14ac:dyDescent="0.25">
      <c r="A3133" t="s">
        <v>3073</v>
      </c>
      <c r="B3133" t="s">
        <v>3080</v>
      </c>
      <c r="C3133" t="s">
        <v>283</v>
      </c>
      <c r="D3133" t="s">
        <v>3044</v>
      </c>
      <c r="E3133" t="s">
        <v>140</v>
      </c>
      <c r="F3133" t="s">
        <v>3899</v>
      </c>
      <c r="G3133" t="s">
        <v>3077</v>
      </c>
      <c r="H3133" t="s">
        <v>3638</v>
      </c>
      <c r="I3133" t="s">
        <v>289</v>
      </c>
      <c r="J3133" t="s">
        <v>344</v>
      </c>
      <c r="K3133">
        <v>9</v>
      </c>
      <c r="L3133" s="6">
        <v>2.7</v>
      </c>
      <c r="M3133" s="7">
        <v>19</v>
      </c>
      <c r="N3133" s="7">
        <v>140</v>
      </c>
      <c r="O3133" s="7">
        <f t="shared" si="243"/>
        <v>106.29921259842521</v>
      </c>
      <c r="P3133" s="7">
        <f t="shared" si="244"/>
        <v>0.74803149606299213</v>
      </c>
      <c r="Q3133" s="7">
        <f t="shared" si="244"/>
        <v>5.5118110236220472</v>
      </c>
      <c r="R3133" s="6">
        <f t="shared" si="245"/>
        <v>1233.3979999999999</v>
      </c>
      <c r="S3133" s="6">
        <f t="shared" si="246"/>
        <v>7.182E-3</v>
      </c>
      <c r="T3133" t="str">
        <f t="shared" si="242"/>
        <v>Maximo Thermo Ayous VJoint - Nickel Gap 1x6 Long</v>
      </c>
    </row>
    <row r="3134" spans="1:20" x14ac:dyDescent="0.25">
      <c r="A3134" t="s">
        <v>3073</v>
      </c>
      <c r="B3134" t="s">
        <v>3717</v>
      </c>
      <c r="C3134" t="s">
        <v>283</v>
      </c>
      <c r="D3134" t="s">
        <v>3044</v>
      </c>
      <c r="E3134" t="s">
        <v>69</v>
      </c>
      <c r="F3134" t="s">
        <v>3902</v>
      </c>
      <c r="G3134" t="s">
        <v>3077</v>
      </c>
      <c r="H3134" t="s">
        <v>3397</v>
      </c>
      <c r="I3134" t="s">
        <v>289</v>
      </c>
      <c r="J3134" t="s">
        <v>613</v>
      </c>
      <c r="K3134">
        <v>10</v>
      </c>
      <c r="L3134" s="6">
        <v>3</v>
      </c>
      <c r="M3134" s="7">
        <v>19</v>
      </c>
      <c r="N3134" s="7">
        <v>92</v>
      </c>
      <c r="O3134" s="7">
        <f t="shared" si="243"/>
        <v>118.11023622047244</v>
      </c>
      <c r="P3134" s="7">
        <f t="shared" si="244"/>
        <v>0.74803149606299213</v>
      </c>
      <c r="Q3134" s="7">
        <f t="shared" si="244"/>
        <v>3.6220472440944884</v>
      </c>
      <c r="R3134" s="6">
        <f t="shared" si="245"/>
        <v>1876.9110000000001</v>
      </c>
      <c r="S3134" s="6">
        <f t="shared" si="246"/>
        <v>5.2439999999999995E-3</v>
      </c>
      <c r="T3134" t="str">
        <f t="shared" si="242"/>
        <v>Maximo Thermo Ayous VJoint - Square Back 1x4 Long</v>
      </c>
    </row>
    <row r="3135" spans="1:20" x14ac:dyDescent="0.25">
      <c r="A3135" t="s">
        <v>3073</v>
      </c>
      <c r="B3135" t="s">
        <v>3717</v>
      </c>
      <c r="C3135" t="s">
        <v>283</v>
      </c>
      <c r="D3135" t="s">
        <v>3044</v>
      </c>
      <c r="E3135" t="s">
        <v>3903</v>
      </c>
      <c r="F3135" t="s">
        <v>3904</v>
      </c>
      <c r="G3135" t="s">
        <v>3077</v>
      </c>
      <c r="H3135" t="s">
        <v>3638</v>
      </c>
      <c r="I3135" t="s">
        <v>289</v>
      </c>
      <c r="J3135" t="s">
        <v>613</v>
      </c>
      <c r="K3135">
        <v>10</v>
      </c>
      <c r="L3135" s="6">
        <v>3</v>
      </c>
      <c r="M3135" s="7">
        <v>19</v>
      </c>
      <c r="N3135" s="7">
        <v>92</v>
      </c>
      <c r="O3135" s="7">
        <f t="shared" si="243"/>
        <v>118.11023622047244</v>
      </c>
      <c r="P3135" s="7">
        <f t="shared" si="244"/>
        <v>0.74803149606299213</v>
      </c>
      <c r="Q3135" s="7">
        <f t="shared" si="244"/>
        <v>3.6220472440944884</v>
      </c>
      <c r="R3135" s="6">
        <f t="shared" si="245"/>
        <v>1876.9110000000001</v>
      </c>
      <c r="S3135" s="6">
        <f t="shared" si="246"/>
        <v>5.2439999999999995E-3</v>
      </c>
      <c r="T3135" t="str">
        <f t="shared" si="242"/>
        <v>Maximo Thermo Ayous VJoint - Nickel Gap 1x4 Long</v>
      </c>
    </row>
    <row r="3136" spans="1:20" x14ac:dyDescent="0.25">
      <c r="A3136" t="s">
        <v>3073</v>
      </c>
      <c r="B3136" t="s">
        <v>3717</v>
      </c>
      <c r="C3136" t="s">
        <v>283</v>
      </c>
      <c r="D3136" t="s">
        <v>3044</v>
      </c>
      <c r="E3136" t="s">
        <v>3905</v>
      </c>
      <c r="F3136" t="s">
        <v>3902</v>
      </c>
      <c r="G3136" t="s">
        <v>3077</v>
      </c>
      <c r="H3136" t="s">
        <v>3397</v>
      </c>
      <c r="I3136" t="s">
        <v>289</v>
      </c>
      <c r="J3136" t="s">
        <v>613</v>
      </c>
      <c r="K3136">
        <v>11</v>
      </c>
      <c r="L3136" s="6">
        <v>3.3</v>
      </c>
      <c r="M3136" s="7">
        <v>19</v>
      </c>
      <c r="N3136" s="7">
        <v>92</v>
      </c>
      <c r="O3136" s="7">
        <f t="shared" si="243"/>
        <v>129.92125984251967</v>
      </c>
      <c r="P3136" s="7">
        <f t="shared" si="244"/>
        <v>0.74803149606299213</v>
      </c>
      <c r="Q3136" s="7">
        <f t="shared" si="244"/>
        <v>3.6220472440944884</v>
      </c>
      <c r="R3136" s="6">
        <f t="shared" si="245"/>
        <v>1876.9110000000001</v>
      </c>
      <c r="S3136" s="6">
        <f t="shared" si="246"/>
        <v>5.768399999999999E-3</v>
      </c>
      <c r="T3136" t="str">
        <f t="shared" si="242"/>
        <v>Maximo Thermo Ayous VJoint - Square Back 1x4 Long</v>
      </c>
    </row>
    <row r="3137" spans="1:20" x14ac:dyDescent="0.25">
      <c r="A3137" t="s">
        <v>3073</v>
      </c>
      <c r="B3137" t="s">
        <v>3717</v>
      </c>
      <c r="C3137" t="s">
        <v>283</v>
      </c>
      <c r="D3137" t="s">
        <v>3044</v>
      </c>
      <c r="E3137" t="s">
        <v>3906</v>
      </c>
      <c r="F3137" t="s">
        <v>3904</v>
      </c>
      <c r="G3137" t="s">
        <v>3077</v>
      </c>
      <c r="H3137" t="s">
        <v>3638</v>
      </c>
      <c r="I3137" t="s">
        <v>289</v>
      </c>
      <c r="J3137" t="s">
        <v>613</v>
      </c>
      <c r="K3137">
        <v>11</v>
      </c>
      <c r="L3137" s="6">
        <v>3.3</v>
      </c>
      <c r="M3137" s="7">
        <v>19</v>
      </c>
      <c r="N3137" s="7">
        <v>92</v>
      </c>
      <c r="O3137" s="7">
        <f t="shared" si="243"/>
        <v>129.92125984251967</v>
      </c>
      <c r="P3137" s="7">
        <f t="shared" si="244"/>
        <v>0.74803149606299213</v>
      </c>
      <c r="Q3137" s="7">
        <f t="shared" si="244"/>
        <v>3.6220472440944884</v>
      </c>
      <c r="R3137" s="6">
        <f t="shared" si="245"/>
        <v>1876.9110000000001</v>
      </c>
      <c r="S3137" s="6">
        <f t="shared" si="246"/>
        <v>5.768399999999999E-3</v>
      </c>
      <c r="T3137" t="str">
        <f t="shared" si="242"/>
        <v>Maximo Thermo Ayous VJoint - Nickel Gap 1x4 Long</v>
      </c>
    </row>
    <row r="3138" spans="1:20" x14ac:dyDescent="0.25">
      <c r="A3138" t="s">
        <v>3073</v>
      </c>
      <c r="B3138" t="s">
        <v>3717</v>
      </c>
      <c r="C3138" t="s">
        <v>283</v>
      </c>
      <c r="D3138" t="s">
        <v>3044</v>
      </c>
      <c r="E3138" t="s">
        <v>3907</v>
      </c>
      <c r="F3138" t="s">
        <v>3902</v>
      </c>
      <c r="G3138" t="s">
        <v>3077</v>
      </c>
      <c r="H3138" t="s">
        <v>3397</v>
      </c>
      <c r="I3138" t="s">
        <v>289</v>
      </c>
      <c r="J3138" t="s">
        <v>613</v>
      </c>
      <c r="K3138">
        <v>12</v>
      </c>
      <c r="L3138" s="6">
        <v>3.6</v>
      </c>
      <c r="M3138" s="7">
        <v>19</v>
      </c>
      <c r="N3138" s="7">
        <v>92</v>
      </c>
      <c r="O3138" s="7">
        <f t="shared" si="243"/>
        <v>141.73228346456693</v>
      </c>
      <c r="P3138" s="7">
        <f t="shared" si="244"/>
        <v>0.74803149606299213</v>
      </c>
      <c r="Q3138" s="7">
        <f t="shared" si="244"/>
        <v>3.6220472440944884</v>
      </c>
      <c r="R3138" s="6">
        <f t="shared" si="245"/>
        <v>1876.9110000000001</v>
      </c>
      <c r="S3138" s="6">
        <f t="shared" si="246"/>
        <v>6.2928000000000003E-3</v>
      </c>
      <c r="T3138" t="str">
        <f t="shared" ref="T3138:T3201" si="247">F3138&amp;" "&amp;C3138</f>
        <v>Maximo Thermo Ayous VJoint - Square Back 1x4 Long</v>
      </c>
    </row>
    <row r="3139" spans="1:20" x14ac:dyDescent="0.25">
      <c r="A3139" t="s">
        <v>3073</v>
      </c>
      <c r="B3139" t="s">
        <v>3717</v>
      </c>
      <c r="C3139" t="s">
        <v>283</v>
      </c>
      <c r="D3139" t="s">
        <v>3044</v>
      </c>
      <c r="E3139" t="s">
        <v>3908</v>
      </c>
      <c r="F3139" t="s">
        <v>3904</v>
      </c>
      <c r="G3139" t="s">
        <v>3077</v>
      </c>
      <c r="H3139" t="s">
        <v>3638</v>
      </c>
      <c r="I3139" t="s">
        <v>289</v>
      </c>
      <c r="J3139" t="s">
        <v>613</v>
      </c>
      <c r="K3139">
        <v>12</v>
      </c>
      <c r="L3139" s="6">
        <v>3.6</v>
      </c>
      <c r="M3139" s="7">
        <v>19</v>
      </c>
      <c r="N3139" s="7">
        <v>92</v>
      </c>
      <c r="O3139" s="7">
        <f t="shared" si="243"/>
        <v>141.73228346456693</v>
      </c>
      <c r="P3139" s="7">
        <f t="shared" si="244"/>
        <v>0.74803149606299213</v>
      </c>
      <c r="Q3139" s="7">
        <f t="shared" si="244"/>
        <v>3.6220472440944884</v>
      </c>
      <c r="R3139" s="6">
        <f t="shared" si="245"/>
        <v>1876.9110000000001</v>
      </c>
      <c r="S3139" s="6">
        <f t="shared" si="246"/>
        <v>6.2928000000000003E-3</v>
      </c>
      <c r="T3139" t="str">
        <f t="shared" si="247"/>
        <v>Maximo Thermo Ayous VJoint - Nickel Gap 1x4 Long</v>
      </c>
    </row>
    <row r="3140" spans="1:20" x14ac:dyDescent="0.25">
      <c r="A3140" t="s">
        <v>3073</v>
      </c>
      <c r="B3140" t="s">
        <v>3717</v>
      </c>
      <c r="C3140" t="s">
        <v>283</v>
      </c>
      <c r="D3140" t="s">
        <v>3044</v>
      </c>
      <c r="E3140" t="s">
        <v>3909</v>
      </c>
      <c r="F3140" t="s">
        <v>3902</v>
      </c>
      <c r="G3140" t="s">
        <v>3077</v>
      </c>
      <c r="H3140" t="s">
        <v>3397</v>
      </c>
      <c r="I3140" t="s">
        <v>289</v>
      </c>
      <c r="J3140" t="s">
        <v>613</v>
      </c>
      <c r="K3140">
        <v>13</v>
      </c>
      <c r="L3140" s="6">
        <v>3.9</v>
      </c>
      <c r="M3140" s="7">
        <v>19</v>
      </c>
      <c r="N3140" s="7">
        <v>92</v>
      </c>
      <c r="O3140" s="7">
        <f t="shared" si="243"/>
        <v>153.54330708661416</v>
      </c>
      <c r="P3140" s="7">
        <f t="shared" si="244"/>
        <v>0.74803149606299213</v>
      </c>
      <c r="Q3140" s="7">
        <f t="shared" si="244"/>
        <v>3.6220472440944884</v>
      </c>
      <c r="R3140" s="6">
        <f t="shared" si="245"/>
        <v>1876.9110000000001</v>
      </c>
      <c r="S3140" s="6">
        <f t="shared" si="246"/>
        <v>6.8171999999999998E-3</v>
      </c>
      <c r="T3140" t="str">
        <f t="shared" si="247"/>
        <v>Maximo Thermo Ayous VJoint - Square Back 1x4 Long</v>
      </c>
    </row>
    <row r="3141" spans="1:20" x14ac:dyDescent="0.25">
      <c r="A3141" t="s">
        <v>3073</v>
      </c>
      <c r="B3141" t="s">
        <v>3717</v>
      </c>
      <c r="C3141" t="s">
        <v>283</v>
      </c>
      <c r="D3141" t="s">
        <v>3044</v>
      </c>
      <c r="E3141" t="s">
        <v>3910</v>
      </c>
      <c r="F3141" t="s">
        <v>3904</v>
      </c>
      <c r="G3141" t="s">
        <v>3077</v>
      </c>
      <c r="H3141" t="s">
        <v>3638</v>
      </c>
      <c r="I3141" t="s">
        <v>289</v>
      </c>
      <c r="J3141" t="s">
        <v>613</v>
      </c>
      <c r="K3141">
        <v>13</v>
      </c>
      <c r="L3141" s="6">
        <v>3.9</v>
      </c>
      <c r="M3141" s="7">
        <v>19</v>
      </c>
      <c r="N3141" s="7">
        <v>92</v>
      </c>
      <c r="O3141" s="7">
        <f t="shared" si="243"/>
        <v>153.54330708661416</v>
      </c>
      <c r="P3141" s="7">
        <f t="shared" si="244"/>
        <v>0.74803149606299213</v>
      </c>
      <c r="Q3141" s="7">
        <f t="shared" si="244"/>
        <v>3.6220472440944884</v>
      </c>
      <c r="R3141" s="6">
        <f t="shared" si="245"/>
        <v>1876.9110000000001</v>
      </c>
      <c r="S3141" s="6">
        <f t="shared" si="246"/>
        <v>6.8171999999999998E-3</v>
      </c>
      <c r="T3141" t="str">
        <f t="shared" si="247"/>
        <v>Maximo Thermo Ayous VJoint - Nickel Gap 1x4 Long</v>
      </c>
    </row>
    <row r="3142" spans="1:20" x14ac:dyDescent="0.25">
      <c r="A3142" t="s">
        <v>3073</v>
      </c>
      <c r="B3142" t="s">
        <v>3717</v>
      </c>
      <c r="C3142" t="s">
        <v>283</v>
      </c>
      <c r="D3142" t="s">
        <v>3044</v>
      </c>
      <c r="E3142" t="s">
        <v>110</v>
      </c>
      <c r="F3142" t="s">
        <v>3902</v>
      </c>
      <c r="G3142" t="s">
        <v>3077</v>
      </c>
      <c r="H3142" t="s">
        <v>3397</v>
      </c>
      <c r="I3142" t="s">
        <v>289</v>
      </c>
      <c r="J3142" t="s">
        <v>613</v>
      </c>
      <c r="K3142">
        <v>14</v>
      </c>
      <c r="L3142" s="6">
        <v>4.2</v>
      </c>
      <c r="M3142" s="7">
        <v>19</v>
      </c>
      <c r="N3142" s="7">
        <v>92</v>
      </c>
      <c r="O3142" s="7">
        <f t="shared" si="243"/>
        <v>165.35433070866142</v>
      </c>
      <c r="P3142" s="7">
        <f t="shared" si="244"/>
        <v>0.74803149606299213</v>
      </c>
      <c r="Q3142" s="7">
        <f t="shared" si="244"/>
        <v>3.6220472440944884</v>
      </c>
      <c r="R3142" s="6">
        <f t="shared" si="245"/>
        <v>1876.9110000000001</v>
      </c>
      <c r="S3142" s="6">
        <f t="shared" si="246"/>
        <v>7.3415999999999993E-3</v>
      </c>
      <c r="T3142" t="str">
        <f t="shared" si="247"/>
        <v>Maximo Thermo Ayous VJoint - Square Back 1x4 Long</v>
      </c>
    </row>
    <row r="3143" spans="1:20" x14ac:dyDescent="0.25">
      <c r="A3143" t="s">
        <v>3073</v>
      </c>
      <c r="B3143" t="s">
        <v>3717</v>
      </c>
      <c r="C3143" t="s">
        <v>283</v>
      </c>
      <c r="D3143" t="s">
        <v>3044</v>
      </c>
      <c r="E3143" t="s">
        <v>3911</v>
      </c>
      <c r="F3143" t="s">
        <v>3904</v>
      </c>
      <c r="G3143" t="s">
        <v>3077</v>
      </c>
      <c r="H3143" t="s">
        <v>3638</v>
      </c>
      <c r="I3143" t="s">
        <v>289</v>
      </c>
      <c r="J3143" t="s">
        <v>613</v>
      </c>
      <c r="K3143">
        <v>14</v>
      </c>
      <c r="L3143" s="6">
        <v>4.2</v>
      </c>
      <c r="M3143" s="7">
        <v>19</v>
      </c>
      <c r="N3143" s="7">
        <v>92</v>
      </c>
      <c r="O3143" s="7">
        <f t="shared" si="243"/>
        <v>165.35433070866142</v>
      </c>
      <c r="P3143" s="7">
        <f t="shared" si="244"/>
        <v>0.74803149606299213</v>
      </c>
      <c r="Q3143" s="7">
        <f t="shared" si="244"/>
        <v>3.6220472440944884</v>
      </c>
      <c r="R3143" s="6">
        <f t="shared" si="245"/>
        <v>1876.9110000000001</v>
      </c>
      <c r="S3143" s="6">
        <f t="shared" si="246"/>
        <v>7.3415999999999993E-3</v>
      </c>
      <c r="T3143" t="str">
        <f t="shared" si="247"/>
        <v>Maximo Thermo Ayous VJoint - Nickel Gap 1x4 Long</v>
      </c>
    </row>
    <row r="3144" spans="1:20" x14ac:dyDescent="0.25">
      <c r="A3144" t="s">
        <v>3073</v>
      </c>
      <c r="B3144" t="s">
        <v>3717</v>
      </c>
      <c r="C3144" t="s">
        <v>283</v>
      </c>
      <c r="D3144" t="s">
        <v>3044</v>
      </c>
      <c r="E3144" t="s">
        <v>86</v>
      </c>
      <c r="F3144" t="s">
        <v>3902</v>
      </c>
      <c r="G3144" t="s">
        <v>3077</v>
      </c>
      <c r="H3144" t="s">
        <v>3397</v>
      </c>
      <c r="I3144" t="s">
        <v>289</v>
      </c>
      <c r="J3144" t="s">
        <v>613</v>
      </c>
      <c r="K3144">
        <v>15</v>
      </c>
      <c r="L3144" s="6">
        <v>4.5</v>
      </c>
      <c r="M3144" s="7">
        <v>19</v>
      </c>
      <c r="N3144" s="7">
        <v>92</v>
      </c>
      <c r="O3144" s="7">
        <f t="shared" si="243"/>
        <v>177.16535433070868</v>
      </c>
      <c r="P3144" s="7">
        <f t="shared" si="244"/>
        <v>0.74803149606299213</v>
      </c>
      <c r="Q3144" s="7">
        <f t="shared" si="244"/>
        <v>3.6220472440944884</v>
      </c>
      <c r="R3144" s="6">
        <f t="shared" si="245"/>
        <v>1876.9110000000001</v>
      </c>
      <c r="S3144" s="6">
        <f t="shared" si="246"/>
        <v>7.8659999999999997E-3</v>
      </c>
      <c r="T3144" t="str">
        <f t="shared" si="247"/>
        <v>Maximo Thermo Ayous VJoint - Square Back 1x4 Long</v>
      </c>
    </row>
    <row r="3145" spans="1:20" x14ac:dyDescent="0.25">
      <c r="A3145" t="s">
        <v>3073</v>
      </c>
      <c r="B3145" t="s">
        <v>3717</v>
      </c>
      <c r="C3145" t="s">
        <v>283</v>
      </c>
      <c r="D3145" t="s">
        <v>3044</v>
      </c>
      <c r="E3145" t="s">
        <v>3912</v>
      </c>
      <c r="F3145" t="s">
        <v>3904</v>
      </c>
      <c r="G3145" t="s">
        <v>3077</v>
      </c>
      <c r="H3145" t="s">
        <v>3638</v>
      </c>
      <c r="I3145" t="s">
        <v>289</v>
      </c>
      <c r="J3145" t="s">
        <v>613</v>
      </c>
      <c r="K3145">
        <v>15</v>
      </c>
      <c r="L3145" s="6">
        <v>4.5</v>
      </c>
      <c r="M3145" s="7">
        <v>19</v>
      </c>
      <c r="N3145" s="7">
        <v>92</v>
      </c>
      <c r="O3145" s="7">
        <f t="shared" si="243"/>
        <v>177.16535433070868</v>
      </c>
      <c r="P3145" s="7">
        <f t="shared" si="244"/>
        <v>0.74803149606299213</v>
      </c>
      <c r="Q3145" s="7">
        <f t="shared" si="244"/>
        <v>3.6220472440944884</v>
      </c>
      <c r="R3145" s="6">
        <f t="shared" si="245"/>
        <v>1876.9110000000001</v>
      </c>
      <c r="S3145" s="6">
        <f t="shared" si="246"/>
        <v>7.8659999999999997E-3</v>
      </c>
      <c r="T3145" t="str">
        <f t="shared" si="247"/>
        <v>Maximo Thermo Ayous VJoint - Nickel Gap 1x4 Long</v>
      </c>
    </row>
    <row r="3146" spans="1:20" x14ac:dyDescent="0.25">
      <c r="A3146" t="s">
        <v>3073</v>
      </c>
      <c r="B3146" t="s">
        <v>3717</v>
      </c>
      <c r="C3146" t="s">
        <v>283</v>
      </c>
      <c r="D3146" t="s">
        <v>3044</v>
      </c>
      <c r="E3146" t="s">
        <v>87</v>
      </c>
      <c r="F3146" t="s">
        <v>3902</v>
      </c>
      <c r="G3146" t="s">
        <v>3077</v>
      </c>
      <c r="H3146" t="s">
        <v>3397</v>
      </c>
      <c r="I3146" t="s">
        <v>289</v>
      </c>
      <c r="J3146" t="s">
        <v>613</v>
      </c>
      <c r="K3146">
        <v>16</v>
      </c>
      <c r="L3146" s="6">
        <v>4.8</v>
      </c>
      <c r="M3146" s="7">
        <v>19</v>
      </c>
      <c r="N3146" s="7">
        <v>92</v>
      </c>
      <c r="O3146" s="7">
        <f t="shared" si="243"/>
        <v>188.97637795275591</v>
      </c>
      <c r="P3146" s="7">
        <f t="shared" si="244"/>
        <v>0.74803149606299213</v>
      </c>
      <c r="Q3146" s="7">
        <f t="shared" si="244"/>
        <v>3.6220472440944884</v>
      </c>
      <c r="R3146" s="6">
        <f t="shared" si="245"/>
        <v>1876.9110000000001</v>
      </c>
      <c r="S3146" s="6">
        <f t="shared" si="246"/>
        <v>8.3903999999999992E-3</v>
      </c>
      <c r="T3146" t="str">
        <f t="shared" si="247"/>
        <v>Maximo Thermo Ayous VJoint - Square Back 1x4 Long</v>
      </c>
    </row>
    <row r="3147" spans="1:20" x14ac:dyDescent="0.25">
      <c r="A3147" t="s">
        <v>3073</v>
      </c>
      <c r="B3147" t="s">
        <v>3717</v>
      </c>
      <c r="C3147" t="s">
        <v>283</v>
      </c>
      <c r="D3147" t="s">
        <v>3044</v>
      </c>
      <c r="E3147" t="s">
        <v>3913</v>
      </c>
      <c r="F3147" t="s">
        <v>3904</v>
      </c>
      <c r="G3147" t="s">
        <v>3077</v>
      </c>
      <c r="H3147" t="s">
        <v>3638</v>
      </c>
      <c r="I3147" t="s">
        <v>289</v>
      </c>
      <c r="J3147" t="s">
        <v>613</v>
      </c>
      <c r="K3147">
        <v>16</v>
      </c>
      <c r="L3147" s="6">
        <v>4.8</v>
      </c>
      <c r="M3147" s="7">
        <v>19</v>
      </c>
      <c r="N3147" s="7">
        <v>92</v>
      </c>
      <c r="O3147" s="7">
        <f t="shared" si="243"/>
        <v>188.97637795275591</v>
      </c>
      <c r="P3147" s="7">
        <f t="shared" si="244"/>
        <v>0.74803149606299213</v>
      </c>
      <c r="Q3147" s="7">
        <f t="shared" si="244"/>
        <v>3.6220472440944884</v>
      </c>
      <c r="R3147" s="6">
        <f t="shared" si="245"/>
        <v>1876.9110000000001</v>
      </c>
      <c r="S3147" s="6">
        <f t="shared" si="246"/>
        <v>8.3903999999999992E-3</v>
      </c>
      <c r="T3147" t="str">
        <f t="shared" si="247"/>
        <v>Maximo Thermo Ayous VJoint - Nickel Gap 1x4 Long</v>
      </c>
    </row>
    <row r="3148" spans="1:20" x14ac:dyDescent="0.25">
      <c r="A3148" t="s">
        <v>3073</v>
      </c>
      <c r="B3148" t="s">
        <v>3717</v>
      </c>
      <c r="C3148" t="s">
        <v>283</v>
      </c>
      <c r="D3148" t="s">
        <v>3044</v>
      </c>
      <c r="E3148" t="s">
        <v>3914</v>
      </c>
      <c r="F3148" t="s">
        <v>3902</v>
      </c>
      <c r="G3148" t="s">
        <v>3077</v>
      </c>
      <c r="H3148" t="s">
        <v>3397</v>
      </c>
      <c r="I3148" t="s">
        <v>289</v>
      </c>
      <c r="J3148" t="s">
        <v>613</v>
      </c>
      <c r="K3148">
        <v>17</v>
      </c>
      <c r="L3148" s="6">
        <v>5.0999999999999996</v>
      </c>
      <c r="M3148" s="7">
        <v>19</v>
      </c>
      <c r="N3148" s="7">
        <v>92</v>
      </c>
      <c r="O3148" s="7">
        <f t="shared" si="243"/>
        <v>200.78740157480314</v>
      </c>
      <c r="P3148" s="7">
        <f t="shared" si="244"/>
        <v>0.74803149606299213</v>
      </c>
      <c r="Q3148" s="7">
        <f t="shared" si="244"/>
        <v>3.6220472440944884</v>
      </c>
      <c r="R3148" s="6">
        <f t="shared" si="245"/>
        <v>1876.9110000000001</v>
      </c>
      <c r="S3148" s="6">
        <f t="shared" si="246"/>
        <v>8.9147999999999988E-3</v>
      </c>
      <c r="T3148" t="str">
        <f t="shared" si="247"/>
        <v>Maximo Thermo Ayous VJoint - Square Back 1x4 Long</v>
      </c>
    </row>
    <row r="3149" spans="1:20" x14ac:dyDescent="0.25">
      <c r="A3149" t="s">
        <v>3073</v>
      </c>
      <c r="B3149" t="s">
        <v>3717</v>
      </c>
      <c r="C3149" t="s">
        <v>283</v>
      </c>
      <c r="D3149" t="s">
        <v>3044</v>
      </c>
      <c r="E3149" t="s">
        <v>3915</v>
      </c>
      <c r="F3149" t="s">
        <v>3904</v>
      </c>
      <c r="G3149" t="s">
        <v>3077</v>
      </c>
      <c r="H3149" t="s">
        <v>3638</v>
      </c>
      <c r="I3149" t="s">
        <v>289</v>
      </c>
      <c r="J3149" t="s">
        <v>613</v>
      </c>
      <c r="K3149">
        <v>17</v>
      </c>
      <c r="L3149" s="6">
        <v>5.0999999999999996</v>
      </c>
      <c r="M3149" s="7">
        <v>19</v>
      </c>
      <c r="N3149" s="7">
        <v>92</v>
      </c>
      <c r="O3149" s="7">
        <f t="shared" si="243"/>
        <v>200.78740157480314</v>
      </c>
      <c r="P3149" s="7">
        <f t="shared" si="244"/>
        <v>0.74803149606299213</v>
      </c>
      <c r="Q3149" s="7">
        <f t="shared" si="244"/>
        <v>3.6220472440944884</v>
      </c>
      <c r="R3149" s="6">
        <f t="shared" si="245"/>
        <v>1876.9110000000001</v>
      </c>
      <c r="S3149" s="6">
        <f t="shared" si="246"/>
        <v>8.9147999999999988E-3</v>
      </c>
      <c r="T3149" t="str">
        <f t="shared" si="247"/>
        <v>Maximo Thermo Ayous VJoint - Nickel Gap 1x4 Long</v>
      </c>
    </row>
    <row r="3150" spans="1:20" x14ac:dyDescent="0.25">
      <c r="A3150" t="s">
        <v>3073</v>
      </c>
      <c r="B3150" t="s">
        <v>3717</v>
      </c>
      <c r="C3150" t="s">
        <v>283</v>
      </c>
      <c r="D3150" t="s">
        <v>3044</v>
      </c>
      <c r="E3150" t="s">
        <v>3916</v>
      </c>
      <c r="F3150" t="s">
        <v>3902</v>
      </c>
      <c r="G3150" t="s">
        <v>3077</v>
      </c>
      <c r="H3150" t="s">
        <v>3397</v>
      </c>
      <c r="I3150" t="s">
        <v>289</v>
      </c>
      <c r="J3150" t="s">
        <v>613</v>
      </c>
      <c r="K3150">
        <v>18</v>
      </c>
      <c r="L3150" s="6">
        <v>5.4</v>
      </c>
      <c r="M3150" s="7">
        <v>19</v>
      </c>
      <c r="N3150" s="7">
        <v>92</v>
      </c>
      <c r="O3150" s="7">
        <f t="shared" si="243"/>
        <v>212.59842519685043</v>
      </c>
      <c r="P3150" s="7">
        <f t="shared" si="244"/>
        <v>0.74803149606299213</v>
      </c>
      <c r="Q3150" s="7">
        <f t="shared" si="244"/>
        <v>3.6220472440944884</v>
      </c>
      <c r="R3150" s="6">
        <f t="shared" si="245"/>
        <v>1876.9110000000001</v>
      </c>
      <c r="S3150" s="6">
        <f t="shared" si="246"/>
        <v>9.4392000000000018E-3</v>
      </c>
      <c r="T3150" t="str">
        <f t="shared" si="247"/>
        <v>Maximo Thermo Ayous VJoint - Square Back 1x4 Long</v>
      </c>
    </row>
    <row r="3151" spans="1:20" x14ac:dyDescent="0.25">
      <c r="A3151" t="s">
        <v>3073</v>
      </c>
      <c r="B3151" t="s">
        <v>3717</v>
      </c>
      <c r="C3151" t="s">
        <v>283</v>
      </c>
      <c r="D3151" t="s">
        <v>3044</v>
      </c>
      <c r="E3151" t="s">
        <v>3917</v>
      </c>
      <c r="F3151" t="s">
        <v>3904</v>
      </c>
      <c r="G3151" t="s">
        <v>3077</v>
      </c>
      <c r="H3151" t="s">
        <v>3638</v>
      </c>
      <c r="I3151" t="s">
        <v>289</v>
      </c>
      <c r="J3151" t="s">
        <v>613</v>
      </c>
      <c r="K3151">
        <v>18</v>
      </c>
      <c r="L3151" s="6">
        <v>5.4</v>
      </c>
      <c r="M3151" s="7">
        <v>19</v>
      </c>
      <c r="N3151" s="7">
        <v>92</v>
      </c>
      <c r="O3151" s="7">
        <f t="shared" si="243"/>
        <v>212.59842519685043</v>
      </c>
      <c r="P3151" s="7">
        <f t="shared" si="244"/>
        <v>0.74803149606299213</v>
      </c>
      <c r="Q3151" s="7">
        <f t="shared" si="244"/>
        <v>3.6220472440944884</v>
      </c>
      <c r="R3151" s="6">
        <f t="shared" si="245"/>
        <v>1876.9110000000001</v>
      </c>
      <c r="S3151" s="6">
        <f t="shared" si="246"/>
        <v>9.4392000000000018E-3</v>
      </c>
      <c r="T3151" t="str">
        <f t="shared" si="247"/>
        <v>Maximo Thermo Ayous VJoint - Nickel Gap 1x4 Long</v>
      </c>
    </row>
    <row r="3152" spans="1:20" x14ac:dyDescent="0.25">
      <c r="A3152" t="s">
        <v>3073</v>
      </c>
      <c r="B3152" t="s">
        <v>3717</v>
      </c>
      <c r="C3152" t="s">
        <v>524</v>
      </c>
      <c r="D3152" t="s">
        <v>3044</v>
      </c>
      <c r="E3152" t="s">
        <v>3918</v>
      </c>
      <c r="F3152" t="s">
        <v>3902</v>
      </c>
      <c r="G3152" t="s">
        <v>3077</v>
      </c>
      <c r="H3152" t="s">
        <v>3397</v>
      </c>
      <c r="I3152" t="s">
        <v>289</v>
      </c>
      <c r="J3152" t="s">
        <v>613</v>
      </c>
      <c r="K3152">
        <v>4</v>
      </c>
      <c r="L3152" s="6">
        <v>1.2</v>
      </c>
      <c r="M3152" s="7">
        <v>19</v>
      </c>
      <c r="N3152" s="7">
        <v>92</v>
      </c>
      <c r="O3152" s="7">
        <f t="shared" si="243"/>
        <v>47.244094488188978</v>
      </c>
      <c r="P3152" s="7">
        <f t="shared" si="244"/>
        <v>0.74803149606299213</v>
      </c>
      <c r="Q3152" s="7">
        <f t="shared" si="244"/>
        <v>3.6220472440944884</v>
      </c>
      <c r="R3152" s="6">
        <f t="shared" si="245"/>
        <v>1876.9110000000001</v>
      </c>
      <c r="S3152" s="6">
        <f t="shared" si="246"/>
        <v>2.0975999999999998E-3</v>
      </c>
      <c r="T3152" t="str">
        <f t="shared" si="247"/>
        <v>Maximo Thermo Ayous VJoint - Square Back 1x4 Short</v>
      </c>
    </row>
    <row r="3153" spans="1:20" x14ac:dyDescent="0.25">
      <c r="A3153" t="s">
        <v>3073</v>
      </c>
      <c r="B3153" t="s">
        <v>3717</v>
      </c>
      <c r="C3153" t="s">
        <v>524</v>
      </c>
      <c r="D3153" t="s">
        <v>3044</v>
      </c>
      <c r="E3153" t="s">
        <v>3919</v>
      </c>
      <c r="F3153" t="s">
        <v>3904</v>
      </c>
      <c r="G3153" t="s">
        <v>3077</v>
      </c>
      <c r="H3153" t="s">
        <v>3638</v>
      </c>
      <c r="I3153" t="s">
        <v>289</v>
      </c>
      <c r="J3153" t="s">
        <v>613</v>
      </c>
      <c r="K3153">
        <v>4</v>
      </c>
      <c r="L3153" s="6">
        <v>1.2</v>
      </c>
      <c r="M3153" s="7">
        <v>19</v>
      </c>
      <c r="N3153" s="7">
        <v>92</v>
      </c>
      <c r="O3153" s="7">
        <f t="shared" si="243"/>
        <v>47.244094488188978</v>
      </c>
      <c r="P3153" s="7">
        <f t="shared" si="244"/>
        <v>0.74803149606299213</v>
      </c>
      <c r="Q3153" s="7">
        <f t="shared" si="244"/>
        <v>3.6220472440944884</v>
      </c>
      <c r="R3153" s="6">
        <f t="shared" si="245"/>
        <v>1876.9110000000001</v>
      </c>
      <c r="S3153" s="6">
        <f t="shared" si="246"/>
        <v>2.0975999999999998E-3</v>
      </c>
      <c r="T3153" t="str">
        <f t="shared" si="247"/>
        <v>Maximo Thermo Ayous VJoint - Nickel Gap 1x4 Short</v>
      </c>
    </row>
    <row r="3154" spans="1:20" x14ac:dyDescent="0.25">
      <c r="A3154" t="s">
        <v>3073</v>
      </c>
      <c r="B3154" t="s">
        <v>3717</v>
      </c>
      <c r="C3154" t="s">
        <v>524</v>
      </c>
      <c r="D3154" t="s">
        <v>3044</v>
      </c>
      <c r="E3154" t="s">
        <v>3920</v>
      </c>
      <c r="F3154" t="s">
        <v>3902</v>
      </c>
      <c r="G3154" t="s">
        <v>3077</v>
      </c>
      <c r="H3154" t="s">
        <v>3397</v>
      </c>
      <c r="I3154" t="s">
        <v>289</v>
      </c>
      <c r="J3154" t="s">
        <v>613</v>
      </c>
      <c r="K3154">
        <v>5</v>
      </c>
      <c r="L3154" s="6">
        <v>1.5</v>
      </c>
      <c r="M3154" s="7">
        <v>19</v>
      </c>
      <c r="N3154" s="7">
        <v>92</v>
      </c>
      <c r="O3154" s="7">
        <f t="shared" si="243"/>
        <v>59.055118110236222</v>
      </c>
      <c r="P3154" s="7">
        <f t="shared" si="244"/>
        <v>0.74803149606299213</v>
      </c>
      <c r="Q3154" s="7">
        <f t="shared" si="244"/>
        <v>3.6220472440944884</v>
      </c>
      <c r="R3154" s="6">
        <f t="shared" si="245"/>
        <v>1876.9110000000001</v>
      </c>
      <c r="S3154" s="6">
        <f t="shared" si="246"/>
        <v>2.6219999999999998E-3</v>
      </c>
      <c r="T3154" t="str">
        <f t="shared" si="247"/>
        <v>Maximo Thermo Ayous VJoint - Square Back 1x4 Short</v>
      </c>
    </row>
    <row r="3155" spans="1:20" x14ac:dyDescent="0.25">
      <c r="A3155" t="s">
        <v>3073</v>
      </c>
      <c r="B3155" t="s">
        <v>3717</v>
      </c>
      <c r="C3155" t="s">
        <v>524</v>
      </c>
      <c r="D3155" t="s">
        <v>3044</v>
      </c>
      <c r="E3155" t="s">
        <v>3921</v>
      </c>
      <c r="F3155" t="s">
        <v>3904</v>
      </c>
      <c r="G3155" t="s">
        <v>3077</v>
      </c>
      <c r="H3155" t="s">
        <v>3638</v>
      </c>
      <c r="I3155" t="s">
        <v>289</v>
      </c>
      <c r="J3155" t="s">
        <v>613</v>
      </c>
      <c r="K3155">
        <v>5</v>
      </c>
      <c r="L3155" s="6">
        <v>1.5</v>
      </c>
      <c r="M3155" s="7">
        <v>19</v>
      </c>
      <c r="N3155" s="7">
        <v>92</v>
      </c>
      <c r="O3155" s="7">
        <f t="shared" si="243"/>
        <v>59.055118110236222</v>
      </c>
      <c r="P3155" s="7">
        <f t="shared" si="244"/>
        <v>0.74803149606299213</v>
      </c>
      <c r="Q3155" s="7">
        <f t="shared" si="244"/>
        <v>3.6220472440944884</v>
      </c>
      <c r="R3155" s="6">
        <f t="shared" si="245"/>
        <v>1876.9110000000001</v>
      </c>
      <c r="S3155" s="6">
        <f t="shared" si="246"/>
        <v>2.6219999999999998E-3</v>
      </c>
      <c r="T3155" t="str">
        <f t="shared" si="247"/>
        <v>Maximo Thermo Ayous VJoint - Nickel Gap 1x4 Short</v>
      </c>
    </row>
    <row r="3156" spans="1:20" x14ac:dyDescent="0.25">
      <c r="A3156" t="s">
        <v>3073</v>
      </c>
      <c r="B3156" t="s">
        <v>3717</v>
      </c>
      <c r="C3156" t="s">
        <v>524</v>
      </c>
      <c r="D3156" t="s">
        <v>3044</v>
      </c>
      <c r="E3156" t="s">
        <v>13</v>
      </c>
      <c r="F3156" t="s">
        <v>3902</v>
      </c>
      <c r="G3156" t="s">
        <v>3077</v>
      </c>
      <c r="H3156" t="s">
        <v>3397</v>
      </c>
      <c r="I3156" t="s">
        <v>289</v>
      </c>
      <c r="J3156" t="s">
        <v>613</v>
      </c>
      <c r="K3156">
        <v>6</v>
      </c>
      <c r="L3156" s="6">
        <v>1.8</v>
      </c>
      <c r="M3156" s="7">
        <v>19</v>
      </c>
      <c r="N3156" s="7">
        <v>92</v>
      </c>
      <c r="O3156" s="7">
        <f t="shared" si="243"/>
        <v>70.866141732283467</v>
      </c>
      <c r="P3156" s="7">
        <f t="shared" si="244"/>
        <v>0.74803149606299213</v>
      </c>
      <c r="Q3156" s="7">
        <f t="shared" si="244"/>
        <v>3.6220472440944884</v>
      </c>
      <c r="R3156" s="6">
        <f t="shared" si="245"/>
        <v>1876.9110000000001</v>
      </c>
      <c r="S3156" s="6">
        <f t="shared" si="246"/>
        <v>3.1464000000000002E-3</v>
      </c>
      <c r="T3156" t="str">
        <f t="shared" si="247"/>
        <v>Maximo Thermo Ayous VJoint - Square Back 1x4 Short</v>
      </c>
    </row>
    <row r="3157" spans="1:20" x14ac:dyDescent="0.25">
      <c r="A3157" t="s">
        <v>3073</v>
      </c>
      <c r="B3157" t="s">
        <v>3717</v>
      </c>
      <c r="C3157" t="s">
        <v>524</v>
      </c>
      <c r="D3157" t="s">
        <v>3044</v>
      </c>
      <c r="E3157" t="s">
        <v>3922</v>
      </c>
      <c r="F3157" t="s">
        <v>3904</v>
      </c>
      <c r="G3157" t="s">
        <v>3077</v>
      </c>
      <c r="H3157" t="s">
        <v>3638</v>
      </c>
      <c r="I3157" t="s">
        <v>289</v>
      </c>
      <c r="J3157" t="s">
        <v>613</v>
      </c>
      <c r="K3157">
        <v>6</v>
      </c>
      <c r="L3157" s="6">
        <v>1.8</v>
      </c>
      <c r="M3157" s="7">
        <v>19</v>
      </c>
      <c r="N3157" s="7">
        <v>92</v>
      </c>
      <c r="O3157" s="7">
        <f t="shared" si="243"/>
        <v>70.866141732283467</v>
      </c>
      <c r="P3157" s="7">
        <f t="shared" si="244"/>
        <v>0.74803149606299213</v>
      </c>
      <c r="Q3157" s="7">
        <f t="shared" si="244"/>
        <v>3.6220472440944884</v>
      </c>
      <c r="R3157" s="6">
        <f t="shared" si="245"/>
        <v>1876.9110000000001</v>
      </c>
      <c r="S3157" s="6">
        <f t="shared" si="246"/>
        <v>3.1464000000000002E-3</v>
      </c>
      <c r="T3157" t="str">
        <f t="shared" si="247"/>
        <v>Maximo Thermo Ayous VJoint - Nickel Gap 1x4 Short</v>
      </c>
    </row>
    <row r="3158" spans="1:20" x14ac:dyDescent="0.25">
      <c r="A3158" t="s">
        <v>3073</v>
      </c>
      <c r="B3158" t="s">
        <v>3717</v>
      </c>
      <c r="C3158" t="s">
        <v>524</v>
      </c>
      <c r="D3158" t="s">
        <v>3044</v>
      </c>
      <c r="E3158" t="s">
        <v>137</v>
      </c>
      <c r="F3158" t="s">
        <v>3902</v>
      </c>
      <c r="G3158" t="s">
        <v>3077</v>
      </c>
      <c r="H3158" t="s">
        <v>3397</v>
      </c>
      <c r="I3158" t="s">
        <v>289</v>
      </c>
      <c r="J3158" t="s">
        <v>613</v>
      </c>
      <c r="K3158">
        <v>7</v>
      </c>
      <c r="L3158" s="6">
        <v>2.1</v>
      </c>
      <c r="M3158" s="7">
        <v>19</v>
      </c>
      <c r="N3158" s="7">
        <v>92</v>
      </c>
      <c r="O3158" s="7">
        <f t="shared" si="243"/>
        <v>82.677165354330711</v>
      </c>
      <c r="P3158" s="7">
        <f t="shared" si="244"/>
        <v>0.74803149606299213</v>
      </c>
      <c r="Q3158" s="7">
        <f t="shared" si="244"/>
        <v>3.6220472440944884</v>
      </c>
      <c r="R3158" s="6">
        <f t="shared" si="245"/>
        <v>1876.9110000000001</v>
      </c>
      <c r="S3158" s="6">
        <f t="shared" si="246"/>
        <v>3.6707999999999997E-3</v>
      </c>
      <c r="T3158" t="str">
        <f t="shared" si="247"/>
        <v>Maximo Thermo Ayous VJoint - Square Back 1x4 Short</v>
      </c>
    </row>
    <row r="3159" spans="1:20" x14ac:dyDescent="0.25">
      <c r="A3159" t="s">
        <v>3073</v>
      </c>
      <c r="B3159" t="s">
        <v>3717</v>
      </c>
      <c r="C3159" t="s">
        <v>524</v>
      </c>
      <c r="D3159" t="s">
        <v>3044</v>
      </c>
      <c r="E3159" t="s">
        <v>3923</v>
      </c>
      <c r="F3159" t="s">
        <v>3904</v>
      </c>
      <c r="G3159" t="s">
        <v>3077</v>
      </c>
      <c r="H3159" t="s">
        <v>3638</v>
      </c>
      <c r="I3159" t="s">
        <v>289</v>
      </c>
      <c r="J3159" t="s">
        <v>613</v>
      </c>
      <c r="K3159">
        <v>7</v>
      </c>
      <c r="L3159" s="6">
        <v>2.1</v>
      </c>
      <c r="M3159" s="7">
        <v>19</v>
      </c>
      <c r="N3159" s="7">
        <v>92</v>
      </c>
      <c r="O3159" s="7">
        <f t="shared" si="243"/>
        <v>82.677165354330711</v>
      </c>
      <c r="P3159" s="7">
        <f t="shared" si="244"/>
        <v>0.74803149606299213</v>
      </c>
      <c r="Q3159" s="7">
        <f t="shared" si="244"/>
        <v>3.6220472440944884</v>
      </c>
      <c r="R3159" s="6">
        <f t="shared" si="245"/>
        <v>1876.9110000000001</v>
      </c>
      <c r="S3159" s="6">
        <f t="shared" si="246"/>
        <v>3.6707999999999997E-3</v>
      </c>
      <c r="T3159" t="str">
        <f t="shared" si="247"/>
        <v>Maximo Thermo Ayous VJoint - Nickel Gap 1x4 Short</v>
      </c>
    </row>
    <row r="3160" spans="1:20" x14ac:dyDescent="0.25">
      <c r="A3160" t="s">
        <v>3073</v>
      </c>
      <c r="B3160" t="s">
        <v>3717</v>
      </c>
      <c r="C3160" t="s">
        <v>283</v>
      </c>
      <c r="D3160" t="s">
        <v>3044</v>
      </c>
      <c r="E3160" t="s">
        <v>3924</v>
      </c>
      <c r="F3160" t="s">
        <v>3902</v>
      </c>
      <c r="G3160" t="s">
        <v>3077</v>
      </c>
      <c r="H3160" t="s">
        <v>3397</v>
      </c>
      <c r="I3160" t="s">
        <v>289</v>
      </c>
      <c r="J3160" t="s">
        <v>613</v>
      </c>
      <c r="K3160">
        <v>8</v>
      </c>
      <c r="L3160" s="6">
        <v>2.4</v>
      </c>
      <c r="M3160" s="7">
        <v>19</v>
      </c>
      <c r="N3160" s="7">
        <v>92</v>
      </c>
      <c r="O3160" s="7">
        <f t="shared" si="243"/>
        <v>94.488188976377955</v>
      </c>
      <c r="P3160" s="7">
        <f t="shared" si="244"/>
        <v>0.74803149606299213</v>
      </c>
      <c r="Q3160" s="7">
        <f t="shared" si="244"/>
        <v>3.6220472440944884</v>
      </c>
      <c r="R3160" s="6">
        <f t="shared" si="245"/>
        <v>1876.9110000000001</v>
      </c>
      <c r="S3160" s="6">
        <f t="shared" si="246"/>
        <v>4.1951999999999996E-3</v>
      </c>
      <c r="T3160" t="str">
        <f t="shared" si="247"/>
        <v>Maximo Thermo Ayous VJoint - Square Back 1x4 Long</v>
      </c>
    </row>
    <row r="3161" spans="1:20" x14ac:dyDescent="0.25">
      <c r="A3161" t="s">
        <v>3073</v>
      </c>
      <c r="B3161" t="s">
        <v>3717</v>
      </c>
      <c r="C3161" t="s">
        <v>283</v>
      </c>
      <c r="D3161" t="s">
        <v>3044</v>
      </c>
      <c r="E3161" t="s">
        <v>3925</v>
      </c>
      <c r="F3161" t="s">
        <v>3904</v>
      </c>
      <c r="G3161" t="s">
        <v>3077</v>
      </c>
      <c r="H3161" t="s">
        <v>3638</v>
      </c>
      <c r="I3161" t="s">
        <v>289</v>
      </c>
      <c r="J3161" t="s">
        <v>613</v>
      </c>
      <c r="K3161">
        <v>8</v>
      </c>
      <c r="L3161" s="6">
        <v>2.4</v>
      </c>
      <c r="M3161" s="7">
        <v>19</v>
      </c>
      <c r="N3161" s="7">
        <v>92</v>
      </c>
      <c r="O3161" s="7">
        <f t="shared" si="243"/>
        <v>94.488188976377955</v>
      </c>
      <c r="P3161" s="7">
        <f t="shared" si="244"/>
        <v>0.74803149606299213</v>
      </c>
      <c r="Q3161" s="7">
        <f t="shared" si="244"/>
        <v>3.6220472440944884</v>
      </c>
      <c r="R3161" s="6">
        <f t="shared" si="245"/>
        <v>1876.9110000000001</v>
      </c>
      <c r="S3161" s="6">
        <f t="shared" si="246"/>
        <v>4.1951999999999996E-3</v>
      </c>
      <c r="T3161" t="str">
        <f t="shared" si="247"/>
        <v>Maximo Thermo Ayous VJoint - Nickel Gap 1x4 Long</v>
      </c>
    </row>
    <row r="3162" spans="1:20" x14ac:dyDescent="0.25">
      <c r="A3162" t="s">
        <v>3073</v>
      </c>
      <c r="B3162" t="s">
        <v>3717</v>
      </c>
      <c r="C3162" t="s">
        <v>283</v>
      </c>
      <c r="D3162" t="s">
        <v>3044</v>
      </c>
      <c r="E3162" t="s">
        <v>70</v>
      </c>
      <c r="F3162" t="s">
        <v>3902</v>
      </c>
      <c r="G3162" t="s">
        <v>3077</v>
      </c>
      <c r="H3162" t="s">
        <v>3397</v>
      </c>
      <c r="I3162" t="s">
        <v>289</v>
      </c>
      <c r="J3162" t="s">
        <v>613</v>
      </c>
      <c r="K3162">
        <v>9</v>
      </c>
      <c r="L3162" s="6">
        <v>2.7</v>
      </c>
      <c r="M3162" s="7">
        <v>19</v>
      </c>
      <c r="N3162" s="7">
        <v>92</v>
      </c>
      <c r="O3162" s="7">
        <f t="shared" si="243"/>
        <v>106.29921259842521</v>
      </c>
      <c r="P3162" s="7">
        <f t="shared" si="244"/>
        <v>0.74803149606299213</v>
      </c>
      <c r="Q3162" s="7">
        <f t="shared" si="244"/>
        <v>3.6220472440944884</v>
      </c>
      <c r="R3162" s="6">
        <f t="shared" si="245"/>
        <v>1876.9110000000001</v>
      </c>
      <c r="S3162" s="6">
        <f t="shared" si="246"/>
        <v>4.7196000000000009E-3</v>
      </c>
      <c r="T3162" t="str">
        <f t="shared" si="247"/>
        <v>Maximo Thermo Ayous VJoint - Square Back 1x4 Long</v>
      </c>
    </row>
    <row r="3163" spans="1:20" x14ac:dyDescent="0.25">
      <c r="A3163" t="s">
        <v>3073</v>
      </c>
      <c r="B3163" t="s">
        <v>3717</v>
      </c>
      <c r="C3163" t="s">
        <v>283</v>
      </c>
      <c r="D3163" t="s">
        <v>3044</v>
      </c>
      <c r="E3163" t="s">
        <v>3926</v>
      </c>
      <c r="F3163" t="s">
        <v>3904</v>
      </c>
      <c r="G3163" t="s">
        <v>3077</v>
      </c>
      <c r="H3163" t="s">
        <v>3638</v>
      </c>
      <c r="I3163" t="s">
        <v>289</v>
      </c>
      <c r="J3163" t="s">
        <v>613</v>
      </c>
      <c r="K3163">
        <v>9</v>
      </c>
      <c r="L3163" s="6">
        <v>2.7</v>
      </c>
      <c r="M3163" s="7">
        <v>19</v>
      </c>
      <c r="N3163" s="7">
        <v>92</v>
      </c>
      <c r="O3163" s="7">
        <f t="shared" si="243"/>
        <v>106.29921259842521</v>
      </c>
      <c r="P3163" s="7">
        <f t="shared" si="244"/>
        <v>0.74803149606299213</v>
      </c>
      <c r="Q3163" s="7">
        <f t="shared" si="244"/>
        <v>3.6220472440944884</v>
      </c>
      <c r="R3163" s="6">
        <f t="shared" si="245"/>
        <v>1876.9110000000001</v>
      </c>
      <c r="S3163" s="6">
        <f t="shared" si="246"/>
        <v>4.7196000000000009E-3</v>
      </c>
      <c r="T3163" t="str">
        <f t="shared" si="247"/>
        <v>Maximo Thermo Ayous VJoint - Nickel Gap 1x4 Long</v>
      </c>
    </row>
    <row r="3164" spans="1:20" x14ac:dyDescent="0.25">
      <c r="A3164" t="s">
        <v>3073</v>
      </c>
      <c r="B3164" t="s">
        <v>3080</v>
      </c>
      <c r="C3164" t="s">
        <v>283</v>
      </c>
      <c r="D3164" t="s">
        <v>3044</v>
      </c>
      <c r="E3164" t="s">
        <v>33</v>
      </c>
      <c r="F3164" t="s">
        <v>3927</v>
      </c>
      <c r="G3164" t="s">
        <v>3077</v>
      </c>
      <c r="H3164" t="s">
        <v>3397</v>
      </c>
      <c r="I3164" t="s">
        <v>289</v>
      </c>
      <c r="J3164" t="s">
        <v>344</v>
      </c>
      <c r="K3164">
        <v>10</v>
      </c>
      <c r="L3164" s="6">
        <v>3</v>
      </c>
      <c r="M3164" s="7">
        <v>19</v>
      </c>
      <c r="N3164" s="7">
        <v>140</v>
      </c>
      <c r="O3164" s="7">
        <f t="shared" si="243"/>
        <v>118.11023622047244</v>
      </c>
      <c r="P3164" s="7">
        <f t="shared" si="244"/>
        <v>0.74803149606299213</v>
      </c>
      <c r="Q3164" s="7">
        <f t="shared" si="244"/>
        <v>5.5118110236220472</v>
      </c>
      <c r="R3164" s="6">
        <f t="shared" si="245"/>
        <v>1233.3979999999999</v>
      </c>
      <c r="S3164" s="6">
        <f t="shared" si="246"/>
        <v>7.980000000000001E-3</v>
      </c>
      <c r="T3164" t="str">
        <f t="shared" si="247"/>
        <v>Maximo Thermo Ayous VJoint - Square Back 1x6 Long</v>
      </c>
    </row>
    <row r="3165" spans="1:20" x14ac:dyDescent="0.25">
      <c r="A3165" t="s">
        <v>3073</v>
      </c>
      <c r="B3165" t="s">
        <v>3080</v>
      </c>
      <c r="C3165" t="s">
        <v>283</v>
      </c>
      <c r="D3165" t="s">
        <v>3044</v>
      </c>
      <c r="E3165" t="s">
        <v>99</v>
      </c>
      <c r="F3165" t="s">
        <v>3927</v>
      </c>
      <c r="G3165" t="s">
        <v>3077</v>
      </c>
      <c r="H3165" t="s">
        <v>3397</v>
      </c>
      <c r="I3165" t="s">
        <v>289</v>
      </c>
      <c r="J3165" t="s">
        <v>344</v>
      </c>
      <c r="K3165">
        <v>11</v>
      </c>
      <c r="L3165" s="6">
        <v>3.3</v>
      </c>
      <c r="M3165" s="7">
        <v>19</v>
      </c>
      <c r="N3165" s="7">
        <v>140</v>
      </c>
      <c r="O3165" s="7">
        <f t="shared" si="243"/>
        <v>129.92125984251967</v>
      </c>
      <c r="P3165" s="7">
        <f t="shared" si="244"/>
        <v>0.74803149606299213</v>
      </c>
      <c r="Q3165" s="7">
        <f t="shared" si="244"/>
        <v>5.5118110236220472</v>
      </c>
      <c r="R3165" s="6">
        <f t="shared" si="245"/>
        <v>1233.3979999999999</v>
      </c>
      <c r="S3165" s="6">
        <f t="shared" si="246"/>
        <v>8.7779999999999993E-3</v>
      </c>
      <c r="T3165" t="str">
        <f t="shared" si="247"/>
        <v>Maximo Thermo Ayous VJoint - Square Back 1x6 Long</v>
      </c>
    </row>
    <row r="3166" spans="1:20" x14ac:dyDescent="0.25">
      <c r="A3166" t="s">
        <v>3073</v>
      </c>
      <c r="B3166" t="s">
        <v>3080</v>
      </c>
      <c r="C3166" t="s">
        <v>283</v>
      </c>
      <c r="D3166" t="s">
        <v>3044</v>
      </c>
      <c r="E3166" t="s">
        <v>3928</v>
      </c>
      <c r="F3166" t="s">
        <v>3927</v>
      </c>
      <c r="G3166" t="s">
        <v>3077</v>
      </c>
      <c r="H3166" t="s">
        <v>3397</v>
      </c>
      <c r="I3166" t="s">
        <v>289</v>
      </c>
      <c r="J3166" t="s">
        <v>344</v>
      </c>
      <c r="K3166">
        <v>12</v>
      </c>
      <c r="L3166" s="6">
        <v>3.6</v>
      </c>
      <c r="M3166" s="7">
        <v>19</v>
      </c>
      <c r="N3166" s="7">
        <v>140</v>
      </c>
      <c r="O3166" s="7">
        <f t="shared" si="243"/>
        <v>141.73228346456693</v>
      </c>
      <c r="P3166" s="7">
        <f t="shared" si="244"/>
        <v>0.74803149606299213</v>
      </c>
      <c r="Q3166" s="7">
        <f t="shared" si="244"/>
        <v>5.5118110236220472</v>
      </c>
      <c r="R3166" s="6">
        <f t="shared" si="245"/>
        <v>1233.3979999999999</v>
      </c>
      <c r="S3166" s="6">
        <f t="shared" si="246"/>
        <v>9.5760000000000012E-3</v>
      </c>
      <c r="T3166" t="str">
        <f t="shared" si="247"/>
        <v>Maximo Thermo Ayous VJoint - Square Back 1x6 Long</v>
      </c>
    </row>
    <row r="3167" spans="1:20" x14ac:dyDescent="0.25">
      <c r="A3167" t="s">
        <v>3073</v>
      </c>
      <c r="B3167" t="s">
        <v>3080</v>
      </c>
      <c r="C3167" t="s">
        <v>283</v>
      </c>
      <c r="D3167" t="s">
        <v>3044</v>
      </c>
      <c r="E3167" t="s">
        <v>191</v>
      </c>
      <c r="F3167" t="s">
        <v>3927</v>
      </c>
      <c r="G3167" t="s">
        <v>3077</v>
      </c>
      <c r="H3167" t="s">
        <v>3397</v>
      </c>
      <c r="I3167" t="s">
        <v>289</v>
      </c>
      <c r="J3167" t="s">
        <v>344</v>
      </c>
      <c r="K3167">
        <v>13</v>
      </c>
      <c r="L3167" s="6">
        <v>3.9</v>
      </c>
      <c r="M3167" s="7">
        <v>19</v>
      </c>
      <c r="N3167" s="7">
        <v>140</v>
      </c>
      <c r="O3167" s="7">
        <f t="shared" si="243"/>
        <v>153.54330708661416</v>
      </c>
      <c r="P3167" s="7">
        <f t="shared" si="244"/>
        <v>0.74803149606299213</v>
      </c>
      <c r="Q3167" s="7">
        <f t="shared" si="244"/>
        <v>5.5118110236220472</v>
      </c>
      <c r="R3167" s="6">
        <f t="shared" si="245"/>
        <v>1233.3979999999999</v>
      </c>
      <c r="S3167" s="6">
        <f t="shared" si="246"/>
        <v>1.0374000000000001E-2</v>
      </c>
      <c r="T3167" t="str">
        <f t="shared" si="247"/>
        <v>Maximo Thermo Ayous VJoint - Square Back 1x6 Long</v>
      </c>
    </row>
    <row r="3168" spans="1:20" x14ac:dyDescent="0.25">
      <c r="A3168" t="s">
        <v>3073</v>
      </c>
      <c r="B3168" t="s">
        <v>3080</v>
      </c>
      <c r="C3168" t="s">
        <v>283</v>
      </c>
      <c r="D3168" t="s">
        <v>3044</v>
      </c>
      <c r="E3168" t="s">
        <v>34</v>
      </c>
      <c r="F3168" t="s">
        <v>3927</v>
      </c>
      <c r="G3168" t="s">
        <v>3077</v>
      </c>
      <c r="H3168" t="s">
        <v>3397</v>
      </c>
      <c r="I3168" t="s">
        <v>289</v>
      </c>
      <c r="J3168" t="s">
        <v>344</v>
      </c>
      <c r="K3168">
        <v>14</v>
      </c>
      <c r="L3168" s="6">
        <v>4.2</v>
      </c>
      <c r="M3168" s="7">
        <v>19</v>
      </c>
      <c r="N3168" s="7">
        <v>140</v>
      </c>
      <c r="O3168" s="7">
        <f t="shared" si="243"/>
        <v>165.35433070866142</v>
      </c>
      <c r="P3168" s="7">
        <f t="shared" si="244"/>
        <v>0.74803149606299213</v>
      </c>
      <c r="Q3168" s="7">
        <f t="shared" si="244"/>
        <v>5.5118110236220472</v>
      </c>
      <c r="R3168" s="6">
        <f t="shared" si="245"/>
        <v>1233.3979999999999</v>
      </c>
      <c r="S3168" s="6">
        <f t="shared" si="246"/>
        <v>1.1172E-2</v>
      </c>
      <c r="T3168" t="str">
        <f t="shared" si="247"/>
        <v>Maximo Thermo Ayous VJoint - Square Back 1x6 Long</v>
      </c>
    </row>
    <row r="3169" spans="1:20" x14ac:dyDescent="0.25">
      <c r="A3169" t="s">
        <v>3073</v>
      </c>
      <c r="B3169" t="s">
        <v>3080</v>
      </c>
      <c r="C3169" t="s">
        <v>283</v>
      </c>
      <c r="D3169" t="s">
        <v>3044</v>
      </c>
      <c r="E3169" t="s">
        <v>100</v>
      </c>
      <c r="F3169" t="s">
        <v>3927</v>
      </c>
      <c r="G3169" t="s">
        <v>3077</v>
      </c>
      <c r="H3169" t="s">
        <v>3397</v>
      </c>
      <c r="I3169" t="s">
        <v>289</v>
      </c>
      <c r="J3169" t="s">
        <v>344</v>
      </c>
      <c r="K3169">
        <v>15</v>
      </c>
      <c r="L3169" s="6">
        <v>4.5</v>
      </c>
      <c r="M3169" s="7">
        <v>19</v>
      </c>
      <c r="N3169" s="7">
        <v>140</v>
      </c>
      <c r="O3169" s="7">
        <f t="shared" si="243"/>
        <v>177.16535433070868</v>
      </c>
      <c r="P3169" s="7">
        <f t="shared" si="244"/>
        <v>0.74803149606299213</v>
      </c>
      <c r="Q3169" s="7">
        <f t="shared" si="244"/>
        <v>5.5118110236220472</v>
      </c>
      <c r="R3169" s="6">
        <f t="shared" si="245"/>
        <v>1233.3979999999999</v>
      </c>
      <c r="S3169" s="6">
        <f t="shared" si="246"/>
        <v>1.1970000000000001E-2</v>
      </c>
      <c r="T3169" t="str">
        <f t="shared" si="247"/>
        <v>Maximo Thermo Ayous VJoint - Square Back 1x6 Long</v>
      </c>
    </row>
    <row r="3170" spans="1:20" x14ac:dyDescent="0.25">
      <c r="A3170" t="s">
        <v>3073</v>
      </c>
      <c r="B3170" t="s">
        <v>3080</v>
      </c>
      <c r="C3170" t="s">
        <v>283</v>
      </c>
      <c r="D3170" t="s">
        <v>3044</v>
      </c>
      <c r="E3170" t="s">
        <v>42</v>
      </c>
      <c r="F3170" t="s">
        <v>3927</v>
      </c>
      <c r="G3170" t="s">
        <v>3077</v>
      </c>
      <c r="H3170" t="s">
        <v>3397</v>
      </c>
      <c r="I3170" t="s">
        <v>289</v>
      </c>
      <c r="J3170" t="s">
        <v>344</v>
      </c>
      <c r="K3170">
        <v>16</v>
      </c>
      <c r="L3170" s="6">
        <v>4.8</v>
      </c>
      <c r="M3170" s="7">
        <v>19</v>
      </c>
      <c r="N3170" s="7">
        <v>140</v>
      </c>
      <c r="O3170" s="7">
        <f t="shared" si="243"/>
        <v>188.97637795275591</v>
      </c>
      <c r="P3170" s="7">
        <f t="shared" si="244"/>
        <v>0.74803149606299213</v>
      </c>
      <c r="Q3170" s="7">
        <f t="shared" si="244"/>
        <v>5.5118110236220472</v>
      </c>
      <c r="R3170" s="6">
        <f t="shared" si="245"/>
        <v>1233.3979999999999</v>
      </c>
      <c r="S3170" s="6">
        <f t="shared" si="246"/>
        <v>1.2768E-2</v>
      </c>
      <c r="T3170" t="str">
        <f t="shared" si="247"/>
        <v>Maximo Thermo Ayous VJoint - Square Back 1x6 Long</v>
      </c>
    </row>
    <row r="3171" spans="1:20" x14ac:dyDescent="0.25">
      <c r="A3171" t="s">
        <v>3073</v>
      </c>
      <c r="B3171" t="s">
        <v>3080</v>
      </c>
      <c r="C3171" t="s">
        <v>283</v>
      </c>
      <c r="D3171" t="s">
        <v>3044</v>
      </c>
      <c r="E3171" t="s">
        <v>101</v>
      </c>
      <c r="F3171" t="s">
        <v>3927</v>
      </c>
      <c r="G3171" t="s">
        <v>3077</v>
      </c>
      <c r="H3171" t="s">
        <v>3397</v>
      </c>
      <c r="I3171" t="s">
        <v>289</v>
      </c>
      <c r="J3171" t="s">
        <v>344</v>
      </c>
      <c r="K3171">
        <v>17</v>
      </c>
      <c r="L3171" s="6">
        <v>5.0999999999999996</v>
      </c>
      <c r="M3171" s="7">
        <v>19</v>
      </c>
      <c r="N3171" s="7">
        <v>140</v>
      </c>
      <c r="O3171" s="7">
        <f t="shared" si="243"/>
        <v>200.78740157480314</v>
      </c>
      <c r="P3171" s="7">
        <f t="shared" si="244"/>
        <v>0.74803149606299213</v>
      </c>
      <c r="Q3171" s="7">
        <f t="shared" si="244"/>
        <v>5.5118110236220472</v>
      </c>
      <c r="R3171" s="6">
        <f t="shared" si="245"/>
        <v>1233.3979999999999</v>
      </c>
      <c r="S3171" s="6">
        <f t="shared" si="246"/>
        <v>1.3565999999999998E-2</v>
      </c>
      <c r="T3171" t="str">
        <f t="shared" si="247"/>
        <v>Maximo Thermo Ayous VJoint - Square Back 1x6 Long</v>
      </c>
    </row>
    <row r="3172" spans="1:20" x14ac:dyDescent="0.25">
      <c r="A3172" t="s">
        <v>3073</v>
      </c>
      <c r="B3172" t="s">
        <v>3080</v>
      </c>
      <c r="C3172" t="s">
        <v>283</v>
      </c>
      <c r="D3172" t="s">
        <v>3044</v>
      </c>
      <c r="E3172" t="s">
        <v>192</v>
      </c>
      <c r="F3172" t="s">
        <v>3927</v>
      </c>
      <c r="G3172" t="s">
        <v>3077</v>
      </c>
      <c r="H3172" t="s">
        <v>3397</v>
      </c>
      <c r="I3172" t="s">
        <v>289</v>
      </c>
      <c r="J3172" t="s">
        <v>344</v>
      </c>
      <c r="K3172">
        <v>18</v>
      </c>
      <c r="L3172" s="6">
        <v>5.4</v>
      </c>
      <c r="M3172" s="7">
        <v>19</v>
      </c>
      <c r="N3172" s="7">
        <v>140</v>
      </c>
      <c r="O3172" s="7">
        <f t="shared" si="243"/>
        <v>212.59842519685043</v>
      </c>
      <c r="P3172" s="7">
        <f t="shared" si="244"/>
        <v>0.74803149606299213</v>
      </c>
      <c r="Q3172" s="7">
        <f t="shared" si="244"/>
        <v>5.5118110236220472</v>
      </c>
      <c r="R3172" s="6">
        <f t="shared" si="245"/>
        <v>1233.3979999999999</v>
      </c>
      <c r="S3172" s="6">
        <f t="shared" si="246"/>
        <v>1.4364E-2</v>
      </c>
      <c r="T3172" t="str">
        <f t="shared" si="247"/>
        <v>Maximo Thermo Ayous VJoint - Square Back 1x6 Long</v>
      </c>
    </row>
    <row r="3173" spans="1:20" x14ac:dyDescent="0.25">
      <c r="A3173" t="s">
        <v>3073</v>
      </c>
      <c r="B3173" t="s">
        <v>3080</v>
      </c>
      <c r="C3173" t="s">
        <v>524</v>
      </c>
      <c r="D3173" t="s">
        <v>3044</v>
      </c>
      <c r="E3173" t="s">
        <v>40</v>
      </c>
      <c r="F3173" t="s">
        <v>3927</v>
      </c>
      <c r="G3173" t="s">
        <v>3077</v>
      </c>
      <c r="H3173" t="s">
        <v>3397</v>
      </c>
      <c r="I3173" t="s">
        <v>289</v>
      </c>
      <c r="J3173" t="s">
        <v>344</v>
      </c>
      <c r="K3173">
        <v>4</v>
      </c>
      <c r="L3173" s="6">
        <v>1.2</v>
      </c>
      <c r="M3173" s="7">
        <v>19</v>
      </c>
      <c r="N3173" s="7">
        <v>140</v>
      </c>
      <c r="O3173" s="7">
        <f t="shared" si="243"/>
        <v>47.244094488188978</v>
      </c>
      <c r="P3173" s="7">
        <f t="shared" si="244"/>
        <v>0.74803149606299213</v>
      </c>
      <c r="Q3173" s="7">
        <f t="shared" si="244"/>
        <v>5.5118110236220472</v>
      </c>
      <c r="R3173" s="6">
        <f t="shared" si="245"/>
        <v>1233.3979999999999</v>
      </c>
      <c r="S3173" s="6">
        <f t="shared" si="246"/>
        <v>3.192E-3</v>
      </c>
      <c r="T3173" t="str">
        <f t="shared" si="247"/>
        <v>Maximo Thermo Ayous VJoint - Square Back 1x6 Short</v>
      </c>
    </row>
    <row r="3174" spans="1:20" x14ac:dyDescent="0.25">
      <c r="A3174" t="s">
        <v>3073</v>
      </c>
      <c r="B3174" t="s">
        <v>3080</v>
      </c>
      <c r="C3174" t="s">
        <v>524</v>
      </c>
      <c r="D3174" t="s">
        <v>3044</v>
      </c>
      <c r="E3174" t="s">
        <v>3929</v>
      </c>
      <c r="F3174" t="s">
        <v>3927</v>
      </c>
      <c r="G3174" t="s">
        <v>3077</v>
      </c>
      <c r="H3174" t="s">
        <v>3397</v>
      </c>
      <c r="I3174" t="s">
        <v>289</v>
      </c>
      <c r="J3174" t="s">
        <v>344</v>
      </c>
      <c r="K3174">
        <v>5</v>
      </c>
      <c r="L3174" s="6">
        <v>1.5</v>
      </c>
      <c r="M3174" s="7">
        <v>19</v>
      </c>
      <c r="N3174" s="7">
        <v>140</v>
      </c>
      <c r="O3174" s="7">
        <f t="shared" si="243"/>
        <v>59.055118110236222</v>
      </c>
      <c r="P3174" s="7">
        <f t="shared" si="244"/>
        <v>0.74803149606299213</v>
      </c>
      <c r="Q3174" s="7">
        <f t="shared" si="244"/>
        <v>5.5118110236220472</v>
      </c>
      <c r="R3174" s="6">
        <f t="shared" si="245"/>
        <v>1233.3979999999999</v>
      </c>
      <c r="S3174" s="6">
        <f t="shared" si="246"/>
        <v>3.9900000000000005E-3</v>
      </c>
      <c r="T3174" t="str">
        <f t="shared" si="247"/>
        <v>Maximo Thermo Ayous VJoint - Square Back 1x6 Short</v>
      </c>
    </row>
    <row r="3175" spans="1:20" x14ac:dyDescent="0.25">
      <c r="A3175" t="s">
        <v>3073</v>
      </c>
      <c r="B3175" t="s">
        <v>3080</v>
      </c>
      <c r="C3175" t="s">
        <v>524</v>
      </c>
      <c r="D3175" t="s">
        <v>3044</v>
      </c>
      <c r="E3175" t="s">
        <v>41</v>
      </c>
      <c r="F3175" t="s">
        <v>3927</v>
      </c>
      <c r="G3175" t="s">
        <v>3077</v>
      </c>
      <c r="H3175" t="s">
        <v>3397</v>
      </c>
      <c r="I3175" t="s">
        <v>289</v>
      </c>
      <c r="J3175" t="s">
        <v>344</v>
      </c>
      <c r="K3175">
        <v>6</v>
      </c>
      <c r="L3175" s="6">
        <v>1.8</v>
      </c>
      <c r="M3175" s="7">
        <v>19</v>
      </c>
      <c r="N3175" s="7">
        <v>140</v>
      </c>
      <c r="O3175" s="7">
        <f t="shared" si="243"/>
        <v>70.866141732283467</v>
      </c>
      <c r="P3175" s="7">
        <f t="shared" si="244"/>
        <v>0.74803149606299213</v>
      </c>
      <c r="Q3175" s="7">
        <f t="shared" si="244"/>
        <v>5.5118110236220472</v>
      </c>
      <c r="R3175" s="6">
        <f t="shared" si="245"/>
        <v>1233.3979999999999</v>
      </c>
      <c r="S3175" s="6">
        <f t="shared" si="246"/>
        <v>4.7880000000000006E-3</v>
      </c>
      <c r="T3175" t="str">
        <f t="shared" si="247"/>
        <v>Maximo Thermo Ayous VJoint - Square Back 1x6 Short</v>
      </c>
    </row>
    <row r="3176" spans="1:20" x14ac:dyDescent="0.25">
      <c r="A3176" t="s">
        <v>3073</v>
      </c>
      <c r="B3176" t="s">
        <v>3080</v>
      </c>
      <c r="C3176" t="s">
        <v>524</v>
      </c>
      <c r="D3176" t="s">
        <v>3044</v>
      </c>
      <c r="E3176" t="s">
        <v>98</v>
      </c>
      <c r="F3176" t="s">
        <v>3927</v>
      </c>
      <c r="G3176" t="s">
        <v>3077</v>
      </c>
      <c r="H3176" t="s">
        <v>3397</v>
      </c>
      <c r="I3176" t="s">
        <v>289</v>
      </c>
      <c r="J3176" t="s">
        <v>344</v>
      </c>
      <c r="K3176">
        <v>7</v>
      </c>
      <c r="L3176" s="6">
        <v>2.1</v>
      </c>
      <c r="M3176" s="7">
        <v>19</v>
      </c>
      <c r="N3176" s="7">
        <v>140</v>
      </c>
      <c r="O3176" s="7">
        <f t="shared" si="243"/>
        <v>82.677165354330711</v>
      </c>
      <c r="P3176" s="7">
        <f t="shared" si="244"/>
        <v>0.74803149606299213</v>
      </c>
      <c r="Q3176" s="7">
        <f t="shared" si="244"/>
        <v>5.5118110236220472</v>
      </c>
      <c r="R3176" s="6">
        <f t="shared" si="245"/>
        <v>1233.3979999999999</v>
      </c>
      <c r="S3176" s="6">
        <f t="shared" si="246"/>
        <v>5.5859999999999998E-3</v>
      </c>
      <c r="T3176" t="str">
        <f t="shared" si="247"/>
        <v>Maximo Thermo Ayous VJoint - Square Back 1x6 Short</v>
      </c>
    </row>
    <row r="3177" spans="1:20" x14ac:dyDescent="0.25">
      <c r="A3177" t="s">
        <v>3073</v>
      </c>
      <c r="B3177" t="s">
        <v>3080</v>
      </c>
      <c r="C3177" t="s">
        <v>283</v>
      </c>
      <c r="D3177" t="s">
        <v>3044</v>
      </c>
      <c r="E3177" t="s">
        <v>31</v>
      </c>
      <c r="F3177" t="s">
        <v>3927</v>
      </c>
      <c r="G3177" t="s">
        <v>3077</v>
      </c>
      <c r="H3177" t="s">
        <v>3397</v>
      </c>
      <c r="I3177" t="s">
        <v>289</v>
      </c>
      <c r="J3177" t="s">
        <v>344</v>
      </c>
      <c r="K3177">
        <v>8</v>
      </c>
      <c r="L3177" s="6">
        <v>2.4</v>
      </c>
      <c r="M3177" s="7">
        <v>19</v>
      </c>
      <c r="N3177" s="7">
        <v>140</v>
      </c>
      <c r="O3177" s="7">
        <f t="shared" si="243"/>
        <v>94.488188976377955</v>
      </c>
      <c r="P3177" s="7">
        <f t="shared" si="244"/>
        <v>0.74803149606299213</v>
      </c>
      <c r="Q3177" s="7">
        <f t="shared" si="244"/>
        <v>5.5118110236220472</v>
      </c>
      <c r="R3177" s="6">
        <f t="shared" si="245"/>
        <v>1233.3979999999999</v>
      </c>
      <c r="S3177" s="6">
        <f t="shared" si="246"/>
        <v>6.3839999999999999E-3</v>
      </c>
      <c r="T3177" t="str">
        <f t="shared" si="247"/>
        <v>Maximo Thermo Ayous VJoint - Square Back 1x6 Long</v>
      </c>
    </row>
    <row r="3178" spans="1:20" x14ac:dyDescent="0.25">
      <c r="A3178" t="s">
        <v>3073</v>
      </c>
      <c r="B3178" t="s">
        <v>3080</v>
      </c>
      <c r="C3178" t="s">
        <v>283</v>
      </c>
      <c r="D3178" t="s">
        <v>3044</v>
      </c>
      <c r="E3178" t="s">
        <v>32</v>
      </c>
      <c r="F3178" t="s">
        <v>3927</v>
      </c>
      <c r="G3178" t="s">
        <v>3077</v>
      </c>
      <c r="H3178" t="s">
        <v>3397</v>
      </c>
      <c r="I3178" t="s">
        <v>289</v>
      </c>
      <c r="J3178" t="s">
        <v>344</v>
      </c>
      <c r="K3178">
        <v>9</v>
      </c>
      <c r="L3178" s="6">
        <v>2.7</v>
      </c>
      <c r="M3178" s="7">
        <v>19</v>
      </c>
      <c r="N3178" s="7">
        <v>140</v>
      </c>
      <c r="O3178" s="7">
        <f t="shared" si="243"/>
        <v>106.29921259842521</v>
      </c>
      <c r="P3178" s="7">
        <f t="shared" si="244"/>
        <v>0.74803149606299213</v>
      </c>
      <c r="Q3178" s="7">
        <f t="shared" si="244"/>
        <v>5.5118110236220472</v>
      </c>
      <c r="R3178" s="6">
        <f t="shared" si="245"/>
        <v>1233.3979999999999</v>
      </c>
      <c r="S3178" s="6">
        <f t="shared" si="246"/>
        <v>7.182E-3</v>
      </c>
      <c r="T3178" t="str">
        <f t="shared" si="247"/>
        <v>Maximo Thermo Ayous VJoint - Square Back 1x6 Long</v>
      </c>
    </row>
    <row r="3179" spans="1:20" x14ac:dyDescent="0.25">
      <c r="A3179" t="s">
        <v>3073</v>
      </c>
      <c r="B3179" t="s">
        <v>3737</v>
      </c>
      <c r="C3179" t="s">
        <v>283</v>
      </c>
      <c r="D3179" t="s">
        <v>3044</v>
      </c>
      <c r="E3179" t="s">
        <v>3930</v>
      </c>
      <c r="F3179" t="s">
        <v>3931</v>
      </c>
      <c r="G3179" t="s">
        <v>3077</v>
      </c>
      <c r="H3179" t="s">
        <v>3397</v>
      </c>
      <c r="I3179" t="s">
        <v>289</v>
      </c>
      <c r="J3179" t="s">
        <v>672</v>
      </c>
      <c r="K3179">
        <v>10</v>
      </c>
      <c r="L3179" s="6">
        <v>3</v>
      </c>
      <c r="M3179" s="7">
        <v>20</v>
      </c>
      <c r="N3179" s="7">
        <v>180</v>
      </c>
      <c r="O3179" s="7">
        <f t="shared" si="243"/>
        <v>118.11023622047244</v>
      </c>
      <c r="P3179" s="7">
        <f t="shared" si="244"/>
        <v>0.78740157480314965</v>
      </c>
      <c r="Q3179" s="7">
        <f t="shared" si="244"/>
        <v>7.0866141732283472</v>
      </c>
      <c r="R3179" s="6">
        <f t="shared" si="245"/>
        <v>911.34400000000005</v>
      </c>
      <c r="S3179" s="6">
        <f t="shared" si="246"/>
        <v>1.0799999999999999E-2</v>
      </c>
      <c r="T3179" t="str">
        <f t="shared" si="247"/>
        <v>Maximo Thermo Ayous VJoint - Square Back 1x8 Long</v>
      </c>
    </row>
    <row r="3180" spans="1:20" x14ac:dyDescent="0.25">
      <c r="A3180" t="s">
        <v>3073</v>
      </c>
      <c r="B3180" t="s">
        <v>3737</v>
      </c>
      <c r="C3180" t="s">
        <v>283</v>
      </c>
      <c r="D3180" t="s">
        <v>3044</v>
      </c>
      <c r="E3180" t="s">
        <v>3932</v>
      </c>
      <c r="F3180" t="s">
        <v>3931</v>
      </c>
      <c r="G3180" t="s">
        <v>3077</v>
      </c>
      <c r="H3180" t="s">
        <v>3397</v>
      </c>
      <c r="I3180" t="s">
        <v>289</v>
      </c>
      <c r="J3180" t="s">
        <v>672</v>
      </c>
      <c r="K3180">
        <v>11</v>
      </c>
      <c r="L3180" s="6">
        <v>3.3</v>
      </c>
      <c r="M3180" s="7">
        <v>20</v>
      </c>
      <c r="N3180" s="7">
        <v>180</v>
      </c>
      <c r="O3180" s="7">
        <f t="shared" si="243"/>
        <v>129.92125984251967</v>
      </c>
      <c r="P3180" s="7">
        <f t="shared" si="244"/>
        <v>0.78740157480314965</v>
      </c>
      <c r="Q3180" s="7">
        <f t="shared" si="244"/>
        <v>7.0866141732283472</v>
      </c>
      <c r="R3180" s="6">
        <f t="shared" si="245"/>
        <v>911.34400000000005</v>
      </c>
      <c r="S3180" s="6">
        <f t="shared" si="246"/>
        <v>1.188E-2</v>
      </c>
      <c r="T3180" t="str">
        <f t="shared" si="247"/>
        <v>Maximo Thermo Ayous VJoint - Square Back 1x8 Long</v>
      </c>
    </row>
    <row r="3181" spans="1:20" x14ac:dyDescent="0.25">
      <c r="A3181" t="s">
        <v>3073</v>
      </c>
      <c r="B3181" t="s">
        <v>3080</v>
      </c>
      <c r="C3181" t="s">
        <v>283</v>
      </c>
      <c r="D3181" t="s">
        <v>3044</v>
      </c>
      <c r="E3181" t="s">
        <v>3933</v>
      </c>
      <c r="F3181" t="s">
        <v>3934</v>
      </c>
      <c r="G3181" t="s">
        <v>3077</v>
      </c>
      <c r="H3181" t="s">
        <v>3935</v>
      </c>
      <c r="I3181" t="s">
        <v>289</v>
      </c>
      <c r="J3181" t="s">
        <v>344</v>
      </c>
      <c r="K3181">
        <v>10</v>
      </c>
      <c r="L3181" s="6">
        <v>3</v>
      </c>
      <c r="M3181" s="7">
        <v>19</v>
      </c>
      <c r="N3181" s="7">
        <v>140</v>
      </c>
      <c r="O3181" s="7">
        <f t="shared" si="243"/>
        <v>118.11023622047244</v>
      </c>
      <c r="P3181" s="7">
        <f t="shared" si="244"/>
        <v>0.74803149606299213</v>
      </c>
      <c r="Q3181" s="7">
        <f t="shared" si="244"/>
        <v>5.5118110236220472</v>
      </c>
      <c r="R3181" s="6">
        <f t="shared" si="245"/>
        <v>1233.3979999999999</v>
      </c>
      <c r="S3181" s="6">
        <f t="shared" si="246"/>
        <v>7.980000000000001E-3</v>
      </c>
      <c r="T3181" t="str">
        <f t="shared" si="247"/>
        <v>Maximo Thermo Ayous VJoint - Square Back 3 Faces 1x6 Long</v>
      </c>
    </row>
    <row r="3182" spans="1:20" x14ac:dyDescent="0.25">
      <c r="A3182" t="s">
        <v>3073</v>
      </c>
      <c r="B3182" t="s">
        <v>3080</v>
      </c>
      <c r="C3182" t="s">
        <v>283</v>
      </c>
      <c r="D3182" t="s">
        <v>3044</v>
      </c>
      <c r="E3182" t="s">
        <v>3936</v>
      </c>
      <c r="F3182" t="s">
        <v>3934</v>
      </c>
      <c r="G3182" t="s">
        <v>3077</v>
      </c>
      <c r="H3182" t="s">
        <v>3935</v>
      </c>
      <c r="I3182" t="s">
        <v>289</v>
      </c>
      <c r="J3182" t="s">
        <v>344</v>
      </c>
      <c r="K3182">
        <v>11</v>
      </c>
      <c r="L3182" s="6">
        <v>3.3</v>
      </c>
      <c r="M3182" s="7">
        <v>19</v>
      </c>
      <c r="N3182" s="7">
        <v>140</v>
      </c>
      <c r="O3182" s="7">
        <f t="shared" si="243"/>
        <v>129.92125984251967</v>
      </c>
      <c r="P3182" s="7">
        <f t="shared" si="244"/>
        <v>0.74803149606299213</v>
      </c>
      <c r="Q3182" s="7">
        <f t="shared" si="244"/>
        <v>5.5118110236220472</v>
      </c>
      <c r="R3182" s="6">
        <f t="shared" si="245"/>
        <v>1233.3979999999999</v>
      </c>
      <c r="S3182" s="6">
        <f t="shared" si="246"/>
        <v>8.7779999999999993E-3</v>
      </c>
      <c r="T3182" t="str">
        <f t="shared" si="247"/>
        <v>Maximo Thermo Ayous VJoint - Square Back 3 Faces 1x6 Long</v>
      </c>
    </row>
    <row r="3183" spans="1:20" x14ac:dyDescent="0.25">
      <c r="A3183" t="s">
        <v>3073</v>
      </c>
      <c r="B3183" t="s">
        <v>3080</v>
      </c>
      <c r="C3183" t="s">
        <v>283</v>
      </c>
      <c r="D3183" t="s">
        <v>3044</v>
      </c>
      <c r="E3183" t="s">
        <v>3937</v>
      </c>
      <c r="F3183" t="s">
        <v>3934</v>
      </c>
      <c r="G3183" t="s">
        <v>3077</v>
      </c>
      <c r="H3183" t="s">
        <v>3935</v>
      </c>
      <c r="I3183" t="s">
        <v>289</v>
      </c>
      <c r="J3183" t="s">
        <v>344</v>
      </c>
      <c r="K3183">
        <v>12</v>
      </c>
      <c r="L3183" s="6">
        <v>3.6</v>
      </c>
      <c r="M3183" s="7">
        <v>19</v>
      </c>
      <c r="N3183" s="7">
        <v>140</v>
      </c>
      <c r="O3183" s="7">
        <f t="shared" si="243"/>
        <v>141.73228346456693</v>
      </c>
      <c r="P3183" s="7">
        <f t="shared" si="244"/>
        <v>0.74803149606299213</v>
      </c>
      <c r="Q3183" s="7">
        <f t="shared" si="244"/>
        <v>5.5118110236220472</v>
      </c>
      <c r="R3183" s="6">
        <f t="shared" si="245"/>
        <v>1233.3979999999999</v>
      </c>
      <c r="S3183" s="6">
        <f t="shared" si="246"/>
        <v>9.5760000000000012E-3</v>
      </c>
      <c r="T3183" t="str">
        <f t="shared" si="247"/>
        <v>Maximo Thermo Ayous VJoint - Square Back 3 Faces 1x6 Long</v>
      </c>
    </row>
    <row r="3184" spans="1:20" x14ac:dyDescent="0.25">
      <c r="A3184" t="s">
        <v>3073</v>
      </c>
      <c r="B3184" t="s">
        <v>3080</v>
      </c>
      <c r="C3184" t="s">
        <v>283</v>
      </c>
      <c r="D3184" t="s">
        <v>3044</v>
      </c>
      <c r="E3184" t="s">
        <v>3938</v>
      </c>
      <c r="F3184" t="s">
        <v>3934</v>
      </c>
      <c r="G3184" t="s">
        <v>3077</v>
      </c>
      <c r="H3184" t="s">
        <v>3935</v>
      </c>
      <c r="I3184" t="s">
        <v>289</v>
      </c>
      <c r="J3184" t="s">
        <v>344</v>
      </c>
      <c r="K3184">
        <v>13</v>
      </c>
      <c r="L3184" s="6">
        <v>3.9</v>
      </c>
      <c r="M3184" s="7">
        <v>19</v>
      </c>
      <c r="N3184" s="7">
        <v>140</v>
      </c>
      <c r="O3184" s="7">
        <f t="shared" ref="O3184:O3247" si="248">L3184/0.0254</f>
        <v>153.54330708661416</v>
      </c>
      <c r="P3184" s="7">
        <f t="shared" ref="P3184:Q3247" si="249">M3184/25.4</f>
        <v>0.74803149606299213</v>
      </c>
      <c r="Q3184" s="7">
        <f t="shared" si="249"/>
        <v>5.5118110236220472</v>
      </c>
      <c r="R3184" s="6">
        <f t="shared" ref="R3184:R3247" si="250">ROUND(IFERROR(1/((M3184*N3184*0.3048)/1000000),0),3)</f>
        <v>1233.3979999999999</v>
      </c>
      <c r="S3184" s="6">
        <f t="shared" ref="S3184:S3247" si="251">L3184*M3184/1000*N3184/1000</f>
        <v>1.0374000000000001E-2</v>
      </c>
      <c r="T3184" t="str">
        <f t="shared" si="247"/>
        <v>Maximo Thermo Ayous VJoint - Square Back 3 Faces 1x6 Long</v>
      </c>
    </row>
    <row r="3185" spans="1:20" x14ac:dyDescent="0.25">
      <c r="A3185" t="s">
        <v>3073</v>
      </c>
      <c r="B3185" t="s">
        <v>3080</v>
      </c>
      <c r="C3185" t="s">
        <v>283</v>
      </c>
      <c r="D3185" t="s">
        <v>3044</v>
      </c>
      <c r="E3185" t="s">
        <v>3939</v>
      </c>
      <c r="F3185" t="s">
        <v>3934</v>
      </c>
      <c r="G3185" t="s">
        <v>3077</v>
      </c>
      <c r="H3185" t="s">
        <v>3935</v>
      </c>
      <c r="I3185" t="s">
        <v>289</v>
      </c>
      <c r="J3185" t="s">
        <v>344</v>
      </c>
      <c r="K3185">
        <v>14</v>
      </c>
      <c r="L3185" s="6">
        <v>4.2</v>
      </c>
      <c r="M3185" s="7">
        <v>19</v>
      </c>
      <c r="N3185" s="7">
        <v>140</v>
      </c>
      <c r="O3185" s="7">
        <f t="shared" si="248"/>
        <v>165.35433070866142</v>
      </c>
      <c r="P3185" s="7">
        <f t="shared" si="249"/>
        <v>0.74803149606299213</v>
      </c>
      <c r="Q3185" s="7">
        <f t="shared" si="249"/>
        <v>5.5118110236220472</v>
      </c>
      <c r="R3185" s="6">
        <f t="shared" si="250"/>
        <v>1233.3979999999999</v>
      </c>
      <c r="S3185" s="6">
        <f t="shared" si="251"/>
        <v>1.1172E-2</v>
      </c>
      <c r="T3185" t="str">
        <f t="shared" si="247"/>
        <v>Maximo Thermo Ayous VJoint - Square Back 3 Faces 1x6 Long</v>
      </c>
    </row>
    <row r="3186" spans="1:20" x14ac:dyDescent="0.25">
      <c r="A3186" t="s">
        <v>3073</v>
      </c>
      <c r="B3186" t="s">
        <v>3080</v>
      </c>
      <c r="C3186" t="s">
        <v>283</v>
      </c>
      <c r="D3186" t="s">
        <v>3044</v>
      </c>
      <c r="E3186" t="s">
        <v>3940</v>
      </c>
      <c r="F3186" t="s">
        <v>3934</v>
      </c>
      <c r="G3186" t="s">
        <v>3077</v>
      </c>
      <c r="H3186" t="s">
        <v>3935</v>
      </c>
      <c r="I3186" t="s">
        <v>289</v>
      </c>
      <c r="J3186" t="s">
        <v>344</v>
      </c>
      <c r="K3186">
        <v>15</v>
      </c>
      <c r="L3186" s="6">
        <v>4.5</v>
      </c>
      <c r="M3186" s="7">
        <v>19</v>
      </c>
      <c r="N3186" s="7">
        <v>140</v>
      </c>
      <c r="O3186" s="7">
        <f t="shared" si="248"/>
        <v>177.16535433070868</v>
      </c>
      <c r="P3186" s="7">
        <f t="shared" si="249"/>
        <v>0.74803149606299213</v>
      </c>
      <c r="Q3186" s="7">
        <f t="shared" si="249"/>
        <v>5.5118110236220472</v>
      </c>
      <c r="R3186" s="6">
        <f t="shared" si="250"/>
        <v>1233.3979999999999</v>
      </c>
      <c r="S3186" s="6">
        <f t="shared" si="251"/>
        <v>1.1970000000000001E-2</v>
      </c>
      <c r="T3186" t="str">
        <f t="shared" si="247"/>
        <v>Maximo Thermo Ayous VJoint - Square Back 3 Faces 1x6 Long</v>
      </c>
    </row>
    <row r="3187" spans="1:20" x14ac:dyDescent="0.25">
      <c r="A3187" t="s">
        <v>3073</v>
      </c>
      <c r="B3187" t="s">
        <v>3080</v>
      </c>
      <c r="C3187" t="s">
        <v>283</v>
      </c>
      <c r="D3187" t="s">
        <v>3044</v>
      </c>
      <c r="E3187" t="s">
        <v>3941</v>
      </c>
      <c r="F3187" t="s">
        <v>3934</v>
      </c>
      <c r="G3187" t="s">
        <v>3077</v>
      </c>
      <c r="H3187" t="s">
        <v>3935</v>
      </c>
      <c r="I3187" t="s">
        <v>289</v>
      </c>
      <c r="J3187" t="s">
        <v>344</v>
      </c>
      <c r="K3187">
        <v>16</v>
      </c>
      <c r="L3187" s="6">
        <v>4.8</v>
      </c>
      <c r="M3187" s="7">
        <v>19</v>
      </c>
      <c r="N3187" s="7">
        <v>140</v>
      </c>
      <c r="O3187" s="7">
        <f t="shared" si="248"/>
        <v>188.97637795275591</v>
      </c>
      <c r="P3187" s="7">
        <f t="shared" si="249"/>
        <v>0.74803149606299213</v>
      </c>
      <c r="Q3187" s="7">
        <f t="shared" si="249"/>
        <v>5.5118110236220472</v>
      </c>
      <c r="R3187" s="6">
        <f t="shared" si="250"/>
        <v>1233.3979999999999</v>
      </c>
      <c r="S3187" s="6">
        <f t="shared" si="251"/>
        <v>1.2768E-2</v>
      </c>
      <c r="T3187" t="str">
        <f t="shared" si="247"/>
        <v>Maximo Thermo Ayous VJoint - Square Back 3 Faces 1x6 Long</v>
      </c>
    </row>
    <row r="3188" spans="1:20" x14ac:dyDescent="0.25">
      <c r="A3188" t="s">
        <v>3073</v>
      </c>
      <c r="B3188" t="s">
        <v>3080</v>
      </c>
      <c r="C3188" t="s">
        <v>283</v>
      </c>
      <c r="D3188" t="s">
        <v>3044</v>
      </c>
      <c r="E3188" t="s">
        <v>3942</v>
      </c>
      <c r="F3188" t="s">
        <v>3934</v>
      </c>
      <c r="G3188" t="s">
        <v>3077</v>
      </c>
      <c r="H3188" t="s">
        <v>3935</v>
      </c>
      <c r="I3188" t="s">
        <v>289</v>
      </c>
      <c r="J3188" t="s">
        <v>344</v>
      </c>
      <c r="K3188">
        <v>17</v>
      </c>
      <c r="L3188" s="6">
        <v>5.0999999999999996</v>
      </c>
      <c r="M3188" s="7">
        <v>19</v>
      </c>
      <c r="N3188" s="7">
        <v>140</v>
      </c>
      <c r="O3188" s="7">
        <f t="shared" si="248"/>
        <v>200.78740157480314</v>
      </c>
      <c r="P3188" s="7">
        <f t="shared" si="249"/>
        <v>0.74803149606299213</v>
      </c>
      <c r="Q3188" s="7">
        <f t="shared" si="249"/>
        <v>5.5118110236220472</v>
      </c>
      <c r="R3188" s="6">
        <f t="shared" si="250"/>
        <v>1233.3979999999999</v>
      </c>
      <c r="S3188" s="6">
        <f t="shared" si="251"/>
        <v>1.3565999999999998E-2</v>
      </c>
      <c r="T3188" t="str">
        <f t="shared" si="247"/>
        <v>Maximo Thermo Ayous VJoint - Square Back 3 Faces 1x6 Long</v>
      </c>
    </row>
    <row r="3189" spans="1:20" x14ac:dyDescent="0.25">
      <c r="A3189" t="s">
        <v>3073</v>
      </c>
      <c r="B3189" t="s">
        <v>3080</v>
      </c>
      <c r="C3189" t="s">
        <v>283</v>
      </c>
      <c r="D3189" t="s">
        <v>3044</v>
      </c>
      <c r="E3189" t="s">
        <v>3943</v>
      </c>
      <c r="F3189" t="s">
        <v>3934</v>
      </c>
      <c r="G3189" t="s">
        <v>3077</v>
      </c>
      <c r="H3189" t="s">
        <v>3935</v>
      </c>
      <c r="I3189" t="s">
        <v>289</v>
      </c>
      <c r="J3189" t="s">
        <v>344</v>
      </c>
      <c r="K3189">
        <v>18</v>
      </c>
      <c r="L3189" s="6">
        <v>5.4</v>
      </c>
      <c r="M3189" s="7">
        <v>19</v>
      </c>
      <c r="N3189" s="7">
        <v>140</v>
      </c>
      <c r="O3189" s="7">
        <f t="shared" si="248"/>
        <v>212.59842519685043</v>
      </c>
      <c r="P3189" s="7">
        <f t="shared" si="249"/>
        <v>0.74803149606299213</v>
      </c>
      <c r="Q3189" s="7">
        <f t="shared" si="249"/>
        <v>5.5118110236220472</v>
      </c>
      <c r="R3189" s="6">
        <f t="shared" si="250"/>
        <v>1233.3979999999999</v>
      </c>
      <c r="S3189" s="6">
        <f t="shared" si="251"/>
        <v>1.4364E-2</v>
      </c>
      <c r="T3189" t="str">
        <f t="shared" si="247"/>
        <v>Maximo Thermo Ayous VJoint - Square Back 3 Faces 1x6 Long</v>
      </c>
    </row>
    <row r="3190" spans="1:20" x14ac:dyDescent="0.25">
      <c r="A3190" t="s">
        <v>3073</v>
      </c>
      <c r="B3190" t="s">
        <v>3080</v>
      </c>
      <c r="C3190" t="s">
        <v>524</v>
      </c>
      <c r="D3190" t="s">
        <v>3044</v>
      </c>
      <c r="E3190" t="s">
        <v>3944</v>
      </c>
      <c r="F3190" t="s">
        <v>3934</v>
      </c>
      <c r="G3190" t="s">
        <v>3077</v>
      </c>
      <c r="H3190" t="s">
        <v>3935</v>
      </c>
      <c r="I3190" t="s">
        <v>289</v>
      </c>
      <c r="J3190" t="s">
        <v>344</v>
      </c>
      <c r="K3190">
        <v>4</v>
      </c>
      <c r="L3190" s="6">
        <v>1.2</v>
      </c>
      <c r="M3190" s="7">
        <v>19</v>
      </c>
      <c r="N3190" s="7">
        <v>140</v>
      </c>
      <c r="O3190" s="7">
        <f t="shared" si="248"/>
        <v>47.244094488188978</v>
      </c>
      <c r="P3190" s="7">
        <f t="shared" si="249"/>
        <v>0.74803149606299213</v>
      </c>
      <c r="Q3190" s="7">
        <f t="shared" si="249"/>
        <v>5.5118110236220472</v>
      </c>
      <c r="R3190" s="6">
        <f t="shared" si="250"/>
        <v>1233.3979999999999</v>
      </c>
      <c r="S3190" s="6">
        <f t="shared" si="251"/>
        <v>3.192E-3</v>
      </c>
      <c r="T3190" t="str">
        <f t="shared" si="247"/>
        <v>Maximo Thermo Ayous VJoint - Square Back 3 Faces 1x6 Short</v>
      </c>
    </row>
    <row r="3191" spans="1:20" x14ac:dyDescent="0.25">
      <c r="A3191" t="s">
        <v>3073</v>
      </c>
      <c r="B3191" t="s">
        <v>3080</v>
      </c>
      <c r="C3191" t="s">
        <v>524</v>
      </c>
      <c r="D3191" t="s">
        <v>3044</v>
      </c>
      <c r="E3191" t="s">
        <v>3945</v>
      </c>
      <c r="F3191" t="s">
        <v>3934</v>
      </c>
      <c r="G3191" t="s">
        <v>3077</v>
      </c>
      <c r="H3191" t="s">
        <v>3935</v>
      </c>
      <c r="I3191" t="s">
        <v>289</v>
      </c>
      <c r="J3191" t="s">
        <v>344</v>
      </c>
      <c r="K3191">
        <v>5</v>
      </c>
      <c r="L3191" s="6">
        <v>1.5</v>
      </c>
      <c r="M3191" s="7">
        <v>19</v>
      </c>
      <c r="N3191" s="7">
        <v>140</v>
      </c>
      <c r="O3191" s="7">
        <f t="shared" si="248"/>
        <v>59.055118110236222</v>
      </c>
      <c r="P3191" s="7">
        <f t="shared" si="249"/>
        <v>0.74803149606299213</v>
      </c>
      <c r="Q3191" s="7">
        <f t="shared" si="249"/>
        <v>5.5118110236220472</v>
      </c>
      <c r="R3191" s="6">
        <f t="shared" si="250"/>
        <v>1233.3979999999999</v>
      </c>
      <c r="S3191" s="6">
        <f t="shared" si="251"/>
        <v>3.9900000000000005E-3</v>
      </c>
      <c r="T3191" t="str">
        <f t="shared" si="247"/>
        <v>Maximo Thermo Ayous VJoint - Square Back 3 Faces 1x6 Short</v>
      </c>
    </row>
    <row r="3192" spans="1:20" x14ac:dyDescent="0.25">
      <c r="A3192" t="s">
        <v>3073</v>
      </c>
      <c r="B3192" t="s">
        <v>3080</v>
      </c>
      <c r="C3192" t="s">
        <v>524</v>
      </c>
      <c r="D3192" t="s">
        <v>3044</v>
      </c>
      <c r="E3192" t="s">
        <v>3946</v>
      </c>
      <c r="F3192" t="s">
        <v>3934</v>
      </c>
      <c r="G3192" t="s">
        <v>3077</v>
      </c>
      <c r="H3192" t="s">
        <v>3935</v>
      </c>
      <c r="I3192" t="s">
        <v>289</v>
      </c>
      <c r="J3192" t="s">
        <v>344</v>
      </c>
      <c r="K3192">
        <v>6</v>
      </c>
      <c r="L3192" s="6">
        <v>1.8</v>
      </c>
      <c r="M3192" s="7">
        <v>19</v>
      </c>
      <c r="N3192" s="7">
        <v>140</v>
      </c>
      <c r="O3192" s="7">
        <f t="shared" si="248"/>
        <v>70.866141732283467</v>
      </c>
      <c r="P3192" s="7">
        <f t="shared" si="249"/>
        <v>0.74803149606299213</v>
      </c>
      <c r="Q3192" s="7">
        <f t="shared" si="249"/>
        <v>5.5118110236220472</v>
      </c>
      <c r="R3192" s="6">
        <f t="shared" si="250"/>
        <v>1233.3979999999999</v>
      </c>
      <c r="S3192" s="6">
        <f t="shared" si="251"/>
        <v>4.7880000000000006E-3</v>
      </c>
      <c r="T3192" t="str">
        <f t="shared" si="247"/>
        <v>Maximo Thermo Ayous VJoint - Square Back 3 Faces 1x6 Short</v>
      </c>
    </row>
    <row r="3193" spans="1:20" x14ac:dyDescent="0.25">
      <c r="A3193" t="s">
        <v>3073</v>
      </c>
      <c r="B3193" t="s">
        <v>3080</v>
      </c>
      <c r="C3193" t="s">
        <v>524</v>
      </c>
      <c r="D3193" t="s">
        <v>3044</v>
      </c>
      <c r="E3193" t="s">
        <v>3947</v>
      </c>
      <c r="F3193" t="s">
        <v>3934</v>
      </c>
      <c r="G3193" t="s">
        <v>3077</v>
      </c>
      <c r="H3193" t="s">
        <v>3935</v>
      </c>
      <c r="I3193" t="s">
        <v>289</v>
      </c>
      <c r="J3193" t="s">
        <v>344</v>
      </c>
      <c r="K3193">
        <v>7</v>
      </c>
      <c r="L3193" s="6">
        <v>2.1</v>
      </c>
      <c r="M3193" s="7">
        <v>19</v>
      </c>
      <c r="N3193" s="7">
        <v>140</v>
      </c>
      <c r="O3193" s="7">
        <f t="shared" si="248"/>
        <v>82.677165354330711</v>
      </c>
      <c r="P3193" s="7">
        <f t="shared" si="249"/>
        <v>0.74803149606299213</v>
      </c>
      <c r="Q3193" s="7">
        <f t="shared" si="249"/>
        <v>5.5118110236220472</v>
      </c>
      <c r="R3193" s="6">
        <f t="shared" si="250"/>
        <v>1233.3979999999999</v>
      </c>
      <c r="S3193" s="6">
        <f t="shared" si="251"/>
        <v>5.5859999999999998E-3</v>
      </c>
      <c r="T3193" t="str">
        <f t="shared" si="247"/>
        <v>Maximo Thermo Ayous VJoint - Square Back 3 Faces 1x6 Short</v>
      </c>
    </row>
    <row r="3194" spans="1:20" x14ac:dyDescent="0.25">
      <c r="A3194" t="s">
        <v>3073</v>
      </c>
      <c r="B3194" t="s">
        <v>3080</v>
      </c>
      <c r="C3194" t="s">
        <v>283</v>
      </c>
      <c r="D3194" t="s">
        <v>3044</v>
      </c>
      <c r="E3194" t="s">
        <v>3948</v>
      </c>
      <c r="F3194" t="s">
        <v>3934</v>
      </c>
      <c r="G3194" t="s">
        <v>3077</v>
      </c>
      <c r="H3194" t="s">
        <v>3935</v>
      </c>
      <c r="I3194" t="s">
        <v>289</v>
      </c>
      <c r="J3194" t="s">
        <v>344</v>
      </c>
      <c r="K3194">
        <v>8</v>
      </c>
      <c r="L3194" s="6">
        <v>2.4</v>
      </c>
      <c r="M3194" s="7">
        <v>19</v>
      </c>
      <c r="N3194" s="7">
        <v>140</v>
      </c>
      <c r="O3194" s="7">
        <f t="shared" si="248"/>
        <v>94.488188976377955</v>
      </c>
      <c r="P3194" s="7">
        <f t="shared" si="249"/>
        <v>0.74803149606299213</v>
      </c>
      <c r="Q3194" s="7">
        <f t="shared" si="249"/>
        <v>5.5118110236220472</v>
      </c>
      <c r="R3194" s="6">
        <f t="shared" si="250"/>
        <v>1233.3979999999999</v>
      </c>
      <c r="S3194" s="6">
        <f t="shared" si="251"/>
        <v>6.3839999999999999E-3</v>
      </c>
      <c r="T3194" t="str">
        <f t="shared" si="247"/>
        <v>Maximo Thermo Ayous VJoint - Square Back 3 Faces 1x6 Long</v>
      </c>
    </row>
    <row r="3195" spans="1:20" x14ac:dyDescent="0.25">
      <c r="A3195" t="s">
        <v>3073</v>
      </c>
      <c r="B3195" t="s">
        <v>3080</v>
      </c>
      <c r="C3195" t="s">
        <v>283</v>
      </c>
      <c r="D3195" t="s">
        <v>3044</v>
      </c>
      <c r="E3195" t="s">
        <v>3949</v>
      </c>
      <c r="F3195" t="s">
        <v>3934</v>
      </c>
      <c r="G3195" t="s">
        <v>3077</v>
      </c>
      <c r="H3195" t="s">
        <v>3935</v>
      </c>
      <c r="I3195" t="s">
        <v>289</v>
      </c>
      <c r="J3195" t="s">
        <v>344</v>
      </c>
      <c r="K3195">
        <v>9</v>
      </c>
      <c r="L3195" s="6">
        <v>2.7</v>
      </c>
      <c r="M3195" s="7">
        <v>19</v>
      </c>
      <c r="N3195" s="7">
        <v>140</v>
      </c>
      <c r="O3195" s="7">
        <f t="shared" si="248"/>
        <v>106.29921259842521</v>
      </c>
      <c r="P3195" s="7">
        <f t="shared" si="249"/>
        <v>0.74803149606299213</v>
      </c>
      <c r="Q3195" s="7">
        <f t="shared" si="249"/>
        <v>5.5118110236220472</v>
      </c>
      <c r="R3195" s="6">
        <f t="shared" si="250"/>
        <v>1233.3979999999999</v>
      </c>
      <c r="S3195" s="6">
        <f t="shared" si="251"/>
        <v>7.182E-3</v>
      </c>
      <c r="T3195" t="str">
        <f t="shared" si="247"/>
        <v>Maximo Thermo Ayous VJoint - Square Back 3 Faces 1x6 Long</v>
      </c>
    </row>
    <row r="3196" spans="1:20" x14ac:dyDescent="0.25">
      <c r="A3196" t="s">
        <v>3950</v>
      </c>
      <c r="B3196" t="s">
        <v>3951</v>
      </c>
      <c r="C3196" t="s">
        <v>283</v>
      </c>
      <c r="D3196" t="s">
        <v>3044</v>
      </c>
      <c r="E3196" t="s">
        <v>3952</v>
      </c>
      <c r="F3196" t="s">
        <v>3953</v>
      </c>
      <c r="G3196" t="s">
        <v>3954</v>
      </c>
      <c r="H3196" t="s">
        <v>3955</v>
      </c>
      <c r="I3196" t="s">
        <v>3956</v>
      </c>
      <c r="J3196" t="s">
        <v>3957</v>
      </c>
      <c r="K3196">
        <v>10</v>
      </c>
      <c r="L3196" s="6">
        <v>3</v>
      </c>
      <c r="M3196" s="7">
        <v>19</v>
      </c>
      <c r="N3196" s="7">
        <v>115</v>
      </c>
      <c r="O3196" s="7">
        <f t="shared" si="248"/>
        <v>118.11023622047244</v>
      </c>
      <c r="P3196" s="7">
        <f t="shared" si="249"/>
        <v>0.74803149606299213</v>
      </c>
      <c r="Q3196" s="7">
        <f t="shared" si="249"/>
        <v>4.5275590551181102</v>
      </c>
      <c r="R3196" s="6">
        <f t="shared" si="250"/>
        <v>1501.529</v>
      </c>
      <c r="S3196" s="6">
        <f t="shared" si="251"/>
        <v>6.5550000000000009E-3</v>
      </c>
      <c r="T3196" t="str">
        <f t="shared" si="247"/>
        <v>Maximo Thermo Clear Radiata Nickel Gap OPX 1x5 Long</v>
      </c>
    </row>
    <row r="3197" spans="1:20" x14ac:dyDescent="0.25">
      <c r="A3197" t="s">
        <v>3950</v>
      </c>
      <c r="B3197" t="s">
        <v>3951</v>
      </c>
      <c r="C3197" t="s">
        <v>283</v>
      </c>
      <c r="D3197" t="s">
        <v>3044</v>
      </c>
      <c r="E3197" t="s">
        <v>3958</v>
      </c>
      <c r="F3197" t="s">
        <v>3953</v>
      </c>
      <c r="G3197" t="s">
        <v>3954</v>
      </c>
      <c r="H3197" t="s">
        <v>3955</v>
      </c>
      <c r="I3197" t="s">
        <v>3956</v>
      </c>
      <c r="J3197" t="s">
        <v>3957</v>
      </c>
      <c r="K3197">
        <v>11</v>
      </c>
      <c r="L3197" s="6">
        <v>3.3</v>
      </c>
      <c r="M3197" s="7">
        <v>19</v>
      </c>
      <c r="N3197" s="7">
        <v>115</v>
      </c>
      <c r="O3197" s="7">
        <f t="shared" si="248"/>
        <v>129.92125984251967</v>
      </c>
      <c r="P3197" s="7">
        <f t="shared" si="249"/>
        <v>0.74803149606299213</v>
      </c>
      <c r="Q3197" s="7">
        <f t="shared" si="249"/>
        <v>4.5275590551181102</v>
      </c>
      <c r="R3197" s="6">
        <f t="shared" si="250"/>
        <v>1501.529</v>
      </c>
      <c r="S3197" s="6">
        <f t="shared" si="251"/>
        <v>7.210499999999999E-3</v>
      </c>
      <c r="T3197" t="str">
        <f t="shared" si="247"/>
        <v>Maximo Thermo Clear Radiata Nickel Gap OPX 1x5 Long</v>
      </c>
    </row>
    <row r="3198" spans="1:20" x14ac:dyDescent="0.25">
      <c r="A3198" t="s">
        <v>3950</v>
      </c>
      <c r="B3198" t="s">
        <v>3951</v>
      </c>
      <c r="C3198" t="s">
        <v>283</v>
      </c>
      <c r="D3198" t="s">
        <v>3044</v>
      </c>
      <c r="E3198" t="s">
        <v>3959</v>
      </c>
      <c r="F3198" t="s">
        <v>3953</v>
      </c>
      <c r="G3198" t="s">
        <v>3954</v>
      </c>
      <c r="H3198" t="s">
        <v>3955</v>
      </c>
      <c r="I3198" t="s">
        <v>3956</v>
      </c>
      <c r="J3198" t="s">
        <v>3957</v>
      </c>
      <c r="K3198">
        <v>12</v>
      </c>
      <c r="L3198" s="6">
        <v>3.6</v>
      </c>
      <c r="M3198" s="7">
        <v>19</v>
      </c>
      <c r="N3198" s="7">
        <v>115</v>
      </c>
      <c r="O3198" s="7">
        <f t="shared" si="248"/>
        <v>141.73228346456693</v>
      </c>
      <c r="P3198" s="7">
        <f t="shared" si="249"/>
        <v>0.74803149606299213</v>
      </c>
      <c r="Q3198" s="7">
        <f t="shared" si="249"/>
        <v>4.5275590551181102</v>
      </c>
      <c r="R3198" s="6">
        <f t="shared" si="250"/>
        <v>1501.529</v>
      </c>
      <c r="S3198" s="6">
        <f t="shared" si="251"/>
        <v>7.8659999999999997E-3</v>
      </c>
      <c r="T3198" t="str">
        <f t="shared" si="247"/>
        <v>Maximo Thermo Clear Radiata Nickel Gap OPX 1x5 Long</v>
      </c>
    </row>
    <row r="3199" spans="1:20" x14ac:dyDescent="0.25">
      <c r="A3199" t="s">
        <v>3950</v>
      </c>
      <c r="B3199" t="s">
        <v>3951</v>
      </c>
      <c r="C3199" t="s">
        <v>283</v>
      </c>
      <c r="D3199" t="s">
        <v>3044</v>
      </c>
      <c r="E3199" t="s">
        <v>3960</v>
      </c>
      <c r="F3199" t="s">
        <v>3953</v>
      </c>
      <c r="G3199" t="s">
        <v>3954</v>
      </c>
      <c r="H3199" t="s">
        <v>3955</v>
      </c>
      <c r="I3199" t="s">
        <v>3956</v>
      </c>
      <c r="J3199" t="s">
        <v>3957</v>
      </c>
      <c r="K3199">
        <v>13</v>
      </c>
      <c r="L3199" s="6">
        <v>3.9</v>
      </c>
      <c r="M3199" s="7">
        <v>19</v>
      </c>
      <c r="N3199" s="7">
        <v>115</v>
      </c>
      <c r="O3199" s="7">
        <f t="shared" si="248"/>
        <v>153.54330708661416</v>
      </c>
      <c r="P3199" s="7">
        <f t="shared" si="249"/>
        <v>0.74803149606299213</v>
      </c>
      <c r="Q3199" s="7">
        <f t="shared" si="249"/>
        <v>4.5275590551181102</v>
      </c>
      <c r="R3199" s="6">
        <f t="shared" si="250"/>
        <v>1501.529</v>
      </c>
      <c r="S3199" s="6">
        <f t="shared" si="251"/>
        <v>8.5214999999999996E-3</v>
      </c>
      <c r="T3199" t="str">
        <f t="shared" si="247"/>
        <v>Maximo Thermo Clear Radiata Nickel Gap OPX 1x5 Long</v>
      </c>
    </row>
    <row r="3200" spans="1:20" x14ac:dyDescent="0.25">
      <c r="A3200" t="s">
        <v>3950</v>
      </c>
      <c r="B3200" t="s">
        <v>3951</v>
      </c>
      <c r="C3200" t="s">
        <v>283</v>
      </c>
      <c r="D3200" t="s">
        <v>3044</v>
      </c>
      <c r="E3200" t="s">
        <v>3961</v>
      </c>
      <c r="F3200" t="s">
        <v>3953</v>
      </c>
      <c r="G3200" t="s">
        <v>3954</v>
      </c>
      <c r="H3200" t="s">
        <v>3955</v>
      </c>
      <c r="I3200" t="s">
        <v>3956</v>
      </c>
      <c r="J3200" t="s">
        <v>3957</v>
      </c>
      <c r="K3200">
        <v>14</v>
      </c>
      <c r="L3200" s="6">
        <v>4.2</v>
      </c>
      <c r="M3200" s="7">
        <v>19</v>
      </c>
      <c r="N3200" s="7">
        <v>115</v>
      </c>
      <c r="O3200" s="7">
        <f t="shared" si="248"/>
        <v>165.35433070866142</v>
      </c>
      <c r="P3200" s="7">
        <f t="shared" si="249"/>
        <v>0.74803149606299213</v>
      </c>
      <c r="Q3200" s="7">
        <f t="shared" si="249"/>
        <v>4.5275590551181102</v>
      </c>
      <c r="R3200" s="6">
        <f t="shared" si="250"/>
        <v>1501.529</v>
      </c>
      <c r="S3200" s="6">
        <f t="shared" si="251"/>
        <v>9.1769999999999994E-3</v>
      </c>
      <c r="T3200" t="str">
        <f t="shared" si="247"/>
        <v>Maximo Thermo Clear Radiata Nickel Gap OPX 1x5 Long</v>
      </c>
    </row>
    <row r="3201" spans="1:20" x14ac:dyDescent="0.25">
      <c r="A3201" t="s">
        <v>3950</v>
      </c>
      <c r="B3201" t="s">
        <v>3951</v>
      </c>
      <c r="C3201" t="s">
        <v>283</v>
      </c>
      <c r="D3201" t="s">
        <v>3044</v>
      </c>
      <c r="E3201" t="s">
        <v>3962</v>
      </c>
      <c r="F3201" t="s">
        <v>3953</v>
      </c>
      <c r="G3201" t="s">
        <v>3954</v>
      </c>
      <c r="H3201" t="s">
        <v>3955</v>
      </c>
      <c r="I3201" t="s">
        <v>3956</v>
      </c>
      <c r="J3201" t="s">
        <v>3957</v>
      </c>
      <c r="K3201">
        <v>15</v>
      </c>
      <c r="L3201" s="6">
        <v>4.5</v>
      </c>
      <c r="M3201" s="7">
        <v>19</v>
      </c>
      <c r="N3201" s="7">
        <v>115</v>
      </c>
      <c r="O3201" s="7">
        <f t="shared" si="248"/>
        <v>177.16535433070868</v>
      </c>
      <c r="P3201" s="7">
        <f t="shared" si="249"/>
        <v>0.74803149606299213</v>
      </c>
      <c r="Q3201" s="7">
        <f t="shared" si="249"/>
        <v>4.5275590551181102</v>
      </c>
      <c r="R3201" s="6">
        <f t="shared" si="250"/>
        <v>1501.529</v>
      </c>
      <c r="S3201" s="6">
        <f t="shared" si="251"/>
        <v>9.832500000000001E-3</v>
      </c>
      <c r="T3201" t="str">
        <f t="shared" si="247"/>
        <v>Maximo Thermo Clear Radiata Nickel Gap OPX 1x5 Long</v>
      </c>
    </row>
    <row r="3202" spans="1:20" x14ac:dyDescent="0.25">
      <c r="A3202" t="s">
        <v>3950</v>
      </c>
      <c r="B3202" t="s">
        <v>3951</v>
      </c>
      <c r="C3202" t="s">
        <v>283</v>
      </c>
      <c r="D3202" t="s">
        <v>3044</v>
      </c>
      <c r="E3202" t="s">
        <v>3963</v>
      </c>
      <c r="F3202" t="s">
        <v>3953</v>
      </c>
      <c r="G3202" t="s">
        <v>3954</v>
      </c>
      <c r="H3202" t="s">
        <v>3955</v>
      </c>
      <c r="I3202" t="s">
        <v>3956</v>
      </c>
      <c r="J3202" t="s">
        <v>3957</v>
      </c>
      <c r="K3202">
        <v>16</v>
      </c>
      <c r="L3202" s="6">
        <v>4.8</v>
      </c>
      <c r="M3202" s="7">
        <v>19</v>
      </c>
      <c r="N3202" s="7">
        <v>115</v>
      </c>
      <c r="O3202" s="7">
        <f t="shared" si="248"/>
        <v>188.97637795275591</v>
      </c>
      <c r="P3202" s="7">
        <f t="shared" si="249"/>
        <v>0.74803149606299213</v>
      </c>
      <c r="Q3202" s="7">
        <f t="shared" si="249"/>
        <v>4.5275590551181102</v>
      </c>
      <c r="R3202" s="6">
        <f t="shared" si="250"/>
        <v>1501.529</v>
      </c>
      <c r="S3202" s="6">
        <f t="shared" si="251"/>
        <v>1.0487999999999999E-2</v>
      </c>
      <c r="T3202" t="str">
        <f t="shared" ref="T3202:T3265" si="252">F3202&amp;" "&amp;C3202</f>
        <v>Maximo Thermo Clear Radiata Nickel Gap OPX 1x5 Long</v>
      </c>
    </row>
    <row r="3203" spans="1:20" x14ac:dyDescent="0.25">
      <c r="A3203" t="s">
        <v>3950</v>
      </c>
      <c r="B3203" t="s">
        <v>3951</v>
      </c>
      <c r="C3203" t="s">
        <v>283</v>
      </c>
      <c r="D3203" t="s">
        <v>3044</v>
      </c>
      <c r="E3203" t="s">
        <v>3964</v>
      </c>
      <c r="F3203" t="s">
        <v>3953</v>
      </c>
      <c r="G3203" t="s">
        <v>3954</v>
      </c>
      <c r="H3203" t="s">
        <v>3955</v>
      </c>
      <c r="I3203" t="s">
        <v>3956</v>
      </c>
      <c r="J3203" t="s">
        <v>3957</v>
      </c>
      <c r="K3203">
        <v>17</v>
      </c>
      <c r="L3203" s="6">
        <v>5.0999999999999996</v>
      </c>
      <c r="M3203" s="7">
        <v>19</v>
      </c>
      <c r="N3203" s="7">
        <v>115</v>
      </c>
      <c r="O3203" s="7">
        <f t="shared" si="248"/>
        <v>200.78740157480314</v>
      </c>
      <c r="P3203" s="7">
        <f t="shared" si="249"/>
        <v>0.74803149606299213</v>
      </c>
      <c r="Q3203" s="7">
        <f t="shared" si="249"/>
        <v>4.5275590551181102</v>
      </c>
      <c r="R3203" s="6">
        <f t="shared" si="250"/>
        <v>1501.529</v>
      </c>
      <c r="S3203" s="6">
        <f t="shared" si="251"/>
        <v>1.1143499999999997E-2</v>
      </c>
      <c r="T3203" t="str">
        <f t="shared" si="252"/>
        <v>Maximo Thermo Clear Radiata Nickel Gap OPX 1x5 Long</v>
      </c>
    </row>
    <row r="3204" spans="1:20" x14ac:dyDescent="0.25">
      <c r="A3204" t="s">
        <v>3950</v>
      </c>
      <c r="B3204" t="s">
        <v>3951</v>
      </c>
      <c r="C3204" t="s">
        <v>283</v>
      </c>
      <c r="D3204" t="s">
        <v>3044</v>
      </c>
      <c r="E3204" t="s">
        <v>3965</v>
      </c>
      <c r="F3204" t="s">
        <v>3953</v>
      </c>
      <c r="G3204" t="s">
        <v>3954</v>
      </c>
      <c r="H3204" t="s">
        <v>3955</v>
      </c>
      <c r="I3204" t="s">
        <v>3956</v>
      </c>
      <c r="J3204" t="s">
        <v>3957</v>
      </c>
      <c r="K3204">
        <v>18</v>
      </c>
      <c r="L3204" s="6">
        <v>5.4</v>
      </c>
      <c r="M3204" s="7">
        <v>19</v>
      </c>
      <c r="N3204" s="7">
        <v>115</v>
      </c>
      <c r="O3204" s="7">
        <f t="shared" si="248"/>
        <v>212.59842519685043</v>
      </c>
      <c r="P3204" s="7">
        <f t="shared" si="249"/>
        <v>0.74803149606299213</v>
      </c>
      <c r="Q3204" s="7">
        <f t="shared" si="249"/>
        <v>4.5275590551181102</v>
      </c>
      <c r="R3204" s="6">
        <f t="shared" si="250"/>
        <v>1501.529</v>
      </c>
      <c r="S3204" s="6">
        <f t="shared" si="251"/>
        <v>1.1799E-2</v>
      </c>
      <c r="T3204" t="str">
        <f t="shared" si="252"/>
        <v>Maximo Thermo Clear Radiata Nickel Gap OPX 1x5 Long</v>
      </c>
    </row>
    <row r="3205" spans="1:20" x14ac:dyDescent="0.25">
      <c r="A3205" t="s">
        <v>3950</v>
      </c>
      <c r="B3205" t="s">
        <v>3951</v>
      </c>
      <c r="C3205" t="s">
        <v>524</v>
      </c>
      <c r="D3205" t="s">
        <v>3044</v>
      </c>
      <c r="E3205" t="s">
        <v>3966</v>
      </c>
      <c r="F3205" t="s">
        <v>3953</v>
      </c>
      <c r="G3205" t="s">
        <v>3954</v>
      </c>
      <c r="H3205" t="s">
        <v>3955</v>
      </c>
      <c r="I3205" t="s">
        <v>3956</v>
      </c>
      <c r="J3205" t="s">
        <v>3957</v>
      </c>
      <c r="K3205">
        <v>4</v>
      </c>
      <c r="L3205" s="6">
        <v>1.2</v>
      </c>
      <c r="M3205" s="7">
        <v>19</v>
      </c>
      <c r="N3205" s="7">
        <v>115</v>
      </c>
      <c r="O3205" s="7">
        <f t="shared" si="248"/>
        <v>47.244094488188978</v>
      </c>
      <c r="P3205" s="7">
        <f t="shared" si="249"/>
        <v>0.74803149606299213</v>
      </c>
      <c r="Q3205" s="7">
        <f t="shared" si="249"/>
        <v>4.5275590551181102</v>
      </c>
      <c r="R3205" s="6">
        <f t="shared" si="250"/>
        <v>1501.529</v>
      </c>
      <c r="S3205" s="6">
        <f t="shared" si="251"/>
        <v>2.6219999999999998E-3</v>
      </c>
      <c r="T3205" t="str">
        <f t="shared" si="252"/>
        <v>Maximo Thermo Clear Radiata Nickel Gap OPX 1x5 Short</v>
      </c>
    </row>
    <row r="3206" spans="1:20" x14ac:dyDescent="0.25">
      <c r="A3206" t="s">
        <v>3950</v>
      </c>
      <c r="B3206" t="s">
        <v>3951</v>
      </c>
      <c r="C3206" t="s">
        <v>524</v>
      </c>
      <c r="D3206" t="s">
        <v>3044</v>
      </c>
      <c r="E3206" t="s">
        <v>3967</v>
      </c>
      <c r="F3206" t="s">
        <v>3953</v>
      </c>
      <c r="G3206" t="s">
        <v>3954</v>
      </c>
      <c r="H3206" t="s">
        <v>3955</v>
      </c>
      <c r="I3206" t="s">
        <v>3956</v>
      </c>
      <c r="J3206" t="s">
        <v>3957</v>
      </c>
      <c r="K3206">
        <v>5</v>
      </c>
      <c r="L3206" s="6">
        <v>1.5</v>
      </c>
      <c r="M3206" s="7">
        <v>19</v>
      </c>
      <c r="N3206" s="7">
        <v>115</v>
      </c>
      <c r="O3206" s="7">
        <f t="shared" si="248"/>
        <v>59.055118110236222</v>
      </c>
      <c r="P3206" s="7">
        <f t="shared" si="249"/>
        <v>0.74803149606299213</v>
      </c>
      <c r="Q3206" s="7">
        <f t="shared" si="249"/>
        <v>4.5275590551181102</v>
      </c>
      <c r="R3206" s="6">
        <f t="shared" si="250"/>
        <v>1501.529</v>
      </c>
      <c r="S3206" s="6">
        <f t="shared" si="251"/>
        <v>3.2775000000000005E-3</v>
      </c>
      <c r="T3206" t="str">
        <f t="shared" si="252"/>
        <v>Maximo Thermo Clear Radiata Nickel Gap OPX 1x5 Short</v>
      </c>
    </row>
    <row r="3207" spans="1:20" x14ac:dyDescent="0.25">
      <c r="A3207" t="s">
        <v>3950</v>
      </c>
      <c r="B3207" t="s">
        <v>3951</v>
      </c>
      <c r="C3207" t="s">
        <v>524</v>
      </c>
      <c r="D3207" t="s">
        <v>3044</v>
      </c>
      <c r="E3207" t="s">
        <v>3968</v>
      </c>
      <c r="F3207" t="s">
        <v>3953</v>
      </c>
      <c r="G3207" t="s">
        <v>3954</v>
      </c>
      <c r="H3207" t="s">
        <v>3955</v>
      </c>
      <c r="I3207" t="s">
        <v>3956</v>
      </c>
      <c r="J3207" t="s">
        <v>3957</v>
      </c>
      <c r="K3207">
        <v>6</v>
      </c>
      <c r="L3207" s="6">
        <v>1.8</v>
      </c>
      <c r="M3207" s="7">
        <v>19</v>
      </c>
      <c r="N3207" s="7">
        <v>115</v>
      </c>
      <c r="O3207" s="7">
        <f t="shared" si="248"/>
        <v>70.866141732283467</v>
      </c>
      <c r="P3207" s="7">
        <f t="shared" si="249"/>
        <v>0.74803149606299213</v>
      </c>
      <c r="Q3207" s="7">
        <f t="shared" si="249"/>
        <v>4.5275590551181102</v>
      </c>
      <c r="R3207" s="6">
        <f t="shared" si="250"/>
        <v>1501.529</v>
      </c>
      <c r="S3207" s="6">
        <f t="shared" si="251"/>
        <v>3.9329999999999999E-3</v>
      </c>
      <c r="T3207" t="str">
        <f t="shared" si="252"/>
        <v>Maximo Thermo Clear Radiata Nickel Gap OPX 1x5 Short</v>
      </c>
    </row>
    <row r="3208" spans="1:20" x14ac:dyDescent="0.25">
      <c r="A3208" t="s">
        <v>3950</v>
      </c>
      <c r="B3208" t="s">
        <v>3951</v>
      </c>
      <c r="C3208" t="s">
        <v>524</v>
      </c>
      <c r="D3208" t="s">
        <v>3044</v>
      </c>
      <c r="E3208" t="s">
        <v>3969</v>
      </c>
      <c r="F3208" t="s">
        <v>3953</v>
      </c>
      <c r="G3208" t="s">
        <v>3954</v>
      </c>
      <c r="H3208" t="s">
        <v>3955</v>
      </c>
      <c r="I3208" t="s">
        <v>3956</v>
      </c>
      <c r="J3208" t="s">
        <v>3957</v>
      </c>
      <c r="K3208">
        <v>7</v>
      </c>
      <c r="L3208" s="6">
        <v>2.1</v>
      </c>
      <c r="M3208" s="7">
        <v>19</v>
      </c>
      <c r="N3208" s="7">
        <v>115</v>
      </c>
      <c r="O3208" s="7">
        <f t="shared" si="248"/>
        <v>82.677165354330711</v>
      </c>
      <c r="P3208" s="7">
        <f t="shared" si="249"/>
        <v>0.74803149606299213</v>
      </c>
      <c r="Q3208" s="7">
        <f t="shared" si="249"/>
        <v>4.5275590551181102</v>
      </c>
      <c r="R3208" s="6">
        <f t="shared" si="250"/>
        <v>1501.529</v>
      </c>
      <c r="S3208" s="6">
        <f t="shared" si="251"/>
        <v>4.5884999999999997E-3</v>
      </c>
      <c r="T3208" t="str">
        <f t="shared" si="252"/>
        <v>Maximo Thermo Clear Radiata Nickel Gap OPX 1x5 Short</v>
      </c>
    </row>
    <row r="3209" spans="1:20" x14ac:dyDescent="0.25">
      <c r="A3209" t="s">
        <v>3950</v>
      </c>
      <c r="B3209" t="s">
        <v>3951</v>
      </c>
      <c r="C3209" t="s">
        <v>283</v>
      </c>
      <c r="D3209" t="s">
        <v>3044</v>
      </c>
      <c r="E3209" t="s">
        <v>3970</v>
      </c>
      <c r="F3209" t="s">
        <v>3953</v>
      </c>
      <c r="G3209" t="s">
        <v>3954</v>
      </c>
      <c r="H3209" t="s">
        <v>3955</v>
      </c>
      <c r="I3209" t="s">
        <v>3956</v>
      </c>
      <c r="J3209" t="s">
        <v>3957</v>
      </c>
      <c r="K3209">
        <v>8</v>
      </c>
      <c r="L3209" s="6">
        <v>2.4</v>
      </c>
      <c r="M3209" s="7">
        <v>19</v>
      </c>
      <c r="N3209" s="7">
        <v>115</v>
      </c>
      <c r="O3209" s="7">
        <f t="shared" si="248"/>
        <v>94.488188976377955</v>
      </c>
      <c r="P3209" s="7">
        <f t="shared" si="249"/>
        <v>0.74803149606299213</v>
      </c>
      <c r="Q3209" s="7">
        <f t="shared" si="249"/>
        <v>4.5275590551181102</v>
      </c>
      <c r="R3209" s="6">
        <f t="shared" si="250"/>
        <v>1501.529</v>
      </c>
      <c r="S3209" s="6">
        <f t="shared" si="251"/>
        <v>5.2439999999999995E-3</v>
      </c>
      <c r="T3209" t="str">
        <f t="shared" si="252"/>
        <v>Maximo Thermo Clear Radiata Nickel Gap OPX 1x5 Long</v>
      </c>
    </row>
    <row r="3210" spans="1:20" x14ac:dyDescent="0.25">
      <c r="A3210" t="s">
        <v>3950</v>
      </c>
      <c r="B3210" t="s">
        <v>3951</v>
      </c>
      <c r="C3210" t="s">
        <v>283</v>
      </c>
      <c r="D3210" t="s">
        <v>3044</v>
      </c>
      <c r="E3210" t="s">
        <v>3971</v>
      </c>
      <c r="F3210" t="s">
        <v>3953</v>
      </c>
      <c r="G3210" t="s">
        <v>3954</v>
      </c>
      <c r="H3210" t="s">
        <v>3955</v>
      </c>
      <c r="I3210" t="s">
        <v>3956</v>
      </c>
      <c r="J3210" t="s">
        <v>3957</v>
      </c>
      <c r="K3210">
        <v>9</v>
      </c>
      <c r="L3210" s="6">
        <v>2.7</v>
      </c>
      <c r="M3210" s="7">
        <v>19</v>
      </c>
      <c r="N3210" s="7">
        <v>115</v>
      </c>
      <c r="O3210" s="7">
        <f t="shared" si="248"/>
        <v>106.29921259842521</v>
      </c>
      <c r="P3210" s="7">
        <f t="shared" si="249"/>
        <v>0.74803149606299213</v>
      </c>
      <c r="Q3210" s="7">
        <f t="shared" si="249"/>
        <v>4.5275590551181102</v>
      </c>
      <c r="R3210" s="6">
        <f t="shared" si="250"/>
        <v>1501.529</v>
      </c>
      <c r="S3210" s="6">
        <f t="shared" si="251"/>
        <v>5.8995000000000002E-3</v>
      </c>
      <c r="T3210" t="str">
        <f t="shared" si="252"/>
        <v>Maximo Thermo Clear Radiata Nickel Gap OPX 1x5 Long</v>
      </c>
    </row>
    <row r="3211" spans="1:20" x14ac:dyDescent="0.25">
      <c r="A3211" t="s">
        <v>3950</v>
      </c>
      <c r="B3211" t="s">
        <v>3972</v>
      </c>
      <c r="C3211" t="s">
        <v>283</v>
      </c>
      <c r="D3211" t="s">
        <v>3044</v>
      </c>
      <c r="E3211" t="s">
        <v>44</v>
      </c>
      <c r="F3211" t="s">
        <v>3973</v>
      </c>
      <c r="G3211" t="s">
        <v>3954</v>
      </c>
      <c r="H3211" t="s">
        <v>3955</v>
      </c>
      <c r="I3211" t="s">
        <v>3956</v>
      </c>
      <c r="J3211" t="s">
        <v>344</v>
      </c>
      <c r="K3211">
        <v>10</v>
      </c>
      <c r="L3211" s="6">
        <v>3</v>
      </c>
      <c r="M3211" s="7">
        <v>19</v>
      </c>
      <c r="N3211" s="7">
        <v>138</v>
      </c>
      <c r="O3211" s="7">
        <f t="shared" si="248"/>
        <v>118.11023622047244</v>
      </c>
      <c r="P3211" s="7">
        <f t="shared" si="249"/>
        <v>0.74803149606299213</v>
      </c>
      <c r="Q3211" s="7">
        <f t="shared" si="249"/>
        <v>5.4330708661417324</v>
      </c>
      <c r="R3211" s="6">
        <f t="shared" si="250"/>
        <v>1251.2739999999999</v>
      </c>
      <c r="S3211" s="6">
        <f t="shared" si="251"/>
        <v>7.8659999999999997E-3</v>
      </c>
      <c r="T3211" t="str">
        <f t="shared" si="252"/>
        <v>Maximo Thermo Clear Radiata Nickel Gap OPX 1x6 Long</v>
      </c>
    </row>
    <row r="3212" spans="1:20" x14ac:dyDescent="0.25">
      <c r="A3212" t="s">
        <v>3950</v>
      </c>
      <c r="B3212" t="s">
        <v>3972</v>
      </c>
      <c r="C3212" t="s">
        <v>283</v>
      </c>
      <c r="D3212" t="s">
        <v>3044</v>
      </c>
      <c r="E3212" t="s">
        <v>51</v>
      </c>
      <c r="F3212" t="s">
        <v>3973</v>
      </c>
      <c r="G3212" t="s">
        <v>3954</v>
      </c>
      <c r="H3212" t="s">
        <v>3955</v>
      </c>
      <c r="I3212" t="s">
        <v>3956</v>
      </c>
      <c r="J3212" t="s">
        <v>344</v>
      </c>
      <c r="K3212">
        <v>11</v>
      </c>
      <c r="L3212" s="6">
        <v>3.3</v>
      </c>
      <c r="M3212" s="7">
        <v>19</v>
      </c>
      <c r="N3212" s="7">
        <v>138</v>
      </c>
      <c r="O3212" s="7">
        <f t="shared" si="248"/>
        <v>129.92125984251967</v>
      </c>
      <c r="P3212" s="7">
        <f t="shared" si="249"/>
        <v>0.74803149606299213</v>
      </c>
      <c r="Q3212" s="7">
        <f t="shared" si="249"/>
        <v>5.4330708661417324</v>
      </c>
      <c r="R3212" s="6">
        <f t="shared" si="250"/>
        <v>1251.2739999999999</v>
      </c>
      <c r="S3212" s="6">
        <f t="shared" si="251"/>
        <v>8.6525999999999999E-3</v>
      </c>
      <c r="T3212" t="str">
        <f t="shared" si="252"/>
        <v>Maximo Thermo Clear Radiata Nickel Gap OPX 1x6 Long</v>
      </c>
    </row>
    <row r="3213" spans="1:20" x14ac:dyDescent="0.25">
      <c r="A3213" t="s">
        <v>3950</v>
      </c>
      <c r="B3213" t="s">
        <v>3972</v>
      </c>
      <c r="C3213" t="s">
        <v>283</v>
      </c>
      <c r="D3213" t="s">
        <v>3044</v>
      </c>
      <c r="E3213" t="s">
        <v>46</v>
      </c>
      <c r="F3213" t="s">
        <v>3973</v>
      </c>
      <c r="G3213" t="s">
        <v>3954</v>
      </c>
      <c r="H3213" t="s">
        <v>3955</v>
      </c>
      <c r="I3213" t="s">
        <v>3956</v>
      </c>
      <c r="J3213" t="s">
        <v>344</v>
      </c>
      <c r="K3213">
        <v>12</v>
      </c>
      <c r="L3213" s="6">
        <v>3.6</v>
      </c>
      <c r="M3213" s="7">
        <v>19</v>
      </c>
      <c r="N3213" s="7">
        <v>138</v>
      </c>
      <c r="O3213" s="7">
        <f t="shared" si="248"/>
        <v>141.73228346456693</v>
      </c>
      <c r="P3213" s="7">
        <f t="shared" si="249"/>
        <v>0.74803149606299213</v>
      </c>
      <c r="Q3213" s="7">
        <f t="shared" si="249"/>
        <v>5.4330708661417324</v>
      </c>
      <c r="R3213" s="6">
        <f t="shared" si="250"/>
        <v>1251.2739999999999</v>
      </c>
      <c r="S3213" s="6">
        <f t="shared" si="251"/>
        <v>9.4392E-3</v>
      </c>
      <c r="T3213" t="str">
        <f t="shared" si="252"/>
        <v>Maximo Thermo Clear Radiata Nickel Gap OPX 1x6 Long</v>
      </c>
    </row>
    <row r="3214" spans="1:20" x14ac:dyDescent="0.25">
      <c r="A3214" t="s">
        <v>3950</v>
      </c>
      <c r="B3214" t="s">
        <v>3972</v>
      </c>
      <c r="C3214" t="s">
        <v>283</v>
      </c>
      <c r="D3214" t="s">
        <v>3044</v>
      </c>
      <c r="E3214" t="s">
        <v>47</v>
      </c>
      <c r="F3214" t="s">
        <v>3973</v>
      </c>
      <c r="G3214" t="s">
        <v>3954</v>
      </c>
      <c r="H3214" t="s">
        <v>3955</v>
      </c>
      <c r="I3214" t="s">
        <v>3956</v>
      </c>
      <c r="J3214" t="s">
        <v>344</v>
      </c>
      <c r="K3214">
        <v>13</v>
      </c>
      <c r="L3214" s="6">
        <v>3.9</v>
      </c>
      <c r="M3214" s="7">
        <v>19</v>
      </c>
      <c r="N3214" s="7">
        <v>138</v>
      </c>
      <c r="O3214" s="7">
        <f t="shared" si="248"/>
        <v>153.54330708661416</v>
      </c>
      <c r="P3214" s="7">
        <f t="shared" si="249"/>
        <v>0.74803149606299213</v>
      </c>
      <c r="Q3214" s="7">
        <f t="shared" si="249"/>
        <v>5.4330708661417324</v>
      </c>
      <c r="R3214" s="6">
        <f t="shared" si="250"/>
        <v>1251.2739999999999</v>
      </c>
      <c r="S3214" s="6">
        <f t="shared" si="251"/>
        <v>1.02258E-2</v>
      </c>
      <c r="T3214" t="str">
        <f t="shared" si="252"/>
        <v>Maximo Thermo Clear Radiata Nickel Gap OPX 1x6 Long</v>
      </c>
    </row>
    <row r="3215" spans="1:20" x14ac:dyDescent="0.25">
      <c r="A3215" t="s">
        <v>3950</v>
      </c>
      <c r="B3215" t="s">
        <v>3972</v>
      </c>
      <c r="C3215" t="s">
        <v>283</v>
      </c>
      <c r="D3215" t="s">
        <v>3044</v>
      </c>
      <c r="E3215" t="s">
        <v>119</v>
      </c>
      <c r="F3215" t="s">
        <v>3973</v>
      </c>
      <c r="G3215" t="s">
        <v>3954</v>
      </c>
      <c r="H3215" t="s">
        <v>3955</v>
      </c>
      <c r="I3215" t="s">
        <v>3956</v>
      </c>
      <c r="J3215" t="s">
        <v>344</v>
      </c>
      <c r="K3215">
        <v>14</v>
      </c>
      <c r="L3215" s="6">
        <v>4.2</v>
      </c>
      <c r="M3215" s="7">
        <v>19</v>
      </c>
      <c r="N3215" s="7">
        <v>138</v>
      </c>
      <c r="O3215" s="7">
        <f t="shared" si="248"/>
        <v>165.35433070866142</v>
      </c>
      <c r="P3215" s="7">
        <f t="shared" si="249"/>
        <v>0.74803149606299213</v>
      </c>
      <c r="Q3215" s="7">
        <f t="shared" si="249"/>
        <v>5.4330708661417324</v>
      </c>
      <c r="R3215" s="6">
        <f t="shared" si="250"/>
        <v>1251.2739999999999</v>
      </c>
      <c r="S3215" s="6">
        <f t="shared" si="251"/>
        <v>1.10124E-2</v>
      </c>
      <c r="T3215" t="str">
        <f t="shared" si="252"/>
        <v>Maximo Thermo Clear Radiata Nickel Gap OPX 1x6 Long</v>
      </c>
    </row>
    <row r="3216" spans="1:20" x14ac:dyDescent="0.25">
      <c r="A3216" t="s">
        <v>3950</v>
      </c>
      <c r="B3216" t="s">
        <v>3972</v>
      </c>
      <c r="C3216" t="s">
        <v>283</v>
      </c>
      <c r="D3216" t="s">
        <v>3044</v>
      </c>
      <c r="E3216" t="s">
        <v>209</v>
      </c>
      <c r="F3216" t="s">
        <v>3973</v>
      </c>
      <c r="G3216" t="s">
        <v>3954</v>
      </c>
      <c r="H3216" t="s">
        <v>3955</v>
      </c>
      <c r="I3216" t="s">
        <v>3956</v>
      </c>
      <c r="J3216" t="s">
        <v>344</v>
      </c>
      <c r="K3216">
        <v>15</v>
      </c>
      <c r="L3216" s="6">
        <v>4.5</v>
      </c>
      <c r="M3216" s="7">
        <v>19</v>
      </c>
      <c r="N3216" s="7">
        <v>138</v>
      </c>
      <c r="O3216" s="7">
        <f t="shared" si="248"/>
        <v>177.16535433070868</v>
      </c>
      <c r="P3216" s="7">
        <f t="shared" si="249"/>
        <v>0.74803149606299213</v>
      </c>
      <c r="Q3216" s="7">
        <f t="shared" si="249"/>
        <v>5.4330708661417324</v>
      </c>
      <c r="R3216" s="6">
        <f t="shared" si="250"/>
        <v>1251.2739999999999</v>
      </c>
      <c r="S3216" s="6">
        <f t="shared" si="251"/>
        <v>1.1799E-2</v>
      </c>
      <c r="T3216" t="str">
        <f t="shared" si="252"/>
        <v>Maximo Thermo Clear Radiata Nickel Gap OPX 1x6 Long</v>
      </c>
    </row>
    <row r="3217" spans="1:20" x14ac:dyDescent="0.25">
      <c r="A3217" t="s">
        <v>3950</v>
      </c>
      <c r="B3217" t="s">
        <v>3972</v>
      </c>
      <c r="C3217" t="s">
        <v>283</v>
      </c>
      <c r="D3217" t="s">
        <v>3044</v>
      </c>
      <c r="E3217" t="s">
        <v>45</v>
      </c>
      <c r="F3217" t="s">
        <v>3973</v>
      </c>
      <c r="G3217" t="s">
        <v>3954</v>
      </c>
      <c r="H3217" t="s">
        <v>3955</v>
      </c>
      <c r="I3217" t="s">
        <v>3956</v>
      </c>
      <c r="J3217" t="s">
        <v>344</v>
      </c>
      <c r="K3217">
        <v>16</v>
      </c>
      <c r="L3217" s="6">
        <v>4.8</v>
      </c>
      <c r="M3217" s="7">
        <v>19</v>
      </c>
      <c r="N3217" s="7">
        <v>138</v>
      </c>
      <c r="O3217" s="7">
        <f t="shared" si="248"/>
        <v>188.97637795275591</v>
      </c>
      <c r="P3217" s="7">
        <f t="shared" si="249"/>
        <v>0.74803149606299213</v>
      </c>
      <c r="Q3217" s="7">
        <f t="shared" si="249"/>
        <v>5.4330708661417324</v>
      </c>
      <c r="R3217" s="6">
        <f t="shared" si="250"/>
        <v>1251.2739999999999</v>
      </c>
      <c r="S3217" s="6">
        <f t="shared" si="251"/>
        <v>1.2585600000000001E-2</v>
      </c>
      <c r="T3217" t="str">
        <f t="shared" si="252"/>
        <v>Maximo Thermo Clear Radiata Nickel Gap OPX 1x6 Long</v>
      </c>
    </row>
    <row r="3218" spans="1:20" x14ac:dyDescent="0.25">
      <c r="A3218" t="s">
        <v>3950</v>
      </c>
      <c r="B3218" t="s">
        <v>3972</v>
      </c>
      <c r="C3218" t="s">
        <v>283</v>
      </c>
      <c r="D3218" t="s">
        <v>3044</v>
      </c>
      <c r="E3218" t="s">
        <v>3974</v>
      </c>
      <c r="F3218" t="s">
        <v>3973</v>
      </c>
      <c r="G3218" t="s">
        <v>3954</v>
      </c>
      <c r="H3218" t="s">
        <v>3955</v>
      </c>
      <c r="I3218" t="s">
        <v>3956</v>
      </c>
      <c r="J3218" t="s">
        <v>344</v>
      </c>
      <c r="K3218">
        <v>17</v>
      </c>
      <c r="L3218" s="6">
        <v>5.0999999999999996</v>
      </c>
      <c r="M3218" s="7">
        <v>19</v>
      </c>
      <c r="N3218" s="7">
        <v>138</v>
      </c>
      <c r="O3218" s="7">
        <f t="shared" si="248"/>
        <v>200.78740157480314</v>
      </c>
      <c r="P3218" s="7">
        <f t="shared" si="249"/>
        <v>0.74803149606299213</v>
      </c>
      <c r="Q3218" s="7">
        <f t="shared" si="249"/>
        <v>5.4330708661417324</v>
      </c>
      <c r="R3218" s="6">
        <f t="shared" si="250"/>
        <v>1251.2739999999999</v>
      </c>
      <c r="S3218" s="6">
        <f t="shared" si="251"/>
        <v>1.3372199999999997E-2</v>
      </c>
      <c r="T3218" t="str">
        <f t="shared" si="252"/>
        <v>Maximo Thermo Clear Radiata Nickel Gap OPX 1x6 Long</v>
      </c>
    </row>
    <row r="3219" spans="1:20" x14ac:dyDescent="0.25">
      <c r="A3219" t="s">
        <v>3950</v>
      </c>
      <c r="B3219" t="s">
        <v>3972</v>
      </c>
      <c r="C3219" t="s">
        <v>283</v>
      </c>
      <c r="D3219" t="s">
        <v>3044</v>
      </c>
      <c r="E3219" t="s">
        <v>120</v>
      </c>
      <c r="F3219" t="s">
        <v>3973</v>
      </c>
      <c r="G3219" t="s">
        <v>3954</v>
      </c>
      <c r="H3219" t="s">
        <v>3955</v>
      </c>
      <c r="I3219" t="s">
        <v>3956</v>
      </c>
      <c r="J3219" t="s">
        <v>344</v>
      </c>
      <c r="K3219">
        <v>18</v>
      </c>
      <c r="L3219" s="6">
        <v>5.4</v>
      </c>
      <c r="M3219" s="7">
        <v>19</v>
      </c>
      <c r="N3219" s="7">
        <v>138</v>
      </c>
      <c r="O3219" s="7">
        <f t="shared" si="248"/>
        <v>212.59842519685043</v>
      </c>
      <c r="P3219" s="7">
        <f t="shared" si="249"/>
        <v>0.74803149606299213</v>
      </c>
      <c r="Q3219" s="7">
        <f t="shared" si="249"/>
        <v>5.4330708661417324</v>
      </c>
      <c r="R3219" s="6">
        <f t="shared" si="250"/>
        <v>1251.2739999999999</v>
      </c>
      <c r="S3219" s="6">
        <f t="shared" si="251"/>
        <v>1.4158800000000001E-2</v>
      </c>
      <c r="T3219" t="str">
        <f t="shared" si="252"/>
        <v>Maximo Thermo Clear Radiata Nickel Gap OPX 1x6 Long</v>
      </c>
    </row>
    <row r="3220" spans="1:20" x14ac:dyDescent="0.25">
      <c r="A3220" t="s">
        <v>3950</v>
      </c>
      <c r="B3220" t="s">
        <v>3972</v>
      </c>
      <c r="C3220" t="s">
        <v>524</v>
      </c>
      <c r="D3220" t="s">
        <v>3044</v>
      </c>
      <c r="E3220" t="s">
        <v>234</v>
      </c>
      <c r="F3220" t="s">
        <v>3973</v>
      </c>
      <c r="G3220" t="s">
        <v>3954</v>
      </c>
      <c r="H3220" t="s">
        <v>3955</v>
      </c>
      <c r="I3220" t="s">
        <v>3956</v>
      </c>
      <c r="J3220" t="s">
        <v>344</v>
      </c>
      <c r="K3220">
        <v>4</v>
      </c>
      <c r="L3220" s="6">
        <v>1.2</v>
      </c>
      <c r="M3220" s="7">
        <v>19</v>
      </c>
      <c r="N3220" s="7">
        <v>138</v>
      </c>
      <c r="O3220" s="7">
        <f t="shared" si="248"/>
        <v>47.244094488188978</v>
      </c>
      <c r="P3220" s="7">
        <f t="shared" si="249"/>
        <v>0.74803149606299213</v>
      </c>
      <c r="Q3220" s="7">
        <f t="shared" si="249"/>
        <v>5.4330708661417324</v>
      </c>
      <c r="R3220" s="6">
        <f t="shared" si="250"/>
        <v>1251.2739999999999</v>
      </c>
      <c r="S3220" s="6">
        <f t="shared" si="251"/>
        <v>3.1464000000000002E-3</v>
      </c>
      <c r="T3220" t="str">
        <f t="shared" si="252"/>
        <v>Maximo Thermo Clear Radiata Nickel Gap OPX 1x6 Short</v>
      </c>
    </row>
    <row r="3221" spans="1:20" x14ac:dyDescent="0.25">
      <c r="A3221" t="s">
        <v>3950</v>
      </c>
      <c r="B3221" t="s">
        <v>3972</v>
      </c>
      <c r="C3221" t="s">
        <v>524</v>
      </c>
      <c r="D3221" t="s">
        <v>3044</v>
      </c>
      <c r="E3221" t="s">
        <v>3975</v>
      </c>
      <c r="F3221" t="s">
        <v>3973</v>
      </c>
      <c r="G3221" t="s">
        <v>3954</v>
      </c>
      <c r="H3221" t="s">
        <v>3955</v>
      </c>
      <c r="I3221" t="s">
        <v>3956</v>
      </c>
      <c r="J3221" t="s">
        <v>344</v>
      </c>
      <c r="K3221">
        <v>5</v>
      </c>
      <c r="L3221" s="6">
        <v>1.5</v>
      </c>
      <c r="M3221" s="7">
        <v>19</v>
      </c>
      <c r="N3221" s="7">
        <v>138</v>
      </c>
      <c r="O3221" s="7">
        <f t="shared" si="248"/>
        <v>59.055118110236222</v>
      </c>
      <c r="P3221" s="7">
        <f t="shared" si="249"/>
        <v>0.74803149606299213</v>
      </c>
      <c r="Q3221" s="7">
        <f t="shared" si="249"/>
        <v>5.4330708661417324</v>
      </c>
      <c r="R3221" s="6">
        <f t="shared" si="250"/>
        <v>1251.2739999999999</v>
      </c>
      <c r="S3221" s="6">
        <f t="shared" si="251"/>
        <v>3.9329999999999999E-3</v>
      </c>
      <c r="T3221" t="str">
        <f t="shared" si="252"/>
        <v>Maximo Thermo Clear Radiata Nickel Gap OPX 1x6 Short</v>
      </c>
    </row>
    <row r="3222" spans="1:20" x14ac:dyDescent="0.25">
      <c r="A3222" t="s">
        <v>3950</v>
      </c>
      <c r="B3222" t="s">
        <v>3972</v>
      </c>
      <c r="C3222" t="s">
        <v>524</v>
      </c>
      <c r="D3222" t="s">
        <v>3044</v>
      </c>
      <c r="E3222" t="s">
        <v>3976</v>
      </c>
      <c r="F3222" t="s">
        <v>3973</v>
      </c>
      <c r="G3222" t="s">
        <v>3954</v>
      </c>
      <c r="H3222" t="s">
        <v>3955</v>
      </c>
      <c r="I3222" t="s">
        <v>3956</v>
      </c>
      <c r="J3222" t="s">
        <v>344</v>
      </c>
      <c r="K3222">
        <v>6</v>
      </c>
      <c r="L3222" s="6">
        <v>1.8</v>
      </c>
      <c r="M3222" s="7">
        <v>19</v>
      </c>
      <c r="N3222" s="7">
        <v>138</v>
      </c>
      <c r="O3222" s="7">
        <f t="shared" si="248"/>
        <v>70.866141732283467</v>
      </c>
      <c r="P3222" s="7">
        <f t="shared" si="249"/>
        <v>0.74803149606299213</v>
      </c>
      <c r="Q3222" s="7">
        <f t="shared" si="249"/>
        <v>5.4330708661417324</v>
      </c>
      <c r="R3222" s="6">
        <f t="shared" si="250"/>
        <v>1251.2739999999999</v>
      </c>
      <c r="S3222" s="6">
        <f t="shared" si="251"/>
        <v>4.7196E-3</v>
      </c>
      <c r="T3222" t="str">
        <f t="shared" si="252"/>
        <v>Maximo Thermo Clear Radiata Nickel Gap OPX 1x6 Short</v>
      </c>
    </row>
    <row r="3223" spans="1:20" x14ac:dyDescent="0.25">
      <c r="A3223" t="s">
        <v>3950</v>
      </c>
      <c r="B3223" t="s">
        <v>3972</v>
      </c>
      <c r="C3223" t="s">
        <v>524</v>
      </c>
      <c r="D3223" t="s">
        <v>3044</v>
      </c>
      <c r="E3223" t="s">
        <v>43</v>
      </c>
      <c r="F3223" t="s">
        <v>3973</v>
      </c>
      <c r="G3223" t="s">
        <v>3954</v>
      </c>
      <c r="H3223" t="s">
        <v>3955</v>
      </c>
      <c r="I3223" t="s">
        <v>3956</v>
      </c>
      <c r="J3223" t="s">
        <v>344</v>
      </c>
      <c r="K3223">
        <v>7</v>
      </c>
      <c r="L3223" s="6">
        <v>2.1</v>
      </c>
      <c r="M3223" s="7">
        <v>19</v>
      </c>
      <c r="N3223" s="7">
        <v>138</v>
      </c>
      <c r="O3223" s="7">
        <f t="shared" si="248"/>
        <v>82.677165354330711</v>
      </c>
      <c r="P3223" s="7">
        <f t="shared" si="249"/>
        <v>0.74803149606299213</v>
      </c>
      <c r="Q3223" s="7">
        <f t="shared" si="249"/>
        <v>5.4330708661417324</v>
      </c>
      <c r="R3223" s="6">
        <f t="shared" si="250"/>
        <v>1251.2739999999999</v>
      </c>
      <c r="S3223" s="6">
        <f t="shared" si="251"/>
        <v>5.5062000000000002E-3</v>
      </c>
      <c r="T3223" t="str">
        <f t="shared" si="252"/>
        <v>Maximo Thermo Clear Radiata Nickel Gap OPX 1x6 Short</v>
      </c>
    </row>
    <row r="3224" spans="1:20" x14ac:dyDescent="0.25">
      <c r="A3224" t="s">
        <v>3950</v>
      </c>
      <c r="B3224" t="s">
        <v>3972</v>
      </c>
      <c r="C3224" t="s">
        <v>283</v>
      </c>
      <c r="D3224" t="s">
        <v>3044</v>
      </c>
      <c r="E3224" t="s">
        <v>3977</v>
      </c>
      <c r="F3224" t="s">
        <v>3973</v>
      </c>
      <c r="G3224" t="s">
        <v>3954</v>
      </c>
      <c r="H3224" t="s">
        <v>3955</v>
      </c>
      <c r="I3224" t="s">
        <v>3956</v>
      </c>
      <c r="J3224" t="s">
        <v>344</v>
      </c>
      <c r="K3224">
        <v>8</v>
      </c>
      <c r="L3224" s="6">
        <v>2.4</v>
      </c>
      <c r="M3224" s="7">
        <v>19</v>
      </c>
      <c r="N3224" s="7">
        <v>138</v>
      </c>
      <c r="O3224" s="7">
        <f t="shared" si="248"/>
        <v>94.488188976377955</v>
      </c>
      <c r="P3224" s="7">
        <f t="shared" si="249"/>
        <v>0.74803149606299213</v>
      </c>
      <c r="Q3224" s="7">
        <f t="shared" si="249"/>
        <v>5.4330708661417324</v>
      </c>
      <c r="R3224" s="6">
        <f t="shared" si="250"/>
        <v>1251.2739999999999</v>
      </c>
      <c r="S3224" s="6">
        <f t="shared" si="251"/>
        <v>6.2928000000000003E-3</v>
      </c>
      <c r="T3224" t="str">
        <f t="shared" si="252"/>
        <v>Maximo Thermo Clear Radiata Nickel Gap OPX 1x6 Long</v>
      </c>
    </row>
    <row r="3225" spans="1:20" x14ac:dyDescent="0.25">
      <c r="A3225" t="s">
        <v>3950</v>
      </c>
      <c r="B3225" t="s">
        <v>3972</v>
      </c>
      <c r="C3225" t="s">
        <v>283</v>
      </c>
      <c r="D3225" t="s">
        <v>3044</v>
      </c>
      <c r="E3225" t="s">
        <v>210</v>
      </c>
      <c r="F3225" t="s">
        <v>3973</v>
      </c>
      <c r="G3225" t="s">
        <v>3954</v>
      </c>
      <c r="H3225" t="s">
        <v>3955</v>
      </c>
      <c r="I3225" t="s">
        <v>3956</v>
      </c>
      <c r="J3225" t="s">
        <v>344</v>
      </c>
      <c r="K3225">
        <v>9</v>
      </c>
      <c r="L3225" s="6">
        <v>2.7</v>
      </c>
      <c r="M3225" s="7">
        <v>19</v>
      </c>
      <c r="N3225" s="7">
        <v>138</v>
      </c>
      <c r="O3225" s="7">
        <f t="shared" si="248"/>
        <v>106.29921259842521</v>
      </c>
      <c r="P3225" s="7">
        <f t="shared" si="249"/>
        <v>0.74803149606299213</v>
      </c>
      <c r="Q3225" s="7">
        <f t="shared" si="249"/>
        <v>5.4330708661417324</v>
      </c>
      <c r="R3225" s="6">
        <f t="shared" si="250"/>
        <v>1251.2739999999999</v>
      </c>
      <c r="S3225" s="6">
        <f t="shared" si="251"/>
        <v>7.0794000000000004E-3</v>
      </c>
      <c r="T3225" t="str">
        <f t="shared" si="252"/>
        <v>Maximo Thermo Clear Radiata Nickel Gap OPX 1x6 Long</v>
      </c>
    </row>
    <row r="3226" spans="1:20" x14ac:dyDescent="0.25">
      <c r="A3226" t="s">
        <v>3950</v>
      </c>
      <c r="B3226" t="s">
        <v>3972</v>
      </c>
      <c r="C3226" t="s">
        <v>283</v>
      </c>
      <c r="D3226" t="s">
        <v>3044</v>
      </c>
      <c r="E3226" t="s">
        <v>3978</v>
      </c>
      <c r="F3226" t="s">
        <v>3979</v>
      </c>
      <c r="G3226" t="s">
        <v>3954</v>
      </c>
      <c r="H3226" t="s">
        <v>3955</v>
      </c>
      <c r="I3226" t="s">
        <v>3980</v>
      </c>
      <c r="J3226" t="s">
        <v>344</v>
      </c>
      <c r="K3226">
        <v>10</v>
      </c>
      <c r="L3226" s="6">
        <v>3</v>
      </c>
      <c r="M3226" s="7">
        <v>19</v>
      </c>
      <c r="N3226" s="7">
        <v>138</v>
      </c>
      <c r="O3226" s="7">
        <f t="shared" si="248"/>
        <v>118.11023622047244</v>
      </c>
      <c r="P3226" s="7">
        <f t="shared" si="249"/>
        <v>0.74803149606299213</v>
      </c>
      <c r="Q3226" s="7">
        <f t="shared" si="249"/>
        <v>5.4330708661417324</v>
      </c>
      <c r="R3226" s="6">
        <f t="shared" si="250"/>
        <v>1251.2739999999999</v>
      </c>
      <c r="S3226" s="6">
        <f t="shared" si="251"/>
        <v>7.8659999999999997E-3</v>
      </c>
      <c r="T3226" t="str">
        <f t="shared" si="252"/>
        <v>Maximo Thermo Clear Radiata Nickel Gap Pre Finished Black 1x6 Long</v>
      </c>
    </row>
    <row r="3227" spans="1:20" x14ac:dyDescent="0.25">
      <c r="A3227" t="s">
        <v>3950</v>
      </c>
      <c r="B3227" t="s">
        <v>3972</v>
      </c>
      <c r="C3227" t="s">
        <v>283</v>
      </c>
      <c r="D3227" t="s">
        <v>3044</v>
      </c>
      <c r="E3227" t="s">
        <v>3981</v>
      </c>
      <c r="F3227" t="s">
        <v>3979</v>
      </c>
      <c r="G3227" t="s">
        <v>3954</v>
      </c>
      <c r="H3227" t="s">
        <v>3955</v>
      </c>
      <c r="I3227" t="s">
        <v>3980</v>
      </c>
      <c r="J3227" t="s">
        <v>344</v>
      </c>
      <c r="K3227">
        <v>11</v>
      </c>
      <c r="L3227" s="6">
        <v>3.3</v>
      </c>
      <c r="M3227" s="7">
        <v>19</v>
      </c>
      <c r="N3227" s="7">
        <v>138</v>
      </c>
      <c r="O3227" s="7">
        <f t="shared" si="248"/>
        <v>129.92125984251967</v>
      </c>
      <c r="P3227" s="7">
        <f t="shared" si="249"/>
        <v>0.74803149606299213</v>
      </c>
      <c r="Q3227" s="7">
        <f t="shared" si="249"/>
        <v>5.4330708661417324</v>
      </c>
      <c r="R3227" s="6">
        <f t="shared" si="250"/>
        <v>1251.2739999999999</v>
      </c>
      <c r="S3227" s="6">
        <f t="shared" si="251"/>
        <v>8.6525999999999999E-3</v>
      </c>
      <c r="T3227" t="str">
        <f t="shared" si="252"/>
        <v>Maximo Thermo Clear Radiata Nickel Gap Pre Finished Black 1x6 Long</v>
      </c>
    </row>
    <row r="3228" spans="1:20" x14ac:dyDescent="0.25">
      <c r="A3228" t="s">
        <v>3950</v>
      </c>
      <c r="B3228" t="s">
        <v>3972</v>
      </c>
      <c r="C3228" t="s">
        <v>283</v>
      </c>
      <c r="D3228" t="s">
        <v>3044</v>
      </c>
      <c r="E3228" t="s">
        <v>3982</v>
      </c>
      <c r="F3228" t="s">
        <v>3979</v>
      </c>
      <c r="G3228" t="s">
        <v>3954</v>
      </c>
      <c r="H3228" t="s">
        <v>3955</v>
      </c>
      <c r="I3228" t="s">
        <v>3980</v>
      </c>
      <c r="J3228" t="s">
        <v>344</v>
      </c>
      <c r="K3228">
        <v>12</v>
      </c>
      <c r="L3228" s="6">
        <v>3.6</v>
      </c>
      <c r="M3228" s="7">
        <v>19</v>
      </c>
      <c r="N3228" s="7">
        <v>138</v>
      </c>
      <c r="O3228" s="7">
        <f t="shared" si="248"/>
        <v>141.73228346456693</v>
      </c>
      <c r="P3228" s="7">
        <f t="shared" si="249"/>
        <v>0.74803149606299213</v>
      </c>
      <c r="Q3228" s="7">
        <f t="shared" si="249"/>
        <v>5.4330708661417324</v>
      </c>
      <c r="R3228" s="6">
        <f t="shared" si="250"/>
        <v>1251.2739999999999</v>
      </c>
      <c r="S3228" s="6">
        <f t="shared" si="251"/>
        <v>9.4392E-3</v>
      </c>
      <c r="T3228" t="str">
        <f t="shared" si="252"/>
        <v>Maximo Thermo Clear Radiata Nickel Gap Pre Finished Black 1x6 Long</v>
      </c>
    </row>
    <row r="3229" spans="1:20" x14ac:dyDescent="0.25">
      <c r="A3229" t="s">
        <v>3950</v>
      </c>
      <c r="B3229" t="s">
        <v>3972</v>
      </c>
      <c r="C3229" t="s">
        <v>283</v>
      </c>
      <c r="D3229" t="s">
        <v>3044</v>
      </c>
      <c r="E3229" t="s">
        <v>3983</v>
      </c>
      <c r="F3229" t="s">
        <v>3979</v>
      </c>
      <c r="G3229" t="s">
        <v>3954</v>
      </c>
      <c r="H3229" t="s">
        <v>3955</v>
      </c>
      <c r="I3229" t="s">
        <v>3980</v>
      </c>
      <c r="J3229" t="s">
        <v>344</v>
      </c>
      <c r="K3229">
        <v>13</v>
      </c>
      <c r="L3229" s="6">
        <v>3.9</v>
      </c>
      <c r="M3229" s="7">
        <v>19</v>
      </c>
      <c r="N3229" s="7">
        <v>138</v>
      </c>
      <c r="O3229" s="7">
        <f t="shared" si="248"/>
        <v>153.54330708661416</v>
      </c>
      <c r="P3229" s="7">
        <f t="shared" si="249"/>
        <v>0.74803149606299213</v>
      </c>
      <c r="Q3229" s="7">
        <f t="shared" si="249"/>
        <v>5.4330708661417324</v>
      </c>
      <c r="R3229" s="6">
        <f t="shared" si="250"/>
        <v>1251.2739999999999</v>
      </c>
      <c r="S3229" s="6">
        <f t="shared" si="251"/>
        <v>1.02258E-2</v>
      </c>
      <c r="T3229" t="str">
        <f t="shared" si="252"/>
        <v>Maximo Thermo Clear Radiata Nickel Gap Pre Finished Black 1x6 Long</v>
      </c>
    </row>
    <row r="3230" spans="1:20" x14ac:dyDescent="0.25">
      <c r="A3230" t="s">
        <v>3950</v>
      </c>
      <c r="B3230" t="s">
        <v>3972</v>
      </c>
      <c r="C3230" t="s">
        <v>283</v>
      </c>
      <c r="D3230" t="s">
        <v>3044</v>
      </c>
      <c r="E3230" t="s">
        <v>82</v>
      </c>
      <c r="F3230" t="s">
        <v>3979</v>
      </c>
      <c r="G3230" t="s">
        <v>3954</v>
      </c>
      <c r="H3230" t="s">
        <v>3955</v>
      </c>
      <c r="I3230" t="s">
        <v>3980</v>
      </c>
      <c r="J3230" t="s">
        <v>344</v>
      </c>
      <c r="K3230">
        <v>14</v>
      </c>
      <c r="L3230" s="6">
        <v>4.2</v>
      </c>
      <c r="M3230" s="7">
        <v>19</v>
      </c>
      <c r="N3230" s="7">
        <v>138</v>
      </c>
      <c r="O3230" s="7">
        <f t="shared" si="248"/>
        <v>165.35433070866142</v>
      </c>
      <c r="P3230" s="7">
        <f t="shared" si="249"/>
        <v>0.74803149606299213</v>
      </c>
      <c r="Q3230" s="7">
        <f t="shared" si="249"/>
        <v>5.4330708661417324</v>
      </c>
      <c r="R3230" s="6">
        <f t="shared" si="250"/>
        <v>1251.2739999999999</v>
      </c>
      <c r="S3230" s="6">
        <f t="shared" si="251"/>
        <v>1.10124E-2</v>
      </c>
      <c r="T3230" t="str">
        <f t="shared" si="252"/>
        <v>Maximo Thermo Clear Radiata Nickel Gap Pre Finished Black 1x6 Long</v>
      </c>
    </row>
    <row r="3231" spans="1:20" x14ac:dyDescent="0.25">
      <c r="A3231" t="s">
        <v>3950</v>
      </c>
      <c r="B3231" t="s">
        <v>3972</v>
      </c>
      <c r="C3231" t="s">
        <v>283</v>
      </c>
      <c r="D3231" t="s">
        <v>3044</v>
      </c>
      <c r="E3231" t="s">
        <v>3984</v>
      </c>
      <c r="F3231" t="s">
        <v>3979</v>
      </c>
      <c r="G3231" t="s">
        <v>3954</v>
      </c>
      <c r="H3231" t="s">
        <v>3955</v>
      </c>
      <c r="I3231" t="s">
        <v>3980</v>
      </c>
      <c r="J3231" t="s">
        <v>344</v>
      </c>
      <c r="K3231">
        <v>15</v>
      </c>
      <c r="L3231" s="6">
        <v>4.5</v>
      </c>
      <c r="M3231" s="7">
        <v>19</v>
      </c>
      <c r="N3231" s="7">
        <v>138</v>
      </c>
      <c r="O3231" s="7">
        <f t="shared" si="248"/>
        <v>177.16535433070868</v>
      </c>
      <c r="P3231" s="7">
        <f t="shared" si="249"/>
        <v>0.74803149606299213</v>
      </c>
      <c r="Q3231" s="7">
        <f t="shared" si="249"/>
        <v>5.4330708661417324</v>
      </c>
      <c r="R3231" s="6">
        <f t="shared" si="250"/>
        <v>1251.2739999999999</v>
      </c>
      <c r="S3231" s="6">
        <f t="shared" si="251"/>
        <v>1.1799E-2</v>
      </c>
      <c r="T3231" t="str">
        <f t="shared" si="252"/>
        <v>Maximo Thermo Clear Radiata Nickel Gap Pre Finished Black 1x6 Long</v>
      </c>
    </row>
    <row r="3232" spans="1:20" x14ac:dyDescent="0.25">
      <c r="A3232" t="s">
        <v>3950</v>
      </c>
      <c r="B3232" t="s">
        <v>3972</v>
      </c>
      <c r="C3232" t="s">
        <v>283</v>
      </c>
      <c r="D3232" t="s">
        <v>3044</v>
      </c>
      <c r="E3232" t="s">
        <v>92</v>
      </c>
      <c r="F3232" t="s">
        <v>3979</v>
      </c>
      <c r="G3232" t="s">
        <v>3954</v>
      </c>
      <c r="H3232" t="s">
        <v>3955</v>
      </c>
      <c r="I3232" t="s">
        <v>3980</v>
      </c>
      <c r="J3232" t="s">
        <v>344</v>
      </c>
      <c r="K3232">
        <v>16</v>
      </c>
      <c r="L3232" s="6">
        <v>4.8</v>
      </c>
      <c r="M3232" s="7">
        <v>19</v>
      </c>
      <c r="N3232" s="7">
        <v>138</v>
      </c>
      <c r="O3232" s="7">
        <f t="shared" si="248"/>
        <v>188.97637795275591</v>
      </c>
      <c r="P3232" s="7">
        <f t="shared" si="249"/>
        <v>0.74803149606299213</v>
      </c>
      <c r="Q3232" s="7">
        <f t="shared" si="249"/>
        <v>5.4330708661417324</v>
      </c>
      <c r="R3232" s="6">
        <f t="shared" si="250"/>
        <v>1251.2739999999999</v>
      </c>
      <c r="S3232" s="6">
        <f t="shared" si="251"/>
        <v>1.2585600000000001E-2</v>
      </c>
      <c r="T3232" t="str">
        <f t="shared" si="252"/>
        <v>Maximo Thermo Clear Radiata Nickel Gap Pre Finished Black 1x6 Long</v>
      </c>
    </row>
    <row r="3233" spans="1:20" x14ac:dyDescent="0.25">
      <c r="A3233" t="s">
        <v>3950</v>
      </c>
      <c r="B3233" t="s">
        <v>3972</v>
      </c>
      <c r="C3233" t="s">
        <v>283</v>
      </c>
      <c r="D3233" t="s">
        <v>3044</v>
      </c>
      <c r="E3233" t="s">
        <v>3985</v>
      </c>
      <c r="F3233" t="s">
        <v>3979</v>
      </c>
      <c r="G3233" t="s">
        <v>3954</v>
      </c>
      <c r="H3233" t="s">
        <v>3955</v>
      </c>
      <c r="I3233" t="s">
        <v>3980</v>
      </c>
      <c r="J3233" t="s">
        <v>344</v>
      </c>
      <c r="K3233">
        <v>17</v>
      </c>
      <c r="L3233" s="6">
        <v>5.0999999999999996</v>
      </c>
      <c r="M3233" s="7">
        <v>19</v>
      </c>
      <c r="N3233" s="7">
        <v>138</v>
      </c>
      <c r="O3233" s="7">
        <f t="shared" si="248"/>
        <v>200.78740157480314</v>
      </c>
      <c r="P3233" s="7">
        <f t="shared" si="249"/>
        <v>0.74803149606299213</v>
      </c>
      <c r="Q3233" s="7">
        <f t="shared" si="249"/>
        <v>5.4330708661417324</v>
      </c>
      <c r="R3233" s="6">
        <f t="shared" si="250"/>
        <v>1251.2739999999999</v>
      </c>
      <c r="S3233" s="6">
        <f t="shared" si="251"/>
        <v>1.3372199999999997E-2</v>
      </c>
      <c r="T3233" t="str">
        <f t="shared" si="252"/>
        <v>Maximo Thermo Clear Radiata Nickel Gap Pre Finished Black 1x6 Long</v>
      </c>
    </row>
    <row r="3234" spans="1:20" x14ac:dyDescent="0.25">
      <c r="A3234" t="s">
        <v>3950</v>
      </c>
      <c r="B3234" t="s">
        <v>3972</v>
      </c>
      <c r="C3234" t="s">
        <v>283</v>
      </c>
      <c r="D3234" t="s">
        <v>3044</v>
      </c>
      <c r="E3234" t="s">
        <v>3986</v>
      </c>
      <c r="F3234" t="s">
        <v>3979</v>
      </c>
      <c r="G3234" t="s">
        <v>3954</v>
      </c>
      <c r="H3234" t="s">
        <v>3955</v>
      </c>
      <c r="I3234" t="s">
        <v>3980</v>
      </c>
      <c r="J3234" t="s">
        <v>344</v>
      </c>
      <c r="K3234">
        <v>18</v>
      </c>
      <c r="L3234" s="6">
        <v>5.4</v>
      </c>
      <c r="M3234" s="7">
        <v>19</v>
      </c>
      <c r="N3234" s="7">
        <v>138</v>
      </c>
      <c r="O3234" s="7">
        <f t="shared" si="248"/>
        <v>212.59842519685043</v>
      </c>
      <c r="P3234" s="7">
        <f t="shared" si="249"/>
        <v>0.74803149606299213</v>
      </c>
      <c r="Q3234" s="7">
        <f t="shared" si="249"/>
        <v>5.4330708661417324</v>
      </c>
      <c r="R3234" s="6">
        <f t="shared" si="250"/>
        <v>1251.2739999999999</v>
      </c>
      <c r="S3234" s="6">
        <f t="shared" si="251"/>
        <v>1.4158800000000001E-2</v>
      </c>
      <c r="T3234" t="str">
        <f t="shared" si="252"/>
        <v>Maximo Thermo Clear Radiata Nickel Gap Pre Finished Black 1x6 Long</v>
      </c>
    </row>
    <row r="3235" spans="1:20" x14ac:dyDescent="0.25">
      <c r="A3235" t="s">
        <v>3950</v>
      </c>
      <c r="B3235" t="s">
        <v>3972</v>
      </c>
      <c r="C3235" t="s">
        <v>524</v>
      </c>
      <c r="D3235" t="s">
        <v>3044</v>
      </c>
      <c r="E3235" t="s">
        <v>3987</v>
      </c>
      <c r="F3235" t="s">
        <v>3979</v>
      </c>
      <c r="G3235" t="s">
        <v>3954</v>
      </c>
      <c r="H3235" t="s">
        <v>3955</v>
      </c>
      <c r="I3235" t="s">
        <v>3980</v>
      </c>
      <c r="J3235" t="s">
        <v>344</v>
      </c>
      <c r="K3235">
        <v>3</v>
      </c>
      <c r="L3235" s="6">
        <v>0.9</v>
      </c>
      <c r="M3235" s="7">
        <v>19</v>
      </c>
      <c r="N3235" s="7">
        <v>138</v>
      </c>
      <c r="O3235" s="7">
        <f t="shared" si="248"/>
        <v>35.433070866141733</v>
      </c>
      <c r="P3235" s="7">
        <f t="shared" si="249"/>
        <v>0.74803149606299213</v>
      </c>
      <c r="Q3235" s="7">
        <f t="shared" si="249"/>
        <v>5.4330708661417324</v>
      </c>
      <c r="R3235" s="6">
        <f t="shared" si="250"/>
        <v>1251.2739999999999</v>
      </c>
      <c r="S3235" s="6">
        <f t="shared" si="251"/>
        <v>2.3598E-3</v>
      </c>
      <c r="T3235" t="str">
        <f t="shared" si="252"/>
        <v>Maximo Thermo Clear Radiata Nickel Gap Pre Finished Black 1x6 Short</v>
      </c>
    </row>
    <row r="3236" spans="1:20" x14ac:dyDescent="0.25">
      <c r="A3236" t="s">
        <v>3950</v>
      </c>
      <c r="B3236" t="s">
        <v>3972</v>
      </c>
      <c r="C3236" t="s">
        <v>524</v>
      </c>
      <c r="D3236" t="s">
        <v>3044</v>
      </c>
      <c r="E3236" t="s">
        <v>3988</v>
      </c>
      <c r="F3236" t="s">
        <v>3979</v>
      </c>
      <c r="G3236" t="s">
        <v>3954</v>
      </c>
      <c r="H3236" t="s">
        <v>3955</v>
      </c>
      <c r="I3236" t="s">
        <v>3980</v>
      </c>
      <c r="J3236" t="s">
        <v>344</v>
      </c>
      <c r="K3236">
        <v>4</v>
      </c>
      <c r="L3236" s="6">
        <v>1.2</v>
      </c>
      <c r="M3236" s="7">
        <v>19</v>
      </c>
      <c r="N3236" s="7">
        <v>138</v>
      </c>
      <c r="O3236" s="7">
        <f t="shared" si="248"/>
        <v>47.244094488188978</v>
      </c>
      <c r="P3236" s="7">
        <f t="shared" si="249"/>
        <v>0.74803149606299213</v>
      </c>
      <c r="Q3236" s="7">
        <f t="shared" si="249"/>
        <v>5.4330708661417324</v>
      </c>
      <c r="R3236" s="6">
        <f t="shared" si="250"/>
        <v>1251.2739999999999</v>
      </c>
      <c r="S3236" s="6">
        <f t="shared" si="251"/>
        <v>3.1464000000000002E-3</v>
      </c>
      <c r="T3236" t="str">
        <f t="shared" si="252"/>
        <v>Maximo Thermo Clear Radiata Nickel Gap Pre Finished Black 1x6 Short</v>
      </c>
    </row>
    <row r="3237" spans="1:20" x14ac:dyDescent="0.25">
      <c r="A3237" t="s">
        <v>3950</v>
      </c>
      <c r="B3237" t="s">
        <v>3972</v>
      </c>
      <c r="C3237" t="s">
        <v>524</v>
      </c>
      <c r="D3237" t="s">
        <v>3044</v>
      </c>
      <c r="E3237" t="s">
        <v>3989</v>
      </c>
      <c r="F3237" t="s">
        <v>3979</v>
      </c>
      <c r="G3237" t="s">
        <v>3954</v>
      </c>
      <c r="H3237" t="s">
        <v>3955</v>
      </c>
      <c r="I3237" t="s">
        <v>3980</v>
      </c>
      <c r="J3237" t="s">
        <v>344</v>
      </c>
      <c r="K3237">
        <v>5</v>
      </c>
      <c r="L3237" s="6">
        <v>1.5</v>
      </c>
      <c r="M3237" s="7">
        <v>19</v>
      </c>
      <c r="N3237" s="7">
        <v>138</v>
      </c>
      <c r="O3237" s="7">
        <f t="shared" si="248"/>
        <v>59.055118110236222</v>
      </c>
      <c r="P3237" s="7">
        <f t="shared" si="249"/>
        <v>0.74803149606299213</v>
      </c>
      <c r="Q3237" s="7">
        <f t="shared" si="249"/>
        <v>5.4330708661417324</v>
      </c>
      <c r="R3237" s="6">
        <f t="shared" si="250"/>
        <v>1251.2739999999999</v>
      </c>
      <c r="S3237" s="6">
        <f t="shared" si="251"/>
        <v>3.9329999999999999E-3</v>
      </c>
      <c r="T3237" t="str">
        <f t="shared" si="252"/>
        <v>Maximo Thermo Clear Radiata Nickel Gap Pre Finished Black 1x6 Short</v>
      </c>
    </row>
    <row r="3238" spans="1:20" x14ac:dyDescent="0.25">
      <c r="A3238" t="s">
        <v>3950</v>
      </c>
      <c r="B3238" t="s">
        <v>3972</v>
      </c>
      <c r="C3238" t="s">
        <v>524</v>
      </c>
      <c r="D3238" t="s">
        <v>3044</v>
      </c>
      <c r="E3238" t="s">
        <v>3990</v>
      </c>
      <c r="F3238" t="s">
        <v>3979</v>
      </c>
      <c r="G3238" t="s">
        <v>3954</v>
      </c>
      <c r="H3238" t="s">
        <v>3955</v>
      </c>
      <c r="I3238" t="s">
        <v>3980</v>
      </c>
      <c r="J3238" t="s">
        <v>344</v>
      </c>
      <c r="K3238">
        <v>6</v>
      </c>
      <c r="L3238" s="6">
        <v>1.8</v>
      </c>
      <c r="M3238" s="7">
        <v>19</v>
      </c>
      <c r="N3238" s="7">
        <v>138</v>
      </c>
      <c r="O3238" s="7">
        <f t="shared" si="248"/>
        <v>70.866141732283467</v>
      </c>
      <c r="P3238" s="7">
        <f t="shared" si="249"/>
        <v>0.74803149606299213</v>
      </c>
      <c r="Q3238" s="7">
        <f t="shared" si="249"/>
        <v>5.4330708661417324</v>
      </c>
      <c r="R3238" s="6">
        <f t="shared" si="250"/>
        <v>1251.2739999999999</v>
      </c>
      <c r="S3238" s="6">
        <f t="shared" si="251"/>
        <v>4.7196E-3</v>
      </c>
      <c r="T3238" t="str">
        <f t="shared" si="252"/>
        <v>Maximo Thermo Clear Radiata Nickel Gap Pre Finished Black 1x6 Short</v>
      </c>
    </row>
    <row r="3239" spans="1:20" x14ac:dyDescent="0.25">
      <c r="A3239" t="s">
        <v>3950</v>
      </c>
      <c r="B3239" t="s">
        <v>3972</v>
      </c>
      <c r="C3239" t="s">
        <v>524</v>
      </c>
      <c r="D3239" t="s">
        <v>3044</v>
      </c>
      <c r="E3239" t="s">
        <v>3991</v>
      </c>
      <c r="F3239" t="s">
        <v>3979</v>
      </c>
      <c r="G3239" t="s">
        <v>3954</v>
      </c>
      <c r="H3239" t="s">
        <v>3955</v>
      </c>
      <c r="I3239" t="s">
        <v>3980</v>
      </c>
      <c r="J3239" t="s">
        <v>344</v>
      </c>
      <c r="K3239">
        <v>7</v>
      </c>
      <c r="L3239" s="6">
        <v>2.1</v>
      </c>
      <c r="M3239" s="7">
        <v>19</v>
      </c>
      <c r="N3239" s="7">
        <v>138</v>
      </c>
      <c r="O3239" s="7">
        <f t="shared" si="248"/>
        <v>82.677165354330711</v>
      </c>
      <c r="P3239" s="7">
        <f t="shared" si="249"/>
        <v>0.74803149606299213</v>
      </c>
      <c r="Q3239" s="7">
        <f t="shared" si="249"/>
        <v>5.4330708661417324</v>
      </c>
      <c r="R3239" s="6">
        <f t="shared" si="250"/>
        <v>1251.2739999999999</v>
      </c>
      <c r="S3239" s="6">
        <f t="shared" si="251"/>
        <v>5.5062000000000002E-3</v>
      </c>
      <c r="T3239" t="str">
        <f t="shared" si="252"/>
        <v>Maximo Thermo Clear Radiata Nickel Gap Pre Finished Black 1x6 Short</v>
      </c>
    </row>
    <row r="3240" spans="1:20" x14ac:dyDescent="0.25">
      <c r="A3240" t="s">
        <v>3950</v>
      </c>
      <c r="B3240" t="s">
        <v>3972</v>
      </c>
      <c r="C3240" t="s">
        <v>283</v>
      </c>
      <c r="D3240" t="s">
        <v>3044</v>
      </c>
      <c r="E3240" t="s">
        <v>3992</v>
      </c>
      <c r="F3240" t="s">
        <v>3979</v>
      </c>
      <c r="G3240" t="s">
        <v>3954</v>
      </c>
      <c r="H3240" t="s">
        <v>3955</v>
      </c>
      <c r="I3240" t="s">
        <v>3980</v>
      </c>
      <c r="J3240" t="s">
        <v>344</v>
      </c>
      <c r="K3240">
        <v>8</v>
      </c>
      <c r="L3240" s="6">
        <v>2.4</v>
      </c>
      <c r="M3240" s="7">
        <v>19</v>
      </c>
      <c r="N3240" s="7">
        <v>138</v>
      </c>
      <c r="O3240" s="7">
        <f t="shared" si="248"/>
        <v>94.488188976377955</v>
      </c>
      <c r="P3240" s="7">
        <f t="shared" si="249"/>
        <v>0.74803149606299213</v>
      </c>
      <c r="Q3240" s="7">
        <f t="shared" si="249"/>
        <v>5.4330708661417324</v>
      </c>
      <c r="R3240" s="6">
        <f t="shared" si="250"/>
        <v>1251.2739999999999</v>
      </c>
      <c r="S3240" s="6">
        <f t="shared" si="251"/>
        <v>6.2928000000000003E-3</v>
      </c>
      <c r="T3240" t="str">
        <f t="shared" si="252"/>
        <v>Maximo Thermo Clear Radiata Nickel Gap Pre Finished Black 1x6 Long</v>
      </c>
    </row>
    <row r="3241" spans="1:20" x14ac:dyDescent="0.25">
      <c r="A3241" t="s">
        <v>3950</v>
      </c>
      <c r="B3241" t="s">
        <v>3972</v>
      </c>
      <c r="C3241" t="s">
        <v>283</v>
      </c>
      <c r="D3241" t="s">
        <v>3044</v>
      </c>
      <c r="E3241" t="s">
        <v>3993</v>
      </c>
      <c r="F3241" t="s">
        <v>3979</v>
      </c>
      <c r="G3241" t="s">
        <v>3954</v>
      </c>
      <c r="H3241" t="s">
        <v>3955</v>
      </c>
      <c r="I3241" t="s">
        <v>3980</v>
      </c>
      <c r="J3241" t="s">
        <v>344</v>
      </c>
      <c r="K3241">
        <v>9</v>
      </c>
      <c r="L3241" s="6">
        <v>2.7</v>
      </c>
      <c r="M3241" s="7">
        <v>19</v>
      </c>
      <c r="N3241" s="7">
        <v>138</v>
      </c>
      <c r="O3241" s="7">
        <f t="shared" si="248"/>
        <v>106.29921259842521</v>
      </c>
      <c r="P3241" s="7">
        <f t="shared" si="249"/>
        <v>0.74803149606299213</v>
      </c>
      <c r="Q3241" s="7">
        <f t="shared" si="249"/>
        <v>5.4330708661417324</v>
      </c>
      <c r="R3241" s="6">
        <f t="shared" si="250"/>
        <v>1251.2739999999999</v>
      </c>
      <c r="S3241" s="6">
        <f t="shared" si="251"/>
        <v>7.0794000000000004E-3</v>
      </c>
      <c r="T3241" t="str">
        <f t="shared" si="252"/>
        <v>Maximo Thermo Clear Radiata Nickel Gap Pre Finished Black 1x6 Long</v>
      </c>
    </row>
    <row r="3242" spans="1:20" x14ac:dyDescent="0.25">
      <c r="A3242" t="s">
        <v>3950</v>
      </c>
      <c r="B3242" t="s">
        <v>3972</v>
      </c>
      <c r="C3242" t="s">
        <v>283</v>
      </c>
      <c r="D3242" t="s">
        <v>3044</v>
      </c>
      <c r="E3242" t="s">
        <v>3994</v>
      </c>
      <c r="F3242" t="s">
        <v>3995</v>
      </c>
      <c r="G3242" t="s">
        <v>3954</v>
      </c>
      <c r="H3242" t="s">
        <v>3955</v>
      </c>
      <c r="I3242" t="s">
        <v>3996</v>
      </c>
      <c r="J3242" t="s">
        <v>344</v>
      </c>
      <c r="K3242">
        <v>10</v>
      </c>
      <c r="L3242" s="6">
        <v>3</v>
      </c>
      <c r="M3242" s="7">
        <v>19</v>
      </c>
      <c r="N3242" s="7">
        <v>138</v>
      </c>
      <c r="O3242" s="7">
        <f t="shared" si="248"/>
        <v>118.11023622047244</v>
      </c>
      <c r="P3242" s="7">
        <f t="shared" si="249"/>
        <v>0.74803149606299213</v>
      </c>
      <c r="Q3242" s="7">
        <f t="shared" si="249"/>
        <v>5.4330708661417324</v>
      </c>
      <c r="R3242" s="6">
        <f t="shared" si="250"/>
        <v>1251.2739999999999</v>
      </c>
      <c r="S3242" s="6">
        <f t="shared" si="251"/>
        <v>7.8659999999999997E-3</v>
      </c>
      <c r="T3242" t="str">
        <f t="shared" si="252"/>
        <v>Maximo Thermo Clear Radiata Nickel Gap Pre Finished White 1x6 Long</v>
      </c>
    </row>
    <row r="3243" spans="1:20" x14ac:dyDescent="0.25">
      <c r="A3243" t="s">
        <v>3950</v>
      </c>
      <c r="B3243" t="s">
        <v>3972</v>
      </c>
      <c r="C3243" t="s">
        <v>283</v>
      </c>
      <c r="D3243" t="s">
        <v>3044</v>
      </c>
      <c r="E3243" t="s">
        <v>3997</v>
      </c>
      <c r="F3243" t="s">
        <v>3995</v>
      </c>
      <c r="G3243" t="s">
        <v>3954</v>
      </c>
      <c r="H3243" t="s">
        <v>3955</v>
      </c>
      <c r="I3243" t="s">
        <v>3996</v>
      </c>
      <c r="J3243" t="s">
        <v>344</v>
      </c>
      <c r="K3243">
        <v>11</v>
      </c>
      <c r="L3243" s="6">
        <v>3.3</v>
      </c>
      <c r="M3243" s="7">
        <v>19</v>
      </c>
      <c r="N3243" s="7">
        <v>138</v>
      </c>
      <c r="O3243" s="7">
        <f t="shared" si="248"/>
        <v>129.92125984251967</v>
      </c>
      <c r="P3243" s="7">
        <f t="shared" si="249"/>
        <v>0.74803149606299213</v>
      </c>
      <c r="Q3243" s="7">
        <f t="shared" si="249"/>
        <v>5.4330708661417324</v>
      </c>
      <c r="R3243" s="6">
        <f t="shared" si="250"/>
        <v>1251.2739999999999</v>
      </c>
      <c r="S3243" s="6">
        <f t="shared" si="251"/>
        <v>8.6525999999999999E-3</v>
      </c>
      <c r="T3243" t="str">
        <f t="shared" si="252"/>
        <v>Maximo Thermo Clear Radiata Nickel Gap Pre Finished White 1x6 Long</v>
      </c>
    </row>
    <row r="3244" spans="1:20" x14ac:dyDescent="0.25">
      <c r="A3244" t="s">
        <v>3950</v>
      </c>
      <c r="B3244" t="s">
        <v>3972</v>
      </c>
      <c r="C3244" t="s">
        <v>283</v>
      </c>
      <c r="D3244" t="s">
        <v>3044</v>
      </c>
      <c r="E3244" t="s">
        <v>3998</v>
      </c>
      <c r="F3244" t="s">
        <v>3995</v>
      </c>
      <c r="G3244" t="s">
        <v>3954</v>
      </c>
      <c r="H3244" t="s">
        <v>3955</v>
      </c>
      <c r="I3244" t="s">
        <v>3996</v>
      </c>
      <c r="J3244" t="s">
        <v>344</v>
      </c>
      <c r="K3244">
        <v>12</v>
      </c>
      <c r="L3244" s="6">
        <v>3.6</v>
      </c>
      <c r="M3244" s="7">
        <v>19</v>
      </c>
      <c r="N3244" s="7">
        <v>138</v>
      </c>
      <c r="O3244" s="7">
        <f t="shared" si="248"/>
        <v>141.73228346456693</v>
      </c>
      <c r="P3244" s="7">
        <f t="shared" si="249"/>
        <v>0.74803149606299213</v>
      </c>
      <c r="Q3244" s="7">
        <f t="shared" si="249"/>
        <v>5.4330708661417324</v>
      </c>
      <c r="R3244" s="6">
        <f t="shared" si="250"/>
        <v>1251.2739999999999</v>
      </c>
      <c r="S3244" s="6">
        <f t="shared" si="251"/>
        <v>9.4392E-3</v>
      </c>
      <c r="T3244" t="str">
        <f t="shared" si="252"/>
        <v>Maximo Thermo Clear Radiata Nickel Gap Pre Finished White 1x6 Long</v>
      </c>
    </row>
    <row r="3245" spans="1:20" x14ac:dyDescent="0.25">
      <c r="A3245" t="s">
        <v>3950</v>
      </c>
      <c r="B3245" t="s">
        <v>3972</v>
      </c>
      <c r="C3245" t="s">
        <v>283</v>
      </c>
      <c r="D3245" t="s">
        <v>3044</v>
      </c>
      <c r="E3245" t="s">
        <v>3999</v>
      </c>
      <c r="F3245" t="s">
        <v>3995</v>
      </c>
      <c r="G3245" t="s">
        <v>3954</v>
      </c>
      <c r="H3245" t="s">
        <v>3955</v>
      </c>
      <c r="I3245" t="s">
        <v>3996</v>
      </c>
      <c r="J3245" t="s">
        <v>344</v>
      </c>
      <c r="K3245">
        <v>13</v>
      </c>
      <c r="L3245" s="6">
        <v>3.9</v>
      </c>
      <c r="M3245" s="7">
        <v>19</v>
      </c>
      <c r="N3245" s="7">
        <v>138</v>
      </c>
      <c r="O3245" s="7">
        <f t="shared" si="248"/>
        <v>153.54330708661416</v>
      </c>
      <c r="P3245" s="7">
        <f t="shared" si="249"/>
        <v>0.74803149606299213</v>
      </c>
      <c r="Q3245" s="7">
        <f t="shared" si="249"/>
        <v>5.4330708661417324</v>
      </c>
      <c r="R3245" s="6">
        <f t="shared" si="250"/>
        <v>1251.2739999999999</v>
      </c>
      <c r="S3245" s="6">
        <f t="shared" si="251"/>
        <v>1.02258E-2</v>
      </c>
      <c r="T3245" t="str">
        <f t="shared" si="252"/>
        <v>Maximo Thermo Clear Radiata Nickel Gap Pre Finished White 1x6 Long</v>
      </c>
    </row>
    <row r="3246" spans="1:20" x14ac:dyDescent="0.25">
      <c r="A3246" t="s">
        <v>3950</v>
      </c>
      <c r="B3246" t="s">
        <v>3972</v>
      </c>
      <c r="C3246" t="s">
        <v>283</v>
      </c>
      <c r="D3246" t="s">
        <v>3044</v>
      </c>
      <c r="E3246" t="s">
        <v>4000</v>
      </c>
      <c r="F3246" t="s">
        <v>3995</v>
      </c>
      <c r="G3246" t="s">
        <v>3954</v>
      </c>
      <c r="H3246" t="s">
        <v>3955</v>
      </c>
      <c r="I3246" t="s">
        <v>3996</v>
      </c>
      <c r="J3246" t="s">
        <v>344</v>
      </c>
      <c r="K3246">
        <v>14</v>
      </c>
      <c r="L3246" s="6">
        <v>4.2</v>
      </c>
      <c r="M3246" s="7">
        <v>19</v>
      </c>
      <c r="N3246" s="7">
        <v>138</v>
      </c>
      <c r="O3246" s="7">
        <f t="shared" si="248"/>
        <v>165.35433070866142</v>
      </c>
      <c r="P3246" s="7">
        <f t="shared" si="249"/>
        <v>0.74803149606299213</v>
      </c>
      <c r="Q3246" s="7">
        <f t="shared" si="249"/>
        <v>5.4330708661417324</v>
      </c>
      <c r="R3246" s="6">
        <f t="shared" si="250"/>
        <v>1251.2739999999999</v>
      </c>
      <c r="S3246" s="6">
        <f t="shared" si="251"/>
        <v>1.10124E-2</v>
      </c>
      <c r="T3246" t="str">
        <f t="shared" si="252"/>
        <v>Maximo Thermo Clear Radiata Nickel Gap Pre Finished White 1x6 Long</v>
      </c>
    </row>
    <row r="3247" spans="1:20" x14ac:dyDescent="0.25">
      <c r="A3247" t="s">
        <v>3950</v>
      </c>
      <c r="B3247" t="s">
        <v>3972</v>
      </c>
      <c r="C3247" t="s">
        <v>283</v>
      </c>
      <c r="D3247" t="s">
        <v>3044</v>
      </c>
      <c r="E3247" t="s">
        <v>4001</v>
      </c>
      <c r="F3247" t="s">
        <v>3995</v>
      </c>
      <c r="G3247" t="s">
        <v>3954</v>
      </c>
      <c r="H3247" t="s">
        <v>3955</v>
      </c>
      <c r="I3247" t="s">
        <v>3996</v>
      </c>
      <c r="J3247" t="s">
        <v>344</v>
      </c>
      <c r="K3247">
        <v>15</v>
      </c>
      <c r="L3247" s="6">
        <v>4.5</v>
      </c>
      <c r="M3247" s="7">
        <v>19</v>
      </c>
      <c r="N3247" s="7">
        <v>138</v>
      </c>
      <c r="O3247" s="7">
        <f t="shared" si="248"/>
        <v>177.16535433070868</v>
      </c>
      <c r="P3247" s="7">
        <f t="shared" si="249"/>
        <v>0.74803149606299213</v>
      </c>
      <c r="Q3247" s="7">
        <f t="shared" si="249"/>
        <v>5.4330708661417324</v>
      </c>
      <c r="R3247" s="6">
        <f t="shared" si="250"/>
        <v>1251.2739999999999</v>
      </c>
      <c r="S3247" s="6">
        <f t="shared" si="251"/>
        <v>1.1799E-2</v>
      </c>
      <c r="T3247" t="str">
        <f t="shared" si="252"/>
        <v>Maximo Thermo Clear Radiata Nickel Gap Pre Finished White 1x6 Long</v>
      </c>
    </row>
    <row r="3248" spans="1:20" x14ac:dyDescent="0.25">
      <c r="A3248" t="s">
        <v>3950</v>
      </c>
      <c r="B3248" t="s">
        <v>3972</v>
      </c>
      <c r="C3248" t="s">
        <v>283</v>
      </c>
      <c r="D3248" t="s">
        <v>3044</v>
      </c>
      <c r="E3248" t="s">
        <v>4002</v>
      </c>
      <c r="F3248" t="s">
        <v>3995</v>
      </c>
      <c r="G3248" t="s">
        <v>3954</v>
      </c>
      <c r="H3248" t="s">
        <v>3955</v>
      </c>
      <c r="I3248" t="s">
        <v>3996</v>
      </c>
      <c r="J3248" t="s">
        <v>344</v>
      </c>
      <c r="K3248">
        <v>16</v>
      </c>
      <c r="L3248" s="6">
        <v>4.8</v>
      </c>
      <c r="M3248" s="7">
        <v>19</v>
      </c>
      <c r="N3248" s="7">
        <v>138</v>
      </c>
      <c r="O3248" s="7">
        <f t="shared" ref="O3248:O3311" si="253">L3248/0.0254</f>
        <v>188.97637795275591</v>
      </c>
      <c r="P3248" s="7">
        <f t="shared" ref="P3248:Q3311" si="254">M3248/25.4</f>
        <v>0.74803149606299213</v>
      </c>
      <c r="Q3248" s="7">
        <f t="shared" si="254"/>
        <v>5.4330708661417324</v>
      </c>
      <c r="R3248" s="6">
        <f t="shared" ref="R3248:R3311" si="255">ROUND(IFERROR(1/((M3248*N3248*0.3048)/1000000),0),3)</f>
        <v>1251.2739999999999</v>
      </c>
      <c r="S3248" s="6">
        <f t="shared" ref="S3248:S3311" si="256">L3248*M3248/1000*N3248/1000</f>
        <v>1.2585600000000001E-2</v>
      </c>
      <c r="T3248" t="str">
        <f t="shared" si="252"/>
        <v>Maximo Thermo Clear Radiata Nickel Gap Pre Finished White 1x6 Long</v>
      </c>
    </row>
    <row r="3249" spans="1:20" x14ac:dyDescent="0.25">
      <c r="A3249" t="s">
        <v>3950</v>
      </c>
      <c r="B3249" t="s">
        <v>3972</v>
      </c>
      <c r="C3249" t="s">
        <v>283</v>
      </c>
      <c r="D3249" t="s">
        <v>3044</v>
      </c>
      <c r="E3249" t="s">
        <v>4003</v>
      </c>
      <c r="F3249" t="s">
        <v>3995</v>
      </c>
      <c r="G3249" t="s">
        <v>3954</v>
      </c>
      <c r="H3249" t="s">
        <v>3955</v>
      </c>
      <c r="I3249" t="s">
        <v>3996</v>
      </c>
      <c r="J3249" t="s">
        <v>344</v>
      </c>
      <c r="K3249">
        <v>17</v>
      </c>
      <c r="L3249" s="6">
        <v>5.0999999999999996</v>
      </c>
      <c r="M3249" s="7">
        <v>19</v>
      </c>
      <c r="N3249" s="7">
        <v>138</v>
      </c>
      <c r="O3249" s="7">
        <f t="shared" si="253"/>
        <v>200.78740157480314</v>
      </c>
      <c r="P3249" s="7">
        <f t="shared" si="254"/>
        <v>0.74803149606299213</v>
      </c>
      <c r="Q3249" s="7">
        <f t="shared" si="254"/>
        <v>5.4330708661417324</v>
      </c>
      <c r="R3249" s="6">
        <f t="shared" si="255"/>
        <v>1251.2739999999999</v>
      </c>
      <c r="S3249" s="6">
        <f t="shared" si="256"/>
        <v>1.3372199999999997E-2</v>
      </c>
      <c r="T3249" t="str">
        <f t="shared" si="252"/>
        <v>Maximo Thermo Clear Radiata Nickel Gap Pre Finished White 1x6 Long</v>
      </c>
    </row>
    <row r="3250" spans="1:20" x14ac:dyDescent="0.25">
      <c r="A3250" t="s">
        <v>3950</v>
      </c>
      <c r="B3250" t="s">
        <v>3972</v>
      </c>
      <c r="C3250" t="s">
        <v>283</v>
      </c>
      <c r="D3250" t="s">
        <v>3044</v>
      </c>
      <c r="E3250" t="s">
        <v>4004</v>
      </c>
      <c r="F3250" t="s">
        <v>3995</v>
      </c>
      <c r="G3250" t="s">
        <v>3954</v>
      </c>
      <c r="H3250" t="s">
        <v>3955</v>
      </c>
      <c r="I3250" t="s">
        <v>3996</v>
      </c>
      <c r="J3250" t="s">
        <v>344</v>
      </c>
      <c r="K3250">
        <v>18</v>
      </c>
      <c r="L3250" s="6">
        <v>5.4</v>
      </c>
      <c r="M3250" s="7">
        <v>19</v>
      </c>
      <c r="N3250" s="7">
        <v>138</v>
      </c>
      <c r="O3250" s="7">
        <f t="shared" si="253"/>
        <v>212.59842519685043</v>
      </c>
      <c r="P3250" s="7">
        <f t="shared" si="254"/>
        <v>0.74803149606299213</v>
      </c>
      <c r="Q3250" s="7">
        <f t="shared" si="254"/>
        <v>5.4330708661417324</v>
      </c>
      <c r="R3250" s="6">
        <f t="shared" si="255"/>
        <v>1251.2739999999999</v>
      </c>
      <c r="S3250" s="6">
        <f t="shared" si="256"/>
        <v>1.4158800000000001E-2</v>
      </c>
      <c r="T3250" t="str">
        <f t="shared" si="252"/>
        <v>Maximo Thermo Clear Radiata Nickel Gap Pre Finished White 1x6 Long</v>
      </c>
    </row>
    <row r="3251" spans="1:20" x14ac:dyDescent="0.25">
      <c r="A3251" t="s">
        <v>3950</v>
      </c>
      <c r="B3251" t="s">
        <v>3972</v>
      </c>
      <c r="C3251" t="s">
        <v>524</v>
      </c>
      <c r="D3251" t="s">
        <v>3044</v>
      </c>
      <c r="E3251" t="s">
        <v>4005</v>
      </c>
      <c r="F3251" t="s">
        <v>3995</v>
      </c>
      <c r="G3251" t="s">
        <v>3954</v>
      </c>
      <c r="H3251" t="s">
        <v>3955</v>
      </c>
      <c r="I3251" t="s">
        <v>3996</v>
      </c>
      <c r="J3251" t="s">
        <v>344</v>
      </c>
      <c r="K3251">
        <v>4</v>
      </c>
      <c r="L3251" s="6">
        <v>1.2</v>
      </c>
      <c r="M3251" s="7">
        <v>19</v>
      </c>
      <c r="N3251" s="7">
        <v>138</v>
      </c>
      <c r="O3251" s="7">
        <f t="shared" si="253"/>
        <v>47.244094488188978</v>
      </c>
      <c r="P3251" s="7">
        <f t="shared" si="254"/>
        <v>0.74803149606299213</v>
      </c>
      <c r="Q3251" s="7">
        <f t="shared" si="254"/>
        <v>5.4330708661417324</v>
      </c>
      <c r="R3251" s="6">
        <f t="shared" si="255"/>
        <v>1251.2739999999999</v>
      </c>
      <c r="S3251" s="6">
        <f t="shared" si="256"/>
        <v>3.1464000000000002E-3</v>
      </c>
      <c r="T3251" t="str">
        <f t="shared" si="252"/>
        <v>Maximo Thermo Clear Radiata Nickel Gap Pre Finished White 1x6 Short</v>
      </c>
    </row>
    <row r="3252" spans="1:20" x14ac:dyDescent="0.25">
      <c r="A3252" t="s">
        <v>3950</v>
      </c>
      <c r="B3252" t="s">
        <v>3972</v>
      </c>
      <c r="C3252" t="s">
        <v>524</v>
      </c>
      <c r="D3252" t="s">
        <v>3044</v>
      </c>
      <c r="E3252" t="s">
        <v>4006</v>
      </c>
      <c r="F3252" t="s">
        <v>3995</v>
      </c>
      <c r="G3252" t="s">
        <v>3954</v>
      </c>
      <c r="H3252" t="s">
        <v>3955</v>
      </c>
      <c r="I3252" t="s">
        <v>3996</v>
      </c>
      <c r="J3252" t="s">
        <v>344</v>
      </c>
      <c r="K3252">
        <v>5</v>
      </c>
      <c r="L3252" s="6">
        <v>1.5</v>
      </c>
      <c r="M3252" s="7">
        <v>19</v>
      </c>
      <c r="N3252" s="7">
        <v>138</v>
      </c>
      <c r="O3252" s="7">
        <f t="shared" si="253"/>
        <v>59.055118110236222</v>
      </c>
      <c r="P3252" s="7">
        <f t="shared" si="254"/>
        <v>0.74803149606299213</v>
      </c>
      <c r="Q3252" s="7">
        <f t="shared" si="254"/>
        <v>5.4330708661417324</v>
      </c>
      <c r="R3252" s="6">
        <f t="shared" si="255"/>
        <v>1251.2739999999999</v>
      </c>
      <c r="S3252" s="6">
        <f t="shared" si="256"/>
        <v>3.9329999999999999E-3</v>
      </c>
      <c r="T3252" t="str">
        <f t="shared" si="252"/>
        <v>Maximo Thermo Clear Radiata Nickel Gap Pre Finished White 1x6 Short</v>
      </c>
    </row>
    <row r="3253" spans="1:20" x14ac:dyDescent="0.25">
      <c r="A3253" t="s">
        <v>3950</v>
      </c>
      <c r="B3253" t="s">
        <v>3972</v>
      </c>
      <c r="C3253" t="s">
        <v>524</v>
      </c>
      <c r="D3253" t="s">
        <v>3044</v>
      </c>
      <c r="E3253" t="s">
        <v>4007</v>
      </c>
      <c r="F3253" t="s">
        <v>3995</v>
      </c>
      <c r="G3253" t="s">
        <v>3954</v>
      </c>
      <c r="H3253" t="s">
        <v>3955</v>
      </c>
      <c r="I3253" t="s">
        <v>3996</v>
      </c>
      <c r="J3253" t="s">
        <v>344</v>
      </c>
      <c r="K3253">
        <v>6</v>
      </c>
      <c r="L3253" s="6">
        <v>1.8</v>
      </c>
      <c r="M3253" s="7">
        <v>19</v>
      </c>
      <c r="N3253" s="7">
        <v>138</v>
      </c>
      <c r="O3253" s="7">
        <f t="shared" si="253"/>
        <v>70.866141732283467</v>
      </c>
      <c r="P3253" s="7">
        <f t="shared" si="254"/>
        <v>0.74803149606299213</v>
      </c>
      <c r="Q3253" s="7">
        <f t="shared" si="254"/>
        <v>5.4330708661417324</v>
      </c>
      <c r="R3253" s="6">
        <f t="shared" si="255"/>
        <v>1251.2739999999999</v>
      </c>
      <c r="S3253" s="6">
        <f t="shared" si="256"/>
        <v>4.7196E-3</v>
      </c>
      <c r="T3253" t="str">
        <f t="shared" si="252"/>
        <v>Maximo Thermo Clear Radiata Nickel Gap Pre Finished White 1x6 Short</v>
      </c>
    </row>
    <row r="3254" spans="1:20" x14ac:dyDescent="0.25">
      <c r="A3254" t="s">
        <v>3950</v>
      </c>
      <c r="B3254" t="s">
        <v>3972</v>
      </c>
      <c r="C3254" t="s">
        <v>524</v>
      </c>
      <c r="D3254" t="s">
        <v>3044</v>
      </c>
      <c r="E3254" t="s">
        <v>4008</v>
      </c>
      <c r="F3254" t="s">
        <v>3995</v>
      </c>
      <c r="G3254" t="s">
        <v>3954</v>
      </c>
      <c r="H3254" t="s">
        <v>3955</v>
      </c>
      <c r="I3254" t="s">
        <v>3996</v>
      </c>
      <c r="J3254" t="s">
        <v>344</v>
      </c>
      <c r="K3254">
        <v>7</v>
      </c>
      <c r="L3254" s="6">
        <v>2.1</v>
      </c>
      <c r="M3254" s="7">
        <v>19</v>
      </c>
      <c r="N3254" s="7">
        <v>138</v>
      </c>
      <c r="O3254" s="7">
        <f t="shared" si="253"/>
        <v>82.677165354330711</v>
      </c>
      <c r="P3254" s="7">
        <f t="shared" si="254"/>
        <v>0.74803149606299213</v>
      </c>
      <c r="Q3254" s="7">
        <f t="shared" si="254"/>
        <v>5.4330708661417324</v>
      </c>
      <c r="R3254" s="6">
        <f t="shared" si="255"/>
        <v>1251.2739999999999</v>
      </c>
      <c r="S3254" s="6">
        <f t="shared" si="256"/>
        <v>5.5062000000000002E-3</v>
      </c>
      <c r="T3254" t="str">
        <f t="shared" si="252"/>
        <v>Maximo Thermo Clear Radiata Nickel Gap Pre Finished White 1x6 Short</v>
      </c>
    </row>
    <row r="3255" spans="1:20" x14ac:dyDescent="0.25">
      <c r="A3255" t="s">
        <v>3950</v>
      </c>
      <c r="B3255" t="s">
        <v>3972</v>
      </c>
      <c r="C3255" t="s">
        <v>283</v>
      </c>
      <c r="D3255" t="s">
        <v>3044</v>
      </c>
      <c r="E3255" t="s">
        <v>4009</v>
      </c>
      <c r="F3255" t="s">
        <v>3995</v>
      </c>
      <c r="G3255" t="s">
        <v>3954</v>
      </c>
      <c r="H3255" t="s">
        <v>3955</v>
      </c>
      <c r="I3255" t="s">
        <v>3996</v>
      </c>
      <c r="J3255" t="s">
        <v>344</v>
      </c>
      <c r="K3255">
        <v>8</v>
      </c>
      <c r="L3255" s="6">
        <v>2.4</v>
      </c>
      <c r="M3255" s="7">
        <v>19</v>
      </c>
      <c r="N3255" s="7">
        <v>138</v>
      </c>
      <c r="O3255" s="7">
        <f t="shared" si="253"/>
        <v>94.488188976377955</v>
      </c>
      <c r="P3255" s="7">
        <f t="shared" si="254"/>
        <v>0.74803149606299213</v>
      </c>
      <c r="Q3255" s="7">
        <f t="shared" si="254"/>
        <v>5.4330708661417324</v>
      </c>
      <c r="R3255" s="6">
        <f t="shared" si="255"/>
        <v>1251.2739999999999</v>
      </c>
      <c r="S3255" s="6">
        <f t="shared" si="256"/>
        <v>6.2928000000000003E-3</v>
      </c>
      <c r="T3255" t="str">
        <f t="shared" si="252"/>
        <v>Maximo Thermo Clear Radiata Nickel Gap Pre Finished White 1x6 Long</v>
      </c>
    </row>
    <row r="3256" spans="1:20" x14ac:dyDescent="0.25">
      <c r="A3256" t="s">
        <v>3950</v>
      </c>
      <c r="B3256" t="s">
        <v>3972</v>
      </c>
      <c r="C3256" t="s">
        <v>283</v>
      </c>
      <c r="D3256" t="s">
        <v>3044</v>
      </c>
      <c r="E3256" t="s">
        <v>4010</v>
      </c>
      <c r="F3256" t="s">
        <v>3995</v>
      </c>
      <c r="G3256" t="s">
        <v>3954</v>
      </c>
      <c r="H3256" t="s">
        <v>3955</v>
      </c>
      <c r="I3256" t="s">
        <v>3996</v>
      </c>
      <c r="J3256" t="s">
        <v>344</v>
      </c>
      <c r="K3256">
        <v>9</v>
      </c>
      <c r="L3256" s="6">
        <v>2.7</v>
      </c>
      <c r="M3256" s="7">
        <v>19</v>
      </c>
      <c r="N3256" s="7">
        <v>138</v>
      </c>
      <c r="O3256" s="7">
        <f t="shared" si="253"/>
        <v>106.29921259842521</v>
      </c>
      <c r="P3256" s="7">
        <f t="shared" si="254"/>
        <v>0.74803149606299213</v>
      </c>
      <c r="Q3256" s="7">
        <f t="shared" si="254"/>
        <v>5.4330708661417324</v>
      </c>
      <c r="R3256" s="6">
        <f t="shared" si="255"/>
        <v>1251.2739999999999</v>
      </c>
      <c r="S3256" s="6">
        <f t="shared" si="256"/>
        <v>7.0794000000000004E-3</v>
      </c>
      <c r="T3256" t="str">
        <f t="shared" si="252"/>
        <v>Maximo Thermo Clear Radiata Nickel Gap Pre Finished White 1x6 Long</v>
      </c>
    </row>
    <row r="3257" spans="1:20" x14ac:dyDescent="0.25">
      <c r="A3257" t="s">
        <v>3950</v>
      </c>
      <c r="B3257" t="s">
        <v>3951</v>
      </c>
      <c r="C3257" t="s">
        <v>283</v>
      </c>
      <c r="D3257" t="s">
        <v>3044</v>
      </c>
      <c r="E3257" t="s">
        <v>4011</v>
      </c>
      <c r="F3257" t="s">
        <v>4012</v>
      </c>
      <c r="G3257" t="s">
        <v>3954</v>
      </c>
      <c r="H3257" t="s">
        <v>3955</v>
      </c>
      <c r="I3257" t="s">
        <v>4013</v>
      </c>
      <c r="J3257" t="s">
        <v>3957</v>
      </c>
      <c r="K3257">
        <v>10</v>
      </c>
      <c r="L3257" s="6">
        <v>3</v>
      </c>
      <c r="M3257" s="7">
        <v>19</v>
      </c>
      <c r="N3257" s="7">
        <v>115</v>
      </c>
      <c r="O3257" s="7">
        <f t="shared" si="253"/>
        <v>118.11023622047244</v>
      </c>
      <c r="P3257" s="7">
        <f t="shared" si="254"/>
        <v>0.74803149606299213</v>
      </c>
      <c r="Q3257" s="7">
        <f t="shared" si="254"/>
        <v>4.5275590551181102</v>
      </c>
      <c r="R3257" s="6">
        <f t="shared" si="255"/>
        <v>1501.529</v>
      </c>
      <c r="S3257" s="6">
        <f t="shared" si="256"/>
        <v>6.5550000000000009E-3</v>
      </c>
      <c r="T3257" t="str">
        <f t="shared" si="252"/>
        <v>Maximo Thermo Clear Radiata Nickel Gap Wire Brushed 1x5 Long</v>
      </c>
    </row>
    <row r="3258" spans="1:20" x14ac:dyDescent="0.25">
      <c r="A3258" t="s">
        <v>3950</v>
      </c>
      <c r="B3258" t="s">
        <v>3951</v>
      </c>
      <c r="C3258" t="s">
        <v>283</v>
      </c>
      <c r="D3258" t="s">
        <v>3044</v>
      </c>
      <c r="E3258" t="s">
        <v>4014</v>
      </c>
      <c r="F3258" t="s">
        <v>4012</v>
      </c>
      <c r="G3258" t="s">
        <v>3954</v>
      </c>
      <c r="H3258" t="s">
        <v>3955</v>
      </c>
      <c r="I3258" t="s">
        <v>4013</v>
      </c>
      <c r="J3258" t="s">
        <v>3957</v>
      </c>
      <c r="K3258">
        <v>11</v>
      </c>
      <c r="L3258" s="6">
        <v>3.3</v>
      </c>
      <c r="M3258" s="7">
        <v>19</v>
      </c>
      <c r="N3258" s="7">
        <v>115</v>
      </c>
      <c r="O3258" s="7">
        <f t="shared" si="253"/>
        <v>129.92125984251967</v>
      </c>
      <c r="P3258" s="7">
        <f t="shared" si="254"/>
        <v>0.74803149606299213</v>
      </c>
      <c r="Q3258" s="7">
        <f t="shared" si="254"/>
        <v>4.5275590551181102</v>
      </c>
      <c r="R3258" s="6">
        <f t="shared" si="255"/>
        <v>1501.529</v>
      </c>
      <c r="S3258" s="6">
        <f t="shared" si="256"/>
        <v>7.210499999999999E-3</v>
      </c>
      <c r="T3258" t="str">
        <f t="shared" si="252"/>
        <v>Maximo Thermo Clear Radiata Nickel Gap Wire Brushed 1x5 Long</v>
      </c>
    </row>
    <row r="3259" spans="1:20" x14ac:dyDescent="0.25">
      <c r="A3259" t="s">
        <v>3950</v>
      </c>
      <c r="B3259" t="s">
        <v>3951</v>
      </c>
      <c r="C3259" t="s">
        <v>283</v>
      </c>
      <c r="D3259" t="s">
        <v>3044</v>
      </c>
      <c r="E3259" t="s">
        <v>4015</v>
      </c>
      <c r="F3259" t="s">
        <v>4012</v>
      </c>
      <c r="G3259" t="s">
        <v>3954</v>
      </c>
      <c r="H3259" t="s">
        <v>3955</v>
      </c>
      <c r="I3259" t="s">
        <v>4013</v>
      </c>
      <c r="J3259" t="s">
        <v>3957</v>
      </c>
      <c r="K3259">
        <v>12</v>
      </c>
      <c r="L3259" s="6">
        <v>3.6</v>
      </c>
      <c r="M3259" s="7">
        <v>19</v>
      </c>
      <c r="N3259" s="7">
        <v>115</v>
      </c>
      <c r="O3259" s="7">
        <f t="shared" si="253"/>
        <v>141.73228346456693</v>
      </c>
      <c r="P3259" s="7">
        <f t="shared" si="254"/>
        <v>0.74803149606299213</v>
      </c>
      <c r="Q3259" s="7">
        <f t="shared" si="254"/>
        <v>4.5275590551181102</v>
      </c>
      <c r="R3259" s="6">
        <f t="shared" si="255"/>
        <v>1501.529</v>
      </c>
      <c r="S3259" s="6">
        <f t="shared" si="256"/>
        <v>7.8659999999999997E-3</v>
      </c>
      <c r="T3259" t="str">
        <f t="shared" si="252"/>
        <v>Maximo Thermo Clear Radiata Nickel Gap Wire Brushed 1x5 Long</v>
      </c>
    </row>
    <row r="3260" spans="1:20" x14ac:dyDescent="0.25">
      <c r="A3260" t="s">
        <v>3950</v>
      </c>
      <c r="B3260" t="s">
        <v>3951</v>
      </c>
      <c r="C3260" t="s">
        <v>283</v>
      </c>
      <c r="D3260" t="s">
        <v>3044</v>
      </c>
      <c r="E3260" t="s">
        <v>4016</v>
      </c>
      <c r="F3260" t="s">
        <v>4012</v>
      </c>
      <c r="G3260" t="s">
        <v>3954</v>
      </c>
      <c r="H3260" t="s">
        <v>3955</v>
      </c>
      <c r="I3260" t="s">
        <v>4013</v>
      </c>
      <c r="J3260" t="s">
        <v>3957</v>
      </c>
      <c r="K3260">
        <v>13</v>
      </c>
      <c r="L3260" s="6">
        <v>3.9</v>
      </c>
      <c r="M3260" s="7">
        <v>19</v>
      </c>
      <c r="N3260" s="7">
        <v>115</v>
      </c>
      <c r="O3260" s="7">
        <f t="shared" si="253"/>
        <v>153.54330708661416</v>
      </c>
      <c r="P3260" s="7">
        <f t="shared" si="254"/>
        <v>0.74803149606299213</v>
      </c>
      <c r="Q3260" s="7">
        <f t="shared" si="254"/>
        <v>4.5275590551181102</v>
      </c>
      <c r="R3260" s="6">
        <f t="shared" si="255"/>
        <v>1501.529</v>
      </c>
      <c r="S3260" s="6">
        <f t="shared" si="256"/>
        <v>8.5214999999999996E-3</v>
      </c>
      <c r="T3260" t="str">
        <f t="shared" si="252"/>
        <v>Maximo Thermo Clear Radiata Nickel Gap Wire Brushed 1x5 Long</v>
      </c>
    </row>
    <row r="3261" spans="1:20" x14ac:dyDescent="0.25">
      <c r="A3261" t="s">
        <v>3950</v>
      </c>
      <c r="B3261" t="s">
        <v>3951</v>
      </c>
      <c r="C3261" t="s">
        <v>283</v>
      </c>
      <c r="D3261" t="s">
        <v>3044</v>
      </c>
      <c r="E3261" t="s">
        <v>4017</v>
      </c>
      <c r="F3261" t="s">
        <v>4012</v>
      </c>
      <c r="G3261" t="s">
        <v>3954</v>
      </c>
      <c r="H3261" t="s">
        <v>3955</v>
      </c>
      <c r="I3261" t="s">
        <v>4013</v>
      </c>
      <c r="J3261" t="s">
        <v>3957</v>
      </c>
      <c r="K3261">
        <v>14</v>
      </c>
      <c r="L3261" s="6">
        <v>4.2</v>
      </c>
      <c r="M3261" s="7">
        <v>19</v>
      </c>
      <c r="N3261" s="7">
        <v>115</v>
      </c>
      <c r="O3261" s="7">
        <f t="shared" si="253"/>
        <v>165.35433070866142</v>
      </c>
      <c r="P3261" s="7">
        <f t="shared" si="254"/>
        <v>0.74803149606299213</v>
      </c>
      <c r="Q3261" s="7">
        <f t="shared" si="254"/>
        <v>4.5275590551181102</v>
      </c>
      <c r="R3261" s="6">
        <f t="shared" si="255"/>
        <v>1501.529</v>
      </c>
      <c r="S3261" s="6">
        <f t="shared" si="256"/>
        <v>9.1769999999999994E-3</v>
      </c>
      <c r="T3261" t="str">
        <f t="shared" si="252"/>
        <v>Maximo Thermo Clear Radiata Nickel Gap Wire Brushed 1x5 Long</v>
      </c>
    </row>
    <row r="3262" spans="1:20" x14ac:dyDescent="0.25">
      <c r="A3262" t="s">
        <v>3950</v>
      </c>
      <c r="B3262" t="s">
        <v>3951</v>
      </c>
      <c r="C3262" t="s">
        <v>283</v>
      </c>
      <c r="D3262" t="s">
        <v>3044</v>
      </c>
      <c r="E3262" t="s">
        <v>4018</v>
      </c>
      <c r="F3262" t="s">
        <v>4012</v>
      </c>
      <c r="G3262" t="s">
        <v>3954</v>
      </c>
      <c r="H3262" t="s">
        <v>3955</v>
      </c>
      <c r="I3262" t="s">
        <v>4013</v>
      </c>
      <c r="J3262" t="s">
        <v>3957</v>
      </c>
      <c r="K3262">
        <v>15</v>
      </c>
      <c r="L3262" s="6">
        <v>4.5</v>
      </c>
      <c r="M3262" s="7">
        <v>19</v>
      </c>
      <c r="N3262" s="7">
        <v>115</v>
      </c>
      <c r="O3262" s="7">
        <f t="shared" si="253"/>
        <v>177.16535433070868</v>
      </c>
      <c r="P3262" s="7">
        <f t="shared" si="254"/>
        <v>0.74803149606299213</v>
      </c>
      <c r="Q3262" s="7">
        <f t="shared" si="254"/>
        <v>4.5275590551181102</v>
      </c>
      <c r="R3262" s="6">
        <f t="shared" si="255"/>
        <v>1501.529</v>
      </c>
      <c r="S3262" s="6">
        <f t="shared" si="256"/>
        <v>9.832500000000001E-3</v>
      </c>
      <c r="T3262" t="str">
        <f t="shared" si="252"/>
        <v>Maximo Thermo Clear Radiata Nickel Gap Wire Brushed 1x5 Long</v>
      </c>
    </row>
    <row r="3263" spans="1:20" x14ac:dyDescent="0.25">
      <c r="A3263" t="s">
        <v>3950</v>
      </c>
      <c r="B3263" t="s">
        <v>3951</v>
      </c>
      <c r="C3263" t="s">
        <v>283</v>
      </c>
      <c r="D3263" t="s">
        <v>3044</v>
      </c>
      <c r="E3263" t="s">
        <v>66</v>
      </c>
      <c r="F3263" t="s">
        <v>4012</v>
      </c>
      <c r="G3263" t="s">
        <v>3954</v>
      </c>
      <c r="H3263" t="s">
        <v>3955</v>
      </c>
      <c r="I3263" t="s">
        <v>4013</v>
      </c>
      <c r="J3263" t="s">
        <v>3957</v>
      </c>
      <c r="K3263">
        <v>16</v>
      </c>
      <c r="L3263" s="6">
        <v>4.8</v>
      </c>
      <c r="M3263" s="7">
        <v>19</v>
      </c>
      <c r="N3263" s="7">
        <v>115</v>
      </c>
      <c r="O3263" s="7">
        <f t="shared" si="253"/>
        <v>188.97637795275591</v>
      </c>
      <c r="P3263" s="7">
        <f t="shared" si="254"/>
        <v>0.74803149606299213</v>
      </c>
      <c r="Q3263" s="7">
        <f t="shared" si="254"/>
        <v>4.5275590551181102</v>
      </c>
      <c r="R3263" s="6">
        <f t="shared" si="255"/>
        <v>1501.529</v>
      </c>
      <c r="S3263" s="6">
        <f t="shared" si="256"/>
        <v>1.0487999999999999E-2</v>
      </c>
      <c r="T3263" t="str">
        <f t="shared" si="252"/>
        <v>Maximo Thermo Clear Radiata Nickel Gap Wire Brushed 1x5 Long</v>
      </c>
    </row>
    <row r="3264" spans="1:20" x14ac:dyDescent="0.25">
      <c r="A3264" t="s">
        <v>3950</v>
      </c>
      <c r="B3264" t="s">
        <v>3951</v>
      </c>
      <c r="C3264" t="s">
        <v>283</v>
      </c>
      <c r="D3264" t="s">
        <v>3044</v>
      </c>
      <c r="E3264" t="s">
        <v>4019</v>
      </c>
      <c r="F3264" t="s">
        <v>4012</v>
      </c>
      <c r="G3264" t="s">
        <v>3954</v>
      </c>
      <c r="H3264" t="s">
        <v>3955</v>
      </c>
      <c r="I3264" t="s">
        <v>4013</v>
      </c>
      <c r="J3264" t="s">
        <v>3957</v>
      </c>
      <c r="K3264">
        <v>17</v>
      </c>
      <c r="L3264" s="6">
        <v>5.0999999999999996</v>
      </c>
      <c r="M3264" s="7">
        <v>19</v>
      </c>
      <c r="N3264" s="7">
        <v>115</v>
      </c>
      <c r="O3264" s="7">
        <f t="shared" si="253"/>
        <v>200.78740157480314</v>
      </c>
      <c r="P3264" s="7">
        <f t="shared" si="254"/>
        <v>0.74803149606299213</v>
      </c>
      <c r="Q3264" s="7">
        <f t="shared" si="254"/>
        <v>4.5275590551181102</v>
      </c>
      <c r="R3264" s="6">
        <f t="shared" si="255"/>
        <v>1501.529</v>
      </c>
      <c r="S3264" s="6">
        <f t="shared" si="256"/>
        <v>1.1143499999999997E-2</v>
      </c>
      <c r="T3264" t="str">
        <f t="shared" si="252"/>
        <v>Maximo Thermo Clear Radiata Nickel Gap Wire Brushed 1x5 Long</v>
      </c>
    </row>
    <row r="3265" spans="1:20" x14ac:dyDescent="0.25">
      <c r="A3265" t="s">
        <v>3950</v>
      </c>
      <c r="B3265" t="s">
        <v>3951</v>
      </c>
      <c r="C3265" t="s">
        <v>283</v>
      </c>
      <c r="D3265" t="s">
        <v>3044</v>
      </c>
      <c r="E3265" t="s">
        <v>4020</v>
      </c>
      <c r="F3265" t="s">
        <v>4012</v>
      </c>
      <c r="G3265" t="s">
        <v>3954</v>
      </c>
      <c r="H3265" t="s">
        <v>3955</v>
      </c>
      <c r="I3265" t="s">
        <v>4013</v>
      </c>
      <c r="J3265" t="s">
        <v>3957</v>
      </c>
      <c r="K3265">
        <v>18</v>
      </c>
      <c r="L3265" s="6">
        <v>5.4</v>
      </c>
      <c r="M3265" s="7">
        <v>19</v>
      </c>
      <c r="N3265" s="7">
        <v>115</v>
      </c>
      <c r="O3265" s="7">
        <f t="shared" si="253"/>
        <v>212.59842519685043</v>
      </c>
      <c r="P3265" s="7">
        <f t="shared" si="254"/>
        <v>0.74803149606299213</v>
      </c>
      <c r="Q3265" s="7">
        <f t="shared" si="254"/>
        <v>4.5275590551181102</v>
      </c>
      <c r="R3265" s="6">
        <f t="shared" si="255"/>
        <v>1501.529</v>
      </c>
      <c r="S3265" s="6">
        <f t="shared" si="256"/>
        <v>1.1799E-2</v>
      </c>
      <c r="T3265" t="str">
        <f t="shared" si="252"/>
        <v>Maximo Thermo Clear Radiata Nickel Gap Wire Brushed 1x5 Long</v>
      </c>
    </row>
    <row r="3266" spans="1:20" x14ac:dyDescent="0.25">
      <c r="A3266" t="s">
        <v>3950</v>
      </c>
      <c r="B3266" t="s">
        <v>3951</v>
      </c>
      <c r="C3266" t="s">
        <v>524</v>
      </c>
      <c r="D3266" t="s">
        <v>3044</v>
      </c>
      <c r="E3266" t="s">
        <v>4021</v>
      </c>
      <c r="F3266" t="s">
        <v>4012</v>
      </c>
      <c r="G3266" t="s">
        <v>3954</v>
      </c>
      <c r="H3266" t="s">
        <v>3955</v>
      </c>
      <c r="I3266" t="s">
        <v>4013</v>
      </c>
      <c r="J3266" t="s">
        <v>3957</v>
      </c>
      <c r="K3266">
        <v>4</v>
      </c>
      <c r="L3266" s="6">
        <v>1.2</v>
      </c>
      <c r="M3266" s="7">
        <v>19</v>
      </c>
      <c r="N3266" s="7">
        <v>115</v>
      </c>
      <c r="O3266" s="7">
        <f t="shared" si="253"/>
        <v>47.244094488188978</v>
      </c>
      <c r="P3266" s="7">
        <f t="shared" si="254"/>
        <v>0.74803149606299213</v>
      </c>
      <c r="Q3266" s="7">
        <f t="shared" si="254"/>
        <v>4.5275590551181102</v>
      </c>
      <c r="R3266" s="6">
        <f t="shared" si="255"/>
        <v>1501.529</v>
      </c>
      <c r="S3266" s="6">
        <f t="shared" si="256"/>
        <v>2.6219999999999998E-3</v>
      </c>
      <c r="T3266" t="str">
        <f t="shared" ref="T3266:T3329" si="257">F3266&amp;" "&amp;C3266</f>
        <v>Maximo Thermo Clear Radiata Nickel Gap Wire Brushed 1x5 Short</v>
      </c>
    </row>
    <row r="3267" spans="1:20" x14ac:dyDescent="0.25">
      <c r="A3267" t="s">
        <v>3950</v>
      </c>
      <c r="B3267" t="s">
        <v>3951</v>
      </c>
      <c r="C3267" t="s">
        <v>524</v>
      </c>
      <c r="D3267" t="s">
        <v>3044</v>
      </c>
      <c r="E3267" t="s">
        <v>4022</v>
      </c>
      <c r="F3267" t="s">
        <v>4012</v>
      </c>
      <c r="G3267" t="s">
        <v>3954</v>
      </c>
      <c r="H3267" t="s">
        <v>3955</v>
      </c>
      <c r="I3267" t="s">
        <v>4013</v>
      </c>
      <c r="J3267" t="s">
        <v>3957</v>
      </c>
      <c r="K3267">
        <v>5</v>
      </c>
      <c r="L3267" s="6">
        <v>1.5</v>
      </c>
      <c r="M3267" s="7">
        <v>19</v>
      </c>
      <c r="N3267" s="7">
        <v>115</v>
      </c>
      <c r="O3267" s="7">
        <f t="shared" si="253"/>
        <v>59.055118110236222</v>
      </c>
      <c r="P3267" s="7">
        <f t="shared" si="254"/>
        <v>0.74803149606299213</v>
      </c>
      <c r="Q3267" s="7">
        <f t="shared" si="254"/>
        <v>4.5275590551181102</v>
      </c>
      <c r="R3267" s="6">
        <f t="shared" si="255"/>
        <v>1501.529</v>
      </c>
      <c r="S3267" s="6">
        <f t="shared" si="256"/>
        <v>3.2775000000000005E-3</v>
      </c>
      <c r="T3267" t="str">
        <f t="shared" si="257"/>
        <v>Maximo Thermo Clear Radiata Nickel Gap Wire Brushed 1x5 Short</v>
      </c>
    </row>
    <row r="3268" spans="1:20" x14ac:dyDescent="0.25">
      <c r="A3268" t="s">
        <v>3950</v>
      </c>
      <c r="B3268" t="s">
        <v>3951</v>
      </c>
      <c r="C3268" t="s">
        <v>524</v>
      </c>
      <c r="D3268" t="s">
        <v>3044</v>
      </c>
      <c r="E3268" t="s">
        <v>4023</v>
      </c>
      <c r="F3268" t="s">
        <v>4012</v>
      </c>
      <c r="G3268" t="s">
        <v>3954</v>
      </c>
      <c r="H3268" t="s">
        <v>3955</v>
      </c>
      <c r="I3268" t="s">
        <v>4013</v>
      </c>
      <c r="J3268" t="s">
        <v>3957</v>
      </c>
      <c r="K3268">
        <v>6</v>
      </c>
      <c r="L3268" s="6">
        <v>1.8</v>
      </c>
      <c r="M3268" s="7">
        <v>19</v>
      </c>
      <c r="N3268" s="7">
        <v>115</v>
      </c>
      <c r="O3268" s="7">
        <f t="shared" si="253"/>
        <v>70.866141732283467</v>
      </c>
      <c r="P3268" s="7">
        <f t="shared" si="254"/>
        <v>0.74803149606299213</v>
      </c>
      <c r="Q3268" s="7">
        <f t="shared" si="254"/>
        <v>4.5275590551181102</v>
      </c>
      <c r="R3268" s="6">
        <f t="shared" si="255"/>
        <v>1501.529</v>
      </c>
      <c r="S3268" s="6">
        <f t="shared" si="256"/>
        <v>3.9329999999999999E-3</v>
      </c>
      <c r="T3268" t="str">
        <f t="shared" si="257"/>
        <v>Maximo Thermo Clear Radiata Nickel Gap Wire Brushed 1x5 Short</v>
      </c>
    </row>
    <row r="3269" spans="1:20" x14ac:dyDescent="0.25">
      <c r="A3269" t="s">
        <v>3950</v>
      </c>
      <c r="B3269" t="s">
        <v>3951</v>
      </c>
      <c r="C3269" t="s">
        <v>524</v>
      </c>
      <c r="D3269" t="s">
        <v>3044</v>
      </c>
      <c r="E3269" t="s">
        <v>4024</v>
      </c>
      <c r="F3269" t="s">
        <v>4012</v>
      </c>
      <c r="G3269" t="s">
        <v>3954</v>
      </c>
      <c r="H3269" t="s">
        <v>3955</v>
      </c>
      <c r="I3269" t="s">
        <v>4013</v>
      </c>
      <c r="J3269" t="s">
        <v>3957</v>
      </c>
      <c r="K3269">
        <v>7</v>
      </c>
      <c r="L3269" s="6">
        <v>2.1</v>
      </c>
      <c r="M3269" s="7">
        <v>19</v>
      </c>
      <c r="N3269" s="7">
        <v>115</v>
      </c>
      <c r="O3269" s="7">
        <f t="shared" si="253"/>
        <v>82.677165354330711</v>
      </c>
      <c r="P3269" s="7">
        <f t="shared" si="254"/>
        <v>0.74803149606299213</v>
      </c>
      <c r="Q3269" s="7">
        <f t="shared" si="254"/>
        <v>4.5275590551181102</v>
      </c>
      <c r="R3269" s="6">
        <f t="shared" si="255"/>
        <v>1501.529</v>
      </c>
      <c r="S3269" s="6">
        <f t="shared" si="256"/>
        <v>4.5884999999999997E-3</v>
      </c>
      <c r="T3269" t="str">
        <f t="shared" si="257"/>
        <v>Maximo Thermo Clear Radiata Nickel Gap Wire Brushed 1x5 Short</v>
      </c>
    </row>
    <row r="3270" spans="1:20" x14ac:dyDescent="0.25">
      <c r="A3270" t="s">
        <v>3950</v>
      </c>
      <c r="B3270" t="s">
        <v>3951</v>
      </c>
      <c r="C3270" t="s">
        <v>283</v>
      </c>
      <c r="D3270" t="s">
        <v>3044</v>
      </c>
      <c r="E3270" t="s">
        <v>4025</v>
      </c>
      <c r="F3270" t="s">
        <v>4012</v>
      </c>
      <c r="G3270" t="s">
        <v>3954</v>
      </c>
      <c r="H3270" t="s">
        <v>3955</v>
      </c>
      <c r="I3270" t="s">
        <v>4013</v>
      </c>
      <c r="J3270" t="s">
        <v>3957</v>
      </c>
      <c r="K3270">
        <v>8</v>
      </c>
      <c r="L3270" s="6">
        <v>2.4</v>
      </c>
      <c r="M3270" s="7">
        <v>19</v>
      </c>
      <c r="N3270" s="7">
        <v>115</v>
      </c>
      <c r="O3270" s="7">
        <f t="shared" si="253"/>
        <v>94.488188976377955</v>
      </c>
      <c r="P3270" s="7">
        <f t="shared" si="254"/>
        <v>0.74803149606299213</v>
      </c>
      <c r="Q3270" s="7">
        <f t="shared" si="254"/>
        <v>4.5275590551181102</v>
      </c>
      <c r="R3270" s="6">
        <f t="shared" si="255"/>
        <v>1501.529</v>
      </c>
      <c r="S3270" s="6">
        <f t="shared" si="256"/>
        <v>5.2439999999999995E-3</v>
      </c>
      <c r="T3270" t="str">
        <f t="shared" si="257"/>
        <v>Maximo Thermo Clear Radiata Nickel Gap Wire Brushed 1x5 Long</v>
      </c>
    </row>
    <row r="3271" spans="1:20" x14ac:dyDescent="0.25">
      <c r="A3271" t="s">
        <v>3950</v>
      </c>
      <c r="B3271" t="s">
        <v>3951</v>
      </c>
      <c r="C3271" t="s">
        <v>283</v>
      </c>
      <c r="D3271" t="s">
        <v>3044</v>
      </c>
      <c r="E3271" t="s">
        <v>4026</v>
      </c>
      <c r="F3271" t="s">
        <v>4012</v>
      </c>
      <c r="G3271" t="s">
        <v>3954</v>
      </c>
      <c r="H3271" t="s">
        <v>3955</v>
      </c>
      <c r="I3271" t="s">
        <v>4013</v>
      </c>
      <c r="J3271" t="s">
        <v>3957</v>
      </c>
      <c r="K3271">
        <v>9</v>
      </c>
      <c r="L3271" s="6">
        <v>2.7</v>
      </c>
      <c r="M3271" s="7">
        <v>19</v>
      </c>
      <c r="N3271" s="7">
        <v>115</v>
      </c>
      <c r="O3271" s="7">
        <f t="shared" si="253"/>
        <v>106.29921259842521</v>
      </c>
      <c r="P3271" s="7">
        <f t="shared" si="254"/>
        <v>0.74803149606299213</v>
      </c>
      <c r="Q3271" s="7">
        <f t="shared" si="254"/>
        <v>4.5275590551181102</v>
      </c>
      <c r="R3271" s="6">
        <f t="shared" si="255"/>
        <v>1501.529</v>
      </c>
      <c r="S3271" s="6">
        <f t="shared" si="256"/>
        <v>5.8995000000000002E-3</v>
      </c>
      <c r="T3271" t="str">
        <f t="shared" si="257"/>
        <v>Maximo Thermo Clear Radiata Nickel Gap Wire Brushed 1x5 Long</v>
      </c>
    </row>
    <row r="3272" spans="1:20" x14ac:dyDescent="0.25">
      <c r="A3272" t="s">
        <v>3950</v>
      </c>
      <c r="B3272" t="s">
        <v>4027</v>
      </c>
      <c r="C3272" t="s">
        <v>283</v>
      </c>
      <c r="D3272" t="s">
        <v>3044</v>
      </c>
      <c r="E3272" t="s">
        <v>4028</v>
      </c>
      <c r="F3272" t="s">
        <v>4029</v>
      </c>
      <c r="G3272" t="s">
        <v>3954</v>
      </c>
      <c r="H3272" t="s">
        <v>3955</v>
      </c>
      <c r="I3272" t="s">
        <v>289</v>
      </c>
      <c r="J3272" t="s">
        <v>4030</v>
      </c>
      <c r="K3272">
        <v>10</v>
      </c>
      <c r="L3272" s="6">
        <v>3</v>
      </c>
      <c r="M3272" s="7">
        <v>10</v>
      </c>
      <c r="N3272" s="7">
        <v>90</v>
      </c>
      <c r="O3272" s="7">
        <f t="shared" si="253"/>
        <v>118.11023622047244</v>
      </c>
      <c r="P3272" s="7">
        <f t="shared" si="254"/>
        <v>0.39370078740157483</v>
      </c>
      <c r="Q3272" s="7">
        <f t="shared" si="254"/>
        <v>3.5433070866141736</v>
      </c>
      <c r="R3272" s="6">
        <f t="shared" si="255"/>
        <v>3645.3780000000002</v>
      </c>
      <c r="S3272" s="6">
        <f t="shared" si="256"/>
        <v>2.6999999999999997E-3</v>
      </c>
      <c r="T3272" t="str">
        <f t="shared" si="257"/>
        <v>Maximo Thermo Clear Radiata Nickel Gap 3/8x4 Long</v>
      </c>
    </row>
    <row r="3273" spans="1:20" x14ac:dyDescent="0.25">
      <c r="A3273" t="s">
        <v>3950</v>
      </c>
      <c r="B3273" t="s">
        <v>4027</v>
      </c>
      <c r="C3273" t="s">
        <v>283</v>
      </c>
      <c r="D3273" t="s">
        <v>3044</v>
      </c>
      <c r="E3273" t="s">
        <v>4031</v>
      </c>
      <c r="F3273" t="s">
        <v>4029</v>
      </c>
      <c r="G3273" t="s">
        <v>3954</v>
      </c>
      <c r="H3273" t="s">
        <v>3955</v>
      </c>
      <c r="I3273" t="s">
        <v>289</v>
      </c>
      <c r="J3273" t="s">
        <v>4030</v>
      </c>
      <c r="K3273">
        <v>11</v>
      </c>
      <c r="L3273" s="6">
        <v>3.3</v>
      </c>
      <c r="M3273" s="7">
        <v>10</v>
      </c>
      <c r="N3273" s="7">
        <v>90</v>
      </c>
      <c r="O3273" s="7">
        <f t="shared" si="253"/>
        <v>129.92125984251967</v>
      </c>
      <c r="P3273" s="7">
        <f t="shared" si="254"/>
        <v>0.39370078740157483</v>
      </c>
      <c r="Q3273" s="7">
        <f t="shared" si="254"/>
        <v>3.5433070866141736</v>
      </c>
      <c r="R3273" s="6">
        <f t="shared" si="255"/>
        <v>3645.3780000000002</v>
      </c>
      <c r="S3273" s="6">
        <f t="shared" si="256"/>
        <v>2.97E-3</v>
      </c>
      <c r="T3273" t="str">
        <f t="shared" si="257"/>
        <v>Maximo Thermo Clear Radiata Nickel Gap 3/8x4 Long</v>
      </c>
    </row>
    <row r="3274" spans="1:20" x14ac:dyDescent="0.25">
      <c r="A3274" t="s">
        <v>3950</v>
      </c>
      <c r="B3274" t="s">
        <v>4027</v>
      </c>
      <c r="C3274" t="s">
        <v>283</v>
      </c>
      <c r="D3274" t="s">
        <v>3044</v>
      </c>
      <c r="E3274" t="s">
        <v>4032</v>
      </c>
      <c r="F3274" t="s">
        <v>4029</v>
      </c>
      <c r="G3274" t="s">
        <v>3954</v>
      </c>
      <c r="H3274" t="s">
        <v>3955</v>
      </c>
      <c r="I3274" t="s">
        <v>289</v>
      </c>
      <c r="J3274" t="s">
        <v>4030</v>
      </c>
      <c r="K3274">
        <v>12</v>
      </c>
      <c r="L3274" s="6">
        <v>3.6</v>
      </c>
      <c r="M3274" s="7">
        <v>10</v>
      </c>
      <c r="N3274" s="7">
        <v>90</v>
      </c>
      <c r="O3274" s="7">
        <f t="shared" si="253"/>
        <v>141.73228346456693</v>
      </c>
      <c r="P3274" s="7">
        <f t="shared" si="254"/>
        <v>0.39370078740157483</v>
      </c>
      <c r="Q3274" s="7">
        <f t="shared" si="254"/>
        <v>3.5433070866141736</v>
      </c>
      <c r="R3274" s="6">
        <f t="shared" si="255"/>
        <v>3645.3780000000002</v>
      </c>
      <c r="S3274" s="6">
        <f t="shared" si="256"/>
        <v>3.2399999999999998E-3</v>
      </c>
      <c r="T3274" t="str">
        <f t="shared" si="257"/>
        <v>Maximo Thermo Clear Radiata Nickel Gap 3/8x4 Long</v>
      </c>
    </row>
    <row r="3275" spans="1:20" x14ac:dyDescent="0.25">
      <c r="A3275" t="s">
        <v>3950</v>
      </c>
      <c r="B3275" t="s">
        <v>4027</v>
      </c>
      <c r="C3275" t="s">
        <v>283</v>
      </c>
      <c r="D3275" t="s">
        <v>3044</v>
      </c>
      <c r="E3275" t="s">
        <v>4033</v>
      </c>
      <c r="F3275" t="s">
        <v>4029</v>
      </c>
      <c r="G3275" t="s">
        <v>3954</v>
      </c>
      <c r="H3275" t="s">
        <v>3955</v>
      </c>
      <c r="I3275" t="s">
        <v>289</v>
      </c>
      <c r="J3275" t="s">
        <v>4030</v>
      </c>
      <c r="K3275">
        <v>13</v>
      </c>
      <c r="L3275" s="6">
        <v>3.9</v>
      </c>
      <c r="M3275" s="7">
        <v>10</v>
      </c>
      <c r="N3275" s="7">
        <v>90</v>
      </c>
      <c r="O3275" s="7">
        <f t="shared" si="253"/>
        <v>153.54330708661416</v>
      </c>
      <c r="P3275" s="7">
        <f t="shared" si="254"/>
        <v>0.39370078740157483</v>
      </c>
      <c r="Q3275" s="7">
        <f t="shared" si="254"/>
        <v>3.5433070866141736</v>
      </c>
      <c r="R3275" s="6">
        <f t="shared" si="255"/>
        <v>3645.3780000000002</v>
      </c>
      <c r="S3275" s="6">
        <f t="shared" si="256"/>
        <v>3.5099999999999997E-3</v>
      </c>
      <c r="T3275" t="str">
        <f t="shared" si="257"/>
        <v>Maximo Thermo Clear Radiata Nickel Gap 3/8x4 Long</v>
      </c>
    </row>
    <row r="3276" spans="1:20" x14ac:dyDescent="0.25">
      <c r="A3276" t="s">
        <v>3950</v>
      </c>
      <c r="B3276" t="s">
        <v>4027</v>
      </c>
      <c r="C3276" t="s">
        <v>283</v>
      </c>
      <c r="D3276" t="s">
        <v>3044</v>
      </c>
      <c r="E3276" t="s">
        <v>4034</v>
      </c>
      <c r="F3276" t="s">
        <v>4029</v>
      </c>
      <c r="G3276" t="s">
        <v>3954</v>
      </c>
      <c r="H3276" t="s">
        <v>3955</v>
      </c>
      <c r="I3276" t="s">
        <v>289</v>
      </c>
      <c r="J3276" t="s">
        <v>4030</v>
      </c>
      <c r="K3276">
        <v>14</v>
      </c>
      <c r="L3276" s="6">
        <v>4.2</v>
      </c>
      <c r="M3276" s="7">
        <v>10</v>
      </c>
      <c r="N3276" s="7">
        <v>90</v>
      </c>
      <c r="O3276" s="7">
        <f t="shared" si="253"/>
        <v>165.35433070866142</v>
      </c>
      <c r="P3276" s="7">
        <f t="shared" si="254"/>
        <v>0.39370078740157483</v>
      </c>
      <c r="Q3276" s="7">
        <f t="shared" si="254"/>
        <v>3.5433070866141736</v>
      </c>
      <c r="R3276" s="6">
        <f t="shared" si="255"/>
        <v>3645.3780000000002</v>
      </c>
      <c r="S3276" s="6">
        <f t="shared" si="256"/>
        <v>3.7800000000000004E-3</v>
      </c>
      <c r="T3276" t="str">
        <f t="shared" si="257"/>
        <v>Maximo Thermo Clear Radiata Nickel Gap 3/8x4 Long</v>
      </c>
    </row>
    <row r="3277" spans="1:20" x14ac:dyDescent="0.25">
      <c r="A3277" t="s">
        <v>3950</v>
      </c>
      <c r="B3277" t="s">
        <v>4027</v>
      </c>
      <c r="C3277" t="s">
        <v>283</v>
      </c>
      <c r="D3277" t="s">
        <v>3044</v>
      </c>
      <c r="E3277" t="s">
        <v>4035</v>
      </c>
      <c r="F3277" t="s">
        <v>4029</v>
      </c>
      <c r="G3277" t="s">
        <v>3954</v>
      </c>
      <c r="H3277" t="s">
        <v>3955</v>
      </c>
      <c r="I3277" t="s">
        <v>289</v>
      </c>
      <c r="J3277" t="s">
        <v>4030</v>
      </c>
      <c r="K3277">
        <v>15</v>
      </c>
      <c r="L3277" s="6">
        <v>4.5</v>
      </c>
      <c r="M3277" s="7">
        <v>10</v>
      </c>
      <c r="N3277" s="7">
        <v>90</v>
      </c>
      <c r="O3277" s="7">
        <f t="shared" si="253"/>
        <v>177.16535433070868</v>
      </c>
      <c r="P3277" s="7">
        <f t="shared" si="254"/>
        <v>0.39370078740157483</v>
      </c>
      <c r="Q3277" s="7">
        <f t="shared" si="254"/>
        <v>3.5433070866141736</v>
      </c>
      <c r="R3277" s="6">
        <f t="shared" si="255"/>
        <v>3645.3780000000002</v>
      </c>
      <c r="S3277" s="6">
        <f t="shared" si="256"/>
        <v>4.0499999999999998E-3</v>
      </c>
      <c r="T3277" t="str">
        <f t="shared" si="257"/>
        <v>Maximo Thermo Clear Radiata Nickel Gap 3/8x4 Long</v>
      </c>
    </row>
    <row r="3278" spans="1:20" x14ac:dyDescent="0.25">
      <c r="A3278" t="s">
        <v>3950</v>
      </c>
      <c r="B3278" t="s">
        <v>4027</v>
      </c>
      <c r="C3278" t="s">
        <v>283</v>
      </c>
      <c r="D3278" t="s">
        <v>3044</v>
      </c>
      <c r="E3278" t="s">
        <v>4036</v>
      </c>
      <c r="F3278" t="s">
        <v>4029</v>
      </c>
      <c r="G3278" t="s">
        <v>3954</v>
      </c>
      <c r="H3278" t="s">
        <v>3955</v>
      </c>
      <c r="I3278" t="s">
        <v>289</v>
      </c>
      <c r="J3278" t="s">
        <v>4030</v>
      </c>
      <c r="K3278">
        <v>16</v>
      </c>
      <c r="L3278" s="6">
        <v>4.8</v>
      </c>
      <c r="M3278" s="7">
        <v>10</v>
      </c>
      <c r="N3278" s="7">
        <v>90</v>
      </c>
      <c r="O3278" s="7">
        <f t="shared" si="253"/>
        <v>188.97637795275591</v>
      </c>
      <c r="P3278" s="7">
        <f t="shared" si="254"/>
        <v>0.39370078740157483</v>
      </c>
      <c r="Q3278" s="7">
        <f t="shared" si="254"/>
        <v>3.5433070866141736</v>
      </c>
      <c r="R3278" s="6">
        <f t="shared" si="255"/>
        <v>3645.3780000000002</v>
      </c>
      <c r="S3278" s="6">
        <f t="shared" si="256"/>
        <v>4.3200000000000001E-3</v>
      </c>
      <c r="T3278" t="str">
        <f t="shared" si="257"/>
        <v>Maximo Thermo Clear Radiata Nickel Gap 3/8x4 Long</v>
      </c>
    </row>
    <row r="3279" spans="1:20" x14ac:dyDescent="0.25">
      <c r="A3279" t="s">
        <v>3950</v>
      </c>
      <c r="B3279" t="s">
        <v>4027</v>
      </c>
      <c r="C3279" t="s">
        <v>283</v>
      </c>
      <c r="D3279" t="s">
        <v>3044</v>
      </c>
      <c r="E3279" t="s">
        <v>4037</v>
      </c>
      <c r="F3279" t="s">
        <v>4029</v>
      </c>
      <c r="G3279" t="s">
        <v>3954</v>
      </c>
      <c r="H3279" t="s">
        <v>3955</v>
      </c>
      <c r="I3279" t="s">
        <v>289</v>
      </c>
      <c r="J3279" t="s">
        <v>4030</v>
      </c>
      <c r="K3279">
        <v>17</v>
      </c>
      <c r="L3279" s="6">
        <v>5.0999999999999996</v>
      </c>
      <c r="M3279" s="7">
        <v>10</v>
      </c>
      <c r="N3279" s="7">
        <v>90</v>
      </c>
      <c r="O3279" s="7">
        <f t="shared" si="253"/>
        <v>200.78740157480314</v>
      </c>
      <c r="P3279" s="7">
        <f t="shared" si="254"/>
        <v>0.39370078740157483</v>
      </c>
      <c r="Q3279" s="7">
        <f t="shared" si="254"/>
        <v>3.5433070866141736</v>
      </c>
      <c r="R3279" s="6">
        <f t="shared" si="255"/>
        <v>3645.3780000000002</v>
      </c>
      <c r="S3279" s="6">
        <f t="shared" si="256"/>
        <v>4.5899999999999995E-3</v>
      </c>
      <c r="T3279" t="str">
        <f t="shared" si="257"/>
        <v>Maximo Thermo Clear Radiata Nickel Gap 3/8x4 Long</v>
      </c>
    </row>
    <row r="3280" spans="1:20" x14ac:dyDescent="0.25">
      <c r="A3280" t="s">
        <v>3950</v>
      </c>
      <c r="B3280" t="s">
        <v>4027</v>
      </c>
      <c r="C3280" t="s">
        <v>283</v>
      </c>
      <c r="D3280" t="s">
        <v>3044</v>
      </c>
      <c r="E3280" t="s">
        <v>4038</v>
      </c>
      <c r="F3280" t="s">
        <v>4029</v>
      </c>
      <c r="G3280" t="s">
        <v>3954</v>
      </c>
      <c r="H3280" t="s">
        <v>3955</v>
      </c>
      <c r="I3280" t="s">
        <v>289</v>
      </c>
      <c r="J3280" t="s">
        <v>4030</v>
      </c>
      <c r="K3280">
        <v>18</v>
      </c>
      <c r="L3280" s="6">
        <v>5.4</v>
      </c>
      <c r="M3280" s="7">
        <v>10</v>
      </c>
      <c r="N3280" s="7">
        <v>90</v>
      </c>
      <c r="O3280" s="7">
        <f t="shared" si="253"/>
        <v>212.59842519685043</v>
      </c>
      <c r="P3280" s="7">
        <f t="shared" si="254"/>
        <v>0.39370078740157483</v>
      </c>
      <c r="Q3280" s="7">
        <f t="shared" si="254"/>
        <v>3.5433070866141736</v>
      </c>
      <c r="R3280" s="6">
        <f t="shared" si="255"/>
        <v>3645.3780000000002</v>
      </c>
      <c r="S3280" s="6">
        <f t="shared" si="256"/>
        <v>4.8600000000000006E-3</v>
      </c>
      <c r="T3280" t="str">
        <f t="shared" si="257"/>
        <v>Maximo Thermo Clear Radiata Nickel Gap 3/8x4 Long</v>
      </c>
    </row>
    <row r="3281" spans="1:20" x14ac:dyDescent="0.25">
      <c r="A3281" t="s">
        <v>3950</v>
      </c>
      <c r="B3281" t="s">
        <v>4027</v>
      </c>
      <c r="C3281" t="s">
        <v>524</v>
      </c>
      <c r="D3281" t="s">
        <v>3044</v>
      </c>
      <c r="E3281" t="s">
        <v>4039</v>
      </c>
      <c r="F3281" t="s">
        <v>4029</v>
      </c>
      <c r="G3281" t="s">
        <v>3954</v>
      </c>
      <c r="H3281" t="s">
        <v>3955</v>
      </c>
      <c r="I3281" t="s">
        <v>289</v>
      </c>
      <c r="J3281" t="s">
        <v>4030</v>
      </c>
      <c r="K3281">
        <v>4</v>
      </c>
      <c r="L3281" s="6">
        <v>1.2</v>
      </c>
      <c r="M3281" s="7">
        <v>10</v>
      </c>
      <c r="N3281" s="7">
        <v>90</v>
      </c>
      <c r="O3281" s="7">
        <f t="shared" si="253"/>
        <v>47.244094488188978</v>
      </c>
      <c r="P3281" s="7">
        <f t="shared" si="254"/>
        <v>0.39370078740157483</v>
      </c>
      <c r="Q3281" s="7">
        <f t="shared" si="254"/>
        <v>3.5433070866141736</v>
      </c>
      <c r="R3281" s="6">
        <f t="shared" si="255"/>
        <v>3645.3780000000002</v>
      </c>
      <c r="S3281" s="6">
        <f t="shared" si="256"/>
        <v>1.08E-3</v>
      </c>
      <c r="T3281" t="str">
        <f t="shared" si="257"/>
        <v>Maximo Thermo Clear Radiata Nickel Gap 3/8x4 Short</v>
      </c>
    </row>
    <row r="3282" spans="1:20" x14ac:dyDescent="0.25">
      <c r="A3282" t="s">
        <v>3950</v>
      </c>
      <c r="B3282" t="s">
        <v>4027</v>
      </c>
      <c r="C3282" t="s">
        <v>524</v>
      </c>
      <c r="D3282" t="s">
        <v>3044</v>
      </c>
      <c r="E3282" t="s">
        <v>4040</v>
      </c>
      <c r="F3282" t="s">
        <v>4029</v>
      </c>
      <c r="G3282" t="s">
        <v>3954</v>
      </c>
      <c r="H3282" t="s">
        <v>3955</v>
      </c>
      <c r="I3282" t="s">
        <v>289</v>
      </c>
      <c r="J3282" t="s">
        <v>4030</v>
      </c>
      <c r="K3282">
        <v>5</v>
      </c>
      <c r="L3282" s="6">
        <v>1.5</v>
      </c>
      <c r="M3282" s="7">
        <v>10</v>
      </c>
      <c r="N3282" s="7">
        <v>90</v>
      </c>
      <c r="O3282" s="7">
        <f t="shared" si="253"/>
        <v>59.055118110236222</v>
      </c>
      <c r="P3282" s="7">
        <f t="shared" si="254"/>
        <v>0.39370078740157483</v>
      </c>
      <c r="Q3282" s="7">
        <f t="shared" si="254"/>
        <v>3.5433070866141736</v>
      </c>
      <c r="R3282" s="6">
        <f t="shared" si="255"/>
        <v>3645.3780000000002</v>
      </c>
      <c r="S3282" s="6">
        <f t="shared" si="256"/>
        <v>1.3499999999999999E-3</v>
      </c>
      <c r="T3282" t="str">
        <f t="shared" si="257"/>
        <v>Maximo Thermo Clear Radiata Nickel Gap 3/8x4 Short</v>
      </c>
    </row>
    <row r="3283" spans="1:20" x14ac:dyDescent="0.25">
      <c r="A3283" t="s">
        <v>3950</v>
      </c>
      <c r="B3283" t="s">
        <v>4027</v>
      </c>
      <c r="C3283" t="s">
        <v>524</v>
      </c>
      <c r="D3283" t="s">
        <v>3044</v>
      </c>
      <c r="E3283" t="s">
        <v>4041</v>
      </c>
      <c r="F3283" t="s">
        <v>4029</v>
      </c>
      <c r="G3283" t="s">
        <v>3954</v>
      </c>
      <c r="H3283" t="s">
        <v>3955</v>
      </c>
      <c r="I3283" t="s">
        <v>289</v>
      </c>
      <c r="J3283" t="s">
        <v>4030</v>
      </c>
      <c r="K3283">
        <v>6</v>
      </c>
      <c r="L3283" s="6">
        <v>1.8</v>
      </c>
      <c r="M3283" s="7">
        <v>10</v>
      </c>
      <c r="N3283" s="7">
        <v>90</v>
      </c>
      <c r="O3283" s="7">
        <f t="shared" si="253"/>
        <v>70.866141732283467</v>
      </c>
      <c r="P3283" s="7">
        <f t="shared" si="254"/>
        <v>0.39370078740157483</v>
      </c>
      <c r="Q3283" s="7">
        <f t="shared" si="254"/>
        <v>3.5433070866141736</v>
      </c>
      <c r="R3283" s="6">
        <f t="shared" si="255"/>
        <v>3645.3780000000002</v>
      </c>
      <c r="S3283" s="6">
        <f t="shared" si="256"/>
        <v>1.6199999999999999E-3</v>
      </c>
      <c r="T3283" t="str">
        <f t="shared" si="257"/>
        <v>Maximo Thermo Clear Radiata Nickel Gap 3/8x4 Short</v>
      </c>
    </row>
    <row r="3284" spans="1:20" x14ac:dyDescent="0.25">
      <c r="A3284" t="s">
        <v>3950</v>
      </c>
      <c r="B3284" t="s">
        <v>4027</v>
      </c>
      <c r="C3284" t="s">
        <v>524</v>
      </c>
      <c r="D3284" t="s">
        <v>3044</v>
      </c>
      <c r="E3284" t="s">
        <v>4042</v>
      </c>
      <c r="F3284" t="s">
        <v>4029</v>
      </c>
      <c r="G3284" t="s">
        <v>3954</v>
      </c>
      <c r="H3284" t="s">
        <v>3955</v>
      </c>
      <c r="I3284" t="s">
        <v>289</v>
      </c>
      <c r="J3284" t="s">
        <v>4030</v>
      </c>
      <c r="K3284">
        <v>7</v>
      </c>
      <c r="L3284" s="6">
        <v>2.1</v>
      </c>
      <c r="M3284" s="7">
        <v>10</v>
      </c>
      <c r="N3284" s="7">
        <v>90</v>
      </c>
      <c r="O3284" s="7">
        <f t="shared" si="253"/>
        <v>82.677165354330711</v>
      </c>
      <c r="P3284" s="7">
        <f t="shared" si="254"/>
        <v>0.39370078740157483</v>
      </c>
      <c r="Q3284" s="7">
        <f t="shared" si="254"/>
        <v>3.5433070866141736</v>
      </c>
      <c r="R3284" s="6">
        <f t="shared" si="255"/>
        <v>3645.3780000000002</v>
      </c>
      <c r="S3284" s="6">
        <f t="shared" si="256"/>
        <v>1.8900000000000002E-3</v>
      </c>
      <c r="T3284" t="str">
        <f t="shared" si="257"/>
        <v>Maximo Thermo Clear Radiata Nickel Gap 3/8x4 Short</v>
      </c>
    </row>
    <row r="3285" spans="1:20" x14ac:dyDescent="0.25">
      <c r="A3285" t="s">
        <v>3950</v>
      </c>
      <c r="B3285" t="s">
        <v>4027</v>
      </c>
      <c r="C3285" t="s">
        <v>283</v>
      </c>
      <c r="D3285" t="s">
        <v>3044</v>
      </c>
      <c r="E3285" t="s">
        <v>4043</v>
      </c>
      <c r="F3285" t="s">
        <v>4029</v>
      </c>
      <c r="G3285" t="s">
        <v>3954</v>
      </c>
      <c r="H3285" t="s">
        <v>3955</v>
      </c>
      <c r="I3285" t="s">
        <v>289</v>
      </c>
      <c r="J3285" t="s">
        <v>4030</v>
      </c>
      <c r="K3285">
        <v>8</v>
      </c>
      <c r="L3285" s="6">
        <v>2.4</v>
      </c>
      <c r="M3285" s="7">
        <v>10</v>
      </c>
      <c r="N3285" s="7">
        <v>90</v>
      </c>
      <c r="O3285" s="7">
        <f t="shared" si="253"/>
        <v>94.488188976377955</v>
      </c>
      <c r="P3285" s="7">
        <f t="shared" si="254"/>
        <v>0.39370078740157483</v>
      </c>
      <c r="Q3285" s="7">
        <f t="shared" si="254"/>
        <v>3.5433070866141736</v>
      </c>
      <c r="R3285" s="6">
        <f t="shared" si="255"/>
        <v>3645.3780000000002</v>
      </c>
      <c r="S3285" s="6">
        <f t="shared" si="256"/>
        <v>2.16E-3</v>
      </c>
      <c r="T3285" t="str">
        <f t="shared" si="257"/>
        <v>Maximo Thermo Clear Radiata Nickel Gap 3/8x4 Long</v>
      </c>
    </row>
    <row r="3286" spans="1:20" x14ac:dyDescent="0.25">
      <c r="A3286" t="s">
        <v>3950</v>
      </c>
      <c r="B3286" t="s">
        <v>4027</v>
      </c>
      <c r="C3286" t="s">
        <v>283</v>
      </c>
      <c r="D3286" t="s">
        <v>3044</v>
      </c>
      <c r="E3286" t="s">
        <v>4044</v>
      </c>
      <c r="F3286" t="s">
        <v>4029</v>
      </c>
      <c r="G3286" t="s">
        <v>3954</v>
      </c>
      <c r="H3286" t="s">
        <v>3955</v>
      </c>
      <c r="I3286" t="s">
        <v>289</v>
      </c>
      <c r="J3286" t="s">
        <v>4030</v>
      </c>
      <c r="K3286">
        <v>9</v>
      </c>
      <c r="L3286" s="6">
        <v>2.7</v>
      </c>
      <c r="M3286" s="7">
        <v>10</v>
      </c>
      <c r="N3286" s="7">
        <v>90</v>
      </c>
      <c r="O3286" s="7">
        <f t="shared" si="253"/>
        <v>106.29921259842521</v>
      </c>
      <c r="P3286" s="7">
        <f t="shared" si="254"/>
        <v>0.39370078740157483</v>
      </c>
      <c r="Q3286" s="7">
        <f t="shared" si="254"/>
        <v>3.5433070866141736</v>
      </c>
      <c r="R3286" s="6">
        <f t="shared" si="255"/>
        <v>3645.3780000000002</v>
      </c>
      <c r="S3286" s="6">
        <f t="shared" si="256"/>
        <v>2.4300000000000003E-3</v>
      </c>
      <c r="T3286" t="str">
        <f t="shared" si="257"/>
        <v>Maximo Thermo Clear Radiata Nickel Gap 3/8x4 Long</v>
      </c>
    </row>
    <row r="3287" spans="1:20" x14ac:dyDescent="0.25">
      <c r="A3287" t="s">
        <v>3950</v>
      </c>
      <c r="B3287" t="s">
        <v>4045</v>
      </c>
      <c r="C3287" t="s">
        <v>283</v>
      </c>
      <c r="D3287" t="s">
        <v>3044</v>
      </c>
      <c r="E3287" t="s">
        <v>4046</v>
      </c>
      <c r="F3287" t="s">
        <v>4047</v>
      </c>
      <c r="G3287" t="s">
        <v>3954</v>
      </c>
      <c r="H3287" t="s">
        <v>4048</v>
      </c>
      <c r="I3287" t="s">
        <v>289</v>
      </c>
      <c r="J3287" t="s">
        <v>1382</v>
      </c>
      <c r="K3287">
        <v>10</v>
      </c>
      <c r="L3287" s="6">
        <v>3</v>
      </c>
      <c r="M3287" s="7">
        <v>19</v>
      </c>
      <c r="N3287" s="7">
        <v>285</v>
      </c>
      <c r="O3287" s="7">
        <f t="shared" si="253"/>
        <v>118.11023622047244</v>
      </c>
      <c r="P3287" s="7">
        <f t="shared" si="254"/>
        <v>0.74803149606299213</v>
      </c>
      <c r="Q3287" s="7">
        <f t="shared" si="254"/>
        <v>11.220472440944883</v>
      </c>
      <c r="R3287" s="6">
        <f t="shared" si="255"/>
        <v>605.88</v>
      </c>
      <c r="S3287" s="6">
        <f t="shared" si="256"/>
        <v>1.6245000000000002E-2</v>
      </c>
      <c r="T3287" t="str">
        <f t="shared" si="257"/>
        <v>Maximo Thermo Clear Radiata S4S 1x12 Long</v>
      </c>
    </row>
    <row r="3288" spans="1:20" x14ac:dyDescent="0.25">
      <c r="A3288" t="s">
        <v>3950</v>
      </c>
      <c r="B3288" t="s">
        <v>4045</v>
      </c>
      <c r="C3288" t="s">
        <v>283</v>
      </c>
      <c r="D3288" t="s">
        <v>3044</v>
      </c>
      <c r="E3288" t="s">
        <v>4049</v>
      </c>
      <c r="F3288" t="s">
        <v>4047</v>
      </c>
      <c r="G3288" t="s">
        <v>3954</v>
      </c>
      <c r="H3288" t="s">
        <v>4048</v>
      </c>
      <c r="I3288" t="s">
        <v>289</v>
      </c>
      <c r="J3288" t="s">
        <v>1382</v>
      </c>
      <c r="K3288">
        <v>11</v>
      </c>
      <c r="L3288" s="6">
        <v>3.3</v>
      </c>
      <c r="M3288" s="7">
        <v>19</v>
      </c>
      <c r="N3288" s="7">
        <v>285</v>
      </c>
      <c r="O3288" s="7">
        <f t="shared" si="253"/>
        <v>129.92125984251967</v>
      </c>
      <c r="P3288" s="7">
        <f t="shared" si="254"/>
        <v>0.74803149606299213</v>
      </c>
      <c r="Q3288" s="7">
        <f t="shared" si="254"/>
        <v>11.220472440944883</v>
      </c>
      <c r="R3288" s="6">
        <f t="shared" si="255"/>
        <v>605.88</v>
      </c>
      <c r="S3288" s="6">
        <f t="shared" si="256"/>
        <v>1.78695E-2</v>
      </c>
      <c r="T3288" t="str">
        <f t="shared" si="257"/>
        <v>Maximo Thermo Clear Radiata S4S 1x12 Long</v>
      </c>
    </row>
    <row r="3289" spans="1:20" x14ac:dyDescent="0.25">
      <c r="A3289" t="s">
        <v>3950</v>
      </c>
      <c r="B3289" t="s">
        <v>4045</v>
      </c>
      <c r="C3289" t="s">
        <v>283</v>
      </c>
      <c r="D3289" t="s">
        <v>3044</v>
      </c>
      <c r="E3289" t="s">
        <v>4050</v>
      </c>
      <c r="F3289" t="s">
        <v>4047</v>
      </c>
      <c r="G3289" t="s">
        <v>3954</v>
      </c>
      <c r="H3289" t="s">
        <v>4048</v>
      </c>
      <c r="I3289" t="s">
        <v>289</v>
      </c>
      <c r="J3289" t="s">
        <v>1382</v>
      </c>
      <c r="K3289">
        <v>12</v>
      </c>
      <c r="L3289" s="6">
        <v>3.6</v>
      </c>
      <c r="M3289" s="7">
        <v>19</v>
      </c>
      <c r="N3289" s="7">
        <v>285</v>
      </c>
      <c r="O3289" s="7">
        <f t="shared" si="253"/>
        <v>141.73228346456693</v>
      </c>
      <c r="P3289" s="7">
        <f t="shared" si="254"/>
        <v>0.74803149606299213</v>
      </c>
      <c r="Q3289" s="7">
        <f t="shared" si="254"/>
        <v>11.220472440944883</v>
      </c>
      <c r="R3289" s="6">
        <f t="shared" si="255"/>
        <v>605.88</v>
      </c>
      <c r="S3289" s="6">
        <f t="shared" si="256"/>
        <v>1.9494000000000001E-2</v>
      </c>
      <c r="T3289" t="str">
        <f t="shared" si="257"/>
        <v>Maximo Thermo Clear Radiata S4S 1x12 Long</v>
      </c>
    </row>
    <row r="3290" spans="1:20" x14ac:dyDescent="0.25">
      <c r="A3290" t="s">
        <v>3950</v>
      </c>
      <c r="B3290" t="s">
        <v>4045</v>
      </c>
      <c r="C3290" t="s">
        <v>283</v>
      </c>
      <c r="D3290" t="s">
        <v>3044</v>
      </c>
      <c r="E3290" t="s">
        <v>4051</v>
      </c>
      <c r="F3290" t="s">
        <v>4047</v>
      </c>
      <c r="G3290" t="s">
        <v>3954</v>
      </c>
      <c r="H3290" t="s">
        <v>4048</v>
      </c>
      <c r="I3290" t="s">
        <v>289</v>
      </c>
      <c r="J3290" t="s">
        <v>1382</v>
      </c>
      <c r="K3290">
        <v>13</v>
      </c>
      <c r="L3290" s="6">
        <v>3.9</v>
      </c>
      <c r="M3290" s="7">
        <v>19</v>
      </c>
      <c r="N3290" s="7">
        <v>285</v>
      </c>
      <c r="O3290" s="7">
        <f t="shared" si="253"/>
        <v>153.54330708661416</v>
      </c>
      <c r="P3290" s="7">
        <f t="shared" si="254"/>
        <v>0.74803149606299213</v>
      </c>
      <c r="Q3290" s="7">
        <f t="shared" si="254"/>
        <v>11.220472440944883</v>
      </c>
      <c r="R3290" s="6">
        <f t="shared" si="255"/>
        <v>605.88</v>
      </c>
      <c r="S3290" s="6">
        <f t="shared" si="256"/>
        <v>2.1118500000000002E-2</v>
      </c>
      <c r="T3290" t="str">
        <f t="shared" si="257"/>
        <v>Maximo Thermo Clear Radiata S4S 1x12 Long</v>
      </c>
    </row>
    <row r="3291" spans="1:20" x14ac:dyDescent="0.25">
      <c r="A3291" t="s">
        <v>3950</v>
      </c>
      <c r="B3291" t="s">
        <v>4045</v>
      </c>
      <c r="C3291" t="s">
        <v>283</v>
      </c>
      <c r="D3291" t="s">
        <v>3044</v>
      </c>
      <c r="E3291" t="s">
        <v>4052</v>
      </c>
      <c r="F3291" t="s">
        <v>4047</v>
      </c>
      <c r="G3291" t="s">
        <v>3954</v>
      </c>
      <c r="H3291" t="s">
        <v>4048</v>
      </c>
      <c r="I3291" t="s">
        <v>289</v>
      </c>
      <c r="J3291" t="s">
        <v>1382</v>
      </c>
      <c r="K3291">
        <v>14</v>
      </c>
      <c r="L3291" s="6">
        <v>4.2</v>
      </c>
      <c r="M3291" s="7">
        <v>19</v>
      </c>
      <c r="N3291" s="7">
        <v>285</v>
      </c>
      <c r="O3291" s="7">
        <f t="shared" si="253"/>
        <v>165.35433070866142</v>
      </c>
      <c r="P3291" s="7">
        <f t="shared" si="254"/>
        <v>0.74803149606299213</v>
      </c>
      <c r="Q3291" s="7">
        <f t="shared" si="254"/>
        <v>11.220472440944883</v>
      </c>
      <c r="R3291" s="6">
        <f t="shared" si="255"/>
        <v>605.88</v>
      </c>
      <c r="S3291" s="6">
        <f t="shared" si="256"/>
        <v>2.2742999999999999E-2</v>
      </c>
      <c r="T3291" t="str">
        <f t="shared" si="257"/>
        <v>Maximo Thermo Clear Radiata S4S 1x12 Long</v>
      </c>
    </row>
    <row r="3292" spans="1:20" x14ac:dyDescent="0.25">
      <c r="A3292" t="s">
        <v>3950</v>
      </c>
      <c r="B3292" t="s">
        <v>4045</v>
      </c>
      <c r="C3292" t="s">
        <v>283</v>
      </c>
      <c r="D3292" t="s">
        <v>3044</v>
      </c>
      <c r="E3292" t="s">
        <v>4053</v>
      </c>
      <c r="F3292" t="s">
        <v>4047</v>
      </c>
      <c r="G3292" t="s">
        <v>3954</v>
      </c>
      <c r="H3292" t="s">
        <v>4048</v>
      </c>
      <c r="I3292" t="s">
        <v>289</v>
      </c>
      <c r="J3292" t="s">
        <v>1382</v>
      </c>
      <c r="K3292">
        <v>15</v>
      </c>
      <c r="L3292" s="6">
        <v>4.5</v>
      </c>
      <c r="M3292" s="7">
        <v>19</v>
      </c>
      <c r="N3292" s="7">
        <v>285</v>
      </c>
      <c r="O3292" s="7">
        <f t="shared" si="253"/>
        <v>177.16535433070868</v>
      </c>
      <c r="P3292" s="7">
        <f t="shared" si="254"/>
        <v>0.74803149606299213</v>
      </c>
      <c r="Q3292" s="7">
        <f t="shared" si="254"/>
        <v>11.220472440944883</v>
      </c>
      <c r="R3292" s="6">
        <f t="shared" si="255"/>
        <v>605.88</v>
      </c>
      <c r="S3292" s="6">
        <f t="shared" si="256"/>
        <v>2.4367500000000004E-2</v>
      </c>
      <c r="T3292" t="str">
        <f t="shared" si="257"/>
        <v>Maximo Thermo Clear Radiata S4S 1x12 Long</v>
      </c>
    </row>
    <row r="3293" spans="1:20" x14ac:dyDescent="0.25">
      <c r="A3293" t="s">
        <v>3950</v>
      </c>
      <c r="B3293" t="s">
        <v>4045</v>
      </c>
      <c r="C3293" t="s">
        <v>283</v>
      </c>
      <c r="D3293" t="s">
        <v>3044</v>
      </c>
      <c r="E3293" t="s">
        <v>4054</v>
      </c>
      <c r="F3293" t="s">
        <v>4047</v>
      </c>
      <c r="G3293" t="s">
        <v>3954</v>
      </c>
      <c r="H3293" t="s">
        <v>4048</v>
      </c>
      <c r="I3293" t="s">
        <v>289</v>
      </c>
      <c r="J3293" t="s">
        <v>1382</v>
      </c>
      <c r="K3293">
        <v>16</v>
      </c>
      <c r="L3293" s="6">
        <v>4.8</v>
      </c>
      <c r="M3293" s="7">
        <v>19</v>
      </c>
      <c r="N3293" s="7">
        <v>285</v>
      </c>
      <c r="O3293" s="7">
        <f t="shared" si="253"/>
        <v>188.97637795275591</v>
      </c>
      <c r="P3293" s="7">
        <f t="shared" si="254"/>
        <v>0.74803149606299213</v>
      </c>
      <c r="Q3293" s="7">
        <f t="shared" si="254"/>
        <v>11.220472440944883</v>
      </c>
      <c r="R3293" s="6">
        <f t="shared" si="255"/>
        <v>605.88</v>
      </c>
      <c r="S3293" s="6">
        <f t="shared" si="256"/>
        <v>2.5992000000000001E-2</v>
      </c>
      <c r="T3293" t="str">
        <f t="shared" si="257"/>
        <v>Maximo Thermo Clear Radiata S4S 1x12 Long</v>
      </c>
    </row>
    <row r="3294" spans="1:20" x14ac:dyDescent="0.25">
      <c r="A3294" t="s">
        <v>3950</v>
      </c>
      <c r="B3294" t="s">
        <v>4045</v>
      </c>
      <c r="C3294" t="s">
        <v>283</v>
      </c>
      <c r="D3294" t="s">
        <v>3044</v>
      </c>
      <c r="E3294" t="s">
        <v>4055</v>
      </c>
      <c r="F3294" t="s">
        <v>4047</v>
      </c>
      <c r="G3294" t="s">
        <v>3954</v>
      </c>
      <c r="H3294" t="s">
        <v>4048</v>
      </c>
      <c r="I3294" t="s">
        <v>289</v>
      </c>
      <c r="J3294" t="s">
        <v>1382</v>
      </c>
      <c r="K3294">
        <v>17</v>
      </c>
      <c r="L3294" s="6">
        <v>5.0999999999999996</v>
      </c>
      <c r="M3294" s="7">
        <v>19</v>
      </c>
      <c r="N3294" s="7">
        <v>285</v>
      </c>
      <c r="O3294" s="7">
        <f t="shared" si="253"/>
        <v>200.78740157480314</v>
      </c>
      <c r="P3294" s="7">
        <f t="shared" si="254"/>
        <v>0.74803149606299213</v>
      </c>
      <c r="Q3294" s="7">
        <f t="shared" si="254"/>
        <v>11.220472440944883</v>
      </c>
      <c r="R3294" s="6">
        <f t="shared" si="255"/>
        <v>605.88</v>
      </c>
      <c r="S3294" s="6">
        <f t="shared" si="256"/>
        <v>2.7616499999999995E-2</v>
      </c>
      <c r="T3294" t="str">
        <f t="shared" si="257"/>
        <v>Maximo Thermo Clear Radiata S4S 1x12 Long</v>
      </c>
    </row>
    <row r="3295" spans="1:20" x14ac:dyDescent="0.25">
      <c r="A3295" t="s">
        <v>3950</v>
      </c>
      <c r="B3295" t="s">
        <v>4045</v>
      </c>
      <c r="C3295" t="s">
        <v>283</v>
      </c>
      <c r="D3295" t="s">
        <v>3044</v>
      </c>
      <c r="E3295" t="s">
        <v>4056</v>
      </c>
      <c r="F3295" t="s">
        <v>4047</v>
      </c>
      <c r="G3295" t="s">
        <v>3954</v>
      </c>
      <c r="H3295" t="s">
        <v>4048</v>
      </c>
      <c r="I3295" t="s">
        <v>289</v>
      </c>
      <c r="J3295" t="s">
        <v>1382</v>
      </c>
      <c r="K3295">
        <v>18</v>
      </c>
      <c r="L3295" s="6">
        <v>5.4</v>
      </c>
      <c r="M3295" s="7">
        <v>19</v>
      </c>
      <c r="N3295" s="7">
        <v>285</v>
      </c>
      <c r="O3295" s="7">
        <f t="shared" si="253"/>
        <v>212.59842519685043</v>
      </c>
      <c r="P3295" s="7">
        <f t="shared" si="254"/>
        <v>0.74803149606299213</v>
      </c>
      <c r="Q3295" s="7">
        <f t="shared" si="254"/>
        <v>11.220472440944883</v>
      </c>
      <c r="R3295" s="6">
        <f t="shared" si="255"/>
        <v>605.88</v>
      </c>
      <c r="S3295" s="6">
        <f t="shared" si="256"/>
        <v>2.9241000000000003E-2</v>
      </c>
      <c r="T3295" t="str">
        <f t="shared" si="257"/>
        <v>Maximo Thermo Clear Radiata S4S 1x12 Long</v>
      </c>
    </row>
    <row r="3296" spans="1:20" x14ac:dyDescent="0.25">
      <c r="A3296" t="s">
        <v>3950</v>
      </c>
      <c r="B3296" t="s">
        <v>4045</v>
      </c>
      <c r="C3296" t="s">
        <v>524</v>
      </c>
      <c r="D3296" t="s">
        <v>3044</v>
      </c>
      <c r="E3296" t="s">
        <v>4057</v>
      </c>
      <c r="F3296" t="s">
        <v>4047</v>
      </c>
      <c r="G3296" t="s">
        <v>3954</v>
      </c>
      <c r="H3296" t="s">
        <v>4048</v>
      </c>
      <c r="I3296" t="s">
        <v>289</v>
      </c>
      <c r="J3296" t="s">
        <v>1382</v>
      </c>
      <c r="K3296">
        <v>4</v>
      </c>
      <c r="L3296" s="6">
        <v>1.2</v>
      </c>
      <c r="M3296" s="7">
        <v>19</v>
      </c>
      <c r="N3296" s="7">
        <v>285</v>
      </c>
      <c r="O3296" s="7">
        <f t="shared" si="253"/>
        <v>47.244094488188978</v>
      </c>
      <c r="P3296" s="7">
        <f t="shared" si="254"/>
        <v>0.74803149606299213</v>
      </c>
      <c r="Q3296" s="7">
        <f t="shared" si="254"/>
        <v>11.220472440944883</v>
      </c>
      <c r="R3296" s="6">
        <f t="shared" si="255"/>
        <v>605.88</v>
      </c>
      <c r="S3296" s="6">
        <f t="shared" si="256"/>
        <v>6.4980000000000003E-3</v>
      </c>
      <c r="T3296" t="str">
        <f t="shared" si="257"/>
        <v>Maximo Thermo Clear Radiata S4S 1x12 Short</v>
      </c>
    </row>
    <row r="3297" spans="1:20" x14ac:dyDescent="0.25">
      <c r="A3297" t="s">
        <v>3950</v>
      </c>
      <c r="B3297" t="s">
        <v>4045</v>
      </c>
      <c r="C3297" t="s">
        <v>524</v>
      </c>
      <c r="D3297" t="s">
        <v>3044</v>
      </c>
      <c r="E3297" t="s">
        <v>4058</v>
      </c>
      <c r="F3297" t="s">
        <v>4047</v>
      </c>
      <c r="G3297" t="s">
        <v>3954</v>
      </c>
      <c r="H3297" t="s">
        <v>4048</v>
      </c>
      <c r="I3297" t="s">
        <v>289</v>
      </c>
      <c r="J3297" t="s">
        <v>1382</v>
      </c>
      <c r="K3297">
        <v>5</v>
      </c>
      <c r="L3297" s="6">
        <v>1.5</v>
      </c>
      <c r="M3297" s="7">
        <v>19</v>
      </c>
      <c r="N3297" s="7">
        <v>285</v>
      </c>
      <c r="O3297" s="7">
        <f t="shared" si="253"/>
        <v>59.055118110236222</v>
      </c>
      <c r="P3297" s="7">
        <f t="shared" si="254"/>
        <v>0.74803149606299213</v>
      </c>
      <c r="Q3297" s="7">
        <f t="shared" si="254"/>
        <v>11.220472440944883</v>
      </c>
      <c r="R3297" s="6">
        <f t="shared" si="255"/>
        <v>605.88</v>
      </c>
      <c r="S3297" s="6">
        <f t="shared" si="256"/>
        <v>8.1225000000000012E-3</v>
      </c>
      <c r="T3297" t="str">
        <f t="shared" si="257"/>
        <v>Maximo Thermo Clear Radiata S4S 1x12 Short</v>
      </c>
    </row>
    <row r="3298" spans="1:20" x14ac:dyDescent="0.25">
      <c r="A3298" t="s">
        <v>3950</v>
      </c>
      <c r="B3298" t="s">
        <v>4045</v>
      </c>
      <c r="C3298" t="s">
        <v>524</v>
      </c>
      <c r="D3298" t="s">
        <v>3044</v>
      </c>
      <c r="E3298" t="s">
        <v>4059</v>
      </c>
      <c r="F3298" t="s">
        <v>4047</v>
      </c>
      <c r="G3298" t="s">
        <v>3954</v>
      </c>
      <c r="H3298" t="s">
        <v>4048</v>
      </c>
      <c r="I3298" t="s">
        <v>289</v>
      </c>
      <c r="J3298" t="s">
        <v>1382</v>
      </c>
      <c r="K3298">
        <v>6</v>
      </c>
      <c r="L3298" s="6">
        <v>1.8</v>
      </c>
      <c r="M3298" s="7">
        <v>19</v>
      </c>
      <c r="N3298" s="7">
        <v>285</v>
      </c>
      <c r="O3298" s="7">
        <f t="shared" si="253"/>
        <v>70.866141732283467</v>
      </c>
      <c r="P3298" s="7">
        <f t="shared" si="254"/>
        <v>0.74803149606299213</v>
      </c>
      <c r="Q3298" s="7">
        <f t="shared" si="254"/>
        <v>11.220472440944883</v>
      </c>
      <c r="R3298" s="6">
        <f t="shared" si="255"/>
        <v>605.88</v>
      </c>
      <c r="S3298" s="6">
        <f t="shared" si="256"/>
        <v>9.7470000000000005E-3</v>
      </c>
      <c r="T3298" t="str">
        <f t="shared" si="257"/>
        <v>Maximo Thermo Clear Radiata S4S 1x12 Short</v>
      </c>
    </row>
    <row r="3299" spans="1:20" x14ac:dyDescent="0.25">
      <c r="A3299" t="s">
        <v>3950</v>
      </c>
      <c r="B3299" t="s">
        <v>4045</v>
      </c>
      <c r="C3299" t="s">
        <v>524</v>
      </c>
      <c r="D3299" t="s">
        <v>3044</v>
      </c>
      <c r="E3299" t="s">
        <v>4060</v>
      </c>
      <c r="F3299" t="s">
        <v>4047</v>
      </c>
      <c r="G3299" t="s">
        <v>3954</v>
      </c>
      <c r="H3299" t="s">
        <v>4048</v>
      </c>
      <c r="I3299" t="s">
        <v>289</v>
      </c>
      <c r="J3299" t="s">
        <v>1382</v>
      </c>
      <c r="K3299">
        <v>7</v>
      </c>
      <c r="L3299" s="6">
        <v>2.1</v>
      </c>
      <c r="M3299" s="7">
        <v>19</v>
      </c>
      <c r="N3299" s="7">
        <v>285</v>
      </c>
      <c r="O3299" s="7">
        <f t="shared" si="253"/>
        <v>82.677165354330711</v>
      </c>
      <c r="P3299" s="7">
        <f t="shared" si="254"/>
        <v>0.74803149606299213</v>
      </c>
      <c r="Q3299" s="7">
        <f t="shared" si="254"/>
        <v>11.220472440944883</v>
      </c>
      <c r="R3299" s="6">
        <f t="shared" si="255"/>
        <v>605.88</v>
      </c>
      <c r="S3299" s="6">
        <f t="shared" si="256"/>
        <v>1.13715E-2</v>
      </c>
      <c r="T3299" t="str">
        <f t="shared" si="257"/>
        <v>Maximo Thermo Clear Radiata S4S 1x12 Short</v>
      </c>
    </row>
    <row r="3300" spans="1:20" x14ac:dyDescent="0.25">
      <c r="A3300" t="s">
        <v>3950</v>
      </c>
      <c r="B3300" t="s">
        <v>4045</v>
      </c>
      <c r="C3300" t="s">
        <v>283</v>
      </c>
      <c r="D3300" t="s">
        <v>3044</v>
      </c>
      <c r="E3300" t="s">
        <v>4061</v>
      </c>
      <c r="F3300" t="s">
        <v>4047</v>
      </c>
      <c r="G3300" t="s">
        <v>3954</v>
      </c>
      <c r="H3300" t="s">
        <v>4048</v>
      </c>
      <c r="I3300" t="s">
        <v>289</v>
      </c>
      <c r="J3300" t="s">
        <v>1382</v>
      </c>
      <c r="K3300">
        <v>8</v>
      </c>
      <c r="L3300" s="6">
        <v>2.4</v>
      </c>
      <c r="M3300" s="7">
        <v>19</v>
      </c>
      <c r="N3300" s="7">
        <v>285</v>
      </c>
      <c r="O3300" s="7">
        <f t="shared" si="253"/>
        <v>94.488188976377955</v>
      </c>
      <c r="P3300" s="7">
        <f t="shared" si="254"/>
        <v>0.74803149606299213</v>
      </c>
      <c r="Q3300" s="7">
        <f t="shared" si="254"/>
        <v>11.220472440944883</v>
      </c>
      <c r="R3300" s="6">
        <f t="shared" si="255"/>
        <v>605.88</v>
      </c>
      <c r="S3300" s="6">
        <f t="shared" si="256"/>
        <v>1.2996000000000001E-2</v>
      </c>
      <c r="T3300" t="str">
        <f t="shared" si="257"/>
        <v>Maximo Thermo Clear Radiata S4S 1x12 Long</v>
      </c>
    </row>
    <row r="3301" spans="1:20" x14ac:dyDescent="0.25">
      <c r="A3301" t="s">
        <v>3950</v>
      </c>
      <c r="B3301" t="s">
        <v>4045</v>
      </c>
      <c r="C3301" t="s">
        <v>283</v>
      </c>
      <c r="D3301" t="s">
        <v>3044</v>
      </c>
      <c r="E3301" t="s">
        <v>4062</v>
      </c>
      <c r="F3301" t="s">
        <v>4047</v>
      </c>
      <c r="G3301" t="s">
        <v>3954</v>
      </c>
      <c r="H3301" t="s">
        <v>4048</v>
      </c>
      <c r="I3301" t="s">
        <v>289</v>
      </c>
      <c r="J3301" t="s">
        <v>1382</v>
      </c>
      <c r="K3301">
        <v>9</v>
      </c>
      <c r="L3301" s="6">
        <v>2.7</v>
      </c>
      <c r="M3301" s="7">
        <v>19</v>
      </c>
      <c r="N3301" s="7">
        <v>285</v>
      </c>
      <c r="O3301" s="7">
        <f t="shared" si="253"/>
        <v>106.29921259842521</v>
      </c>
      <c r="P3301" s="7">
        <f t="shared" si="254"/>
        <v>0.74803149606299213</v>
      </c>
      <c r="Q3301" s="7">
        <f t="shared" si="254"/>
        <v>11.220472440944883</v>
      </c>
      <c r="R3301" s="6">
        <f t="shared" si="255"/>
        <v>605.88</v>
      </c>
      <c r="S3301" s="6">
        <f t="shared" si="256"/>
        <v>1.4620500000000002E-2</v>
      </c>
      <c r="T3301" t="str">
        <f t="shared" si="257"/>
        <v>Maximo Thermo Clear Radiata S4S 1x12 Long</v>
      </c>
    </row>
    <row r="3302" spans="1:20" x14ac:dyDescent="0.25">
      <c r="A3302" t="s">
        <v>3950</v>
      </c>
      <c r="B3302" t="s">
        <v>4063</v>
      </c>
      <c r="C3302" t="s">
        <v>283</v>
      </c>
      <c r="D3302" t="s">
        <v>3044</v>
      </c>
      <c r="E3302" t="s">
        <v>4064</v>
      </c>
      <c r="F3302" t="s">
        <v>4065</v>
      </c>
      <c r="G3302" t="s">
        <v>3954</v>
      </c>
      <c r="H3302" t="s">
        <v>4048</v>
      </c>
      <c r="I3302" t="s">
        <v>289</v>
      </c>
      <c r="J3302" t="s">
        <v>672</v>
      </c>
      <c r="K3302">
        <v>10</v>
      </c>
      <c r="L3302" s="6">
        <v>3</v>
      </c>
      <c r="M3302" s="7">
        <v>19</v>
      </c>
      <c r="N3302" s="7">
        <v>185</v>
      </c>
      <c r="O3302" s="7">
        <f t="shared" si="253"/>
        <v>118.11023622047244</v>
      </c>
      <c r="P3302" s="7">
        <f t="shared" si="254"/>
        <v>0.74803149606299213</v>
      </c>
      <c r="Q3302" s="7">
        <f t="shared" si="254"/>
        <v>7.2834645669291342</v>
      </c>
      <c r="R3302" s="6">
        <f t="shared" si="255"/>
        <v>933.38300000000004</v>
      </c>
      <c r="S3302" s="6">
        <f t="shared" si="256"/>
        <v>1.0545000000000001E-2</v>
      </c>
      <c r="T3302" t="str">
        <f t="shared" si="257"/>
        <v>Maximo Thermo Clear Radiata S4S 1x8 Long</v>
      </c>
    </row>
    <row r="3303" spans="1:20" x14ac:dyDescent="0.25">
      <c r="A3303" t="s">
        <v>3950</v>
      </c>
      <c r="B3303" t="s">
        <v>4063</v>
      </c>
      <c r="C3303" t="s">
        <v>283</v>
      </c>
      <c r="D3303" t="s">
        <v>3044</v>
      </c>
      <c r="E3303" t="s">
        <v>4066</v>
      </c>
      <c r="F3303" t="s">
        <v>4065</v>
      </c>
      <c r="G3303" t="s">
        <v>3954</v>
      </c>
      <c r="H3303" t="s">
        <v>4048</v>
      </c>
      <c r="I3303" t="s">
        <v>289</v>
      </c>
      <c r="J3303" t="s">
        <v>672</v>
      </c>
      <c r="K3303">
        <v>11</v>
      </c>
      <c r="L3303" s="6">
        <v>3.3</v>
      </c>
      <c r="M3303" s="7">
        <v>19</v>
      </c>
      <c r="N3303" s="7">
        <v>185</v>
      </c>
      <c r="O3303" s="7">
        <f t="shared" si="253"/>
        <v>129.92125984251967</v>
      </c>
      <c r="P3303" s="7">
        <f t="shared" si="254"/>
        <v>0.74803149606299213</v>
      </c>
      <c r="Q3303" s="7">
        <f t="shared" si="254"/>
        <v>7.2834645669291342</v>
      </c>
      <c r="R3303" s="6">
        <f t="shared" si="255"/>
        <v>933.38300000000004</v>
      </c>
      <c r="S3303" s="6">
        <f t="shared" si="256"/>
        <v>1.1599499999999999E-2</v>
      </c>
      <c r="T3303" t="str">
        <f t="shared" si="257"/>
        <v>Maximo Thermo Clear Radiata S4S 1x8 Long</v>
      </c>
    </row>
    <row r="3304" spans="1:20" x14ac:dyDescent="0.25">
      <c r="A3304" t="s">
        <v>3950</v>
      </c>
      <c r="B3304" t="s">
        <v>4063</v>
      </c>
      <c r="C3304" t="s">
        <v>283</v>
      </c>
      <c r="D3304" t="s">
        <v>3044</v>
      </c>
      <c r="E3304" t="s">
        <v>4067</v>
      </c>
      <c r="F3304" t="s">
        <v>4065</v>
      </c>
      <c r="G3304" t="s">
        <v>3954</v>
      </c>
      <c r="H3304" t="s">
        <v>4048</v>
      </c>
      <c r="I3304" t="s">
        <v>289</v>
      </c>
      <c r="J3304" t="s">
        <v>672</v>
      </c>
      <c r="K3304">
        <v>12</v>
      </c>
      <c r="L3304" s="6">
        <v>3.6</v>
      </c>
      <c r="M3304" s="7">
        <v>19</v>
      </c>
      <c r="N3304" s="7">
        <v>185</v>
      </c>
      <c r="O3304" s="7">
        <f t="shared" si="253"/>
        <v>141.73228346456693</v>
      </c>
      <c r="P3304" s="7">
        <f t="shared" si="254"/>
        <v>0.74803149606299213</v>
      </c>
      <c r="Q3304" s="7">
        <f t="shared" si="254"/>
        <v>7.2834645669291342</v>
      </c>
      <c r="R3304" s="6">
        <f t="shared" si="255"/>
        <v>933.38300000000004</v>
      </c>
      <c r="S3304" s="6">
        <f t="shared" si="256"/>
        <v>1.2654E-2</v>
      </c>
      <c r="T3304" t="str">
        <f t="shared" si="257"/>
        <v>Maximo Thermo Clear Radiata S4S 1x8 Long</v>
      </c>
    </row>
    <row r="3305" spans="1:20" x14ac:dyDescent="0.25">
      <c r="A3305" t="s">
        <v>3950</v>
      </c>
      <c r="B3305" t="s">
        <v>4063</v>
      </c>
      <c r="C3305" t="s">
        <v>283</v>
      </c>
      <c r="D3305" t="s">
        <v>3044</v>
      </c>
      <c r="E3305" t="s">
        <v>4068</v>
      </c>
      <c r="F3305" t="s">
        <v>4065</v>
      </c>
      <c r="G3305" t="s">
        <v>3954</v>
      </c>
      <c r="H3305" t="s">
        <v>4048</v>
      </c>
      <c r="I3305" t="s">
        <v>289</v>
      </c>
      <c r="J3305" t="s">
        <v>672</v>
      </c>
      <c r="K3305">
        <v>13</v>
      </c>
      <c r="L3305" s="6">
        <v>3.9</v>
      </c>
      <c r="M3305" s="7">
        <v>19</v>
      </c>
      <c r="N3305" s="7">
        <v>185</v>
      </c>
      <c r="O3305" s="7">
        <f t="shared" si="253"/>
        <v>153.54330708661416</v>
      </c>
      <c r="P3305" s="7">
        <f t="shared" si="254"/>
        <v>0.74803149606299213</v>
      </c>
      <c r="Q3305" s="7">
        <f t="shared" si="254"/>
        <v>7.2834645669291342</v>
      </c>
      <c r="R3305" s="6">
        <f t="shared" si="255"/>
        <v>933.38300000000004</v>
      </c>
      <c r="S3305" s="6">
        <f t="shared" si="256"/>
        <v>1.3708499999999998E-2</v>
      </c>
      <c r="T3305" t="str">
        <f t="shared" si="257"/>
        <v>Maximo Thermo Clear Radiata S4S 1x8 Long</v>
      </c>
    </row>
    <row r="3306" spans="1:20" x14ac:dyDescent="0.25">
      <c r="A3306" t="s">
        <v>3950</v>
      </c>
      <c r="B3306" t="s">
        <v>4063</v>
      </c>
      <c r="C3306" t="s">
        <v>283</v>
      </c>
      <c r="D3306" t="s">
        <v>3044</v>
      </c>
      <c r="E3306" t="s">
        <v>4069</v>
      </c>
      <c r="F3306" t="s">
        <v>4065</v>
      </c>
      <c r="G3306" t="s">
        <v>3954</v>
      </c>
      <c r="H3306" t="s">
        <v>4048</v>
      </c>
      <c r="I3306" t="s">
        <v>289</v>
      </c>
      <c r="J3306" t="s">
        <v>672</v>
      </c>
      <c r="K3306">
        <v>14</v>
      </c>
      <c r="L3306" s="6">
        <v>4.2</v>
      </c>
      <c r="M3306" s="7">
        <v>19</v>
      </c>
      <c r="N3306" s="7">
        <v>185</v>
      </c>
      <c r="O3306" s="7">
        <f t="shared" si="253"/>
        <v>165.35433070866142</v>
      </c>
      <c r="P3306" s="7">
        <f t="shared" si="254"/>
        <v>0.74803149606299213</v>
      </c>
      <c r="Q3306" s="7">
        <f t="shared" si="254"/>
        <v>7.2834645669291342</v>
      </c>
      <c r="R3306" s="6">
        <f t="shared" si="255"/>
        <v>933.38300000000004</v>
      </c>
      <c r="S3306" s="6">
        <f t="shared" si="256"/>
        <v>1.4763E-2</v>
      </c>
      <c r="T3306" t="str">
        <f t="shared" si="257"/>
        <v>Maximo Thermo Clear Radiata S4S 1x8 Long</v>
      </c>
    </row>
    <row r="3307" spans="1:20" x14ac:dyDescent="0.25">
      <c r="A3307" t="s">
        <v>3950</v>
      </c>
      <c r="B3307" t="s">
        <v>4063</v>
      </c>
      <c r="C3307" t="s">
        <v>283</v>
      </c>
      <c r="D3307" t="s">
        <v>3044</v>
      </c>
      <c r="E3307" t="s">
        <v>4070</v>
      </c>
      <c r="F3307" t="s">
        <v>4065</v>
      </c>
      <c r="G3307" t="s">
        <v>3954</v>
      </c>
      <c r="H3307" t="s">
        <v>4048</v>
      </c>
      <c r="I3307" t="s">
        <v>289</v>
      </c>
      <c r="J3307" t="s">
        <v>672</v>
      </c>
      <c r="K3307">
        <v>15</v>
      </c>
      <c r="L3307" s="6">
        <v>4.5</v>
      </c>
      <c r="M3307" s="7">
        <v>19</v>
      </c>
      <c r="N3307" s="7">
        <v>185</v>
      </c>
      <c r="O3307" s="7">
        <f t="shared" si="253"/>
        <v>177.16535433070868</v>
      </c>
      <c r="P3307" s="7">
        <f t="shared" si="254"/>
        <v>0.74803149606299213</v>
      </c>
      <c r="Q3307" s="7">
        <f t="shared" si="254"/>
        <v>7.2834645669291342</v>
      </c>
      <c r="R3307" s="6">
        <f t="shared" si="255"/>
        <v>933.38300000000004</v>
      </c>
      <c r="S3307" s="6">
        <f t="shared" si="256"/>
        <v>1.5817500000000002E-2</v>
      </c>
      <c r="T3307" t="str">
        <f t="shared" si="257"/>
        <v>Maximo Thermo Clear Radiata S4S 1x8 Long</v>
      </c>
    </row>
    <row r="3308" spans="1:20" x14ac:dyDescent="0.25">
      <c r="A3308" t="s">
        <v>3950</v>
      </c>
      <c r="B3308" t="s">
        <v>4063</v>
      </c>
      <c r="C3308" t="s">
        <v>283</v>
      </c>
      <c r="D3308" t="s">
        <v>3044</v>
      </c>
      <c r="E3308" t="s">
        <v>4071</v>
      </c>
      <c r="F3308" t="s">
        <v>4065</v>
      </c>
      <c r="G3308" t="s">
        <v>3954</v>
      </c>
      <c r="H3308" t="s">
        <v>4048</v>
      </c>
      <c r="I3308" t="s">
        <v>289</v>
      </c>
      <c r="J3308" t="s">
        <v>672</v>
      </c>
      <c r="K3308">
        <v>16</v>
      </c>
      <c r="L3308" s="6">
        <v>4.8</v>
      </c>
      <c r="M3308" s="7">
        <v>19</v>
      </c>
      <c r="N3308" s="7">
        <v>185</v>
      </c>
      <c r="O3308" s="7">
        <f t="shared" si="253"/>
        <v>188.97637795275591</v>
      </c>
      <c r="P3308" s="7">
        <f t="shared" si="254"/>
        <v>0.74803149606299213</v>
      </c>
      <c r="Q3308" s="7">
        <f t="shared" si="254"/>
        <v>7.2834645669291342</v>
      </c>
      <c r="R3308" s="6">
        <f t="shared" si="255"/>
        <v>933.38300000000004</v>
      </c>
      <c r="S3308" s="6">
        <f t="shared" si="256"/>
        <v>1.6872000000000002E-2</v>
      </c>
      <c r="T3308" t="str">
        <f t="shared" si="257"/>
        <v>Maximo Thermo Clear Radiata S4S 1x8 Long</v>
      </c>
    </row>
    <row r="3309" spans="1:20" x14ac:dyDescent="0.25">
      <c r="A3309" t="s">
        <v>3950</v>
      </c>
      <c r="B3309" t="s">
        <v>4063</v>
      </c>
      <c r="C3309" t="s">
        <v>283</v>
      </c>
      <c r="D3309" t="s">
        <v>3044</v>
      </c>
      <c r="E3309" t="s">
        <v>4072</v>
      </c>
      <c r="F3309" t="s">
        <v>4065</v>
      </c>
      <c r="G3309" t="s">
        <v>3954</v>
      </c>
      <c r="H3309" t="s">
        <v>4048</v>
      </c>
      <c r="I3309" t="s">
        <v>289</v>
      </c>
      <c r="J3309" t="s">
        <v>672</v>
      </c>
      <c r="K3309">
        <v>17</v>
      </c>
      <c r="L3309" s="6">
        <v>5.0999999999999996</v>
      </c>
      <c r="M3309" s="7">
        <v>19</v>
      </c>
      <c r="N3309" s="7">
        <v>185</v>
      </c>
      <c r="O3309" s="7">
        <f t="shared" si="253"/>
        <v>200.78740157480314</v>
      </c>
      <c r="P3309" s="7">
        <f t="shared" si="254"/>
        <v>0.74803149606299213</v>
      </c>
      <c r="Q3309" s="7">
        <f t="shared" si="254"/>
        <v>7.2834645669291342</v>
      </c>
      <c r="R3309" s="6">
        <f t="shared" si="255"/>
        <v>933.38300000000004</v>
      </c>
      <c r="S3309" s="6">
        <f t="shared" si="256"/>
        <v>1.7926499999999998E-2</v>
      </c>
      <c r="T3309" t="str">
        <f t="shared" si="257"/>
        <v>Maximo Thermo Clear Radiata S4S 1x8 Long</v>
      </c>
    </row>
    <row r="3310" spans="1:20" x14ac:dyDescent="0.25">
      <c r="A3310" t="s">
        <v>3950</v>
      </c>
      <c r="B3310" t="s">
        <v>4063</v>
      </c>
      <c r="C3310" t="s">
        <v>283</v>
      </c>
      <c r="D3310" t="s">
        <v>3044</v>
      </c>
      <c r="E3310" t="s">
        <v>4073</v>
      </c>
      <c r="F3310" t="s">
        <v>4065</v>
      </c>
      <c r="G3310" t="s">
        <v>3954</v>
      </c>
      <c r="H3310" t="s">
        <v>4048</v>
      </c>
      <c r="I3310" t="s">
        <v>289</v>
      </c>
      <c r="J3310" t="s">
        <v>672</v>
      </c>
      <c r="K3310">
        <v>18</v>
      </c>
      <c r="L3310" s="6">
        <v>5.4</v>
      </c>
      <c r="M3310" s="7">
        <v>19</v>
      </c>
      <c r="N3310" s="7">
        <v>185</v>
      </c>
      <c r="O3310" s="7">
        <f t="shared" si="253"/>
        <v>212.59842519685043</v>
      </c>
      <c r="P3310" s="7">
        <f t="shared" si="254"/>
        <v>0.74803149606299213</v>
      </c>
      <c r="Q3310" s="7">
        <f t="shared" si="254"/>
        <v>7.2834645669291342</v>
      </c>
      <c r="R3310" s="6">
        <f t="shared" si="255"/>
        <v>933.38300000000004</v>
      </c>
      <c r="S3310" s="6">
        <f t="shared" si="256"/>
        <v>1.8981000000000001E-2</v>
      </c>
      <c r="T3310" t="str">
        <f t="shared" si="257"/>
        <v>Maximo Thermo Clear Radiata S4S 1x8 Long</v>
      </c>
    </row>
    <row r="3311" spans="1:20" x14ac:dyDescent="0.25">
      <c r="A3311" t="s">
        <v>3950</v>
      </c>
      <c r="B3311" t="s">
        <v>4063</v>
      </c>
      <c r="C3311" t="s">
        <v>524</v>
      </c>
      <c r="D3311" t="s">
        <v>3044</v>
      </c>
      <c r="E3311" t="s">
        <v>4074</v>
      </c>
      <c r="F3311" t="s">
        <v>4065</v>
      </c>
      <c r="G3311" t="s">
        <v>3954</v>
      </c>
      <c r="H3311" t="s">
        <v>4048</v>
      </c>
      <c r="I3311" t="s">
        <v>289</v>
      </c>
      <c r="J3311" t="s">
        <v>672</v>
      </c>
      <c r="K3311">
        <v>4</v>
      </c>
      <c r="L3311" s="6">
        <v>1.2</v>
      </c>
      <c r="M3311" s="7">
        <v>19</v>
      </c>
      <c r="N3311" s="7">
        <v>185</v>
      </c>
      <c r="O3311" s="7">
        <f t="shared" si="253"/>
        <v>47.244094488188978</v>
      </c>
      <c r="P3311" s="7">
        <f t="shared" si="254"/>
        <v>0.74803149606299213</v>
      </c>
      <c r="Q3311" s="7">
        <f t="shared" si="254"/>
        <v>7.2834645669291342</v>
      </c>
      <c r="R3311" s="6">
        <f t="shared" si="255"/>
        <v>933.38300000000004</v>
      </c>
      <c r="S3311" s="6">
        <f t="shared" si="256"/>
        <v>4.2180000000000004E-3</v>
      </c>
      <c r="T3311" t="str">
        <f t="shared" si="257"/>
        <v>Maximo Thermo Clear Radiata S4S 1x8 Short</v>
      </c>
    </row>
    <row r="3312" spans="1:20" x14ac:dyDescent="0.25">
      <c r="A3312" t="s">
        <v>3950</v>
      </c>
      <c r="B3312" t="s">
        <v>4063</v>
      </c>
      <c r="C3312" t="s">
        <v>524</v>
      </c>
      <c r="D3312" t="s">
        <v>3044</v>
      </c>
      <c r="E3312" t="s">
        <v>4075</v>
      </c>
      <c r="F3312" t="s">
        <v>4065</v>
      </c>
      <c r="G3312" t="s">
        <v>3954</v>
      </c>
      <c r="H3312" t="s">
        <v>4048</v>
      </c>
      <c r="I3312" t="s">
        <v>289</v>
      </c>
      <c r="J3312" t="s">
        <v>672</v>
      </c>
      <c r="K3312">
        <v>5</v>
      </c>
      <c r="L3312" s="6">
        <v>1.5</v>
      </c>
      <c r="M3312" s="7">
        <v>19</v>
      </c>
      <c r="N3312" s="7">
        <v>185</v>
      </c>
      <c r="O3312" s="7">
        <f t="shared" ref="O3312:O3375" si="258">L3312/0.0254</f>
        <v>59.055118110236222</v>
      </c>
      <c r="P3312" s="7">
        <f t="shared" ref="P3312:Q3375" si="259">M3312/25.4</f>
        <v>0.74803149606299213</v>
      </c>
      <c r="Q3312" s="7">
        <f t="shared" si="259"/>
        <v>7.2834645669291342</v>
      </c>
      <c r="R3312" s="6">
        <f t="shared" ref="R3312:R3375" si="260">ROUND(IFERROR(1/((M3312*N3312*0.3048)/1000000),0),3)</f>
        <v>933.38300000000004</v>
      </c>
      <c r="S3312" s="6">
        <f t="shared" ref="S3312:S3375" si="261">L3312*M3312/1000*N3312/1000</f>
        <v>5.2725000000000003E-3</v>
      </c>
      <c r="T3312" t="str">
        <f t="shared" si="257"/>
        <v>Maximo Thermo Clear Radiata S4S 1x8 Short</v>
      </c>
    </row>
    <row r="3313" spans="1:20" x14ac:dyDescent="0.25">
      <c r="A3313" t="s">
        <v>3950</v>
      </c>
      <c r="B3313" t="s">
        <v>4063</v>
      </c>
      <c r="C3313" t="s">
        <v>524</v>
      </c>
      <c r="D3313" t="s">
        <v>3044</v>
      </c>
      <c r="E3313" t="s">
        <v>4076</v>
      </c>
      <c r="F3313" t="s">
        <v>4065</v>
      </c>
      <c r="G3313" t="s">
        <v>3954</v>
      </c>
      <c r="H3313" t="s">
        <v>4048</v>
      </c>
      <c r="I3313" t="s">
        <v>289</v>
      </c>
      <c r="J3313" t="s">
        <v>672</v>
      </c>
      <c r="K3313">
        <v>6</v>
      </c>
      <c r="L3313" s="6">
        <v>1.8</v>
      </c>
      <c r="M3313" s="7">
        <v>19</v>
      </c>
      <c r="N3313" s="7">
        <v>185</v>
      </c>
      <c r="O3313" s="7">
        <f t="shared" si="258"/>
        <v>70.866141732283467</v>
      </c>
      <c r="P3313" s="7">
        <f t="shared" si="259"/>
        <v>0.74803149606299213</v>
      </c>
      <c r="Q3313" s="7">
        <f t="shared" si="259"/>
        <v>7.2834645669291342</v>
      </c>
      <c r="R3313" s="6">
        <f t="shared" si="260"/>
        <v>933.38300000000004</v>
      </c>
      <c r="S3313" s="6">
        <f t="shared" si="261"/>
        <v>6.3270000000000002E-3</v>
      </c>
      <c r="T3313" t="str">
        <f t="shared" si="257"/>
        <v>Maximo Thermo Clear Radiata S4S 1x8 Short</v>
      </c>
    </row>
    <row r="3314" spans="1:20" x14ac:dyDescent="0.25">
      <c r="A3314" t="s">
        <v>3950</v>
      </c>
      <c r="B3314" t="s">
        <v>4063</v>
      </c>
      <c r="C3314" t="s">
        <v>524</v>
      </c>
      <c r="D3314" t="s">
        <v>3044</v>
      </c>
      <c r="E3314" t="s">
        <v>4077</v>
      </c>
      <c r="F3314" t="s">
        <v>4065</v>
      </c>
      <c r="G3314" t="s">
        <v>3954</v>
      </c>
      <c r="H3314" t="s">
        <v>4048</v>
      </c>
      <c r="I3314" t="s">
        <v>289</v>
      </c>
      <c r="J3314" t="s">
        <v>672</v>
      </c>
      <c r="K3314">
        <v>7</v>
      </c>
      <c r="L3314" s="6">
        <v>2.1</v>
      </c>
      <c r="M3314" s="7">
        <v>19</v>
      </c>
      <c r="N3314" s="7">
        <v>185</v>
      </c>
      <c r="O3314" s="7">
        <f t="shared" si="258"/>
        <v>82.677165354330711</v>
      </c>
      <c r="P3314" s="7">
        <f t="shared" si="259"/>
        <v>0.74803149606299213</v>
      </c>
      <c r="Q3314" s="7">
        <f t="shared" si="259"/>
        <v>7.2834645669291342</v>
      </c>
      <c r="R3314" s="6">
        <f t="shared" si="260"/>
        <v>933.38300000000004</v>
      </c>
      <c r="S3314" s="6">
        <f t="shared" si="261"/>
        <v>7.3815E-3</v>
      </c>
      <c r="T3314" t="str">
        <f t="shared" si="257"/>
        <v>Maximo Thermo Clear Radiata S4S 1x8 Short</v>
      </c>
    </row>
    <row r="3315" spans="1:20" x14ac:dyDescent="0.25">
      <c r="A3315" t="s">
        <v>3950</v>
      </c>
      <c r="B3315" t="s">
        <v>4063</v>
      </c>
      <c r="C3315" t="s">
        <v>283</v>
      </c>
      <c r="D3315" t="s">
        <v>3044</v>
      </c>
      <c r="E3315" t="s">
        <v>4078</v>
      </c>
      <c r="F3315" t="s">
        <v>4065</v>
      </c>
      <c r="G3315" t="s">
        <v>3954</v>
      </c>
      <c r="H3315" t="s">
        <v>4048</v>
      </c>
      <c r="I3315" t="s">
        <v>289</v>
      </c>
      <c r="J3315" t="s">
        <v>672</v>
      </c>
      <c r="K3315">
        <v>8</v>
      </c>
      <c r="L3315" s="6">
        <v>2.4</v>
      </c>
      <c r="M3315" s="7">
        <v>19</v>
      </c>
      <c r="N3315" s="7">
        <v>185</v>
      </c>
      <c r="O3315" s="7">
        <f t="shared" si="258"/>
        <v>94.488188976377955</v>
      </c>
      <c r="P3315" s="7">
        <f t="shared" si="259"/>
        <v>0.74803149606299213</v>
      </c>
      <c r="Q3315" s="7">
        <f t="shared" si="259"/>
        <v>7.2834645669291342</v>
      </c>
      <c r="R3315" s="6">
        <f t="shared" si="260"/>
        <v>933.38300000000004</v>
      </c>
      <c r="S3315" s="6">
        <f t="shared" si="261"/>
        <v>8.4360000000000008E-3</v>
      </c>
      <c r="T3315" t="str">
        <f t="shared" si="257"/>
        <v>Maximo Thermo Clear Radiata S4S 1x8 Long</v>
      </c>
    </row>
    <row r="3316" spans="1:20" x14ac:dyDescent="0.25">
      <c r="A3316" t="s">
        <v>3950</v>
      </c>
      <c r="B3316" t="s">
        <v>4063</v>
      </c>
      <c r="C3316" t="s">
        <v>283</v>
      </c>
      <c r="D3316" t="s">
        <v>3044</v>
      </c>
      <c r="E3316" t="s">
        <v>4079</v>
      </c>
      <c r="F3316" t="s">
        <v>4065</v>
      </c>
      <c r="G3316" t="s">
        <v>3954</v>
      </c>
      <c r="H3316" t="s">
        <v>4048</v>
      </c>
      <c r="I3316" t="s">
        <v>289</v>
      </c>
      <c r="J3316" t="s">
        <v>672</v>
      </c>
      <c r="K3316">
        <v>9</v>
      </c>
      <c r="L3316" s="6">
        <v>2.7</v>
      </c>
      <c r="M3316" s="7">
        <v>19</v>
      </c>
      <c r="N3316" s="7">
        <v>185</v>
      </c>
      <c r="O3316" s="7">
        <f t="shared" si="258"/>
        <v>106.29921259842521</v>
      </c>
      <c r="P3316" s="7">
        <f t="shared" si="259"/>
        <v>0.74803149606299213</v>
      </c>
      <c r="Q3316" s="7">
        <f t="shared" si="259"/>
        <v>7.2834645669291342</v>
      </c>
      <c r="R3316" s="6">
        <f t="shared" si="260"/>
        <v>933.38300000000004</v>
      </c>
      <c r="S3316" s="6">
        <f t="shared" si="261"/>
        <v>9.4905000000000007E-3</v>
      </c>
      <c r="T3316" t="str">
        <f t="shared" si="257"/>
        <v>Maximo Thermo Clear Radiata S4S 1x8 Long</v>
      </c>
    </row>
    <row r="3317" spans="1:20" x14ac:dyDescent="0.25">
      <c r="A3317" t="s">
        <v>3950</v>
      </c>
      <c r="B3317" t="s">
        <v>3972</v>
      </c>
      <c r="C3317" t="s">
        <v>283</v>
      </c>
      <c r="D3317" t="s">
        <v>3044</v>
      </c>
      <c r="E3317" t="s">
        <v>107</v>
      </c>
      <c r="F3317" t="s">
        <v>4080</v>
      </c>
      <c r="G3317" t="s">
        <v>3954</v>
      </c>
      <c r="H3317" t="s">
        <v>373</v>
      </c>
      <c r="I3317" t="s">
        <v>3956</v>
      </c>
      <c r="J3317" t="s">
        <v>344</v>
      </c>
      <c r="K3317">
        <v>10</v>
      </c>
      <c r="L3317" s="6">
        <v>3</v>
      </c>
      <c r="M3317" s="7">
        <v>19</v>
      </c>
      <c r="N3317" s="7">
        <v>138</v>
      </c>
      <c r="O3317" s="7">
        <f t="shared" si="258"/>
        <v>118.11023622047244</v>
      </c>
      <c r="P3317" s="7">
        <f t="shared" si="259"/>
        <v>0.74803149606299213</v>
      </c>
      <c r="Q3317" s="7">
        <f t="shared" si="259"/>
        <v>5.4330708661417324</v>
      </c>
      <c r="R3317" s="6">
        <f t="shared" si="260"/>
        <v>1251.2739999999999</v>
      </c>
      <c r="S3317" s="6">
        <f t="shared" si="261"/>
        <v>7.8659999999999997E-3</v>
      </c>
      <c r="T3317" t="str">
        <f t="shared" si="257"/>
        <v>Maximo Thermo Clear Radiata S4S E4E OPX 1x6 Long</v>
      </c>
    </row>
    <row r="3318" spans="1:20" x14ac:dyDescent="0.25">
      <c r="A3318" t="s">
        <v>3950</v>
      </c>
      <c r="B3318" t="s">
        <v>3972</v>
      </c>
      <c r="C3318" t="s">
        <v>283</v>
      </c>
      <c r="D3318" t="s">
        <v>3044</v>
      </c>
      <c r="E3318" t="s">
        <v>4081</v>
      </c>
      <c r="F3318" t="s">
        <v>4080</v>
      </c>
      <c r="G3318" t="s">
        <v>3954</v>
      </c>
      <c r="H3318" t="s">
        <v>373</v>
      </c>
      <c r="I3318" t="s">
        <v>3956</v>
      </c>
      <c r="J3318" t="s">
        <v>344</v>
      </c>
      <c r="K3318">
        <v>11</v>
      </c>
      <c r="L3318" s="6">
        <v>3.3</v>
      </c>
      <c r="M3318" s="7">
        <v>19</v>
      </c>
      <c r="N3318" s="7">
        <v>138</v>
      </c>
      <c r="O3318" s="7">
        <f t="shared" si="258"/>
        <v>129.92125984251967</v>
      </c>
      <c r="P3318" s="7">
        <f t="shared" si="259"/>
        <v>0.74803149606299213</v>
      </c>
      <c r="Q3318" s="7">
        <f t="shared" si="259"/>
        <v>5.4330708661417324</v>
      </c>
      <c r="R3318" s="6">
        <f t="shared" si="260"/>
        <v>1251.2739999999999</v>
      </c>
      <c r="S3318" s="6">
        <f t="shared" si="261"/>
        <v>8.6525999999999999E-3</v>
      </c>
      <c r="T3318" t="str">
        <f t="shared" si="257"/>
        <v>Maximo Thermo Clear Radiata S4S E4E OPX 1x6 Long</v>
      </c>
    </row>
    <row r="3319" spans="1:20" x14ac:dyDescent="0.25">
      <c r="A3319" t="s">
        <v>3950</v>
      </c>
      <c r="B3319" t="s">
        <v>3972</v>
      </c>
      <c r="C3319" t="s">
        <v>283</v>
      </c>
      <c r="D3319" t="s">
        <v>3044</v>
      </c>
      <c r="E3319" t="s">
        <v>108</v>
      </c>
      <c r="F3319" t="s">
        <v>4080</v>
      </c>
      <c r="G3319" t="s">
        <v>3954</v>
      </c>
      <c r="H3319" t="s">
        <v>373</v>
      </c>
      <c r="I3319" t="s">
        <v>3956</v>
      </c>
      <c r="J3319" t="s">
        <v>344</v>
      </c>
      <c r="K3319">
        <v>12</v>
      </c>
      <c r="L3319" s="6">
        <v>3.6</v>
      </c>
      <c r="M3319" s="7">
        <v>19</v>
      </c>
      <c r="N3319" s="7">
        <v>138</v>
      </c>
      <c r="O3319" s="7">
        <f t="shared" si="258"/>
        <v>141.73228346456693</v>
      </c>
      <c r="P3319" s="7">
        <f t="shared" si="259"/>
        <v>0.74803149606299213</v>
      </c>
      <c r="Q3319" s="7">
        <f t="shared" si="259"/>
        <v>5.4330708661417324</v>
      </c>
      <c r="R3319" s="6">
        <f t="shared" si="260"/>
        <v>1251.2739999999999</v>
      </c>
      <c r="S3319" s="6">
        <f t="shared" si="261"/>
        <v>9.4392E-3</v>
      </c>
      <c r="T3319" t="str">
        <f t="shared" si="257"/>
        <v>Maximo Thermo Clear Radiata S4S E4E OPX 1x6 Long</v>
      </c>
    </row>
    <row r="3320" spans="1:20" x14ac:dyDescent="0.25">
      <c r="A3320" t="s">
        <v>3950</v>
      </c>
      <c r="B3320" t="s">
        <v>3972</v>
      </c>
      <c r="C3320" t="s">
        <v>283</v>
      </c>
      <c r="D3320" t="s">
        <v>3044</v>
      </c>
      <c r="E3320" t="s">
        <v>4082</v>
      </c>
      <c r="F3320" t="s">
        <v>4080</v>
      </c>
      <c r="G3320" t="s">
        <v>3954</v>
      </c>
      <c r="H3320" t="s">
        <v>373</v>
      </c>
      <c r="I3320" t="s">
        <v>3956</v>
      </c>
      <c r="J3320" t="s">
        <v>344</v>
      </c>
      <c r="K3320">
        <v>13</v>
      </c>
      <c r="L3320" s="6">
        <v>3.9</v>
      </c>
      <c r="M3320" s="7">
        <v>19</v>
      </c>
      <c r="N3320" s="7">
        <v>138</v>
      </c>
      <c r="O3320" s="7">
        <f t="shared" si="258"/>
        <v>153.54330708661416</v>
      </c>
      <c r="P3320" s="7">
        <f t="shared" si="259"/>
        <v>0.74803149606299213</v>
      </c>
      <c r="Q3320" s="7">
        <f t="shared" si="259"/>
        <v>5.4330708661417324</v>
      </c>
      <c r="R3320" s="6">
        <f t="shared" si="260"/>
        <v>1251.2739999999999</v>
      </c>
      <c r="S3320" s="6">
        <f t="shared" si="261"/>
        <v>1.02258E-2</v>
      </c>
      <c r="T3320" t="str">
        <f t="shared" si="257"/>
        <v>Maximo Thermo Clear Radiata S4S E4E OPX 1x6 Long</v>
      </c>
    </row>
    <row r="3321" spans="1:20" x14ac:dyDescent="0.25">
      <c r="A3321" t="s">
        <v>3950</v>
      </c>
      <c r="B3321" t="s">
        <v>3972</v>
      </c>
      <c r="C3321" t="s">
        <v>283</v>
      </c>
      <c r="D3321" t="s">
        <v>3044</v>
      </c>
      <c r="E3321" t="s">
        <v>109</v>
      </c>
      <c r="F3321" t="s">
        <v>4080</v>
      </c>
      <c r="G3321" t="s">
        <v>3954</v>
      </c>
      <c r="H3321" t="s">
        <v>373</v>
      </c>
      <c r="I3321" t="s">
        <v>3956</v>
      </c>
      <c r="J3321" t="s">
        <v>344</v>
      </c>
      <c r="K3321">
        <v>14</v>
      </c>
      <c r="L3321" s="6">
        <v>4.2</v>
      </c>
      <c r="M3321" s="7">
        <v>19</v>
      </c>
      <c r="N3321" s="7">
        <v>138</v>
      </c>
      <c r="O3321" s="7">
        <f t="shared" si="258"/>
        <v>165.35433070866142</v>
      </c>
      <c r="P3321" s="7">
        <f t="shared" si="259"/>
        <v>0.74803149606299213</v>
      </c>
      <c r="Q3321" s="7">
        <f t="shared" si="259"/>
        <v>5.4330708661417324</v>
      </c>
      <c r="R3321" s="6">
        <f t="shared" si="260"/>
        <v>1251.2739999999999</v>
      </c>
      <c r="S3321" s="6">
        <f t="shared" si="261"/>
        <v>1.10124E-2</v>
      </c>
      <c r="T3321" t="str">
        <f t="shared" si="257"/>
        <v>Maximo Thermo Clear Radiata S4S E4E OPX 1x6 Long</v>
      </c>
    </row>
    <row r="3322" spans="1:20" x14ac:dyDescent="0.25">
      <c r="A3322" t="s">
        <v>3950</v>
      </c>
      <c r="B3322" t="s">
        <v>3972</v>
      </c>
      <c r="C3322" t="s">
        <v>283</v>
      </c>
      <c r="D3322" t="s">
        <v>3044</v>
      </c>
      <c r="E3322" t="s">
        <v>4083</v>
      </c>
      <c r="F3322" t="s">
        <v>4080</v>
      </c>
      <c r="G3322" t="s">
        <v>3954</v>
      </c>
      <c r="H3322" t="s">
        <v>373</v>
      </c>
      <c r="I3322" t="s">
        <v>3956</v>
      </c>
      <c r="J3322" t="s">
        <v>344</v>
      </c>
      <c r="K3322">
        <v>15</v>
      </c>
      <c r="L3322" s="6">
        <v>4.5</v>
      </c>
      <c r="M3322" s="7">
        <v>19</v>
      </c>
      <c r="N3322" s="7">
        <v>138</v>
      </c>
      <c r="O3322" s="7">
        <f t="shared" si="258"/>
        <v>177.16535433070868</v>
      </c>
      <c r="P3322" s="7">
        <f t="shared" si="259"/>
        <v>0.74803149606299213</v>
      </c>
      <c r="Q3322" s="7">
        <f t="shared" si="259"/>
        <v>5.4330708661417324</v>
      </c>
      <c r="R3322" s="6">
        <f t="shared" si="260"/>
        <v>1251.2739999999999</v>
      </c>
      <c r="S3322" s="6">
        <f t="shared" si="261"/>
        <v>1.1799E-2</v>
      </c>
      <c r="T3322" t="str">
        <f t="shared" si="257"/>
        <v>Maximo Thermo Clear Radiata S4S E4E OPX 1x6 Long</v>
      </c>
    </row>
    <row r="3323" spans="1:20" x14ac:dyDescent="0.25">
      <c r="A3323" t="s">
        <v>3950</v>
      </c>
      <c r="B3323" t="s">
        <v>3972</v>
      </c>
      <c r="C3323" t="s">
        <v>283</v>
      </c>
      <c r="D3323" t="s">
        <v>3044</v>
      </c>
      <c r="E3323" t="s">
        <v>93</v>
      </c>
      <c r="F3323" t="s">
        <v>4080</v>
      </c>
      <c r="G3323" t="s">
        <v>3954</v>
      </c>
      <c r="H3323" t="s">
        <v>373</v>
      </c>
      <c r="I3323" t="s">
        <v>3956</v>
      </c>
      <c r="J3323" t="s">
        <v>344</v>
      </c>
      <c r="K3323">
        <v>16</v>
      </c>
      <c r="L3323" s="6">
        <v>4.8</v>
      </c>
      <c r="M3323" s="7">
        <v>19</v>
      </c>
      <c r="N3323" s="7">
        <v>138</v>
      </c>
      <c r="O3323" s="7">
        <f t="shared" si="258"/>
        <v>188.97637795275591</v>
      </c>
      <c r="P3323" s="7">
        <f t="shared" si="259"/>
        <v>0.74803149606299213</v>
      </c>
      <c r="Q3323" s="7">
        <f t="shared" si="259"/>
        <v>5.4330708661417324</v>
      </c>
      <c r="R3323" s="6">
        <f t="shared" si="260"/>
        <v>1251.2739999999999</v>
      </c>
      <c r="S3323" s="6">
        <f t="shared" si="261"/>
        <v>1.2585600000000001E-2</v>
      </c>
      <c r="T3323" t="str">
        <f t="shared" si="257"/>
        <v>Maximo Thermo Clear Radiata S4S E4E OPX 1x6 Long</v>
      </c>
    </row>
    <row r="3324" spans="1:20" x14ac:dyDescent="0.25">
      <c r="A3324" t="s">
        <v>3950</v>
      </c>
      <c r="B3324" t="s">
        <v>3972</v>
      </c>
      <c r="C3324" t="s">
        <v>283</v>
      </c>
      <c r="D3324" t="s">
        <v>3044</v>
      </c>
      <c r="E3324" t="s">
        <v>4084</v>
      </c>
      <c r="F3324" t="s">
        <v>4080</v>
      </c>
      <c r="G3324" t="s">
        <v>3954</v>
      </c>
      <c r="H3324" t="s">
        <v>373</v>
      </c>
      <c r="I3324" t="s">
        <v>3956</v>
      </c>
      <c r="J3324" t="s">
        <v>344</v>
      </c>
      <c r="K3324">
        <v>17</v>
      </c>
      <c r="L3324" s="6">
        <v>5.0999999999999996</v>
      </c>
      <c r="M3324" s="7">
        <v>19</v>
      </c>
      <c r="N3324" s="7">
        <v>138</v>
      </c>
      <c r="O3324" s="7">
        <f t="shared" si="258"/>
        <v>200.78740157480314</v>
      </c>
      <c r="P3324" s="7">
        <f t="shared" si="259"/>
        <v>0.74803149606299213</v>
      </c>
      <c r="Q3324" s="7">
        <f t="shared" si="259"/>
        <v>5.4330708661417324</v>
      </c>
      <c r="R3324" s="6">
        <f t="shared" si="260"/>
        <v>1251.2739999999999</v>
      </c>
      <c r="S3324" s="6">
        <f t="shared" si="261"/>
        <v>1.3372199999999997E-2</v>
      </c>
      <c r="T3324" t="str">
        <f t="shared" si="257"/>
        <v>Maximo Thermo Clear Radiata S4S E4E OPX 1x6 Long</v>
      </c>
    </row>
    <row r="3325" spans="1:20" x14ac:dyDescent="0.25">
      <c r="A3325" t="s">
        <v>3950</v>
      </c>
      <c r="B3325" t="s">
        <v>3972</v>
      </c>
      <c r="C3325" t="s">
        <v>283</v>
      </c>
      <c r="D3325" t="s">
        <v>3044</v>
      </c>
      <c r="E3325" t="s">
        <v>94</v>
      </c>
      <c r="F3325" t="s">
        <v>4080</v>
      </c>
      <c r="G3325" t="s">
        <v>3954</v>
      </c>
      <c r="H3325" t="s">
        <v>373</v>
      </c>
      <c r="I3325" t="s">
        <v>3956</v>
      </c>
      <c r="J3325" t="s">
        <v>344</v>
      </c>
      <c r="K3325">
        <v>18</v>
      </c>
      <c r="L3325" s="6">
        <v>5.4</v>
      </c>
      <c r="M3325" s="7">
        <v>19</v>
      </c>
      <c r="N3325" s="7">
        <v>138</v>
      </c>
      <c r="O3325" s="7">
        <f t="shared" si="258"/>
        <v>212.59842519685043</v>
      </c>
      <c r="P3325" s="7">
        <f t="shared" si="259"/>
        <v>0.74803149606299213</v>
      </c>
      <c r="Q3325" s="7">
        <f t="shared" si="259"/>
        <v>5.4330708661417324</v>
      </c>
      <c r="R3325" s="6">
        <f t="shared" si="260"/>
        <v>1251.2739999999999</v>
      </c>
      <c r="S3325" s="6">
        <f t="shared" si="261"/>
        <v>1.4158800000000001E-2</v>
      </c>
      <c r="T3325" t="str">
        <f t="shared" si="257"/>
        <v>Maximo Thermo Clear Radiata S4S E4E OPX 1x6 Long</v>
      </c>
    </row>
    <row r="3326" spans="1:20" x14ac:dyDescent="0.25">
      <c r="A3326" t="s">
        <v>3950</v>
      </c>
      <c r="B3326" t="s">
        <v>3972</v>
      </c>
      <c r="C3326" t="s">
        <v>524</v>
      </c>
      <c r="D3326" t="s">
        <v>3044</v>
      </c>
      <c r="E3326" t="s">
        <v>4085</v>
      </c>
      <c r="F3326" t="s">
        <v>4080</v>
      </c>
      <c r="G3326" t="s">
        <v>3954</v>
      </c>
      <c r="H3326" t="s">
        <v>373</v>
      </c>
      <c r="I3326" t="s">
        <v>3956</v>
      </c>
      <c r="J3326" t="s">
        <v>344</v>
      </c>
      <c r="K3326">
        <v>4</v>
      </c>
      <c r="L3326" s="6">
        <v>1.2</v>
      </c>
      <c r="M3326" s="7">
        <v>19</v>
      </c>
      <c r="N3326" s="7">
        <v>138</v>
      </c>
      <c r="O3326" s="7">
        <f t="shared" si="258"/>
        <v>47.244094488188978</v>
      </c>
      <c r="P3326" s="7">
        <f t="shared" si="259"/>
        <v>0.74803149606299213</v>
      </c>
      <c r="Q3326" s="7">
        <f t="shared" si="259"/>
        <v>5.4330708661417324</v>
      </c>
      <c r="R3326" s="6">
        <f t="shared" si="260"/>
        <v>1251.2739999999999</v>
      </c>
      <c r="S3326" s="6">
        <f t="shared" si="261"/>
        <v>3.1464000000000002E-3</v>
      </c>
      <c r="T3326" t="str">
        <f t="shared" si="257"/>
        <v>Maximo Thermo Clear Radiata S4S E4E OPX 1x6 Short</v>
      </c>
    </row>
    <row r="3327" spans="1:20" x14ac:dyDescent="0.25">
      <c r="A3327" t="s">
        <v>3950</v>
      </c>
      <c r="B3327" t="s">
        <v>3972</v>
      </c>
      <c r="C3327" t="s">
        <v>524</v>
      </c>
      <c r="D3327" t="s">
        <v>3044</v>
      </c>
      <c r="E3327" t="s">
        <v>4086</v>
      </c>
      <c r="F3327" t="s">
        <v>4080</v>
      </c>
      <c r="G3327" t="s">
        <v>3954</v>
      </c>
      <c r="H3327" t="s">
        <v>373</v>
      </c>
      <c r="I3327" t="s">
        <v>3956</v>
      </c>
      <c r="J3327" t="s">
        <v>344</v>
      </c>
      <c r="K3327">
        <v>5</v>
      </c>
      <c r="L3327" s="6">
        <v>1.5</v>
      </c>
      <c r="M3327" s="7">
        <v>19</v>
      </c>
      <c r="N3327" s="7">
        <v>138</v>
      </c>
      <c r="O3327" s="7">
        <f t="shared" si="258"/>
        <v>59.055118110236222</v>
      </c>
      <c r="P3327" s="7">
        <f t="shared" si="259"/>
        <v>0.74803149606299213</v>
      </c>
      <c r="Q3327" s="7">
        <f t="shared" si="259"/>
        <v>5.4330708661417324</v>
      </c>
      <c r="R3327" s="6">
        <f t="shared" si="260"/>
        <v>1251.2739999999999</v>
      </c>
      <c r="S3327" s="6">
        <f t="shared" si="261"/>
        <v>3.9329999999999999E-3</v>
      </c>
      <c r="T3327" t="str">
        <f t="shared" si="257"/>
        <v>Maximo Thermo Clear Radiata S4S E4E OPX 1x6 Short</v>
      </c>
    </row>
    <row r="3328" spans="1:20" x14ac:dyDescent="0.25">
      <c r="A3328" t="s">
        <v>3950</v>
      </c>
      <c r="B3328" t="s">
        <v>3972</v>
      </c>
      <c r="C3328" t="s">
        <v>524</v>
      </c>
      <c r="D3328" t="s">
        <v>3044</v>
      </c>
      <c r="E3328" t="s">
        <v>4087</v>
      </c>
      <c r="F3328" t="s">
        <v>4080</v>
      </c>
      <c r="G3328" t="s">
        <v>3954</v>
      </c>
      <c r="H3328" t="s">
        <v>373</v>
      </c>
      <c r="I3328" t="s">
        <v>3956</v>
      </c>
      <c r="J3328" t="s">
        <v>344</v>
      </c>
      <c r="K3328">
        <v>6</v>
      </c>
      <c r="L3328" s="6">
        <v>1.8</v>
      </c>
      <c r="M3328" s="7">
        <v>19</v>
      </c>
      <c r="N3328" s="7">
        <v>138</v>
      </c>
      <c r="O3328" s="7">
        <f t="shared" si="258"/>
        <v>70.866141732283467</v>
      </c>
      <c r="P3328" s="7">
        <f t="shared" si="259"/>
        <v>0.74803149606299213</v>
      </c>
      <c r="Q3328" s="7">
        <f t="shared" si="259"/>
        <v>5.4330708661417324</v>
      </c>
      <c r="R3328" s="6">
        <f t="shared" si="260"/>
        <v>1251.2739999999999</v>
      </c>
      <c r="S3328" s="6">
        <f t="shared" si="261"/>
        <v>4.7196E-3</v>
      </c>
      <c r="T3328" t="str">
        <f t="shared" si="257"/>
        <v>Maximo Thermo Clear Radiata S4S E4E OPX 1x6 Short</v>
      </c>
    </row>
    <row r="3329" spans="1:20" x14ac:dyDescent="0.25">
      <c r="A3329" t="s">
        <v>3950</v>
      </c>
      <c r="B3329" t="s">
        <v>3972</v>
      </c>
      <c r="C3329" t="s">
        <v>524</v>
      </c>
      <c r="D3329" t="s">
        <v>3044</v>
      </c>
      <c r="E3329" t="s">
        <v>105</v>
      </c>
      <c r="F3329" t="s">
        <v>4080</v>
      </c>
      <c r="G3329" t="s">
        <v>3954</v>
      </c>
      <c r="H3329" t="s">
        <v>373</v>
      </c>
      <c r="I3329" t="s">
        <v>3956</v>
      </c>
      <c r="J3329" t="s">
        <v>344</v>
      </c>
      <c r="K3329">
        <v>7</v>
      </c>
      <c r="L3329" s="6">
        <v>2.1</v>
      </c>
      <c r="M3329" s="7">
        <v>19</v>
      </c>
      <c r="N3329" s="7">
        <v>138</v>
      </c>
      <c r="O3329" s="7">
        <f t="shared" si="258"/>
        <v>82.677165354330711</v>
      </c>
      <c r="P3329" s="7">
        <f t="shared" si="259"/>
        <v>0.74803149606299213</v>
      </c>
      <c r="Q3329" s="7">
        <f t="shared" si="259"/>
        <v>5.4330708661417324</v>
      </c>
      <c r="R3329" s="6">
        <f t="shared" si="260"/>
        <v>1251.2739999999999</v>
      </c>
      <c r="S3329" s="6">
        <f t="shared" si="261"/>
        <v>5.5062000000000002E-3</v>
      </c>
      <c r="T3329" t="str">
        <f t="shared" si="257"/>
        <v>Maximo Thermo Clear Radiata S4S E4E OPX 1x6 Short</v>
      </c>
    </row>
    <row r="3330" spans="1:20" x14ac:dyDescent="0.25">
      <c r="A3330" t="s">
        <v>3950</v>
      </c>
      <c r="B3330" t="s">
        <v>3972</v>
      </c>
      <c r="C3330" t="s">
        <v>283</v>
      </c>
      <c r="D3330" t="s">
        <v>3044</v>
      </c>
      <c r="E3330" t="s">
        <v>4088</v>
      </c>
      <c r="F3330" t="s">
        <v>4080</v>
      </c>
      <c r="G3330" t="s">
        <v>3954</v>
      </c>
      <c r="H3330" t="s">
        <v>373</v>
      </c>
      <c r="I3330" t="s">
        <v>3956</v>
      </c>
      <c r="J3330" t="s">
        <v>344</v>
      </c>
      <c r="K3330">
        <v>8</v>
      </c>
      <c r="L3330" s="6">
        <v>2.4</v>
      </c>
      <c r="M3330" s="7">
        <v>19</v>
      </c>
      <c r="N3330" s="7">
        <v>138</v>
      </c>
      <c r="O3330" s="7">
        <f t="shared" si="258"/>
        <v>94.488188976377955</v>
      </c>
      <c r="P3330" s="7">
        <f t="shared" si="259"/>
        <v>0.74803149606299213</v>
      </c>
      <c r="Q3330" s="7">
        <f t="shared" si="259"/>
        <v>5.4330708661417324</v>
      </c>
      <c r="R3330" s="6">
        <f t="shared" si="260"/>
        <v>1251.2739999999999</v>
      </c>
      <c r="S3330" s="6">
        <f t="shared" si="261"/>
        <v>6.2928000000000003E-3</v>
      </c>
      <c r="T3330" t="str">
        <f t="shared" ref="T3330:T3393" si="262">F3330&amp;" "&amp;C3330</f>
        <v>Maximo Thermo Clear Radiata S4S E4E OPX 1x6 Long</v>
      </c>
    </row>
    <row r="3331" spans="1:20" x14ac:dyDescent="0.25">
      <c r="A3331" t="s">
        <v>3950</v>
      </c>
      <c r="B3331" t="s">
        <v>3972</v>
      </c>
      <c r="C3331" t="s">
        <v>283</v>
      </c>
      <c r="D3331" t="s">
        <v>3044</v>
      </c>
      <c r="E3331" t="s">
        <v>106</v>
      </c>
      <c r="F3331" t="s">
        <v>4080</v>
      </c>
      <c r="G3331" t="s">
        <v>3954</v>
      </c>
      <c r="H3331" t="s">
        <v>373</v>
      </c>
      <c r="I3331" t="s">
        <v>3956</v>
      </c>
      <c r="J3331" t="s">
        <v>344</v>
      </c>
      <c r="K3331">
        <v>9</v>
      </c>
      <c r="L3331" s="6">
        <v>2.7</v>
      </c>
      <c r="M3331" s="7">
        <v>19</v>
      </c>
      <c r="N3331" s="7">
        <v>138</v>
      </c>
      <c r="O3331" s="7">
        <f t="shared" si="258"/>
        <v>106.29921259842521</v>
      </c>
      <c r="P3331" s="7">
        <f t="shared" si="259"/>
        <v>0.74803149606299213</v>
      </c>
      <c r="Q3331" s="7">
        <f t="shared" si="259"/>
        <v>5.4330708661417324</v>
      </c>
      <c r="R3331" s="6">
        <f t="shared" si="260"/>
        <v>1251.2739999999999</v>
      </c>
      <c r="S3331" s="6">
        <f t="shared" si="261"/>
        <v>7.0794000000000004E-3</v>
      </c>
      <c r="T3331" t="str">
        <f t="shared" si="262"/>
        <v>Maximo Thermo Clear Radiata S4S E4E OPX 1x6 Long</v>
      </c>
    </row>
    <row r="3332" spans="1:20" x14ac:dyDescent="0.25">
      <c r="A3332" t="s">
        <v>3950</v>
      </c>
      <c r="B3332" t="s">
        <v>4089</v>
      </c>
      <c r="C3332" t="s">
        <v>283</v>
      </c>
      <c r="D3332" t="s">
        <v>3044</v>
      </c>
      <c r="E3332" t="s">
        <v>4090</v>
      </c>
      <c r="F3332" t="s">
        <v>4091</v>
      </c>
      <c r="G3332" t="s">
        <v>3954</v>
      </c>
      <c r="H3332" t="s">
        <v>373</v>
      </c>
      <c r="I3332" t="s">
        <v>3956</v>
      </c>
      <c r="J3332" t="s">
        <v>821</v>
      </c>
      <c r="K3332">
        <v>10</v>
      </c>
      <c r="L3332" s="6">
        <v>3</v>
      </c>
      <c r="M3332" s="7">
        <v>38</v>
      </c>
      <c r="N3332" s="7">
        <v>138</v>
      </c>
      <c r="O3332" s="7">
        <f t="shared" si="258"/>
        <v>118.11023622047244</v>
      </c>
      <c r="P3332" s="7">
        <f t="shared" si="259"/>
        <v>1.4960629921259843</v>
      </c>
      <c r="Q3332" s="7">
        <f t="shared" si="259"/>
        <v>5.4330708661417324</v>
      </c>
      <c r="R3332" s="6">
        <f t="shared" si="260"/>
        <v>625.63699999999994</v>
      </c>
      <c r="S3332" s="6">
        <f t="shared" si="261"/>
        <v>1.5731999999999999E-2</v>
      </c>
      <c r="T3332" t="str">
        <f t="shared" si="262"/>
        <v>Maximo Thermo Clear Radiata S4S E4E OPX 2x6 Long</v>
      </c>
    </row>
    <row r="3333" spans="1:20" x14ac:dyDescent="0.25">
      <c r="A3333" t="s">
        <v>3950</v>
      </c>
      <c r="B3333" t="s">
        <v>4089</v>
      </c>
      <c r="C3333" t="s">
        <v>283</v>
      </c>
      <c r="D3333" t="s">
        <v>3044</v>
      </c>
      <c r="E3333" t="s">
        <v>4092</v>
      </c>
      <c r="F3333" t="s">
        <v>4091</v>
      </c>
      <c r="G3333" t="s">
        <v>3954</v>
      </c>
      <c r="H3333" t="s">
        <v>373</v>
      </c>
      <c r="I3333" t="s">
        <v>3956</v>
      </c>
      <c r="J3333" t="s">
        <v>821</v>
      </c>
      <c r="K3333">
        <v>11</v>
      </c>
      <c r="L3333" s="6">
        <v>3.3</v>
      </c>
      <c r="M3333" s="7">
        <v>38</v>
      </c>
      <c r="N3333" s="7">
        <v>138</v>
      </c>
      <c r="O3333" s="7">
        <f t="shared" si="258"/>
        <v>129.92125984251967</v>
      </c>
      <c r="P3333" s="7">
        <f t="shared" si="259"/>
        <v>1.4960629921259843</v>
      </c>
      <c r="Q3333" s="7">
        <f t="shared" si="259"/>
        <v>5.4330708661417324</v>
      </c>
      <c r="R3333" s="6">
        <f t="shared" si="260"/>
        <v>625.63699999999994</v>
      </c>
      <c r="S3333" s="6">
        <f t="shared" si="261"/>
        <v>1.73052E-2</v>
      </c>
      <c r="T3333" t="str">
        <f t="shared" si="262"/>
        <v>Maximo Thermo Clear Radiata S4S E4E OPX 2x6 Long</v>
      </c>
    </row>
    <row r="3334" spans="1:20" x14ac:dyDescent="0.25">
      <c r="A3334" t="s">
        <v>3950</v>
      </c>
      <c r="B3334" t="s">
        <v>4089</v>
      </c>
      <c r="C3334" t="s">
        <v>283</v>
      </c>
      <c r="D3334" t="s">
        <v>3044</v>
      </c>
      <c r="E3334" t="s">
        <v>4093</v>
      </c>
      <c r="F3334" t="s">
        <v>4091</v>
      </c>
      <c r="G3334" t="s">
        <v>3954</v>
      </c>
      <c r="H3334" t="s">
        <v>373</v>
      </c>
      <c r="I3334" t="s">
        <v>3956</v>
      </c>
      <c r="J3334" t="s">
        <v>821</v>
      </c>
      <c r="K3334">
        <v>12</v>
      </c>
      <c r="L3334" s="6">
        <v>3.6</v>
      </c>
      <c r="M3334" s="7">
        <v>38</v>
      </c>
      <c r="N3334" s="7">
        <v>138</v>
      </c>
      <c r="O3334" s="7">
        <f t="shared" si="258"/>
        <v>141.73228346456693</v>
      </c>
      <c r="P3334" s="7">
        <f t="shared" si="259"/>
        <v>1.4960629921259843</v>
      </c>
      <c r="Q3334" s="7">
        <f t="shared" si="259"/>
        <v>5.4330708661417324</v>
      </c>
      <c r="R3334" s="6">
        <f t="shared" si="260"/>
        <v>625.63699999999994</v>
      </c>
      <c r="S3334" s="6">
        <f t="shared" si="261"/>
        <v>1.88784E-2</v>
      </c>
      <c r="T3334" t="str">
        <f t="shared" si="262"/>
        <v>Maximo Thermo Clear Radiata S4S E4E OPX 2x6 Long</v>
      </c>
    </row>
    <row r="3335" spans="1:20" x14ac:dyDescent="0.25">
      <c r="A3335" t="s">
        <v>3950</v>
      </c>
      <c r="B3335" t="s">
        <v>4089</v>
      </c>
      <c r="C3335" t="s">
        <v>283</v>
      </c>
      <c r="D3335" t="s">
        <v>3044</v>
      </c>
      <c r="E3335" t="s">
        <v>4094</v>
      </c>
      <c r="F3335" t="s">
        <v>4091</v>
      </c>
      <c r="G3335" t="s">
        <v>3954</v>
      </c>
      <c r="H3335" t="s">
        <v>373</v>
      </c>
      <c r="I3335" t="s">
        <v>3956</v>
      </c>
      <c r="J3335" t="s">
        <v>821</v>
      </c>
      <c r="K3335">
        <v>13</v>
      </c>
      <c r="L3335" s="6">
        <v>3.9</v>
      </c>
      <c r="M3335" s="7">
        <v>38</v>
      </c>
      <c r="N3335" s="7">
        <v>138</v>
      </c>
      <c r="O3335" s="7">
        <f t="shared" si="258"/>
        <v>153.54330708661416</v>
      </c>
      <c r="P3335" s="7">
        <f t="shared" si="259"/>
        <v>1.4960629921259843</v>
      </c>
      <c r="Q3335" s="7">
        <f t="shared" si="259"/>
        <v>5.4330708661417324</v>
      </c>
      <c r="R3335" s="6">
        <f t="shared" si="260"/>
        <v>625.63699999999994</v>
      </c>
      <c r="S3335" s="6">
        <f t="shared" si="261"/>
        <v>2.04516E-2</v>
      </c>
      <c r="T3335" t="str">
        <f t="shared" si="262"/>
        <v>Maximo Thermo Clear Radiata S4S E4E OPX 2x6 Long</v>
      </c>
    </row>
    <row r="3336" spans="1:20" x14ac:dyDescent="0.25">
      <c r="A3336" t="s">
        <v>3950</v>
      </c>
      <c r="B3336" t="s">
        <v>4089</v>
      </c>
      <c r="C3336" t="s">
        <v>283</v>
      </c>
      <c r="D3336" t="s">
        <v>3044</v>
      </c>
      <c r="E3336" t="s">
        <v>4095</v>
      </c>
      <c r="F3336" t="s">
        <v>4091</v>
      </c>
      <c r="G3336" t="s">
        <v>3954</v>
      </c>
      <c r="H3336" t="s">
        <v>373</v>
      </c>
      <c r="I3336" t="s">
        <v>3956</v>
      </c>
      <c r="J3336" t="s">
        <v>821</v>
      </c>
      <c r="K3336">
        <v>14</v>
      </c>
      <c r="L3336" s="6">
        <v>4.2</v>
      </c>
      <c r="M3336" s="7">
        <v>38</v>
      </c>
      <c r="N3336" s="7">
        <v>138</v>
      </c>
      <c r="O3336" s="7">
        <f t="shared" si="258"/>
        <v>165.35433070866142</v>
      </c>
      <c r="P3336" s="7">
        <f t="shared" si="259"/>
        <v>1.4960629921259843</v>
      </c>
      <c r="Q3336" s="7">
        <f t="shared" si="259"/>
        <v>5.4330708661417324</v>
      </c>
      <c r="R3336" s="6">
        <f t="shared" si="260"/>
        <v>625.63699999999994</v>
      </c>
      <c r="S3336" s="6">
        <f t="shared" si="261"/>
        <v>2.2024800000000001E-2</v>
      </c>
      <c r="T3336" t="str">
        <f t="shared" si="262"/>
        <v>Maximo Thermo Clear Radiata S4S E4E OPX 2x6 Long</v>
      </c>
    </row>
    <row r="3337" spans="1:20" x14ac:dyDescent="0.25">
      <c r="A3337" t="s">
        <v>3950</v>
      </c>
      <c r="B3337" t="s">
        <v>4089</v>
      </c>
      <c r="C3337" t="s">
        <v>283</v>
      </c>
      <c r="D3337" t="s">
        <v>3044</v>
      </c>
      <c r="E3337" t="s">
        <v>4096</v>
      </c>
      <c r="F3337" t="s">
        <v>4091</v>
      </c>
      <c r="G3337" t="s">
        <v>3954</v>
      </c>
      <c r="H3337" t="s">
        <v>373</v>
      </c>
      <c r="I3337" t="s">
        <v>3956</v>
      </c>
      <c r="J3337" t="s">
        <v>821</v>
      </c>
      <c r="K3337">
        <v>15</v>
      </c>
      <c r="L3337" s="6">
        <v>4.5</v>
      </c>
      <c r="M3337" s="7">
        <v>38</v>
      </c>
      <c r="N3337" s="7">
        <v>138</v>
      </c>
      <c r="O3337" s="7">
        <f t="shared" si="258"/>
        <v>177.16535433070868</v>
      </c>
      <c r="P3337" s="7">
        <f t="shared" si="259"/>
        <v>1.4960629921259843</v>
      </c>
      <c r="Q3337" s="7">
        <f t="shared" si="259"/>
        <v>5.4330708661417324</v>
      </c>
      <c r="R3337" s="6">
        <f t="shared" si="260"/>
        <v>625.63699999999994</v>
      </c>
      <c r="S3337" s="6">
        <f t="shared" si="261"/>
        <v>2.3598000000000001E-2</v>
      </c>
      <c r="T3337" t="str">
        <f t="shared" si="262"/>
        <v>Maximo Thermo Clear Radiata S4S E4E OPX 2x6 Long</v>
      </c>
    </row>
    <row r="3338" spans="1:20" x14ac:dyDescent="0.25">
      <c r="A3338" t="s">
        <v>3950</v>
      </c>
      <c r="B3338" t="s">
        <v>4089</v>
      </c>
      <c r="C3338" t="s">
        <v>283</v>
      </c>
      <c r="D3338" t="s">
        <v>3044</v>
      </c>
      <c r="E3338" t="s">
        <v>4097</v>
      </c>
      <c r="F3338" t="s">
        <v>4091</v>
      </c>
      <c r="G3338" t="s">
        <v>3954</v>
      </c>
      <c r="H3338" t="s">
        <v>373</v>
      </c>
      <c r="I3338" t="s">
        <v>3956</v>
      </c>
      <c r="J3338" t="s">
        <v>821</v>
      </c>
      <c r="K3338">
        <v>16</v>
      </c>
      <c r="L3338" s="6">
        <v>4.8</v>
      </c>
      <c r="M3338" s="7">
        <v>38</v>
      </c>
      <c r="N3338" s="7">
        <v>138</v>
      </c>
      <c r="O3338" s="7">
        <f t="shared" si="258"/>
        <v>188.97637795275591</v>
      </c>
      <c r="P3338" s="7">
        <f t="shared" si="259"/>
        <v>1.4960629921259843</v>
      </c>
      <c r="Q3338" s="7">
        <f t="shared" si="259"/>
        <v>5.4330708661417324</v>
      </c>
      <c r="R3338" s="6">
        <f t="shared" si="260"/>
        <v>625.63699999999994</v>
      </c>
      <c r="S3338" s="6">
        <f t="shared" si="261"/>
        <v>2.5171200000000001E-2</v>
      </c>
      <c r="T3338" t="str">
        <f t="shared" si="262"/>
        <v>Maximo Thermo Clear Radiata S4S E4E OPX 2x6 Long</v>
      </c>
    </row>
    <row r="3339" spans="1:20" x14ac:dyDescent="0.25">
      <c r="A3339" t="s">
        <v>3950</v>
      </c>
      <c r="B3339" t="s">
        <v>4089</v>
      </c>
      <c r="C3339" t="s">
        <v>283</v>
      </c>
      <c r="D3339" t="s">
        <v>3044</v>
      </c>
      <c r="E3339" t="s">
        <v>4098</v>
      </c>
      <c r="F3339" t="s">
        <v>4091</v>
      </c>
      <c r="G3339" t="s">
        <v>3954</v>
      </c>
      <c r="H3339" t="s">
        <v>373</v>
      </c>
      <c r="I3339" t="s">
        <v>3956</v>
      </c>
      <c r="J3339" t="s">
        <v>821</v>
      </c>
      <c r="K3339">
        <v>17</v>
      </c>
      <c r="L3339" s="6">
        <v>5.0999999999999996</v>
      </c>
      <c r="M3339" s="7">
        <v>38</v>
      </c>
      <c r="N3339" s="7">
        <v>138</v>
      </c>
      <c r="O3339" s="7">
        <f t="shared" si="258"/>
        <v>200.78740157480314</v>
      </c>
      <c r="P3339" s="7">
        <f t="shared" si="259"/>
        <v>1.4960629921259843</v>
      </c>
      <c r="Q3339" s="7">
        <f t="shared" si="259"/>
        <v>5.4330708661417324</v>
      </c>
      <c r="R3339" s="6">
        <f t="shared" si="260"/>
        <v>625.63699999999994</v>
      </c>
      <c r="S3339" s="6">
        <f t="shared" si="261"/>
        <v>2.6744399999999995E-2</v>
      </c>
      <c r="T3339" t="str">
        <f t="shared" si="262"/>
        <v>Maximo Thermo Clear Radiata S4S E4E OPX 2x6 Long</v>
      </c>
    </row>
    <row r="3340" spans="1:20" x14ac:dyDescent="0.25">
      <c r="A3340" t="s">
        <v>3950</v>
      </c>
      <c r="B3340" t="s">
        <v>4089</v>
      </c>
      <c r="C3340" t="s">
        <v>283</v>
      </c>
      <c r="D3340" t="s">
        <v>3044</v>
      </c>
      <c r="E3340" t="s">
        <v>4099</v>
      </c>
      <c r="F3340" t="s">
        <v>4091</v>
      </c>
      <c r="G3340" t="s">
        <v>3954</v>
      </c>
      <c r="H3340" t="s">
        <v>373</v>
      </c>
      <c r="I3340" t="s">
        <v>3956</v>
      </c>
      <c r="J3340" t="s">
        <v>821</v>
      </c>
      <c r="K3340">
        <v>18</v>
      </c>
      <c r="L3340" s="6">
        <v>5.4</v>
      </c>
      <c r="M3340" s="7">
        <v>38</v>
      </c>
      <c r="N3340" s="7">
        <v>138</v>
      </c>
      <c r="O3340" s="7">
        <f t="shared" si="258"/>
        <v>212.59842519685043</v>
      </c>
      <c r="P3340" s="7">
        <f t="shared" si="259"/>
        <v>1.4960629921259843</v>
      </c>
      <c r="Q3340" s="7">
        <f t="shared" si="259"/>
        <v>5.4330708661417324</v>
      </c>
      <c r="R3340" s="6">
        <f t="shared" si="260"/>
        <v>625.63699999999994</v>
      </c>
      <c r="S3340" s="6">
        <f t="shared" si="261"/>
        <v>2.8317600000000002E-2</v>
      </c>
      <c r="T3340" t="str">
        <f t="shared" si="262"/>
        <v>Maximo Thermo Clear Radiata S4S E4E OPX 2x6 Long</v>
      </c>
    </row>
    <row r="3341" spans="1:20" x14ac:dyDescent="0.25">
      <c r="A3341" t="s">
        <v>3950</v>
      </c>
      <c r="B3341" t="s">
        <v>4089</v>
      </c>
      <c r="C3341" t="s">
        <v>524</v>
      </c>
      <c r="D3341" t="s">
        <v>3044</v>
      </c>
      <c r="E3341" t="s">
        <v>4100</v>
      </c>
      <c r="F3341" t="s">
        <v>4091</v>
      </c>
      <c r="G3341" t="s">
        <v>3954</v>
      </c>
      <c r="H3341" t="s">
        <v>373</v>
      </c>
      <c r="I3341" t="s">
        <v>3956</v>
      </c>
      <c r="J3341" t="s">
        <v>821</v>
      </c>
      <c r="K3341">
        <v>4</v>
      </c>
      <c r="L3341" s="6">
        <v>1.2</v>
      </c>
      <c r="M3341" s="7">
        <v>38</v>
      </c>
      <c r="N3341" s="7">
        <v>138</v>
      </c>
      <c r="O3341" s="7">
        <f t="shared" si="258"/>
        <v>47.244094488188978</v>
      </c>
      <c r="P3341" s="7">
        <f t="shared" si="259"/>
        <v>1.4960629921259843</v>
      </c>
      <c r="Q3341" s="7">
        <f t="shared" si="259"/>
        <v>5.4330708661417324</v>
      </c>
      <c r="R3341" s="6">
        <f t="shared" si="260"/>
        <v>625.63699999999994</v>
      </c>
      <c r="S3341" s="6">
        <f t="shared" si="261"/>
        <v>6.2928000000000003E-3</v>
      </c>
      <c r="T3341" t="str">
        <f t="shared" si="262"/>
        <v>Maximo Thermo Clear Radiata S4S E4E OPX 2x6 Short</v>
      </c>
    </row>
    <row r="3342" spans="1:20" x14ac:dyDescent="0.25">
      <c r="A3342" t="s">
        <v>3950</v>
      </c>
      <c r="B3342" t="s">
        <v>4089</v>
      </c>
      <c r="C3342" t="s">
        <v>524</v>
      </c>
      <c r="D3342" t="s">
        <v>3044</v>
      </c>
      <c r="E3342" t="s">
        <v>4101</v>
      </c>
      <c r="F3342" t="s">
        <v>4091</v>
      </c>
      <c r="G3342" t="s">
        <v>3954</v>
      </c>
      <c r="H3342" t="s">
        <v>373</v>
      </c>
      <c r="I3342" t="s">
        <v>3956</v>
      </c>
      <c r="J3342" t="s">
        <v>821</v>
      </c>
      <c r="K3342">
        <v>5</v>
      </c>
      <c r="L3342" s="6">
        <v>1.5</v>
      </c>
      <c r="M3342" s="7">
        <v>38</v>
      </c>
      <c r="N3342" s="7">
        <v>138</v>
      </c>
      <c r="O3342" s="7">
        <f t="shared" si="258"/>
        <v>59.055118110236222</v>
      </c>
      <c r="P3342" s="7">
        <f t="shared" si="259"/>
        <v>1.4960629921259843</v>
      </c>
      <c r="Q3342" s="7">
        <f t="shared" si="259"/>
        <v>5.4330708661417324</v>
      </c>
      <c r="R3342" s="6">
        <f t="shared" si="260"/>
        <v>625.63699999999994</v>
      </c>
      <c r="S3342" s="6">
        <f t="shared" si="261"/>
        <v>7.8659999999999997E-3</v>
      </c>
      <c r="T3342" t="str">
        <f t="shared" si="262"/>
        <v>Maximo Thermo Clear Radiata S4S E4E OPX 2x6 Short</v>
      </c>
    </row>
    <row r="3343" spans="1:20" x14ac:dyDescent="0.25">
      <c r="A3343" t="s">
        <v>3950</v>
      </c>
      <c r="B3343" t="s">
        <v>4089</v>
      </c>
      <c r="C3343" t="s">
        <v>524</v>
      </c>
      <c r="D3343" t="s">
        <v>3044</v>
      </c>
      <c r="E3343" t="s">
        <v>4102</v>
      </c>
      <c r="F3343" t="s">
        <v>4091</v>
      </c>
      <c r="G3343" t="s">
        <v>3954</v>
      </c>
      <c r="H3343" t="s">
        <v>373</v>
      </c>
      <c r="I3343" t="s">
        <v>3956</v>
      </c>
      <c r="J3343" t="s">
        <v>821</v>
      </c>
      <c r="K3343">
        <v>6</v>
      </c>
      <c r="L3343" s="6">
        <v>1.8</v>
      </c>
      <c r="M3343" s="7">
        <v>38</v>
      </c>
      <c r="N3343" s="7">
        <v>138</v>
      </c>
      <c r="O3343" s="7">
        <f t="shared" si="258"/>
        <v>70.866141732283467</v>
      </c>
      <c r="P3343" s="7">
        <f t="shared" si="259"/>
        <v>1.4960629921259843</v>
      </c>
      <c r="Q3343" s="7">
        <f t="shared" si="259"/>
        <v>5.4330708661417324</v>
      </c>
      <c r="R3343" s="6">
        <f t="shared" si="260"/>
        <v>625.63699999999994</v>
      </c>
      <c r="S3343" s="6">
        <f t="shared" si="261"/>
        <v>9.4392E-3</v>
      </c>
      <c r="T3343" t="str">
        <f t="shared" si="262"/>
        <v>Maximo Thermo Clear Radiata S4S E4E OPX 2x6 Short</v>
      </c>
    </row>
    <row r="3344" spans="1:20" x14ac:dyDescent="0.25">
      <c r="A3344" t="s">
        <v>3950</v>
      </c>
      <c r="B3344" t="s">
        <v>4089</v>
      </c>
      <c r="C3344" t="s">
        <v>524</v>
      </c>
      <c r="D3344" t="s">
        <v>3044</v>
      </c>
      <c r="E3344" t="s">
        <v>4103</v>
      </c>
      <c r="F3344" t="s">
        <v>4091</v>
      </c>
      <c r="G3344" t="s">
        <v>3954</v>
      </c>
      <c r="H3344" t="s">
        <v>373</v>
      </c>
      <c r="I3344" t="s">
        <v>3956</v>
      </c>
      <c r="J3344" t="s">
        <v>821</v>
      </c>
      <c r="K3344">
        <v>7</v>
      </c>
      <c r="L3344" s="6">
        <v>2.1</v>
      </c>
      <c r="M3344" s="7">
        <v>38</v>
      </c>
      <c r="N3344" s="7">
        <v>138</v>
      </c>
      <c r="O3344" s="7">
        <f t="shared" si="258"/>
        <v>82.677165354330711</v>
      </c>
      <c r="P3344" s="7">
        <f t="shared" si="259"/>
        <v>1.4960629921259843</v>
      </c>
      <c r="Q3344" s="7">
        <f t="shared" si="259"/>
        <v>5.4330708661417324</v>
      </c>
      <c r="R3344" s="6">
        <f t="shared" si="260"/>
        <v>625.63699999999994</v>
      </c>
      <c r="S3344" s="6">
        <f t="shared" si="261"/>
        <v>1.10124E-2</v>
      </c>
      <c r="T3344" t="str">
        <f t="shared" si="262"/>
        <v>Maximo Thermo Clear Radiata S4S E4E OPX 2x6 Short</v>
      </c>
    </row>
    <row r="3345" spans="1:20" x14ac:dyDescent="0.25">
      <c r="A3345" t="s">
        <v>3950</v>
      </c>
      <c r="B3345" t="s">
        <v>4089</v>
      </c>
      <c r="C3345" t="s">
        <v>283</v>
      </c>
      <c r="D3345" t="s">
        <v>3044</v>
      </c>
      <c r="E3345" t="s">
        <v>4104</v>
      </c>
      <c r="F3345" t="s">
        <v>4091</v>
      </c>
      <c r="G3345" t="s">
        <v>3954</v>
      </c>
      <c r="H3345" t="s">
        <v>373</v>
      </c>
      <c r="I3345" t="s">
        <v>3956</v>
      </c>
      <c r="J3345" t="s">
        <v>821</v>
      </c>
      <c r="K3345">
        <v>8</v>
      </c>
      <c r="L3345" s="6">
        <v>2.4</v>
      </c>
      <c r="M3345" s="7">
        <v>38</v>
      </c>
      <c r="N3345" s="7">
        <v>138</v>
      </c>
      <c r="O3345" s="7">
        <f t="shared" si="258"/>
        <v>94.488188976377955</v>
      </c>
      <c r="P3345" s="7">
        <f t="shared" si="259"/>
        <v>1.4960629921259843</v>
      </c>
      <c r="Q3345" s="7">
        <f t="shared" si="259"/>
        <v>5.4330708661417324</v>
      </c>
      <c r="R3345" s="6">
        <f t="shared" si="260"/>
        <v>625.63699999999994</v>
      </c>
      <c r="S3345" s="6">
        <f t="shared" si="261"/>
        <v>1.2585600000000001E-2</v>
      </c>
      <c r="T3345" t="str">
        <f t="shared" si="262"/>
        <v>Maximo Thermo Clear Radiata S4S E4E OPX 2x6 Long</v>
      </c>
    </row>
    <row r="3346" spans="1:20" x14ac:dyDescent="0.25">
      <c r="A3346" t="s">
        <v>3950</v>
      </c>
      <c r="B3346" t="s">
        <v>4089</v>
      </c>
      <c r="C3346" t="s">
        <v>283</v>
      </c>
      <c r="D3346" t="s">
        <v>3044</v>
      </c>
      <c r="E3346" t="s">
        <v>4105</v>
      </c>
      <c r="F3346" t="s">
        <v>4091</v>
      </c>
      <c r="G3346" t="s">
        <v>3954</v>
      </c>
      <c r="H3346" t="s">
        <v>373</v>
      </c>
      <c r="I3346" t="s">
        <v>3956</v>
      </c>
      <c r="J3346" t="s">
        <v>821</v>
      </c>
      <c r="K3346">
        <v>9</v>
      </c>
      <c r="L3346" s="6">
        <v>2.7</v>
      </c>
      <c r="M3346" s="7">
        <v>38</v>
      </c>
      <c r="N3346" s="7">
        <v>138</v>
      </c>
      <c r="O3346" s="7">
        <f t="shared" si="258"/>
        <v>106.29921259842521</v>
      </c>
      <c r="P3346" s="7">
        <f t="shared" si="259"/>
        <v>1.4960629921259843</v>
      </c>
      <c r="Q3346" s="7">
        <f t="shared" si="259"/>
        <v>5.4330708661417324</v>
      </c>
      <c r="R3346" s="6">
        <f t="shared" si="260"/>
        <v>625.63699999999994</v>
      </c>
      <c r="S3346" s="6">
        <f t="shared" si="261"/>
        <v>1.4158800000000001E-2</v>
      </c>
      <c r="T3346" t="str">
        <f t="shared" si="262"/>
        <v>Maximo Thermo Clear Radiata S4S E4E OPX 2x6 Long</v>
      </c>
    </row>
    <row r="3347" spans="1:20" x14ac:dyDescent="0.25">
      <c r="A3347" t="s">
        <v>3950</v>
      </c>
      <c r="B3347" t="s">
        <v>4106</v>
      </c>
      <c r="C3347" t="s">
        <v>283</v>
      </c>
      <c r="D3347" t="s">
        <v>3044</v>
      </c>
      <c r="E3347" t="s">
        <v>4107</v>
      </c>
      <c r="F3347" t="s">
        <v>4108</v>
      </c>
      <c r="G3347" t="s">
        <v>3954</v>
      </c>
      <c r="H3347" t="s">
        <v>373</v>
      </c>
      <c r="I3347" t="s">
        <v>3956</v>
      </c>
      <c r="J3347" t="s">
        <v>301</v>
      </c>
      <c r="K3347">
        <v>10</v>
      </c>
      <c r="L3347" s="6">
        <v>3</v>
      </c>
      <c r="M3347" s="7">
        <v>25</v>
      </c>
      <c r="N3347" s="7">
        <v>138</v>
      </c>
      <c r="O3347" s="7">
        <f t="shared" si="258"/>
        <v>118.11023622047244</v>
      </c>
      <c r="P3347" s="7">
        <f t="shared" si="259"/>
        <v>0.98425196850393704</v>
      </c>
      <c r="Q3347" s="7">
        <f t="shared" si="259"/>
        <v>5.4330708661417324</v>
      </c>
      <c r="R3347" s="6">
        <f t="shared" si="260"/>
        <v>950.96799999999996</v>
      </c>
      <c r="S3347" s="6">
        <f t="shared" si="261"/>
        <v>1.035E-2</v>
      </c>
      <c r="T3347" t="str">
        <f t="shared" si="262"/>
        <v>Maximo Thermo Clear Radiata S4S E4E OPX 5/4x6 Long</v>
      </c>
    </row>
    <row r="3348" spans="1:20" x14ac:dyDescent="0.25">
      <c r="A3348" t="s">
        <v>3950</v>
      </c>
      <c r="B3348" t="s">
        <v>4106</v>
      </c>
      <c r="C3348" t="s">
        <v>283</v>
      </c>
      <c r="D3348" t="s">
        <v>3044</v>
      </c>
      <c r="E3348" t="s">
        <v>4109</v>
      </c>
      <c r="F3348" t="s">
        <v>4108</v>
      </c>
      <c r="G3348" t="s">
        <v>3954</v>
      </c>
      <c r="H3348" t="s">
        <v>373</v>
      </c>
      <c r="I3348" t="s">
        <v>3956</v>
      </c>
      <c r="J3348" t="s">
        <v>301</v>
      </c>
      <c r="K3348">
        <v>11</v>
      </c>
      <c r="L3348" s="6">
        <v>3.3</v>
      </c>
      <c r="M3348" s="7">
        <v>25</v>
      </c>
      <c r="N3348" s="7">
        <v>138</v>
      </c>
      <c r="O3348" s="7">
        <f t="shared" si="258"/>
        <v>129.92125984251967</v>
      </c>
      <c r="P3348" s="7">
        <f t="shared" si="259"/>
        <v>0.98425196850393704</v>
      </c>
      <c r="Q3348" s="7">
        <f t="shared" si="259"/>
        <v>5.4330708661417324</v>
      </c>
      <c r="R3348" s="6">
        <f t="shared" si="260"/>
        <v>950.96799999999996</v>
      </c>
      <c r="S3348" s="6">
        <f t="shared" si="261"/>
        <v>1.1384999999999999E-2</v>
      </c>
      <c r="T3348" t="str">
        <f t="shared" si="262"/>
        <v>Maximo Thermo Clear Radiata S4S E4E OPX 5/4x6 Long</v>
      </c>
    </row>
    <row r="3349" spans="1:20" x14ac:dyDescent="0.25">
      <c r="A3349" t="s">
        <v>3950</v>
      </c>
      <c r="B3349" t="s">
        <v>4106</v>
      </c>
      <c r="C3349" t="s">
        <v>283</v>
      </c>
      <c r="D3349" t="s">
        <v>3044</v>
      </c>
      <c r="E3349" t="s">
        <v>4110</v>
      </c>
      <c r="F3349" t="s">
        <v>4108</v>
      </c>
      <c r="G3349" t="s">
        <v>3954</v>
      </c>
      <c r="H3349" t="s">
        <v>373</v>
      </c>
      <c r="I3349" t="s">
        <v>3956</v>
      </c>
      <c r="J3349" t="s">
        <v>301</v>
      </c>
      <c r="K3349">
        <v>12</v>
      </c>
      <c r="L3349" s="6">
        <v>3.6</v>
      </c>
      <c r="M3349" s="7">
        <v>25</v>
      </c>
      <c r="N3349" s="7">
        <v>138</v>
      </c>
      <c r="O3349" s="7">
        <f t="shared" si="258"/>
        <v>141.73228346456693</v>
      </c>
      <c r="P3349" s="7">
        <f t="shared" si="259"/>
        <v>0.98425196850393704</v>
      </c>
      <c r="Q3349" s="7">
        <f t="shared" si="259"/>
        <v>5.4330708661417324</v>
      </c>
      <c r="R3349" s="6">
        <f t="shared" si="260"/>
        <v>950.96799999999996</v>
      </c>
      <c r="S3349" s="6">
        <f t="shared" si="261"/>
        <v>1.242E-2</v>
      </c>
      <c r="T3349" t="str">
        <f t="shared" si="262"/>
        <v>Maximo Thermo Clear Radiata S4S E4E OPX 5/4x6 Long</v>
      </c>
    </row>
    <row r="3350" spans="1:20" x14ac:dyDescent="0.25">
      <c r="A3350" t="s">
        <v>3950</v>
      </c>
      <c r="B3350" t="s">
        <v>4106</v>
      </c>
      <c r="C3350" t="s">
        <v>283</v>
      </c>
      <c r="D3350" t="s">
        <v>3044</v>
      </c>
      <c r="E3350" t="s">
        <v>4111</v>
      </c>
      <c r="F3350" t="s">
        <v>4108</v>
      </c>
      <c r="G3350" t="s">
        <v>3954</v>
      </c>
      <c r="H3350" t="s">
        <v>373</v>
      </c>
      <c r="I3350" t="s">
        <v>3956</v>
      </c>
      <c r="J3350" t="s">
        <v>301</v>
      </c>
      <c r="K3350">
        <v>13</v>
      </c>
      <c r="L3350" s="6">
        <v>3.9</v>
      </c>
      <c r="M3350" s="7">
        <v>25</v>
      </c>
      <c r="N3350" s="7">
        <v>138</v>
      </c>
      <c r="O3350" s="7">
        <f t="shared" si="258"/>
        <v>153.54330708661416</v>
      </c>
      <c r="P3350" s="7">
        <f t="shared" si="259"/>
        <v>0.98425196850393704</v>
      </c>
      <c r="Q3350" s="7">
        <f t="shared" si="259"/>
        <v>5.4330708661417324</v>
      </c>
      <c r="R3350" s="6">
        <f t="shared" si="260"/>
        <v>950.96799999999996</v>
      </c>
      <c r="S3350" s="6">
        <f t="shared" si="261"/>
        <v>1.3455E-2</v>
      </c>
      <c r="T3350" t="str">
        <f t="shared" si="262"/>
        <v>Maximo Thermo Clear Radiata S4S E4E OPX 5/4x6 Long</v>
      </c>
    </row>
    <row r="3351" spans="1:20" x14ac:dyDescent="0.25">
      <c r="A3351" t="s">
        <v>3950</v>
      </c>
      <c r="B3351" t="s">
        <v>4106</v>
      </c>
      <c r="C3351" t="s">
        <v>283</v>
      </c>
      <c r="D3351" t="s">
        <v>3044</v>
      </c>
      <c r="E3351" t="s">
        <v>81</v>
      </c>
      <c r="F3351" t="s">
        <v>4108</v>
      </c>
      <c r="G3351" t="s">
        <v>3954</v>
      </c>
      <c r="H3351" t="s">
        <v>373</v>
      </c>
      <c r="I3351" t="s">
        <v>3956</v>
      </c>
      <c r="J3351" t="s">
        <v>301</v>
      </c>
      <c r="K3351">
        <v>14</v>
      </c>
      <c r="L3351" s="6">
        <v>4.2</v>
      </c>
      <c r="M3351" s="7">
        <v>25</v>
      </c>
      <c r="N3351" s="7">
        <v>138</v>
      </c>
      <c r="O3351" s="7">
        <f t="shared" si="258"/>
        <v>165.35433070866142</v>
      </c>
      <c r="P3351" s="7">
        <f t="shared" si="259"/>
        <v>0.98425196850393704</v>
      </c>
      <c r="Q3351" s="7">
        <f t="shared" si="259"/>
        <v>5.4330708661417324</v>
      </c>
      <c r="R3351" s="6">
        <f t="shared" si="260"/>
        <v>950.96799999999996</v>
      </c>
      <c r="S3351" s="6">
        <f t="shared" si="261"/>
        <v>1.4489999999999999E-2</v>
      </c>
      <c r="T3351" t="str">
        <f t="shared" si="262"/>
        <v>Maximo Thermo Clear Radiata S4S E4E OPX 5/4x6 Long</v>
      </c>
    </row>
    <row r="3352" spans="1:20" x14ac:dyDescent="0.25">
      <c r="A3352" t="s">
        <v>3950</v>
      </c>
      <c r="B3352" t="s">
        <v>4106</v>
      </c>
      <c r="C3352" t="s">
        <v>283</v>
      </c>
      <c r="D3352" t="s">
        <v>3044</v>
      </c>
      <c r="E3352" t="s">
        <v>4112</v>
      </c>
      <c r="F3352" t="s">
        <v>4108</v>
      </c>
      <c r="G3352" t="s">
        <v>3954</v>
      </c>
      <c r="H3352" t="s">
        <v>373</v>
      </c>
      <c r="I3352" t="s">
        <v>3956</v>
      </c>
      <c r="J3352" t="s">
        <v>301</v>
      </c>
      <c r="K3352">
        <v>15</v>
      </c>
      <c r="L3352" s="6">
        <v>4.5</v>
      </c>
      <c r="M3352" s="7">
        <v>25</v>
      </c>
      <c r="N3352" s="7">
        <v>138</v>
      </c>
      <c r="O3352" s="7">
        <f t="shared" si="258"/>
        <v>177.16535433070868</v>
      </c>
      <c r="P3352" s="7">
        <f t="shared" si="259"/>
        <v>0.98425196850393704</v>
      </c>
      <c r="Q3352" s="7">
        <f t="shared" si="259"/>
        <v>5.4330708661417324</v>
      </c>
      <c r="R3352" s="6">
        <f t="shared" si="260"/>
        <v>950.96799999999996</v>
      </c>
      <c r="S3352" s="6">
        <f t="shared" si="261"/>
        <v>1.5525000000000001E-2</v>
      </c>
      <c r="T3352" t="str">
        <f t="shared" si="262"/>
        <v>Maximo Thermo Clear Radiata S4S E4E OPX 5/4x6 Long</v>
      </c>
    </row>
    <row r="3353" spans="1:20" x14ac:dyDescent="0.25">
      <c r="A3353" t="s">
        <v>3950</v>
      </c>
      <c r="B3353" t="s">
        <v>4106</v>
      </c>
      <c r="C3353" t="s">
        <v>283</v>
      </c>
      <c r="D3353" t="s">
        <v>3044</v>
      </c>
      <c r="E3353" t="s">
        <v>4113</v>
      </c>
      <c r="F3353" t="s">
        <v>4108</v>
      </c>
      <c r="G3353" t="s">
        <v>3954</v>
      </c>
      <c r="H3353" t="s">
        <v>373</v>
      </c>
      <c r="I3353" t="s">
        <v>3956</v>
      </c>
      <c r="J3353" t="s">
        <v>301</v>
      </c>
      <c r="K3353">
        <v>16</v>
      </c>
      <c r="L3353" s="6">
        <v>4.8</v>
      </c>
      <c r="M3353" s="7">
        <v>25</v>
      </c>
      <c r="N3353" s="7">
        <v>138</v>
      </c>
      <c r="O3353" s="7">
        <f t="shared" si="258"/>
        <v>188.97637795275591</v>
      </c>
      <c r="P3353" s="7">
        <f t="shared" si="259"/>
        <v>0.98425196850393704</v>
      </c>
      <c r="Q3353" s="7">
        <f t="shared" si="259"/>
        <v>5.4330708661417324</v>
      </c>
      <c r="R3353" s="6">
        <f t="shared" si="260"/>
        <v>950.96799999999996</v>
      </c>
      <c r="S3353" s="6">
        <f t="shared" si="261"/>
        <v>1.6559999999999998E-2</v>
      </c>
      <c r="T3353" t="str">
        <f t="shared" si="262"/>
        <v>Maximo Thermo Clear Radiata S4S E4E OPX 5/4x6 Long</v>
      </c>
    </row>
    <row r="3354" spans="1:20" x14ac:dyDescent="0.25">
      <c r="A3354" t="s">
        <v>3950</v>
      </c>
      <c r="B3354" t="s">
        <v>4106</v>
      </c>
      <c r="C3354" t="s">
        <v>283</v>
      </c>
      <c r="D3354" t="s">
        <v>3044</v>
      </c>
      <c r="E3354" t="s">
        <v>4114</v>
      </c>
      <c r="F3354" t="s">
        <v>4108</v>
      </c>
      <c r="G3354" t="s">
        <v>3954</v>
      </c>
      <c r="H3354" t="s">
        <v>373</v>
      </c>
      <c r="I3354" t="s">
        <v>3956</v>
      </c>
      <c r="J3354" t="s">
        <v>301</v>
      </c>
      <c r="K3354">
        <v>17</v>
      </c>
      <c r="L3354" s="6">
        <v>5.0999999999999996</v>
      </c>
      <c r="M3354" s="7">
        <v>25</v>
      </c>
      <c r="N3354" s="7">
        <v>138</v>
      </c>
      <c r="O3354" s="7">
        <f t="shared" si="258"/>
        <v>200.78740157480314</v>
      </c>
      <c r="P3354" s="7">
        <f t="shared" si="259"/>
        <v>0.98425196850393704</v>
      </c>
      <c r="Q3354" s="7">
        <f t="shared" si="259"/>
        <v>5.4330708661417324</v>
      </c>
      <c r="R3354" s="6">
        <f t="shared" si="260"/>
        <v>950.96799999999996</v>
      </c>
      <c r="S3354" s="6">
        <f t="shared" si="261"/>
        <v>1.7594999999999996E-2</v>
      </c>
      <c r="T3354" t="str">
        <f t="shared" si="262"/>
        <v>Maximo Thermo Clear Radiata S4S E4E OPX 5/4x6 Long</v>
      </c>
    </row>
    <row r="3355" spans="1:20" x14ac:dyDescent="0.25">
      <c r="A3355" t="s">
        <v>3950</v>
      </c>
      <c r="B3355" t="s">
        <v>4106</v>
      </c>
      <c r="C3355" t="s">
        <v>283</v>
      </c>
      <c r="D3355" t="s">
        <v>3044</v>
      </c>
      <c r="E3355" t="s">
        <v>4115</v>
      </c>
      <c r="F3355" t="s">
        <v>4108</v>
      </c>
      <c r="G3355" t="s">
        <v>3954</v>
      </c>
      <c r="H3355" t="s">
        <v>373</v>
      </c>
      <c r="I3355" t="s">
        <v>3956</v>
      </c>
      <c r="J3355" t="s">
        <v>301</v>
      </c>
      <c r="K3355">
        <v>18</v>
      </c>
      <c r="L3355" s="6">
        <v>5.4</v>
      </c>
      <c r="M3355" s="7">
        <v>25</v>
      </c>
      <c r="N3355" s="7">
        <v>138</v>
      </c>
      <c r="O3355" s="7">
        <f t="shared" si="258"/>
        <v>212.59842519685043</v>
      </c>
      <c r="P3355" s="7">
        <f t="shared" si="259"/>
        <v>0.98425196850393704</v>
      </c>
      <c r="Q3355" s="7">
        <f t="shared" si="259"/>
        <v>5.4330708661417324</v>
      </c>
      <c r="R3355" s="6">
        <f t="shared" si="260"/>
        <v>950.96799999999996</v>
      </c>
      <c r="S3355" s="6">
        <f t="shared" si="261"/>
        <v>1.8630000000000004E-2</v>
      </c>
      <c r="T3355" t="str">
        <f t="shared" si="262"/>
        <v>Maximo Thermo Clear Radiata S4S E4E OPX 5/4x6 Long</v>
      </c>
    </row>
    <row r="3356" spans="1:20" x14ac:dyDescent="0.25">
      <c r="A3356" t="s">
        <v>3950</v>
      </c>
      <c r="B3356" t="s">
        <v>4106</v>
      </c>
      <c r="C3356" t="s">
        <v>524</v>
      </c>
      <c r="D3356" t="s">
        <v>3044</v>
      </c>
      <c r="E3356" t="s">
        <v>4116</v>
      </c>
      <c r="F3356" t="s">
        <v>4108</v>
      </c>
      <c r="G3356" t="s">
        <v>3954</v>
      </c>
      <c r="H3356" t="s">
        <v>373</v>
      </c>
      <c r="I3356" t="s">
        <v>3956</v>
      </c>
      <c r="J3356" t="s">
        <v>301</v>
      </c>
      <c r="K3356">
        <v>4</v>
      </c>
      <c r="L3356" s="6">
        <v>1.2</v>
      </c>
      <c r="M3356" s="7">
        <v>25</v>
      </c>
      <c r="N3356" s="7">
        <v>138</v>
      </c>
      <c r="O3356" s="7">
        <f t="shared" si="258"/>
        <v>47.244094488188978</v>
      </c>
      <c r="P3356" s="7">
        <f t="shared" si="259"/>
        <v>0.98425196850393704</v>
      </c>
      <c r="Q3356" s="7">
        <f t="shared" si="259"/>
        <v>5.4330708661417324</v>
      </c>
      <c r="R3356" s="6">
        <f t="shared" si="260"/>
        <v>950.96799999999996</v>
      </c>
      <c r="S3356" s="6">
        <f t="shared" si="261"/>
        <v>4.1399999999999996E-3</v>
      </c>
      <c r="T3356" t="str">
        <f t="shared" si="262"/>
        <v>Maximo Thermo Clear Radiata S4S E4E OPX 5/4x6 Short</v>
      </c>
    </row>
    <row r="3357" spans="1:20" x14ac:dyDescent="0.25">
      <c r="A3357" t="s">
        <v>3950</v>
      </c>
      <c r="B3357" t="s">
        <v>4106</v>
      </c>
      <c r="C3357" t="s">
        <v>524</v>
      </c>
      <c r="D3357" t="s">
        <v>3044</v>
      </c>
      <c r="E3357" t="s">
        <v>4117</v>
      </c>
      <c r="F3357" t="s">
        <v>4108</v>
      </c>
      <c r="G3357" t="s">
        <v>3954</v>
      </c>
      <c r="H3357" t="s">
        <v>373</v>
      </c>
      <c r="I3357" t="s">
        <v>3956</v>
      </c>
      <c r="J3357" t="s">
        <v>301</v>
      </c>
      <c r="K3357">
        <v>5</v>
      </c>
      <c r="L3357" s="6">
        <v>1.5</v>
      </c>
      <c r="M3357" s="7">
        <v>25</v>
      </c>
      <c r="N3357" s="7">
        <v>138</v>
      </c>
      <c r="O3357" s="7">
        <f t="shared" si="258"/>
        <v>59.055118110236222</v>
      </c>
      <c r="P3357" s="7">
        <f t="shared" si="259"/>
        <v>0.98425196850393704</v>
      </c>
      <c r="Q3357" s="7">
        <f t="shared" si="259"/>
        <v>5.4330708661417324</v>
      </c>
      <c r="R3357" s="6">
        <f t="shared" si="260"/>
        <v>950.96799999999996</v>
      </c>
      <c r="S3357" s="6">
        <f t="shared" si="261"/>
        <v>5.1749999999999999E-3</v>
      </c>
      <c r="T3357" t="str">
        <f t="shared" si="262"/>
        <v>Maximo Thermo Clear Radiata S4S E4E OPX 5/4x6 Short</v>
      </c>
    </row>
    <row r="3358" spans="1:20" x14ac:dyDescent="0.25">
      <c r="A3358" t="s">
        <v>3950</v>
      </c>
      <c r="B3358" t="s">
        <v>4106</v>
      </c>
      <c r="C3358" t="s">
        <v>524</v>
      </c>
      <c r="D3358" t="s">
        <v>3044</v>
      </c>
      <c r="E3358" t="s">
        <v>4118</v>
      </c>
      <c r="F3358" t="s">
        <v>4108</v>
      </c>
      <c r="G3358" t="s">
        <v>3954</v>
      </c>
      <c r="H3358" t="s">
        <v>373</v>
      </c>
      <c r="I3358" t="s">
        <v>3956</v>
      </c>
      <c r="J3358" t="s">
        <v>301</v>
      </c>
      <c r="K3358">
        <v>6</v>
      </c>
      <c r="L3358" s="6">
        <v>1.8</v>
      </c>
      <c r="M3358" s="7">
        <v>25</v>
      </c>
      <c r="N3358" s="7">
        <v>138</v>
      </c>
      <c r="O3358" s="7">
        <f t="shared" si="258"/>
        <v>70.866141732283467</v>
      </c>
      <c r="P3358" s="7">
        <f t="shared" si="259"/>
        <v>0.98425196850393704</v>
      </c>
      <c r="Q3358" s="7">
        <f t="shared" si="259"/>
        <v>5.4330708661417324</v>
      </c>
      <c r="R3358" s="6">
        <f t="shared" si="260"/>
        <v>950.96799999999996</v>
      </c>
      <c r="S3358" s="6">
        <f t="shared" si="261"/>
        <v>6.2100000000000002E-3</v>
      </c>
      <c r="T3358" t="str">
        <f t="shared" si="262"/>
        <v>Maximo Thermo Clear Radiata S4S E4E OPX 5/4x6 Short</v>
      </c>
    </row>
    <row r="3359" spans="1:20" x14ac:dyDescent="0.25">
      <c r="A3359" t="s">
        <v>3950</v>
      </c>
      <c r="B3359" t="s">
        <v>4106</v>
      </c>
      <c r="C3359" t="s">
        <v>524</v>
      </c>
      <c r="D3359" t="s">
        <v>3044</v>
      </c>
      <c r="E3359" t="s">
        <v>4119</v>
      </c>
      <c r="F3359" t="s">
        <v>4108</v>
      </c>
      <c r="G3359" t="s">
        <v>3954</v>
      </c>
      <c r="H3359" t="s">
        <v>373</v>
      </c>
      <c r="I3359" t="s">
        <v>3956</v>
      </c>
      <c r="J3359" t="s">
        <v>301</v>
      </c>
      <c r="K3359">
        <v>7</v>
      </c>
      <c r="L3359" s="6">
        <v>2.1</v>
      </c>
      <c r="M3359" s="7">
        <v>25</v>
      </c>
      <c r="N3359" s="7">
        <v>138</v>
      </c>
      <c r="O3359" s="7">
        <f t="shared" si="258"/>
        <v>82.677165354330711</v>
      </c>
      <c r="P3359" s="7">
        <f t="shared" si="259"/>
        <v>0.98425196850393704</v>
      </c>
      <c r="Q3359" s="7">
        <f t="shared" si="259"/>
        <v>5.4330708661417324</v>
      </c>
      <c r="R3359" s="6">
        <f t="shared" si="260"/>
        <v>950.96799999999996</v>
      </c>
      <c r="S3359" s="6">
        <f t="shared" si="261"/>
        <v>7.2449999999999997E-3</v>
      </c>
      <c r="T3359" t="str">
        <f t="shared" si="262"/>
        <v>Maximo Thermo Clear Radiata S4S E4E OPX 5/4x6 Short</v>
      </c>
    </row>
    <row r="3360" spans="1:20" x14ac:dyDescent="0.25">
      <c r="A3360" t="s">
        <v>3950</v>
      </c>
      <c r="B3360" t="s">
        <v>4106</v>
      </c>
      <c r="C3360" t="s">
        <v>283</v>
      </c>
      <c r="D3360" t="s">
        <v>3044</v>
      </c>
      <c r="E3360" t="s">
        <v>4120</v>
      </c>
      <c r="F3360" t="s">
        <v>4108</v>
      </c>
      <c r="G3360" t="s">
        <v>3954</v>
      </c>
      <c r="H3360" t="s">
        <v>373</v>
      </c>
      <c r="I3360" t="s">
        <v>3956</v>
      </c>
      <c r="J3360" t="s">
        <v>301</v>
      </c>
      <c r="K3360">
        <v>8</v>
      </c>
      <c r="L3360" s="6">
        <v>2.4</v>
      </c>
      <c r="M3360" s="7">
        <v>25</v>
      </c>
      <c r="N3360" s="7">
        <v>138</v>
      </c>
      <c r="O3360" s="7">
        <f t="shared" si="258"/>
        <v>94.488188976377955</v>
      </c>
      <c r="P3360" s="7">
        <f t="shared" si="259"/>
        <v>0.98425196850393704</v>
      </c>
      <c r="Q3360" s="7">
        <f t="shared" si="259"/>
        <v>5.4330708661417324</v>
      </c>
      <c r="R3360" s="6">
        <f t="shared" si="260"/>
        <v>950.96799999999996</v>
      </c>
      <c r="S3360" s="6">
        <f t="shared" si="261"/>
        <v>8.2799999999999992E-3</v>
      </c>
      <c r="T3360" t="str">
        <f t="shared" si="262"/>
        <v>Maximo Thermo Clear Radiata S4S E4E OPX 5/4x6 Long</v>
      </c>
    </row>
    <row r="3361" spans="1:20" x14ac:dyDescent="0.25">
      <c r="A3361" t="s">
        <v>3950</v>
      </c>
      <c r="B3361" t="s">
        <v>4106</v>
      </c>
      <c r="C3361" t="s">
        <v>283</v>
      </c>
      <c r="D3361" t="s">
        <v>3044</v>
      </c>
      <c r="E3361" t="s">
        <v>4121</v>
      </c>
      <c r="F3361" t="s">
        <v>4108</v>
      </c>
      <c r="G3361" t="s">
        <v>3954</v>
      </c>
      <c r="H3361" t="s">
        <v>373</v>
      </c>
      <c r="I3361" t="s">
        <v>3956</v>
      </c>
      <c r="J3361" t="s">
        <v>301</v>
      </c>
      <c r="K3361">
        <v>9</v>
      </c>
      <c r="L3361" s="6">
        <v>2.7</v>
      </c>
      <c r="M3361" s="7">
        <v>25</v>
      </c>
      <c r="N3361" s="7">
        <v>138</v>
      </c>
      <c r="O3361" s="7">
        <f t="shared" si="258"/>
        <v>106.29921259842521</v>
      </c>
      <c r="P3361" s="7">
        <f t="shared" si="259"/>
        <v>0.98425196850393704</v>
      </c>
      <c r="Q3361" s="7">
        <f t="shared" si="259"/>
        <v>5.4330708661417324</v>
      </c>
      <c r="R3361" s="6">
        <f t="shared" si="260"/>
        <v>950.96799999999996</v>
      </c>
      <c r="S3361" s="6">
        <f t="shared" si="261"/>
        <v>9.3150000000000021E-3</v>
      </c>
      <c r="T3361" t="str">
        <f t="shared" si="262"/>
        <v>Maximo Thermo Clear Radiata S4S E4E OPX 5/4x6 Long</v>
      </c>
    </row>
    <row r="3362" spans="1:20" x14ac:dyDescent="0.25">
      <c r="A3362" t="s">
        <v>3950</v>
      </c>
      <c r="B3362" t="s">
        <v>3972</v>
      </c>
      <c r="C3362" t="s">
        <v>283</v>
      </c>
      <c r="D3362" t="s">
        <v>3044</v>
      </c>
      <c r="E3362" t="s">
        <v>4122</v>
      </c>
      <c r="F3362" t="s">
        <v>4123</v>
      </c>
      <c r="G3362" t="s">
        <v>3954</v>
      </c>
      <c r="H3362" t="s">
        <v>373</v>
      </c>
      <c r="I3362" t="s">
        <v>289</v>
      </c>
      <c r="J3362" t="s">
        <v>344</v>
      </c>
      <c r="K3362">
        <v>10</v>
      </c>
      <c r="L3362" s="6">
        <v>3</v>
      </c>
      <c r="M3362" s="7">
        <v>19</v>
      </c>
      <c r="N3362" s="7">
        <v>138</v>
      </c>
      <c r="O3362" s="7">
        <f t="shared" si="258"/>
        <v>118.11023622047244</v>
      </c>
      <c r="P3362" s="7">
        <f t="shared" si="259"/>
        <v>0.74803149606299213</v>
      </c>
      <c r="Q3362" s="7">
        <f t="shared" si="259"/>
        <v>5.4330708661417324</v>
      </c>
      <c r="R3362" s="6">
        <f t="shared" si="260"/>
        <v>1251.2739999999999</v>
      </c>
      <c r="S3362" s="6">
        <f t="shared" si="261"/>
        <v>7.8659999999999997E-3</v>
      </c>
      <c r="T3362" t="str">
        <f t="shared" si="262"/>
        <v>Maximo Thermo Clear Radiata S4S E4E 1x6 Long</v>
      </c>
    </row>
    <row r="3363" spans="1:20" x14ac:dyDescent="0.25">
      <c r="A3363" t="s">
        <v>3950</v>
      </c>
      <c r="B3363" t="s">
        <v>3972</v>
      </c>
      <c r="C3363" t="s">
        <v>283</v>
      </c>
      <c r="D3363" t="s">
        <v>3044</v>
      </c>
      <c r="E3363" t="s">
        <v>4124</v>
      </c>
      <c r="F3363" t="s">
        <v>4123</v>
      </c>
      <c r="G3363" t="s">
        <v>3954</v>
      </c>
      <c r="H3363" t="s">
        <v>373</v>
      </c>
      <c r="I3363" t="s">
        <v>289</v>
      </c>
      <c r="J3363" t="s">
        <v>344</v>
      </c>
      <c r="K3363">
        <v>11</v>
      </c>
      <c r="L3363" s="6">
        <v>3.3</v>
      </c>
      <c r="M3363" s="7">
        <v>19</v>
      </c>
      <c r="N3363" s="7">
        <v>138</v>
      </c>
      <c r="O3363" s="7">
        <f t="shared" si="258"/>
        <v>129.92125984251967</v>
      </c>
      <c r="P3363" s="7">
        <f t="shared" si="259"/>
        <v>0.74803149606299213</v>
      </c>
      <c r="Q3363" s="7">
        <f t="shared" si="259"/>
        <v>5.4330708661417324</v>
      </c>
      <c r="R3363" s="6">
        <f t="shared" si="260"/>
        <v>1251.2739999999999</v>
      </c>
      <c r="S3363" s="6">
        <f t="shared" si="261"/>
        <v>8.6525999999999999E-3</v>
      </c>
      <c r="T3363" t="str">
        <f t="shared" si="262"/>
        <v>Maximo Thermo Clear Radiata S4S E4E 1x6 Long</v>
      </c>
    </row>
    <row r="3364" spans="1:20" x14ac:dyDescent="0.25">
      <c r="A3364" t="s">
        <v>3950</v>
      </c>
      <c r="B3364" t="s">
        <v>3972</v>
      </c>
      <c r="C3364" t="s">
        <v>283</v>
      </c>
      <c r="D3364" t="s">
        <v>3044</v>
      </c>
      <c r="E3364" t="s">
        <v>4125</v>
      </c>
      <c r="F3364" t="s">
        <v>4123</v>
      </c>
      <c r="G3364" t="s">
        <v>3954</v>
      </c>
      <c r="H3364" t="s">
        <v>373</v>
      </c>
      <c r="I3364" t="s">
        <v>289</v>
      </c>
      <c r="J3364" t="s">
        <v>344</v>
      </c>
      <c r="K3364">
        <v>12</v>
      </c>
      <c r="L3364" s="6">
        <v>3.6</v>
      </c>
      <c r="M3364" s="7">
        <v>19</v>
      </c>
      <c r="N3364" s="7">
        <v>138</v>
      </c>
      <c r="O3364" s="7">
        <f t="shared" si="258"/>
        <v>141.73228346456693</v>
      </c>
      <c r="P3364" s="7">
        <f t="shared" si="259"/>
        <v>0.74803149606299213</v>
      </c>
      <c r="Q3364" s="7">
        <f t="shared" si="259"/>
        <v>5.4330708661417324</v>
      </c>
      <c r="R3364" s="6">
        <f t="shared" si="260"/>
        <v>1251.2739999999999</v>
      </c>
      <c r="S3364" s="6">
        <f t="shared" si="261"/>
        <v>9.4392E-3</v>
      </c>
      <c r="T3364" t="str">
        <f t="shared" si="262"/>
        <v>Maximo Thermo Clear Radiata S4S E4E 1x6 Long</v>
      </c>
    </row>
    <row r="3365" spans="1:20" x14ac:dyDescent="0.25">
      <c r="A3365" t="s">
        <v>3950</v>
      </c>
      <c r="B3365" t="s">
        <v>3972</v>
      </c>
      <c r="C3365" t="s">
        <v>283</v>
      </c>
      <c r="D3365" t="s">
        <v>3044</v>
      </c>
      <c r="E3365" t="s">
        <v>4126</v>
      </c>
      <c r="F3365" t="s">
        <v>4123</v>
      </c>
      <c r="G3365" t="s">
        <v>3954</v>
      </c>
      <c r="H3365" t="s">
        <v>373</v>
      </c>
      <c r="I3365" t="s">
        <v>289</v>
      </c>
      <c r="J3365" t="s">
        <v>344</v>
      </c>
      <c r="K3365">
        <v>13</v>
      </c>
      <c r="L3365" s="6">
        <v>3.9</v>
      </c>
      <c r="M3365" s="7">
        <v>19</v>
      </c>
      <c r="N3365" s="7">
        <v>138</v>
      </c>
      <c r="O3365" s="7">
        <f t="shared" si="258"/>
        <v>153.54330708661416</v>
      </c>
      <c r="P3365" s="7">
        <f t="shared" si="259"/>
        <v>0.74803149606299213</v>
      </c>
      <c r="Q3365" s="7">
        <f t="shared" si="259"/>
        <v>5.4330708661417324</v>
      </c>
      <c r="R3365" s="6">
        <f t="shared" si="260"/>
        <v>1251.2739999999999</v>
      </c>
      <c r="S3365" s="6">
        <f t="shared" si="261"/>
        <v>1.02258E-2</v>
      </c>
      <c r="T3365" t="str">
        <f t="shared" si="262"/>
        <v>Maximo Thermo Clear Radiata S4S E4E 1x6 Long</v>
      </c>
    </row>
    <row r="3366" spans="1:20" x14ac:dyDescent="0.25">
      <c r="A3366" t="s">
        <v>3950</v>
      </c>
      <c r="B3366" t="s">
        <v>3972</v>
      </c>
      <c r="C3366" t="s">
        <v>283</v>
      </c>
      <c r="D3366" t="s">
        <v>3044</v>
      </c>
      <c r="E3366" t="s">
        <v>4127</v>
      </c>
      <c r="F3366" t="s">
        <v>4123</v>
      </c>
      <c r="G3366" t="s">
        <v>3954</v>
      </c>
      <c r="H3366" t="s">
        <v>373</v>
      </c>
      <c r="I3366" t="s">
        <v>289</v>
      </c>
      <c r="J3366" t="s">
        <v>344</v>
      </c>
      <c r="K3366">
        <v>14</v>
      </c>
      <c r="L3366" s="6">
        <v>4.2</v>
      </c>
      <c r="M3366" s="7">
        <v>19</v>
      </c>
      <c r="N3366" s="7">
        <v>138</v>
      </c>
      <c r="O3366" s="7">
        <f t="shared" si="258"/>
        <v>165.35433070866142</v>
      </c>
      <c r="P3366" s="7">
        <f t="shared" si="259"/>
        <v>0.74803149606299213</v>
      </c>
      <c r="Q3366" s="7">
        <f t="shared" si="259"/>
        <v>5.4330708661417324</v>
      </c>
      <c r="R3366" s="6">
        <f t="shared" si="260"/>
        <v>1251.2739999999999</v>
      </c>
      <c r="S3366" s="6">
        <f t="shared" si="261"/>
        <v>1.10124E-2</v>
      </c>
      <c r="T3366" t="str">
        <f t="shared" si="262"/>
        <v>Maximo Thermo Clear Radiata S4S E4E 1x6 Long</v>
      </c>
    </row>
    <row r="3367" spans="1:20" x14ac:dyDescent="0.25">
      <c r="A3367" t="s">
        <v>3950</v>
      </c>
      <c r="B3367" t="s">
        <v>3972</v>
      </c>
      <c r="C3367" t="s">
        <v>283</v>
      </c>
      <c r="D3367" t="s">
        <v>3044</v>
      </c>
      <c r="E3367" t="s">
        <v>4128</v>
      </c>
      <c r="F3367" t="s">
        <v>4123</v>
      </c>
      <c r="G3367" t="s">
        <v>3954</v>
      </c>
      <c r="H3367" t="s">
        <v>373</v>
      </c>
      <c r="I3367" t="s">
        <v>289</v>
      </c>
      <c r="J3367" t="s">
        <v>344</v>
      </c>
      <c r="K3367">
        <v>15</v>
      </c>
      <c r="L3367" s="6">
        <v>4.5</v>
      </c>
      <c r="M3367" s="7">
        <v>19</v>
      </c>
      <c r="N3367" s="7">
        <v>138</v>
      </c>
      <c r="O3367" s="7">
        <f t="shared" si="258"/>
        <v>177.16535433070868</v>
      </c>
      <c r="P3367" s="7">
        <f t="shared" si="259"/>
        <v>0.74803149606299213</v>
      </c>
      <c r="Q3367" s="7">
        <f t="shared" si="259"/>
        <v>5.4330708661417324</v>
      </c>
      <c r="R3367" s="6">
        <f t="shared" si="260"/>
        <v>1251.2739999999999</v>
      </c>
      <c r="S3367" s="6">
        <f t="shared" si="261"/>
        <v>1.1799E-2</v>
      </c>
      <c r="T3367" t="str">
        <f t="shared" si="262"/>
        <v>Maximo Thermo Clear Radiata S4S E4E 1x6 Long</v>
      </c>
    </row>
    <row r="3368" spans="1:20" x14ac:dyDescent="0.25">
      <c r="A3368" t="s">
        <v>3950</v>
      </c>
      <c r="B3368" t="s">
        <v>3972</v>
      </c>
      <c r="C3368" t="s">
        <v>283</v>
      </c>
      <c r="D3368" t="s">
        <v>3044</v>
      </c>
      <c r="E3368" t="s">
        <v>4129</v>
      </c>
      <c r="F3368" t="s">
        <v>4123</v>
      </c>
      <c r="G3368" t="s">
        <v>3954</v>
      </c>
      <c r="H3368" t="s">
        <v>373</v>
      </c>
      <c r="I3368" t="s">
        <v>289</v>
      </c>
      <c r="J3368" t="s">
        <v>344</v>
      </c>
      <c r="K3368">
        <v>16</v>
      </c>
      <c r="L3368" s="6">
        <v>4.8</v>
      </c>
      <c r="M3368" s="7">
        <v>19</v>
      </c>
      <c r="N3368" s="7">
        <v>138</v>
      </c>
      <c r="O3368" s="7">
        <f t="shared" si="258"/>
        <v>188.97637795275591</v>
      </c>
      <c r="P3368" s="7">
        <f t="shared" si="259"/>
        <v>0.74803149606299213</v>
      </c>
      <c r="Q3368" s="7">
        <f t="shared" si="259"/>
        <v>5.4330708661417324</v>
      </c>
      <c r="R3368" s="6">
        <f t="shared" si="260"/>
        <v>1251.2739999999999</v>
      </c>
      <c r="S3368" s="6">
        <f t="shared" si="261"/>
        <v>1.2585600000000001E-2</v>
      </c>
      <c r="T3368" t="str">
        <f t="shared" si="262"/>
        <v>Maximo Thermo Clear Radiata S4S E4E 1x6 Long</v>
      </c>
    </row>
    <row r="3369" spans="1:20" x14ac:dyDescent="0.25">
      <c r="A3369" t="s">
        <v>3950</v>
      </c>
      <c r="B3369" t="s">
        <v>3972</v>
      </c>
      <c r="C3369" t="s">
        <v>283</v>
      </c>
      <c r="D3369" t="s">
        <v>3044</v>
      </c>
      <c r="E3369" t="s">
        <v>4130</v>
      </c>
      <c r="F3369" t="s">
        <v>4123</v>
      </c>
      <c r="G3369" t="s">
        <v>3954</v>
      </c>
      <c r="H3369" t="s">
        <v>373</v>
      </c>
      <c r="I3369" t="s">
        <v>289</v>
      </c>
      <c r="J3369" t="s">
        <v>344</v>
      </c>
      <c r="K3369">
        <v>17</v>
      </c>
      <c r="L3369" s="6">
        <v>5.0999999999999996</v>
      </c>
      <c r="M3369" s="7">
        <v>19</v>
      </c>
      <c r="N3369" s="7">
        <v>138</v>
      </c>
      <c r="O3369" s="7">
        <f t="shared" si="258"/>
        <v>200.78740157480314</v>
      </c>
      <c r="P3369" s="7">
        <f t="shared" si="259"/>
        <v>0.74803149606299213</v>
      </c>
      <c r="Q3369" s="7">
        <f t="shared" si="259"/>
        <v>5.4330708661417324</v>
      </c>
      <c r="R3369" s="6">
        <f t="shared" si="260"/>
        <v>1251.2739999999999</v>
      </c>
      <c r="S3369" s="6">
        <f t="shared" si="261"/>
        <v>1.3372199999999997E-2</v>
      </c>
      <c r="T3369" t="str">
        <f t="shared" si="262"/>
        <v>Maximo Thermo Clear Radiata S4S E4E 1x6 Long</v>
      </c>
    </row>
    <row r="3370" spans="1:20" x14ac:dyDescent="0.25">
      <c r="A3370" t="s">
        <v>3950</v>
      </c>
      <c r="B3370" t="s">
        <v>3972</v>
      </c>
      <c r="C3370" t="s">
        <v>283</v>
      </c>
      <c r="D3370" t="s">
        <v>3044</v>
      </c>
      <c r="E3370" t="s">
        <v>4131</v>
      </c>
      <c r="F3370" t="s">
        <v>4123</v>
      </c>
      <c r="G3370" t="s">
        <v>3954</v>
      </c>
      <c r="H3370" t="s">
        <v>373</v>
      </c>
      <c r="I3370" t="s">
        <v>289</v>
      </c>
      <c r="J3370" t="s">
        <v>344</v>
      </c>
      <c r="K3370">
        <v>18</v>
      </c>
      <c r="L3370" s="6">
        <v>5.4</v>
      </c>
      <c r="M3370" s="7">
        <v>19</v>
      </c>
      <c r="N3370" s="7">
        <v>138</v>
      </c>
      <c r="O3370" s="7">
        <f t="shared" si="258"/>
        <v>212.59842519685043</v>
      </c>
      <c r="P3370" s="7">
        <f t="shared" si="259"/>
        <v>0.74803149606299213</v>
      </c>
      <c r="Q3370" s="7">
        <f t="shared" si="259"/>
        <v>5.4330708661417324</v>
      </c>
      <c r="R3370" s="6">
        <f t="shared" si="260"/>
        <v>1251.2739999999999</v>
      </c>
      <c r="S3370" s="6">
        <f t="shared" si="261"/>
        <v>1.4158800000000001E-2</v>
      </c>
      <c r="T3370" t="str">
        <f t="shared" si="262"/>
        <v>Maximo Thermo Clear Radiata S4S E4E 1x6 Long</v>
      </c>
    </row>
    <row r="3371" spans="1:20" x14ac:dyDescent="0.25">
      <c r="A3371" t="s">
        <v>3950</v>
      </c>
      <c r="B3371" t="s">
        <v>3972</v>
      </c>
      <c r="C3371" t="s">
        <v>524</v>
      </c>
      <c r="D3371" t="s">
        <v>3044</v>
      </c>
      <c r="E3371" t="s">
        <v>4132</v>
      </c>
      <c r="F3371" t="s">
        <v>4123</v>
      </c>
      <c r="G3371" t="s">
        <v>3954</v>
      </c>
      <c r="H3371" t="s">
        <v>373</v>
      </c>
      <c r="I3371" t="s">
        <v>289</v>
      </c>
      <c r="J3371" t="s">
        <v>344</v>
      </c>
      <c r="K3371">
        <v>4</v>
      </c>
      <c r="L3371" s="6">
        <v>1.2</v>
      </c>
      <c r="M3371" s="7">
        <v>19</v>
      </c>
      <c r="N3371" s="7">
        <v>138</v>
      </c>
      <c r="O3371" s="7">
        <f t="shared" si="258"/>
        <v>47.244094488188978</v>
      </c>
      <c r="P3371" s="7">
        <f t="shared" si="259"/>
        <v>0.74803149606299213</v>
      </c>
      <c r="Q3371" s="7">
        <f t="shared" si="259"/>
        <v>5.4330708661417324</v>
      </c>
      <c r="R3371" s="6">
        <f t="shared" si="260"/>
        <v>1251.2739999999999</v>
      </c>
      <c r="S3371" s="6">
        <f t="shared" si="261"/>
        <v>3.1464000000000002E-3</v>
      </c>
      <c r="T3371" t="str">
        <f t="shared" si="262"/>
        <v>Maximo Thermo Clear Radiata S4S E4E 1x6 Short</v>
      </c>
    </row>
    <row r="3372" spans="1:20" x14ac:dyDescent="0.25">
      <c r="A3372" t="s">
        <v>3950</v>
      </c>
      <c r="B3372" t="s">
        <v>3972</v>
      </c>
      <c r="C3372" t="s">
        <v>524</v>
      </c>
      <c r="D3372" t="s">
        <v>3044</v>
      </c>
      <c r="E3372" t="s">
        <v>4133</v>
      </c>
      <c r="F3372" t="s">
        <v>4123</v>
      </c>
      <c r="G3372" t="s">
        <v>3954</v>
      </c>
      <c r="H3372" t="s">
        <v>373</v>
      </c>
      <c r="I3372" t="s">
        <v>289</v>
      </c>
      <c r="J3372" t="s">
        <v>344</v>
      </c>
      <c r="K3372">
        <v>5</v>
      </c>
      <c r="L3372" s="6">
        <v>1.5</v>
      </c>
      <c r="M3372" s="7">
        <v>19</v>
      </c>
      <c r="N3372" s="7">
        <v>138</v>
      </c>
      <c r="O3372" s="7">
        <f t="shared" si="258"/>
        <v>59.055118110236222</v>
      </c>
      <c r="P3372" s="7">
        <f t="shared" si="259"/>
        <v>0.74803149606299213</v>
      </c>
      <c r="Q3372" s="7">
        <f t="shared" si="259"/>
        <v>5.4330708661417324</v>
      </c>
      <c r="R3372" s="6">
        <f t="shared" si="260"/>
        <v>1251.2739999999999</v>
      </c>
      <c r="S3372" s="6">
        <f t="shared" si="261"/>
        <v>3.9329999999999999E-3</v>
      </c>
      <c r="T3372" t="str">
        <f t="shared" si="262"/>
        <v>Maximo Thermo Clear Radiata S4S E4E 1x6 Short</v>
      </c>
    </row>
    <row r="3373" spans="1:20" x14ac:dyDescent="0.25">
      <c r="A3373" t="s">
        <v>3950</v>
      </c>
      <c r="B3373" t="s">
        <v>3972</v>
      </c>
      <c r="C3373" t="s">
        <v>524</v>
      </c>
      <c r="D3373" t="s">
        <v>3044</v>
      </c>
      <c r="E3373" t="s">
        <v>4134</v>
      </c>
      <c r="F3373" t="s">
        <v>4123</v>
      </c>
      <c r="G3373" t="s">
        <v>3954</v>
      </c>
      <c r="H3373" t="s">
        <v>373</v>
      </c>
      <c r="I3373" t="s">
        <v>289</v>
      </c>
      <c r="J3373" t="s">
        <v>344</v>
      </c>
      <c r="K3373">
        <v>6</v>
      </c>
      <c r="L3373" s="6">
        <v>1.8</v>
      </c>
      <c r="M3373" s="7">
        <v>19</v>
      </c>
      <c r="N3373" s="7">
        <v>138</v>
      </c>
      <c r="O3373" s="7">
        <f t="shared" si="258"/>
        <v>70.866141732283467</v>
      </c>
      <c r="P3373" s="7">
        <f t="shared" si="259"/>
        <v>0.74803149606299213</v>
      </c>
      <c r="Q3373" s="7">
        <f t="shared" si="259"/>
        <v>5.4330708661417324</v>
      </c>
      <c r="R3373" s="6">
        <f t="shared" si="260"/>
        <v>1251.2739999999999</v>
      </c>
      <c r="S3373" s="6">
        <f t="shared" si="261"/>
        <v>4.7196E-3</v>
      </c>
      <c r="T3373" t="str">
        <f t="shared" si="262"/>
        <v>Maximo Thermo Clear Radiata S4S E4E 1x6 Short</v>
      </c>
    </row>
    <row r="3374" spans="1:20" x14ac:dyDescent="0.25">
      <c r="A3374" t="s">
        <v>3950</v>
      </c>
      <c r="B3374" t="s">
        <v>3972</v>
      </c>
      <c r="C3374" t="s">
        <v>524</v>
      </c>
      <c r="D3374" t="s">
        <v>3044</v>
      </c>
      <c r="E3374" t="s">
        <v>4135</v>
      </c>
      <c r="F3374" t="s">
        <v>4123</v>
      </c>
      <c r="G3374" t="s">
        <v>3954</v>
      </c>
      <c r="H3374" t="s">
        <v>373</v>
      </c>
      <c r="I3374" t="s">
        <v>289</v>
      </c>
      <c r="J3374" t="s">
        <v>344</v>
      </c>
      <c r="K3374">
        <v>7</v>
      </c>
      <c r="L3374" s="6">
        <v>2.1</v>
      </c>
      <c r="M3374" s="7">
        <v>19</v>
      </c>
      <c r="N3374" s="7">
        <v>138</v>
      </c>
      <c r="O3374" s="7">
        <f t="shared" si="258"/>
        <v>82.677165354330711</v>
      </c>
      <c r="P3374" s="7">
        <f t="shared" si="259"/>
        <v>0.74803149606299213</v>
      </c>
      <c r="Q3374" s="7">
        <f t="shared" si="259"/>
        <v>5.4330708661417324</v>
      </c>
      <c r="R3374" s="6">
        <f t="shared" si="260"/>
        <v>1251.2739999999999</v>
      </c>
      <c r="S3374" s="6">
        <f t="shared" si="261"/>
        <v>5.5062000000000002E-3</v>
      </c>
      <c r="T3374" t="str">
        <f t="shared" si="262"/>
        <v>Maximo Thermo Clear Radiata S4S E4E 1x6 Short</v>
      </c>
    </row>
    <row r="3375" spans="1:20" x14ac:dyDescent="0.25">
      <c r="A3375" t="s">
        <v>3950</v>
      </c>
      <c r="B3375" t="s">
        <v>3972</v>
      </c>
      <c r="C3375" t="s">
        <v>283</v>
      </c>
      <c r="D3375" t="s">
        <v>3044</v>
      </c>
      <c r="E3375" t="s">
        <v>4136</v>
      </c>
      <c r="F3375" t="s">
        <v>4123</v>
      </c>
      <c r="G3375" t="s">
        <v>3954</v>
      </c>
      <c r="H3375" t="s">
        <v>373</v>
      </c>
      <c r="I3375" t="s">
        <v>289</v>
      </c>
      <c r="J3375" t="s">
        <v>344</v>
      </c>
      <c r="K3375">
        <v>8</v>
      </c>
      <c r="L3375" s="6">
        <v>2.4</v>
      </c>
      <c r="M3375" s="7">
        <v>19</v>
      </c>
      <c r="N3375" s="7">
        <v>138</v>
      </c>
      <c r="O3375" s="7">
        <f t="shared" si="258"/>
        <v>94.488188976377955</v>
      </c>
      <c r="P3375" s="7">
        <f t="shared" si="259"/>
        <v>0.74803149606299213</v>
      </c>
      <c r="Q3375" s="7">
        <f t="shared" si="259"/>
        <v>5.4330708661417324</v>
      </c>
      <c r="R3375" s="6">
        <f t="shared" si="260"/>
        <v>1251.2739999999999</v>
      </c>
      <c r="S3375" s="6">
        <f t="shared" si="261"/>
        <v>6.2928000000000003E-3</v>
      </c>
      <c r="T3375" t="str">
        <f t="shared" si="262"/>
        <v>Maximo Thermo Clear Radiata S4S E4E 1x6 Long</v>
      </c>
    </row>
    <row r="3376" spans="1:20" x14ac:dyDescent="0.25">
      <c r="A3376" t="s">
        <v>3950</v>
      </c>
      <c r="B3376" t="s">
        <v>3972</v>
      </c>
      <c r="C3376" t="s">
        <v>283</v>
      </c>
      <c r="D3376" t="s">
        <v>3044</v>
      </c>
      <c r="E3376" t="s">
        <v>4137</v>
      </c>
      <c r="F3376" t="s">
        <v>4123</v>
      </c>
      <c r="G3376" t="s">
        <v>3954</v>
      </c>
      <c r="H3376" t="s">
        <v>373</v>
      </c>
      <c r="I3376" t="s">
        <v>289</v>
      </c>
      <c r="J3376" t="s">
        <v>344</v>
      </c>
      <c r="K3376">
        <v>9</v>
      </c>
      <c r="L3376" s="6">
        <v>2.7</v>
      </c>
      <c r="M3376" s="7">
        <v>19</v>
      </c>
      <c r="N3376" s="7">
        <v>138</v>
      </c>
      <c r="O3376" s="7">
        <f t="shared" ref="O3376:O3439" si="263">L3376/0.0254</f>
        <v>106.29921259842521</v>
      </c>
      <c r="P3376" s="7">
        <f t="shared" ref="P3376:Q3439" si="264">M3376/25.4</f>
        <v>0.74803149606299213</v>
      </c>
      <c r="Q3376" s="7">
        <f t="shared" si="264"/>
        <v>5.4330708661417324</v>
      </c>
      <c r="R3376" s="6">
        <f t="shared" ref="R3376:R3439" si="265">ROUND(IFERROR(1/((M3376*N3376*0.3048)/1000000),0),3)</f>
        <v>1251.2739999999999</v>
      </c>
      <c r="S3376" s="6">
        <f t="shared" ref="S3376:S3439" si="266">L3376*M3376/1000*N3376/1000</f>
        <v>7.0794000000000004E-3</v>
      </c>
      <c r="T3376" t="str">
        <f t="shared" si="262"/>
        <v>Maximo Thermo Clear Radiata S4S E4E 1x6 Long</v>
      </c>
    </row>
    <row r="3377" spans="1:20" x14ac:dyDescent="0.25">
      <c r="A3377" t="s">
        <v>3950</v>
      </c>
      <c r="B3377" t="s">
        <v>4027</v>
      </c>
      <c r="C3377" t="s">
        <v>283</v>
      </c>
      <c r="D3377" t="s">
        <v>3044</v>
      </c>
      <c r="E3377" t="s">
        <v>4138</v>
      </c>
      <c r="F3377" t="s">
        <v>4139</v>
      </c>
      <c r="G3377" t="s">
        <v>3954</v>
      </c>
      <c r="H3377" t="s">
        <v>3397</v>
      </c>
      <c r="I3377" t="s">
        <v>289</v>
      </c>
      <c r="J3377" t="s">
        <v>4030</v>
      </c>
      <c r="K3377">
        <v>10</v>
      </c>
      <c r="L3377" s="6">
        <v>3</v>
      </c>
      <c r="M3377" s="7">
        <v>10</v>
      </c>
      <c r="N3377" s="7">
        <v>90</v>
      </c>
      <c r="O3377" s="7">
        <f t="shared" si="263"/>
        <v>118.11023622047244</v>
      </c>
      <c r="P3377" s="7">
        <f t="shared" si="264"/>
        <v>0.39370078740157483</v>
      </c>
      <c r="Q3377" s="7">
        <f t="shared" si="264"/>
        <v>3.5433070866141736</v>
      </c>
      <c r="R3377" s="6">
        <f t="shared" si="265"/>
        <v>3645.3780000000002</v>
      </c>
      <c r="S3377" s="6">
        <f t="shared" si="266"/>
        <v>2.6999999999999997E-3</v>
      </c>
      <c r="T3377" t="str">
        <f t="shared" si="262"/>
        <v>Maximo Thermo Clear Radiata VJoint - Square Back 3/8x4 Long</v>
      </c>
    </row>
    <row r="3378" spans="1:20" x14ac:dyDescent="0.25">
      <c r="A3378" t="s">
        <v>3950</v>
      </c>
      <c r="B3378" t="s">
        <v>4027</v>
      </c>
      <c r="C3378" t="s">
        <v>283</v>
      </c>
      <c r="D3378" t="s">
        <v>3044</v>
      </c>
      <c r="E3378" t="s">
        <v>4140</v>
      </c>
      <c r="F3378" t="s">
        <v>4139</v>
      </c>
      <c r="G3378" t="s">
        <v>3954</v>
      </c>
      <c r="H3378" t="s">
        <v>3397</v>
      </c>
      <c r="I3378" t="s">
        <v>289</v>
      </c>
      <c r="J3378" t="s">
        <v>4030</v>
      </c>
      <c r="K3378">
        <v>11</v>
      </c>
      <c r="L3378" s="6">
        <v>3.3</v>
      </c>
      <c r="M3378" s="7">
        <v>10</v>
      </c>
      <c r="N3378" s="7">
        <v>90</v>
      </c>
      <c r="O3378" s="7">
        <f t="shared" si="263"/>
        <v>129.92125984251967</v>
      </c>
      <c r="P3378" s="7">
        <f t="shared" si="264"/>
        <v>0.39370078740157483</v>
      </c>
      <c r="Q3378" s="7">
        <f t="shared" si="264"/>
        <v>3.5433070866141736</v>
      </c>
      <c r="R3378" s="6">
        <f t="shared" si="265"/>
        <v>3645.3780000000002</v>
      </c>
      <c r="S3378" s="6">
        <f t="shared" si="266"/>
        <v>2.97E-3</v>
      </c>
      <c r="T3378" t="str">
        <f t="shared" si="262"/>
        <v>Maximo Thermo Clear Radiata VJoint - Square Back 3/8x4 Long</v>
      </c>
    </row>
    <row r="3379" spans="1:20" x14ac:dyDescent="0.25">
      <c r="A3379" t="s">
        <v>3950</v>
      </c>
      <c r="B3379" t="s">
        <v>4027</v>
      </c>
      <c r="C3379" t="s">
        <v>283</v>
      </c>
      <c r="D3379" t="s">
        <v>3044</v>
      </c>
      <c r="E3379" t="s">
        <v>4141</v>
      </c>
      <c r="F3379" t="s">
        <v>4139</v>
      </c>
      <c r="G3379" t="s">
        <v>3954</v>
      </c>
      <c r="H3379" t="s">
        <v>3397</v>
      </c>
      <c r="I3379" t="s">
        <v>289</v>
      </c>
      <c r="J3379" t="s">
        <v>4030</v>
      </c>
      <c r="K3379">
        <v>12</v>
      </c>
      <c r="L3379" s="6">
        <v>3.6</v>
      </c>
      <c r="M3379" s="7">
        <v>10</v>
      </c>
      <c r="N3379" s="7">
        <v>90</v>
      </c>
      <c r="O3379" s="7">
        <f t="shared" si="263"/>
        <v>141.73228346456693</v>
      </c>
      <c r="P3379" s="7">
        <f t="shared" si="264"/>
        <v>0.39370078740157483</v>
      </c>
      <c r="Q3379" s="7">
        <f t="shared" si="264"/>
        <v>3.5433070866141736</v>
      </c>
      <c r="R3379" s="6">
        <f t="shared" si="265"/>
        <v>3645.3780000000002</v>
      </c>
      <c r="S3379" s="6">
        <f t="shared" si="266"/>
        <v>3.2399999999999998E-3</v>
      </c>
      <c r="T3379" t="str">
        <f t="shared" si="262"/>
        <v>Maximo Thermo Clear Radiata VJoint - Square Back 3/8x4 Long</v>
      </c>
    </row>
    <row r="3380" spans="1:20" x14ac:dyDescent="0.25">
      <c r="A3380" t="s">
        <v>3950</v>
      </c>
      <c r="B3380" t="s">
        <v>4027</v>
      </c>
      <c r="C3380" t="s">
        <v>283</v>
      </c>
      <c r="D3380" t="s">
        <v>3044</v>
      </c>
      <c r="E3380" t="s">
        <v>4142</v>
      </c>
      <c r="F3380" t="s">
        <v>4139</v>
      </c>
      <c r="G3380" t="s">
        <v>3954</v>
      </c>
      <c r="H3380" t="s">
        <v>3397</v>
      </c>
      <c r="I3380" t="s">
        <v>289</v>
      </c>
      <c r="J3380" t="s">
        <v>4030</v>
      </c>
      <c r="K3380">
        <v>13</v>
      </c>
      <c r="L3380" s="6">
        <v>3.9</v>
      </c>
      <c r="M3380" s="7">
        <v>10</v>
      </c>
      <c r="N3380" s="7">
        <v>90</v>
      </c>
      <c r="O3380" s="7">
        <f t="shared" si="263"/>
        <v>153.54330708661416</v>
      </c>
      <c r="P3380" s="7">
        <f t="shared" si="264"/>
        <v>0.39370078740157483</v>
      </c>
      <c r="Q3380" s="7">
        <f t="shared" si="264"/>
        <v>3.5433070866141736</v>
      </c>
      <c r="R3380" s="6">
        <f t="shared" si="265"/>
        <v>3645.3780000000002</v>
      </c>
      <c r="S3380" s="6">
        <f t="shared" si="266"/>
        <v>3.5099999999999997E-3</v>
      </c>
      <c r="T3380" t="str">
        <f t="shared" si="262"/>
        <v>Maximo Thermo Clear Radiata VJoint - Square Back 3/8x4 Long</v>
      </c>
    </row>
    <row r="3381" spans="1:20" x14ac:dyDescent="0.25">
      <c r="A3381" t="s">
        <v>3950</v>
      </c>
      <c r="B3381" t="s">
        <v>4027</v>
      </c>
      <c r="C3381" t="s">
        <v>283</v>
      </c>
      <c r="D3381" t="s">
        <v>3044</v>
      </c>
      <c r="E3381" t="s">
        <v>4143</v>
      </c>
      <c r="F3381" t="s">
        <v>4139</v>
      </c>
      <c r="G3381" t="s">
        <v>3954</v>
      </c>
      <c r="H3381" t="s">
        <v>3397</v>
      </c>
      <c r="I3381" t="s">
        <v>289</v>
      </c>
      <c r="J3381" t="s">
        <v>4030</v>
      </c>
      <c r="K3381">
        <v>14</v>
      </c>
      <c r="L3381" s="6">
        <v>4.2</v>
      </c>
      <c r="M3381" s="7">
        <v>10</v>
      </c>
      <c r="N3381" s="7">
        <v>90</v>
      </c>
      <c r="O3381" s="7">
        <f t="shared" si="263"/>
        <v>165.35433070866142</v>
      </c>
      <c r="P3381" s="7">
        <f t="shared" si="264"/>
        <v>0.39370078740157483</v>
      </c>
      <c r="Q3381" s="7">
        <f t="shared" si="264"/>
        <v>3.5433070866141736</v>
      </c>
      <c r="R3381" s="6">
        <f t="shared" si="265"/>
        <v>3645.3780000000002</v>
      </c>
      <c r="S3381" s="6">
        <f t="shared" si="266"/>
        <v>3.7800000000000004E-3</v>
      </c>
      <c r="T3381" t="str">
        <f t="shared" si="262"/>
        <v>Maximo Thermo Clear Radiata VJoint - Square Back 3/8x4 Long</v>
      </c>
    </row>
    <row r="3382" spans="1:20" x14ac:dyDescent="0.25">
      <c r="A3382" t="s">
        <v>3950</v>
      </c>
      <c r="B3382" t="s">
        <v>4027</v>
      </c>
      <c r="C3382" t="s">
        <v>283</v>
      </c>
      <c r="D3382" t="s">
        <v>3044</v>
      </c>
      <c r="E3382" t="s">
        <v>4144</v>
      </c>
      <c r="F3382" t="s">
        <v>4139</v>
      </c>
      <c r="G3382" t="s">
        <v>3954</v>
      </c>
      <c r="H3382" t="s">
        <v>3397</v>
      </c>
      <c r="I3382" t="s">
        <v>289</v>
      </c>
      <c r="J3382" t="s">
        <v>4030</v>
      </c>
      <c r="K3382">
        <v>15</v>
      </c>
      <c r="L3382" s="6">
        <v>4.5</v>
      </c>
      <c r="M3382" s="7">
        <v>10</v>
      </c>
      <c r="N3382" s="7">
        <v>90</v>
      </c>
      <c r="O3382" s="7">
        <f t="shared" si="263"/>
        <v>177.16535433070868</v>
      </c>
      <c r="P3382" s="7">
        <f t="shared" si="264"/>
        <v>0.39370078740157483</v>
      </c>
      <c r="Q3382" s="7">
        <f t="shared" si="264"/>
        <v>3.5433070866141736</v>
      </c>
      <c r="R3382" s="6">
        <f t="shared" si="265"/>
        <v>3645.3780000000002</v>
      </c>
      <c r="S3382" s="6">
        <f t="shared" si="266"/>
        <v>4.0499999999999998E-3</v>
      </c>
      <c r="T3382" t="str">
        <f t="shared" si="262"/>
        <v>Maximo Thermo Clear Radiata VJoint - Square Back 3/8x4 Long</v>
      </c>
    </row>
    <row r="3383" spans="1:20" x14ac:dyDescent="0.25">
      <c r="A3383" t="s">
        <v>3950</v>
      </c>
      <c r="B3383" t="s">
        <v>4027</v>
      </c>
      <c r="C3383" t="s">
        <v>283</v>
      </c>
      <c r="D3383" t="s">
        <v>3044</v>
      </c>
      <c r="E3383" t="s">
        <v>4145</v>
      </c>
      <c r="F3383" t="s">
        <v>4139</v>
      </c>
      <c r="G3383" t="s">
        <v>3954</v>
      </c>
      <c r="H3383" t="s">
        <v>3397</v>
      </c>
      <c r="I3383" t="s">
        <v>289</v>
      </c>
      <c r="J3383" t="s">
        <v>4030</v>
      </c>
      <c r="K3383">
        <v>16</v>
      </c>
      <c r="L3383" s="6">
        <v>4.8</v>
      </c>
      <c r="M3383" s="7">
        <v>10</v>
      </c>
      <c r="N3383" s="7">
        <v>90</v>
      </c>
      <c r="O3383" s="7">
        <f t="shared" si="263"/>
        <v>188.97637795275591</v>
      </c>
      <c r="P3383" s="7">
        <f t="shared" si="264"/>
        <v>0.39370078740157483</v>
      </c>
      <c r="Q3383" s="7">
        <f t="shared" si="264"/>
        <v>3.5433070866141736</v>
      </c>
      <c r="R3383" s="6">
        <f t="shared" si="265"/>
        <v>3645.3780000000002</v>
      </c>
      <c r="S3383" s="6">
        <f t="shared" si="266"/>
        <v>4.3200000000000001E-3</v>
      </c>
      <c r="T3383" t="str">
        <f t="shared" si="262"/>
        <v>Maximo Thermo Clear Radiata VJoint - Square Back 3/8x4 Long</v>
      </c>
    </row>
    <row r="3384" spans="1:20" x14ac:dyDescent="0.25">
      <c r="A3384" t="s">
        <v>3950</v>
      </c>
      <c r="B3384" t="s">
        <v>4027</v>
      </c>
      <c r="C3384" t="s">
        <v>283</v>
      </c>
      <c r="D3384" t="s">
        <v>3044</v>
      </c>
      <c r="E3384" t="s">
        <v>4146</v>
      </c>
      <c r="F3384" t="s">
        <v>4139</v>
      </c>
      <c r="G3384" t="s">
        <v>3954</v>
      </c>
      <c r="H3384" t="s">
        <v>3397</v>
      </c>
      <c r="I3384" t="s">
        <v>289</v>
      </c>
      <c r="J3384" t="s">
        <v>4030</v>
      </c>
      <c r="K3384">
        <v>17</v>
      </c>
      <c r="L3384" s="6">
        <v>5.0999999999999996</v>
      </c>
      <c r="M3384" s="7">
        <v>10</v>
      </c>
      <c r="N3384" s="7">
        <v>90</v>
      </c>
      <c r="O3384" s="7">
        <f t="shared" si="263"/>
        <v>200.78740157480314</v>
      </c>
      <c r="P3384" s="7">
        <f t="shared" si="264"/>
        <v>0.39370078740157483</v>
      </c>
      <c r="Q3384" s="7">
        <f t="shared" si="264"/>
        <v>3.5433070866141736</v>
      </c>
      <c r="R3384" s="6">
        <f t="shared" si="265"/>
        <v>3645.3780000000002</v>
      </c>
      <c r="S3384" s="6">
        <f t="shared" si="266"/>
        <v>4.5899999999999995E-3</v>
      </c>
      <c r="T3384" t="str">
        <f t="shared" si="262"/>
        <v>Maximo Thermo Clear Radiata VJoint - Square Back 3/8x4 Long</v>
      </c>
    </row>
    <row r="3385" spans="1:20" x14ac:dyDescent="0.25">
      <c r="A3385" t="s">
        <v>3950</v>
      </c>
      <c r="B3385" t="s">
        <v>4027</v>
      </c>
      <c r="C3385" t="s">
        <v>283</v>
      </c>
      <c r="D3385" t="s">
        <v>3044</v>
      </c>
      <c r="E3385" t="s">
        <v>4147</v>
      </c>
      <c r="F3385" t="s">
        <v>4139</v>
      </c>
      <c r="G3385" t="s">
        <v>3954</v>
      </c>
      <c r="H3385" t="s">
        <v>3397</v>
      </c>
      <c r="I3385" t="s">
        <v>289</v>
      </c>
      <c r="J3385" t="s">
        <v>4030</v>
      </c>
      <c r="K3385">
        <v>18</v>
      </c>
      <c r="L3385" s="6">
        <v>5.4</v>
      </c>
      <c r="M3385" s="7">
        <v>10</v>
      </c>
      <c r="N3385" s="7">
        <v>90</v>
      </c>
      <c r="O3385" s="7">
        <f t="shared" si="263"/>
        <v>212.59842519685043</v>
      </c>
      <c r="P3385" s="7">
        <f t="shared" si="264"/>
        <v>0.39370078740157483</v>
      </c>
      <c r="Q3385" s="7">
        <f t="shared" si="264"/>
        <v>3.5433070866141736</v>
      </c>
      <c r="R3385" s="6">
        <f t="shared" si="265"/>
        <v>3645.3780000000002</v>
      </c>
      <c r="S3385" s="6">
        <f t="shared" si="266"/>
        <v>4.8600000000000006E-3</v>
      </c>
      <c r="T3385" t="str">
        <f t="shared" si="262"/>
        <v>Maximo Thermo Clear Radiata VJoint - Square Back 3/8x4 Long</v>
      </c>
    </row>
    <row r="3386" spans="1:20" x14ac:dyDescent="0.25">
      <c r="A3386" t="s">
        <v>3950</v>
      </c>
      <c r="B3386" t="s">
        <v>4027</v>
      </c>
      <c r="C3386" t="s">
        <v>524</v>
      </c>
      <c r="D3386" t="s">
        <v>3044</v>
      </c>
      <c r="E3386" t="s">
        <v>4148</v>
      </c>
      <c r="F3386" t="s">
        <v>4139</v>
      </c>
      <c r="G3386" t="s">
        <v>3954</v>
      </c>
      <c r="H3386" t="s">
        <v>3397</v>
      </c>
      <c r="I3386" t="s">
        <v>289</v>
      </c>
      <c r="J3386" t="s">
        <v>4030</v>
      </c>
      <c r="K3386">
        <v>4</v>
      </c>
      <c r="L3386" s="6">
        <v>1.2</v>
      </c>
      <c r="M3386" s="7">
        <v>10</v>
      </c>
      <c r="N3386" s="7">
        <v>90</v>
      </c>
      <c r="O3386" s="7">
        <f t="shared" si="263"/>
        <v>47.244094488188978</v>
      </c>
      <c r="P3386" s="7">
        <f t="shared" si="264"/>
        <v>0.39370078740157483</v>
      </c>
      <c r="Q3386" s="7">
        <f t="shared" si="264"/>
        <v>3.5433070866141736</v>
      </c>
      <c r="R3386" s="6">
        <f t="shared" si="265"/>
        <v>3645.3780000000002</v>
      </c>
      <c r="S3386" s="6">
        <f t="shared" si="266"/>
        <v>1.08E-3</v>
      </c>
      <c r="T3386" t="str">
        <f t="shared" si="262"/>
        <v>Maximo Thermo Clear Radiata VJoint - Square Back 3/8x4 Short</v>
      </c>
    </row>
    <row r="3387" spans="1:20" x14ac:dyDescent="0.25">
      <c r="A3387" t="s">
        <v>3950</v>
      </c>
      <c r="B3387" t="s">
        <v>4027</v>
      </c>
      <c r="C3387" t="s">
        <v>524</v>
      </c>
      <c r="D3387" t="s">
        <v>3044</v>
      </c>
      <c r="E3387" t="s">
        <v>4149</v>
      </c>
      <c r="F3387" t="s">
        <v>4139</v>
      </c>
      <c r="G3387" t="s">
        <v>3954</v>
      </c>
      <c r="H3387" t="s">
        <v>3397</v>
      </c>
      <c r="I3387" t="s">
        <v>289</v>
      </c>
      <c r="J3387" t="s">
        <v>4030</v>
      </c>
      <c r="K3387">
        <v>5</v>
      </c>
      <c r="L3387" s="6">
        <v>1.5</v>
      </c>
      <c r="M3387" s="7">
        <v>10</v>
      </c>
      <c r="N3387" s="7">
        <v>90</v>
      </c>
      <c r="O3387" s="7">
        <f t="shared" si="263"/>
        <v>59.055118110236222</v>
      </c>
      <c r="P3387" s="7">
        <f t="shared" si="264"/>
        <v>0.39370078740157483</v>
      </c>
      <c r="Q3387" s="7">
        <f t="shared" si="264"/>
        <v>3.5433070866141736</v>
      </c>
      <c r="R3387" s="6">
        <f t="shared" si="265"/>
        <v>3645.3780000000002</v>
      </c>
      <c r="S3387" s="6">
        <f t="shared" si="266"/>
        <v>1.3499999999999999E-3</v>
      </c>
      <c r="T3387" t="str">
        <f t="shared" si="262"/>
        <v>Maximo Thermo Clear Radiata VJoint - Square Back 3/8x4 Short</v>
      </c>
    </row>
    <row r="3388" spans="1:20" x14ac:dyDescent="0.25">
      <c r="A3388" t="s">
        <v>3950</v>
      </c>
      <c r="B3388" t="s">
        <v>4027</v>
      </c>
      <c r="C3388" t="s">
        <v>524</v>
      </c>
      <c r="D3388" t="s">
        <v>3044</v>
      </c>
      <c r="E3388" t="s">
        <v>4150</v>
      </c>
      <c r="F3388" t="s">
        <v>4139</v>
      </c>
      <c r="G3388" t="s">
        <v>3954</v>
      </c>
      <c r="H3388" t="s">
        <v>3397</v>
      </c>
      <c r="I3388" t="s">
        <v>289</v>
      </c>
      <c r="J3388" t="s">
        <v>4030</v>
      </c>
      <c r="K3388">
        <v>6</v>
      </c>
      <c r="L3388" s="6">
        <v>1.8</v>
      </c>
      <c r="M3388" s="7">
        <v>10</v>
      </c>
      <c r="N3388" s="7">
        <v>90</v>
      </c>
      <c r="O3388" s="7">
        <f t="shared" si="263"/>
        <v>70.866141732283467</v>
      </c>
      <c r="P3388" s="7">
        <f t="shared" si="264"/>
        <v>0.39370078740157483</v>
      </c>
      <c r="Q3388" s="7">
        <f t="shared" si="264"/>
        <v>3.5433070866141736</v>
      </c>
      <c r="R3388" s="6">
        <f t="shared" si="265"/>
        <v>3645.3780000000002</v>
      </c>
      <c r="S3388" s="6">
        <f t="shared" si="266"/>
        <v>1.6199999999999999E-3</v>
      </c>
      <c r="T3388" t="str">
        <f t="shared" si="262"/>
        <v>Maximo Thermo Clear Radiata VJoint - Square Back 3/8x4 Short</v>
      </c>
    </row>
    <row r="3389" spans="1:20" x14ac:dyDescent="0.25">
      <c r="A3389" t="s">
        <v>3950</v>
      </c>
      <c r="B3389" t="s">
        <v>4027</v>
      </c>
      <c r="C3389" t="s">
        <v>524</v>
      </c>
      <c r="D3389" t="s">
        <v>3044</v>
      </c>
      <c r="E3389" t="s">
        <v>4151</v>
      </c>
      <c r="F3389" t="s">
        <v>4139</v>
      </c>
      <c r="G3389" t="s">
        <v>3954</v>
      </c>
      <c r="H3389" t="s">
        <v>3397</v>
      </c>
      <c r="I3389" t="s">
        <v>289</v>
      </c>
      <c r="J3389" t="s">
        <v>4030</v>
      </c>
      <c r="K3389">
        <v>7</v>
      </c>
      <c r="L3389" s="6">
        <v>2.1</v>
      </c>
      <c r="M3389" s="7">
        <v>10</v>
      </c>
      <c r="N3389" s="7">
        <v>90</v>
      </c>
      <c r="O3389" s="7">
        <f t="shared" si="263"/>
        <v>82.677165354330711</v>
      </c>
      <c r="P3389" s="7">
        <f t="shared" si="264"/>
        <v>0.39370078740157483</v>
      </c>
      <c r="Q3389" s="7">
        <f t="shared" si="264"/>
        <v>3.5433070866141736</v>
      </c>
      <c r="R3389" s="6">
        <f t="shared" si="265"/>
        <v>3645.3780000000002</v>
      </c>
      <c r="S3389" s="6">
        <f t="shared" si="266"/>
        <v>1.8900000000000002E-3</v>
      </c>
      <c r="T3389" t="str">
        <f t="shared" si="262"/>
        <v>Maximo Thermo Clear Radiata VJoint - Square Back 3/8x4 Short</v>
      </c>
    </row>
    <row r="3390" spans="1:20" x14ac:dyDescent="0.25">
      <c r="A3390" t="s">
        <v>3950</v>
      </c>
      <c r="B3390" t="s">
        <v>4027</v>
      </c>
      <c r="C3390" t="s">
        <v>283</v>
      </c>
      <c r="D3390" t="s">
        <v>3044</v>
      </c>
      <c r="E3390" t="s">
        <v>4152</v>
      </c>
      <c r="F3390" t="s">
        <v>4139</v>
      </c>
      <c r="G3390" t="s">
        <v>3954</v>
      </c>
      <c r="H3390" t="s">
        <v>3397</v>
      </c>
      <c r="I3390" t="s">
        <v>289</v>
      </c>
      <c r="J3390" t="s">
        <v>4030</v>
      </c>
      <c r="K3390">
        <v>8</v>
      </c>
      <c r="L3390" s="6">
        <v>2.4</v>
      </c>
      <c r="M3390" s="7">
        <v>10</v>
      </c>
      <c r="N3390" s="7">
        <v>90</v>
      </c>
      <c r="O3390" s="7">
        <f t="shared" si="263"/>
        <v>94.488188976377955</v>
      </c>
      <c r="P3390" s="7">
        <f t="shared" si="264"/>
        <v>0.39370078740157483</v>
      </c>
      <c r="Q3390" s="7">
        <f t="shared" si="264"/>
        <v>3.5433070866141736</v>
      </c>
      <c r="R3390" s="6">
        <f t="shared" si="265"/>
        <v>3645.3780000000002</v>
      </c>
      <c r="S3390" s="6">
        <f t="shared" si="266"/>
        <v>2.16E-3</v>
      </c>
      <c r="T3390" t="str">
        <f t="shared" si="262"/>
        <v>Maximo Thermo Clear Radiata VJoint - Square Back 3/8x4 Long</v>
      </c>
    </row>
    <row r="3391" spans="1:20" x14ac:dyDescent="0.25">
      <c r="A3391" t="s">
        <v>3950</v>
      </c>
      <c r="B3391" t="s">
        <v>4027</v>
      </c>
      <c r="C3391" t="s">
        <v>283</v>
      </c>
      <c r="D3391" t="s">
        <v>3044</v>
      </c>
      <c r="E3391" t="s">
        <v>4153</v>
      </c>
      <c r="F3391" t="s">
        <v>4139</v>
      </c>
      <c r="G3391" t="s">
        <v>3954</v>
      </c>
      <c r="H3391" t="s">
        <v>3397</v>
      </c>
      <c r="I3391" t="s">
        <v>289</v>
      </c>
      <c r="J3391" t="s">
        <v>4030</v>
      </c>
      <c r="K3391">
        <v>9</v>
      </c>
      <c r="L3391" s="6">
        <v>2.7</v>
      </c>
      <c r="M3391" s="7">
        <v>10</v>
      </c>
      <c r="N3391" s="7">
        <v>90</v>
      </c>
      <c r="O3391" s="7">
        <f t="shared" si="263"/>
        <v>106.29921259842521</v>
      </c>
      <c r="P3391" s="7">
        <f t="shared" si="264"/>
        <v>0.39370078740157483</v>
      </c>
      <c r="Q3391" s="7">
        <f t="shared" si="264"/>
        <v>3.5433070866141736</v>
      </c>
      <c r="R3391" s="6">
        <f t="shared" si="265"/>
        <v>3645.3780000000002</v>
      </c>
      <c r="S3391" s="6">
        <f t="shared" si="266"/>
        <v>2.4300000000000003E-3</v>
      </c>
      <c r="T3391" t="str">
        <f t="shared" si="262"/>
        <v>Maximo Thermo Clear Radiata VJoint - Square Back 3/8x4 Long</v>
      </c>
    </row>
    <row r="3392" spans="1:20" x14ac:dyDescent="0.25">
      <c r="A3392" t="s">
        <v>4154</v>
      </c>
      <c r="B3392" t="s">
        <v>4155</v>
      </c>
      <c r="C3392" t="s">
        <v>283</v>
      </c>
      <c r="D3392" t="s">
        <v>3044</v>
      </c>
      <c r="E3392" t="s">
        <v>4156</v>
      </c>
      <c r="F3392" t="s">
        <v>4157</v>
      </c>
      <c r="G3392" t="s">
        <v>4158</v>
      </c>
      <c r="H3392" t="s">
        <v>3407</v>
      </c>
      <c r="I3392" t="s">
        <v>289</v>
      </c>
      <c r="J3392" t="s">
        <v>344</v>
      </c>
      <c r="K3392">
        <v>10</v>
      </c>
      <c r="L3392" s="6">
        <v>3</v>
      </c>
      <c r="M3392" s="7">
        <v>19</v>
      </c>
      <c r="N3392" s="7">
        <v>140</v>
      </c>
      <c r="O3392" s="7">
        <f t="shared" si="263"/>
        <v>118.11023622047244</v>
      </c>
      <c r="P3392" s="7">
        <f t="shared" si="264"/>
        <v>0.74803149606299213</v>
      </c>
      <c r="Q3392" s="7">
        <f t="shared" si="264"/>
        <v>5.5118110236220472</v>
      </c>
      <c r="R3392" s="6">
        <f t="shared" si="265"/>
        <v>1233.3979999999999</v>
      </c>
      <c r="S3392" s="6">
        <f t="shared" si="266"/>
        <v>7.980000000000001E-3</v>
      </c>
      <c r="T3392" t="str">
        <f t="shared" si="262"/>
        <v>Maximo Thermo Scandinavian Pine Fluted 1x6 Long</v>
      </c>
    </row>
    <row r="3393" spans="1:20" x14ac:dyDescent="0.25">
      <c r="A3393" t="s">
        <v>4154</v>
      </c>
      <c r="B3393" t="s">
        <v>4155</v>
      </c>
      <c r="C3393" t="s">
        <v>283</v>
      </c>
      <c r="D3393" t="s">
        <v>3044</v>
      </c>
      <c r="E3393" t="s">
        <v>4159</v>
      </c>
      <c r="F3393" t="s">
        <v>4157</v>
      </c>
      <c r="G3393" t="s">
        <v>4158</v>
      </c>
      <c r="H3393" t="s">
        <v>3407</v>
      </c>
      <c r="I3393" t="s">
        <v>289</v>
      </c>
      <c r="J3393" t="s">
        <v>344</v>
      </c>
      <c r="K3393">
        <v>11</v>
      </c>
      <c r="L3393" s="6">
        <v>3.3</v>
      </c>
      <c r="M3393" s="7">
        <v>19</v>
      </c>
      <c r="N3393" s="7">
        <v>140</v>
      </c>
      <c r="O3393" s="7">
        <f t="shared" si="263"/>
        <v>129.92125984251967</v>
      </c>
      <c r="P3393" s="7">
        <f t="shared" si="264"/>
        <v>0.74803149606299213</v>
      </c>
      <c r="Q3393" s="7">
        <f t="shared" si="264"/>
        <v>5.5118110236220472</v>
      </c>
      <c r="R3393" s="6">
        <f t="shared" si="265"/>
        <v>1233.3979999999999</v>
      </c>
      <c r="S3393" s="6">
        <f t="shared" si="266"/>
        <v>8.7779999999999993E-3</v>
      </c>
      <c r="T3393" t="str">
        <f t="shared" si="262"/>
        <v>Maximo Thermo Scandinavian Pine Fluted 1x6 Long</v>
      </c>
    </row>
    <row r="3394" spans="1:20" x14ac:dyDescent="0.25">
      <c r="A3394" t="s">
        <v>4154</v>
      </c>
      <c r="B3394" t="s">
        <v>4155</v>
      </c>
      <c r="C3394" t="s">
        <v>283</v>
      </c>
      <c r="D3394" t="s">
        <v>3044</v>
      </c>
      <c r="E3394" t="s">
        <v>4160</v>
      </c>
      <c r="F3394" t="s">
        <v>4157</v>
      </c>
      <c r="G3394" t="s">
        <v>4158</v>
      </c>
      <c r="H3394" t="s">
        <v>3407</v>
      </c>
      <c r="I3394" t="s">
        <v>289</v>
      </c>
      <c r="J3394" t="s">
        <v>344</v>
      </c>
      <c r="K3394">
        <v>12</v>
      </c>
      <c r="L3394" s="6">
        <v>3.6</v>
      </c>
      <c r="M3394" s="7">
        <v>19</v>
      </c>
      <c r="N3394" s="7">
        <v>140</v>
      </c>
      <c r="O3394" s="7">
        <f t="shared" si="263"/>
        <v>141.73228346456693</v>
      </c>
      <c r="P3394" s="7">
        <f t="shared" si="264"/>
        <v>0.74803149606299213</v>
      </c>
      <c r="Q3394" s="7">
        <f t="shared" si="264"/>
        <v>5.5118110236220472</v>
      </c>
      <c r="R3394" s="6">
        <f t="shared" si="265"/>
        <v>1233.3979999999999</v>
      </c>
      <c r="S3394" s="6">
        <f t="shared" si="266"/>
        <v>9.5760000000000012E-3</v>
      </c>
      <c r="T3394" t="str">
        <f t="shared" ref="T3394:T3457" si="267">F3394&amp;" "&amp;C3394</f>
        <v>Maximo Thermo Scandinavian Pine Fluted 1x6 Long</v>
      </c>
    </row>
    <row r="3395" spans="1:20" x14ac:dyDescent="0.25">
      <c r="A3395" t="s">
        <v>4154</v>
      </c>
      <c r="B3395" t="s">
        <v>4155</v>
      </c>
      <c r="C3395" t="s">
        <v>283</v>
      </c>
      <c r="D3395" t="s">
        <v>3044</v>
      </c>
      <c r="E3395" t="s">
        <v>4161</v>
      </c>
      <c r="F3395" t="s">
        <v>4157</v>
      </c>
      <c r="G3395" t="s">
        <v>4158</v>
      </c>
      <c r="H3395" t="s">
        <v>3407</v>
      </c>
      <c r="I3395" t="s">
        <v>289</v>
      </c>
      <c r="J3395" t="s">
        <v>344</v>
      </c>
      <c r="K3395">
        <v>13</v>
      </c>
      <c r="L3395" s="6">
        <v>3.9</v>
      </c>
      <c r="M3395" s="7">
        <v>19</v>
      </c>
      <c r="N3395" s="7">
        <v>140</v>
      </c>
      <c r="O3395" s="7">
        <f t="shared" si="263"/>
        <v>153.54330708661416</v>
      </c>
      <c r="P3395" s="7">
        <f t="shared" si="264"/>
        <v>0.74803149606299213</v>
      </c>
      <c r="Q3395" s="7">
        <f t="shared" si="264"/>
        <v>5.5118110236220472</v>
      </c>
      <c r="R3395" s="6">
        <f t="shared" si="265"/>
        <v>1233.3979999999999</v>
      </c>
      <c r="S3395" s="6">
        <f t="shared" si="266"/>
        <v>1.0374000000000001E-2</v>
      </c>
      <c r="T3395" t="str">
        <f t="shared" si="267"/>
        <v>Maximo Thermo Scandinavian Pine Fluted 1x6 Long</v>
      </c>
    </row>
    <row r="3396" spans="1:20" x14ac:dyDescent="0.25">
      <c r="A3396" t="s">
        <v>4154</v>
      </c>
      <c r="B3396" t="s">
        <v>4155</v>
      </c>
      <c r="C3396" t="s">
        <v>283</v>
      </c>
      <c r="D3396" t="s">
        <v>3044</v>
      </c>
      <c r="E3396" t="s">
        <v>4162</v>
      </c>
      <c r="F3396" t="s">
        <v>4157</v>
      </c>
      <c r="G3396" t="s">
        <v>4158</v>
      </c>
      <c r="H3396" t="s">
        <v>3407</v>
      </c>
      <c r="I3396" t="s">
        <v>289</v>
      </c>
      <c r="J3396" t="s">
        <v>344</v>
      </c>
      <c r="K3396">
        <v>14</v>
      </c>
      <c r="L3396" s="6">
        <v>4.2</v>
      </c>
      <c r="M3396" s="7">
        <v>19</v>
      </c>
      <c r="N3396" s="7">
        <v>140</v>
      </c>
      <c r="O3396" s="7">
        <f t="shared" si="263"/>
        <v>165.35433070866142</v>
      </c>
      <c r="P3396" s="7">
        <f t="shared" si="264"/>
        <v>0.74803149606299213</v>
      </c>
      <c r="Q3396" s="7">
        <f t="shared" si="264"/>
        <v>5.5118110236220472</v>
      </c>
      <c r="R3396" s="6">
        <f t="shared" si="265"/>
        <v>1233.3979999999999</v>
      </c>
      <c r="S3396" s="6">
        <f t="shared" si="266"/>
        <v>1.1172E-2</v>
      </c>
      <c r="T3396" t="str">
        <f t="shared" si="267"/>
        <v>Maximo Thermo Scandinavian Pine Fluted 1x6 Long</v>
      </c>
    </row>
    <row r="3397" spans="1:20" x14ac:dyDescent="0.25">
      <c r="A3397" t="s">
        <v>4154</v>
      </c>
      <c r="B3397" t="s">
        <v>4155</v>
      </c>
      <c r="C3397" t="s">
        <v>283</v>
      </c>
      <c r="D3397" t="s">
        <v>3044</v>
      </c>
      <c r="E3397" t="s">
        <v>4163</v>
      </c>
      <c r="F3397" t="s">
        <v>4157</v>
      </c>
      <c r="G3397" t="s">
        <v>4158</v>
      </c>
      <c r="H3397" t="s">
        <v>3407</v>
      </c>
      <c r="I3397" t="s">
        <v>289</v>
      </c>
      <c r="J3397" t="s">
        <v>344</v>
      </c>
      <c r="K3397">
        <v>15</v>
      </c>
      <c r="L3397" s="6">
        <v>4.5</v>
      </c>
      <c r="M3397" s="7">
        <v>19</v>
      </c>
      <c r="N3397" s="7">
        <v>140</v>
      </c>
      <c r="O3397" s="7">
        <f t="shared" si="263"/>
        <v>177.16535433070868</v>
      </c>
      <c r="P3397" s="7">
        <f t="shared" si="264"/>
        <v>0.74803149606299213</v>
      </c>
      <c r="Q3397" s="7">
        <f t="shared" si="264"/>
        <v>5.5118110236220472</v>
      </c>
      <c r="R3397" s="6">
        <f t="shared" si="265"/>
        <v>1233.3979999999999</v>
      </c>
      <c r="S3397" s="6">
        <f t="shared" si="266"/>
        <v>1.1970000000000001E-2</v>
      </c>
      <c r="T3397" t="str">
        <f t="shared" si="267"/>
        <v>Maximo Thermo Scandinavian Pine Fluted 1x6 Long</v>
      </c>
    </row>
    <row r="3398" spans="1:20" x14ac:dyDescent="0.25">
      <c r="A3398" t="s">
        <v>4154</v>
      </c>
      <c r="B3398" t="s">
        <v>4155</v>
      </c>
      <c r="C3398" t="s">
        <v>283</v>
      </c>
      <c r="D3398" t="s">
        <v>3044</v>
      </c>
      <c r="E3398" t="s">
        <v>4164</v>
      </c>
      <c r="F3398" t="s">
        <v>4157</v>
      </c>
      <c r="G3398" t="s">
        <v>4158</v>
      </c>
      <c r="H3398" t="s">
        <v>3407</v>
      </c>
      <c r="I3398" t="s">
        <v>289</v>
      </c>
      <c r="J3398" t="s">
        <v>344</v>
      </c>
      <c r="K3398">
        <v>16</v>
      </c>
      <c r="L3398" s="6">
        <v>4.8</v>
      </c>
      <c r="M3398" s="7">
        <v>19</v>
      </c>
      <c r="N3398" s="7">
        <v>140</v>
      </c>
      <c r="O3398" s="7">
        <f t="shared" si="263"/>
        <v>188.97637795275591</v>
      </c>
      <c r="P3398" s="7">
        <f t="shared" si="264"/>
        <v>0.74803149606299213</v>
      </c>
      <c r="Q3398" s="7">
        <f t="shared" si="264"/>
        <v>5.5118110236220472</v>
      </c>
      <c r="R3398" s="6">
        <f t="shared" si="265"/>
        <v>1233.3979999999999</v>
      </c>
      <c r="S3398" s="6">
        <f t="shared" si="266"/>
        <v>1.2768E-2</v>
      </c>
      <c r="T3398" t="str">
        <f t="shared" si="267"/>
        <v>Maximo Thermo Scandinavian Pine Fluted 1x6 Long</v>
      </c>
    </row>
    <row r="3399" spans="1:20" x14ac:dyDescent="0.25">
      <c r="A3399" t="s">
        <v>4154</v>
      </c>
      <c r="B3399" t="s">
        <v>4155</v>
      </c>
      <c r="C3399" t="s">
        <v>283</v>
      </c>
      <c r="D3399" t="s">
        <v>3044</v>
      </c>
      <c r="E3399" t="s">
        <v>4165</v>
      </c>
      <c r="F3399" t="s">
        <v>4157</v>
      </c>
      <c r="G3399" t="s">
        <v>4158</v>
      </c>
      <c r="H3399" t="s">
        <v>3407</v>
      </c>
      <c r="I3399" t="s">
        <v>289</v>
      </c>
      <c r="J3399" t="s">
        <v>344</v>
      </c>
      <c r="K3399">
        <v>17</v>
      </c>
      <c r="L3399" s="6">
        <v>5.0999999999999996</v>
      </c>
      <c r="M3399" s="7">
        <v>19</v>
      </c>
      <c r="N3399" s="7">
        <v>140</v>
      </c>
      <c r="O3399" s="7">
        <f t="shared" si="263"/>
        <v>200.78740157480314</v>
      </c>
      <c r="P3399" s="7">
        <f t="shared" si="264"/>
        <v>0.74803149606299213</v>
      </c>
      <c r="Q3399" s="7">
        <f t="shared" si="264"/>
        <v>5.5118110236220472</v>
      </c>
      <c r="R3399" s="6">
        <f t="shared" si="265"/>
        <v>1233.3979999999999</v>
      </c>
      <c r="S3399" s="6">
        <f t="shared" si="266"/>
        <v>1.3565999999999998E-2</v>
      </c>
      <c r="T3399" t="str">
        <f t="shared" si="267"/>
        <v>Maximo Thermo Scandinavian Pine Fluted 1x6 Long</v>
      </c>
    </row>
    <row r="3400" spans="1:20" x14ac:dyDescent="0.25">
      <c r="A3400" t="s">
        <v>4154</v>
      </c>
      <c r="B3400" t="s">
        <v>4155</v>
      </c>
      <c r="C3400" t="s">
        <v>283</v>
      </c>
      <c r="D3400" t="s">
        <v>3044</v>
      </c>
      <c r="E3400" t="s">
        <v>4166</v>
      </c>
      <c r="F3400" t="s">
        <v>4157</v>
      </c>
      <c r="G3400" t="s">
        <v>4158</v>
      </c>
      <c r="H3400" t="s">
        <v>3407</v>
      </c>
      <c r="I3400" t="s">
        <v>289</v>
      </c>
      <c r="J3400" t="s">
        <v>344</v>
      </c>
      <c r="K3400">
        <v>18</v>
      </c>
      <c r="L3400" s="6">
        <v>5.4</v>
      </c>
      <c r="M3400" s="7">
        <v>19</v>
      </c>
      <c r="N3400" s="7">
        <v>140</v>
      </c>
      <c r="O3400" s="7">
        <f t="shared" si="263"/>
        <v>212.59842519685043</v>
      </c>
      <c r="P3400" s="7">
        <f t="shared" si="264"/>
        <v>0.74803149606299213</v>
      </c>
      <c r="Q3400" s="7">
        <f t="shared" si="264"/>
        <v>5.5118110236220472</v>
      </c>
      <c r="R3400" s="6">
        <f t="shared" si="265"/>
        <v>1233.3979999999999</v>
      </c>
      <c r="S3400" s="6">
        <f t="shared" si="266"/>
        <v>1.4364E-2</v>
      </c>
      <c r="T3400" t="str">
        <f t="shared" si="267"/>
        <v>Maximo Thermo Scandinavian Pine Fluted 1x6 Long</v>
      </c>
    </row>
    <row r="3401" spans="1:20" x14ac:dyDescent="0.25">
      <c r="A3401" t="s">
        <v>4154</v>
      </c>
      <c r="B3401" t="s">
        <v>4155</v>
      </c>
      <c r="C3401" t="s">
        <v>524</v>
      </c>
      <c r="D3401" t="s">
        <v>3044</v>
      </c>
      <c r="E3401" t="s">
        <v>4167</v>
      </c>
      <c r="F3401" t="s">
        <v>4157</v>
      </c>
      <c r="G3401" t="s">
        <v>4158</v>
      </c>
      <c r="H3401" t="s">
        <v>3407</v>
      </c>
      <c r="I3401" t="s">
        <v>289</v>
      </c>
      <c r="J3401" t="s">
        <v>344</v>
      </c>
      <c r="K3401">
        <v>4</v>
      </c>
      <c r="L3401" s="6">
        <v>1.2</v>
      </c>
      <c r="M3401" s="7">
        <v>19</v>
      </c>
      <c r="N3401" s="7">
        <v>140</v>
      </c>
      <c r="O3401" s="7">
        <f t="shared" si="263"/>
        <v>47.244094488188978</v>
      </c>
      <c r="P3401" s="7">
        <f t="shared" si="264"/>
        <v>0.74803149606299213</v>
      </c>
      <c r="Q3401" s="7">
        <f t="shared" si="264"/>
        <v>5.5118110236220472</v>
      </c>
      <c r="R3401" s="6">
        <f t="shared" si="265"/>
        <v>1233.3979999999999</v>
      </c>
      <c r="S3401" s="6">
        <f t="shared" si="266"/>
        <v>3.192E-3</v>
      </c>
      <c r="T3401" t="str">
        <f t="shared" si="267"/>
        <v>Maximo Thermo Scandinavian Pine Fluted 1x6 Short</v>
      </c>
    </row>
    <row r="3402" spans="1:20" x14ac:dyDescent="0.25">
      <c r="A3402" t="s">
        <v>4154</v>
      </c>
      <c r="B3402" t="s">
        <v>4155</v>
      </c>
      <c r="C3402" t="s">
        <v>524</v>
      </c>
      <c r="D3402" t="s">
        <v>3044</v>
      </c>
      <c r="E3402" t="s">
        <v>4168</v>
      </c>
      <c r="F3402" t="s">
        <v>4157</v>
      </c>
      <c r="G3402" t="s">
        <v>4158</v>
      </c>
      <c r="H3402" t="s">
        <v>3407</v>
      </c>
      <c r="I3402" t="s">
        <v>289</v>
      </c>
      <c r="J3402" t="s">
        <v>344</v>
      </c>
      <c r="K3402">
        <v>5</v>
      </c>
      <c r="L3402" s="6">
        <v>1.5</v>
      </c>
      <c r="M3402" s="7">
        <v>19</v>
      </c>
      <c r="N3402" s="7">
        <v>140</v>
      </c>
      <c r="O3402" s="7">
        <f t="shared" si="263"/>
        <v>59.055118110236222</v>
      </c>
      <c r="P3402" s="7">
        <f t="shared" si="264"/>
        <v>0.74803149606299213</v>
      </c>
      <c r="Q3402" s="7">
        <f t="shared" si="264"/>
        <v>5.5118110236220472</v>
      </c>
      <c r="R3402" s="6">
        <f t="shared" si="265"/>
        <v>1233.3979999999999</v>
      </c>
      <c r="S3402" s="6">
        <f t="shared" si="266"/>
        <v>3.9900000000000005E-3</v>
      </c>
      <c r="T3402" t="str">
        <f t="shared" si="267"/>
        <v>Maximo Thermo Scandinavian Pine Fluted 1x6 Short</v>
      </c>
    </row>
    <row r="3403" spans="1:20" x14ac:dyDescent="0.25">
      <c r="A3403" t="s">
        <v>4154</v>
      </c>
      <c r="B3403" t="s">
        <v>4155</v>
      </c>
      <c r="C3403" t="s">
        <v>524</v>
      </c>
      <c r="D3403" t="s">
        <v>3044</v>
      </c>
      <c r="E3403" t="s">
        <v>4169</v>
      </c>
      <c r="F3403" t="s">
        <v>4157</v>
      </c>
      <c r="G3403" t="s">
        <v>4158</v>
      </c>
      <c r="H3403" t="s">
        <v>3407</v>
      </c>
      <c r="I3403" t="s">
        <v>289</v>
      </c>
      <c r="J3403" t="s">
        <v>344</v>
      </c>
      <c r="K3403">
        <v>6</v>
      </c>
      <c r="L3403" s="6">
        <v>1.8</v>
      </c>
      <c r="M3403" s="7">
        <v>19</v>
      </c>
      <c r="N3403" s="7">
        <v>140</v>
      </c>
      <c r="O3403" s="7">
        <f t="shared" si="263"/>
        <v>70.866141732283467</v>
      </c>
      <c r="P3403" s="7">
        <f t="shared" si="264"/>
        <v>0.74803149606299213</v>
      </c>
      <c r="Q3403" s="7">
        <f t="shared" si="264"/>
        <v>5.5118110236220472</v>
      </c>
      <c r="R3403" s="6">
        <f t="shared" si="265"/>
        <v>1233.3979999999999</v>
      </c>
      <c r="S3403" s="6">
        <f t="shared" si="266"/>
        <v>4.7880000000000006E-3</v>
      </c>
      <c r="T3403" t="str">
        <f t="shared" si="267"/>
        <v>Maximo Thermo Scandinavian Pine Fluted 1x6 Short</v>
      </c>
    </row>
    <row r="3404" spans="1:20" x14ac:dyDescent="0.25">
      <c r="A3404" t="s">
        <v>4154</v>
      </c>
      <c r="B3404" t="s">
        <v>4155</v>
      </c>
      <c r="C3404" t="s">
        <v>524</v>
      </c>
      <c r="D3404" t="s">
        <v>3044</v>
      </c>
      <c r="E3404" t="s">
        <v>4170</v>
      </c>
      <c r="F3404" t="s">
        <v>4157</v>
      </c>
      <c r="G3404" t="s">
        <v>4158</v>
      </c>
      <c r="H3404" t="s">
        <v>3407</v>
      </c>
      <c r="I3404" t="s">
        <v>289</v>
      </c>
      <c r="J3404" t="s">
        <v>344</v>
      </c>
      <c r="K3404">
        <v>7</v>
      </c>
      <c r="L3404" s="6">
        <v>2.1</v>
      </c>
      <c r="M3404" s="7">
        <v>19</v>
      </c>
      <c r="N3404" s="7">
        <v>140</v>
      </c>
      <c r="O3404" s="7">
        <f t="shared" si="263"/>
        <v>82.677165354330711</v>
      </c>
      <c r="P3404" s="7">
        <f t="shared" si="264"/>
        <v>0.74803149606299213</v>
      </c>
      <c r="Q3404" s="7">
        <f t="shared" si="264"/>
        <v>5.5118110236220472</v>
      </c>
      <c r="R3404" s="6">
        <f t="shared" si="265"/>
        <v>1233.3979999999999</v>
      </c>
      <c r="S3404" s="6">
        <f t="shared" si="266"/>
        <v>5.5859999999999998E-3</v>
      </c>
      <c r="T3404" t="str">
        <f t="shared" si="267"/>
        <v>Maximo Thermo Scandinavian Pine Fluted 1x6 Short</v>
      </c>
    </row>
    <row r="3405" spans="1:20" x14ac:dyDescent="0.25">
      <c r="A3405" t="s">
        <v>4154</v>
      </c>
      <c r="B3405" t="s">
        <v>4155</v>
      </c>
      <c r="C3405" t="s">
        <v>283</v>
      </c>
      <c r="D3405" t="s">
        <v>3044</v>
      </c>
      <c r="E3405" t="s">
        <v>4171</v>
      </c>
      <c r="F3405" t="s">
        <v>4157</v>
      </c>
      <c r="G3405" t="s">
        <v>4158</v>
      </c>
      <c r="H3405" t="s">
        <v>3407</v>
      </c>
      <c r="I3405" t="s">
        <v>289</v>
      </c>
      <c r="J3405" t="s">
        <v>344</v>
      </c>
      <c r="K3405">
        <v>8</v>
      </c>
      <c r="L3405" s="6">
        <v>2.4</v>
      </c>
      <c r="M3405" s="7">
        <v>19</v>
      </c>
      <c r="N3405" s="7">
        <v>140</v>
      </c>
      <c r="O3405" s="7">
        <f t="shared" si="263"/>
        <v>94.488188976377955</v>
      </c>
      <c r="P3405" s="7">
        <f t="shared" si="264"/>
        <v>0.74803149606299213</v>
      </c>
      <c r="Q3405" s="7">
        <f t="shared" si="264"/>
        <v>5.5118110236220472</v>
      </c>
      <c r="R3405" s="6">
        <f t="shared" si="265"/>
        <v>1233.3979999999999</v>
      </c>
      <c r="S3405" s="6">
        <f t="shared" si="266"/>
        <v>6.3839999999999999E-3</v>
      </c>
      <c r="T3405" t="str">
        <f t="shared" si="267"/>
        <v>Maximo Thermo Scandinavian Pine Fluted 1x6 Long</v>
      </c>
    </row>
    <row r="3406" spans="1:20" x14ac:dyDescent="0.25">
      <c r="A3406" t="s">
        <v>4154</v>
      </c>
      <c r="B3406" t="s">
        <v>4155</v>
      </c>
      <c r="C3406" t="s">
        <v>283</v>
      </c>
      <c r="D3406" t="s">
        <v>3044</v>
      </c>
      <c r="E3406" t="s">
        <v>4172</v>
      </c>
      <c r="F3406" t="s">
        <v>4157</v>
      </c>
      <c r="G3406" t="s">
        <v>4158</v>
      </c>
      <c r="H3406" t="s">
        <v>3407</v>
      </c>
      <c r="I3406" t="s">
        <v>289</v>
      </c>
      <c r="J3406" t="s">
        <v>344</v>
      </c>
      <c r="K3406">
        <v>9</v>
      </c>
      <c r="L3406" s="6">
        <v>2.7</v>
      </c>
      <c r="M3406" s="7">
        <v>19</v>
      </c>
      <c r="N3406" s="7">
        <v>140</v>
      </c>
      <c r="O3406" s="7">
        <f t="shared" si="263"/>
        <v>106.29921259842521</v>
      </c>
      <c r="P3406" s="7">
        <f t="shared" si="264"/>
        <v>0.74803149606299213</v>
      </c>
      <c r="Q3406" s="7">
        <f t="shared" si="264"/>
        <v>5.5118110236220472</v>
      </c>
      <c r="R3406" s="6">
        <f t="shared" si="265"/>
        <v>1233.3979999999999</v>
      </c>
      <c r="S3406" s="6">
        <f t="shared" si="266"/>
        <v>7.182E-3</v>
      </c>
      <c r="T3406" t="str">
        <f t="shared" si="267"/>
        <v>Maximo Thermo Scandinavian Pine Fluted 1x6 Long</v>
      </c>
    </row>
    <row r="3407" spans="1:20" x14ac:dyDescent="0.25">
      <c r="A3407" t="s">
        <v>4154</v>
      </c>
      <c r="B3407" t="s">
        <v>4173</v>
      </c>
      <c r="C3407" t="s">
        <v>283</v>
      </c>
      <c r="D3407" t="s">
        <v>3044</v>
      </c>
      <c r="E3407" t="s">
        <v>4174</v>
      </c>
      <c r="F3407" t="s">
        <v>4175</v>
      </c>
      <c r="G3407" t="s">
        <v>4158</v>
      </c>
      <c r="H3407" t="s">
        <v>373</v>
      </c>
      <c r="I3407" t="s">
        <v>289</v>
      </c>
      <c r="J3407" t="s">
        <v>796</v>
      </c>
      <c r="K3407">
        <v>10</v>
      </c>
      <c r="L3407" s="6">
        <v>3</v>
      </c>
      <c r="M3407" s="7">
        <v>40</v>
      </c>
      <c r="N3407" s="7">
        <v>92</v>
      </c>
      <c r="O3407" s="7">
        <f t="shared" si="263"/>
        <v>118.11023622047244</v>
      </c>
      <c r="P3407" s="7">
        <f t="shared" si="264"/>
        <v>1.5748031496062993</v>
      </c>
      <c r="Q3407" s="7">
        <f t="shared" si="264"/>
        <v>3.6220472440944884</v>
      </c>
      <c r="R3407" s="6">
        <f t="shared" si="265"/>
        <v>891.53300000000002</v>
      </c>
      <c r="S3407" s="6">
        <f t="shared" si="266"/>
        <v>1.1039999999999999E-2</v>
      </c>
      <c r="T3407" t="str">
        <f t="shared" si="267"/>
        <v>Maximo Thermo Scandinavian Pine S4S E4E 2x4 Long</v>
      </c>
    </row>
    <row r="3408" spans="1:20" x14ac:dyDescent="0.25">
      <c r="A3408" t="s">
        <v>4154</v>
      </c>
      <c r="B3408" t="s">
        <v>4173</v>
      </c>
      <c r="C3408" t="s">
        <v>283</v>
      </c>
      <c r="D3408" t="s">
        <v>3044</v>
      </c>
      <c r="E3408" t="s">
        <v>4176</v>
      </c>
      <c r="F3408" t="s">
        <v>4175</v>
      </c>
      <c r="G3408" t="s">
        <v>4158</v>
      </c>
      <c r="H3408" t="s">
        <v>373</v>
      </c>
      <c r="I3408" t="s">
        <v>289</v>
      </c>
      <c r="J3408" t="s">
        <v>796</v>
      </c>
      <c r="K3408">
        <v>11</v>
      </c>
      <c r="L3408" s="6">
        <v>3.3</v>
      </c>
      <c r="M3408" s="7">
        <v>40</v>
      </c>
      <c r="N3408" s="7">
        <v>92</v>
      </c>
      <c r="O3408" s="7">
        <f t="shared" si="263"/>
        <v>129.92125984251967</v>
      </c>
      <c r="P3408" s="7">
        <f t="shared" si="264"/>
        <v>1.5748031496062993</v>
      </c>
      <c r="Q3408" s="7">
        <f t="shared" si="264"/>
        <v>3.6220472440944884</v>
      </c>
      <c r="R3408" s="6">
        <f t="shared" si="265"/>
        <v>891.53300000000002</v>
      </c>
      <c r="S3408" s="6">
        <f t="shared" si="266"/>
        <v>1.2144E-2</v>
      </c>
      <c r="T3408" t="str">
        <f t="shared" si="267"/>
        <v>Maximo Thermo Scandinavian Pine S4S E4E 2x4 Long</v>
      </c>
    </row>
    <row r="3409" spans="1:20" x14ac:dyDescent="0.25">
      <c r="A3409" t="s">
        <v>4154</v>
      </c>
      <c r="B3409" t="s">
        <v>4173</v>
      </c>
      <c r="C3409" t="s">
        <v>283</v>
      </c>
      <c r="D3409" t="s">
        <v>3044</v>
      </c>
      <c r="E3409" t="s">
        <v>4177</v>
      </c>
      <c r="F3409" t="s">
        <v>4175</v>
      </c>
      <c r="G3409" t="s">
        <v>4158</v>
      </c>
      <c r="H3409" t="s">
        <v>373</v>
      </c>
      <c r="I3409" t="s">
        <v>289</v>
      </c>
      <c r="J3409" t="s">
        <v>796</v>
      </c>
      <c r="K3409">
        <v>12</v>
      </c>
      <c r="L3409" s="6">
        <v>3.6</v>
      </c>
      <c r="M3409" s="7">
        <v>40</v>
      </c>
      <c r="N3409" s="7">
        <v>92</v>
      </c>
      <c r="O3409" s="7">
        <f t="shared" si="263"/>
        <v>141.73228346456693</v>
      </c>
      <c r="P3409" s="7">
        <f t="shared" si="264"/>
        <v>1.5748031496062993</v>
      </c>
      <c r="Q3409" s="7">
        <f t="shared" si="264"/>
        <v>3.6220472440944884</v>
      </c>
      <c r="R3409" s="6">
        <f t="shared" si="265"/>
        <v>891.53300000000002</v>
      </c>
      <c r="S3409" s="6">
        <f t="shared" si="266"/>
        <v>1.3247999999999999E-2</v>
      </c>
      <c r="T3409" t="str">
        <f t="shared" si="267"/>
        <v>Maximo Thermo Scandinavian Pine S4S E4E 2x4 Long</v>
      </c>
    </row>
    <row r="3410" spans="1:20" x14ac:dyDescent="0.25">
      <c r="A3410" t="s">
        <v>4154</v>
      </c>
      <c r="B3410" t="s">
        <v>4173</v>
      </c>
      <c r="C3410" t="s">
        <v>283</v>
      </c>
      <c r="D3410" t="s">
        <v>3044</v>
      </c>
      <c r="E3410" t="s">
        <v>4178</v>
      </c>
      <c r="F3410" t="s">
        <v>4175</v>
      </c>
      <c r="G3410" t="s">
        <v>4158</v>
      </c>
      <c r="H3410" t="s">
        <v>373</v>
      </c>
      <c r="I3410" t="s">
        <v>289</v>
      </c>
      <c r="J3410" t="s">
        <v>796</v>
      </c>
      <c r="K3410">
        <v>13</v>
      </c>
      <c r="L3410" s="6">
        <v>3.9</v>
      </c>
      <c r="M3410" s="7">
        <v>40</v>
      </c>
      <c r="N3410" s="7">
        <v>92</v>
      </c>
      <c r="O3410" s="7">
        <f t="shared" si="263"/>
        <v>153.54330708661416</v>
      </c>
      <c r="P3410" s="7">
        <f t="shared" si="264"/>
        <v>1.5748031496062993</v>
      </c>
      <c r="Q3410" s="7">
        <f t="shared" si="264"/>
        <v>3.6220472440944884</v>
      </c>
      <c r="R3410" s="6">
        <f t="shared" si="265"/>
        <v>891.53300000000002</v>
      </c>
      <c r="S3410" s="6">
        <f t="shared" si="266"/>
        <v>1.4352E-2</v>
      </c>
      <c r="T3410" t="str">
        <f t="shared" si="267"/>
        <v>Maximo Thermo Scandinavian Pine S4S E4E 2x4 Long</v>
      </c>
    </row>
    <row r="3411" spans="1:20" x14ac:dyDescent="0.25">
      <c r="A3411" t="s">
        <v>4154</v>
      </c>
      <c r="B3411" t="s">
        <v>4173</v>
      </c>
      <c r="C3411" t="s">
        <v>283</v>
      </c>
      <c r="D3411" t="s">
        <v>3044</v>
      </c>
      <c r="E3411" t="s">
        <v>4179</v>
      </c>
      <c r="F3411" t="s">
        <v>4175</v>
      </c>
      <c r="G3411" t="s">
        <v>4158</v>
      </c>
      <c r="H3411" t="s">
        <v>373</v>
      </c>
      <c r="I3411" t="s">
        <v>289</v>
      </c>
      <c r="J3411" t="s">
        <v>796</v>
      </c>
      <c r="K3411">
        <v>14</v>
      </c>
      <c r="L3411" s="6">
        <v>4.2</v>
      </c>
      <c r="M3411" s="7">
        <v>40</v>
      </c>
      <c r="N3411" s="7">
        <v>92</v>
      </c>
      <c r="O3411" s="7">
        <f t="shared" si="263"/>
        <v>165.35433070866142</v>
      </c>
      <c r="P3411" s="7">
        <f t="shared" si="264"/>
        <v>1.5748031496062993</v>
      </c>
      <c r="Q3411" s="7">
        <f t="shared" si="264"/>
        <v>3.6220472440944884</v>
      </c>
      <c r="R3411" s="6">
        <f t="shared" si="265"/>
        <v>891.53300000000002</v>
      </c>
      <c r="S3411" s="6">
        <f t="shared" si="266"/>
        <v>1.5456000000000001E-2</v>
      </c>
      <c r="T3411" t="str">
        <f t="shared" si="267"/>
        <v>Maximo Thermo Scandinavian Pine S4S E4E 2x4 Long</v>
      </c>
    </row>
    <row r="3412" spans="1:20" x14ac:dyDescent="0.25">
      <c r="A3412" t="s">
        <v>4154</v>
      </c>
      <c r="B3412" t="s">
        <v>4173</v>
      </c>
      <c r="C3412" t="s">
        <v>283</v>
      </c>
      <c r="D3412" t="s">
        <v>3044</v>
      </c>
      <c r="E3412" t="s">
        <v>4180</v>
      </c>
      <c r="F3412" t="s">
        <v>4175</v>
      </c>
      <c r="G3412" t="s">
        <v>4158</v>
      </c>
      <c r="H3412" t="s">
        <v>373</v>
      </c>
      <c r="I3412" t="s">
        <v>289</v>
      </c>
      <c r="J3412" t="s">
        <v>796</v>
      </c>
      <c r="K3412">
        <v>15</v>
      </c>
      <c r="L3412" s="6">
        <v>4.5</v>
      </c>
      <c r="M3412" s="7">
        <v>40</v>
      </c>
      <c r="N3412" s="7">
        <v>92</v>
      </c>
      <c r="O3412" s="7">
        <f t="shared" si="263"/>
        <v>177.16535433070868</v>
      </c>
      <c r="P3412" s="7">
        <f t="shared" si="264"/>
        <v>1.5748031496062993</v>
      </c>
      <c r="Q3412" s="7">
        <f t="shared" si="264"/>
        <v>3.6220472440944884</v>
      </c>
      <c r="R3412" s="6">
        <f t="shared" si="265"/>
        <v>891.53300000000002</v>
      </c>
      <c r="S3412" s="6">
        <f t="shared" si="266"/>
        <v>1.6559999999999998E-2</v>
      </c>
      <c r="T3412" t="str">
        <f t="shared" si="267"/>
        <v>Maximo Thermo Scandinavian Pine S4S E4E 2x4 Long</v>
      </c>
    </row>
    <row r="3413" spans="1:20" x14ac:dyDescent="0.25">
      <c r="A3413" t="s">
        <v>4154</v>
      </c>
      <c r="B3413" t="s">
        <v>4173</v>
      </c>
      <c r="C3413" t="s">
        <v>283</v>
      </c>
      <c r="D3413" t="s">
        <v>3044</v>
      </c>
      <c r="E3413" t="s">
        <v>4181</v>
      </c>
      <c r="F3413" t="s">
        <v>4175</v>
      </c>
      <c r="G3413" t="s">
        <v>4158</v>
      </c>
      <c r="H3413" t="s">
        <v>373</v>
      </c>
      <c r="I3413" t="s">
        <v>289</v>
      </c>
      <c r="J3413" t="s">
        <v>796</v>
      </c>
      <c r="K3413">
        <v>16</v>
      </c>
      <c r="L3413" s="6">
        <v>4.8</v>
      </c>
      <c r="M3413" s="7">
        <v>40</v>
      </c>
      <c r="N3413" s="7">
        <v>92</v>
      </c>
      <c r="O3413" s="7">
        <f t="shared" si="263"/>
        <v>188.97637795275591</v>
      </c>
      <c r="P3413" s="7">
        <f t="shared" si="264"/>
        <v>1.5748031496062993</v>
      </c>
      <c r="Q3413" s="7">
        <f t="shared" si="264"/>
        <v>3.6220472440944884</v>
      </c>
      <c r="R3413" s="6">
        <f t="shared" si="265"/>
        <v>891.53300000000002</v>
      </c>
      <c r="S3413" s="6">
        <f t="shared" si="266"/>
        <v>1.7664000000000003E-2</v>
      </c>
      <c r="T3413" t="str">
        <f t="shared" si="267"/>
        <v>Maximo Thermo Scandinavian Pine S4S E4E 2x4 Long</v>
      </c>
    </row>
    <row r="3414" spans="1:20" x14ac:dyDescent="0.25">
      <c r="A3414" t="s">
        <v>4154</v>
      </c>
      <c r="B3414" t="s">
        <v>4173</v>
      </c>
      <c r="C3414" t="s">
        <v>283</v>
      </c>
      <c r="D3414" t="s">
        <v>3044</v>
      </c>
      <c r="E3414" t="s">
        <v>4182</v>
      </c>
      <c r="F3414" t="s">
        <v>4175</v>
      </c>
      <c r="G3414" t="s">
        <v>4158</v>
      </c>
      <c r="H3414" t="s">
        <v>373</v>
      </c>
      <c r="I3414" t="s">
        <v>289</v>
      </c>
      <c r="J3414" t="s">
        <v>796</v>
      </c>
      <c r="K3414">
        <v>17</v>
      </c>
      <c r="L3414" s="6">
        <v>5.0999999999999996</v>
      </c>
      <c r="M3414" s="7">
        <v>40</v>
      </c>
      <c r="N3414" s="7">
        <v>92</v>
      </c>
      <c r="O3414" s="7">
        <f t="shared" si="263"/>
        <v>200.78740157480314</v>
      </c>
      <c r="P3414" s="7">
        <f t="shared" si="264"/>
        <v>1.5748031496062993</v>
      </c>
      <c r="Q3414" s="7">
        <f t="shared" si="264"/>
        <v>3.6220472440944884</v>
      </c>
      <c r="R3414" s="6">
        <f t="shared" si="265"/>
        <v>891.53300000000002</v>
      </c>
      <c r="S3414" s="6">
        <f t="shared" si="266"/>
        <v>1.8767999999999996E-2</v>
      </c>
      <c r="T3414" t="str">
        <f t="shared" si="267"/>
        <v>Maximo Thermo Scandinavian Pine S4S E4E 2x4 Long</v>
      </c>
    </row>
    <row r="3415" spans="1:20" x14ac:dyDescent="0.25">
      <c r="A3415" t="s">
        <v>4154</v>
      </c>
      <c r="B3415" t="s">
        <v>4173</v>
      </c>
      <c r="C3415" t="s">
        <v>283</v>
      </c>
      <c r="D3415" t="s">
        <v>3044</v>
      </c>
      <c r="E3415" t="s">
        <v>4183</v>
      </c>
      <c r="F3415" t="s">
        <v>4175</v>
      </c>
      <c r="G3415" t="s">
        <v>4158</v>
      </c>
      <c r="H3415" t="s">
        <v>373</v>
      </c>
      <c r="I3415" t="s">
        <v>289</v>
      </c>
      <c r="J3415" t="s">
        <v>796</v>
      </c>
      <c r="K3415">
        <v>18</v>
      </c>
      <c r="L3415" s="6">
        <v>5.4</v>
      </c>
      <c r="M3415" s="7">
        <v>40</v>
      </c>
      <c r="N3415" s="7">
        <v>92</v>
      </c>
      <c r="O3415" s="7">
        <f t="shared" si="263"/>
        <v>212.59842519685043</v>
      </c>
      <c r="P3415" s="7">
        <f t="shared" si="264"/>
        <v>1.5748031496062993</v>
      </c>
      <c r="Q3415" s="7">
        <f t="shared" si="264"/>
        <v>3.6220472440944884</v>
      </c>
      <c r="R3415" s="6">
        <f t="shared" si="265"/>
        <v>891.53300000000002</v>
      </c>
      <c r="S3415" s="6">
        <f t="shared" si="266"/>
        <v>1.9872000000000001E-2</v>
      </c>
      <c r="T3415" t="str">
        <f t="shared" si="267"/>
        <v>Maximo Thermo Scandinavian Pine S4S E4E 2x4 Long</v>
      </c>
    </row>
    <row r="3416" spans="1:20" x14ac:dyDescent="0.25">
      <c r="A3416" t="s">
        <v>4154</v>
      </c>
      <c r="B3416" t="s">
        <v>4173</v>
      </c>
      <c r="C3416" t="s">
        <v>283</v>
      </c>
      <c r="D3416" t="s">
        <v>3044</v>
      </c>
      <c r="E3416" t="s">
        <v>4184</v>
      </c>
      <c r="F3416" t="s">
        <v>4175</v>
      </c>
      <c r="G3416" t="s">
        <v>4158</v>
      </c>
      <c r="H3416" t="s">
        <v>373</v>
      </c>
      <c r="I3416" t="s">
        <v>289</v>
      </c>
      <c r="J3416" t="s">
        <v>796</v>
      </c>
      <c r="K3416">
        <v>19</v>
      </c>
      <c r="L3416" s="6">
        <v>5.7</v>
      </c>
      <c r="M3416" s="7">
        <v>40</v>
      </c>
      <c r="N3416" s="7">
        <v>92</v>
      </c>
      <c r="O3416" s="7">
        <f t="shared" si="263"/>
        <v>224.40944881889766</v>
      </c>
      <c r="P3416" s="7">
        <f t="shared" si="264"/>
        <v>1.5748031496062993</v>
      </c>
      <c r="Q3416" s="7">
        <f t="shared" si="264"/>
        <v>3.6220472440944884</v>
      </c>
      <c r="R3416" s="6">
        <f t="shared" si="265"/>
        <v>891.53300000000002</v>
      </c>
      <c r="S3416" s="6">
        <f t="shared" si="266"/>
        <v>2.0975999999999998E-2</v>
      </c>
      <c r="T3416" t="str">
        <f t="shared" si="267"/>
        <v>Maximo Thermo Scandinavian Pine S4S E4E 2x4 Long</v>
      </c>
    </row>
    <row r="3417" spans="1:20" x14ac:dyDescent="0.25">
      <c r="A3417" t="s">
        <v>4154</v>
      </c>
      <c r="B3417" t="s">
        <v>4173</v>
      </c>
      <c r="C3417" t="s">
        <v>524</v>
      </c>
      <c r="D3417" t="s">
        <v>3044</v>
      </c>
      <c r="E3417" t="s">
        <v>4185</v>
      </c>
      <c r="F3417" t="s">
        <v>4175</v>
      </c>
      <c r="G3417" t="s">
        <v>4158</v>
      </c>
      <c r="H3417" t="s">
        <v>373</v>
      </c>
      <c r="I3417" t="s">
        <v>289</v>
      </c>
      <c r="J3417" t="s">
        <v>796</v>
      </c>
      <c r="K3417">
        <v>4</v>
      </c>
      <c r="L3417" s="6">
        <v>1.2</v>
      </c>
      <c r="M3417" s="7">
        <v>40</v>
      </c>
      <c r="N3417" s="7">
        <v>92</v>
      </c>
      <c r="O3417" s="7">
        <f t="shared" si="263"/>
        <v>47.244094488188978</v>
      </c>
      <c r="P3417" s="7">
        <f t="shared" si="264"/>
        <v>1.5748031496062993</v>
      </c>
      <c r="Q3417" s="7">
        <f t="shared" si="264"/>
        <v>3.6220472440944884</v>
      </c>
      <c r="R3417" s="6">
        <f t="shared" si="265"/>
        <v>891.53300000000002</v>
      </c>
      <c r="S3417" s="6">
        <f t="shared" si="266"/>
        <v>4.4160000000000007E-3</v>
      </c>
      <c r="T3417" t="str">
        <f t="shared" si="267"/>
        <v>Maximo Thermo Scandinavian Pine S4S E4E 2x4 Short</v>
      </c>
    </row>
    <row r="3418" spans="1:20" x14ac:dyDescent="0.25">
      <c r="A3418" t="s">
        <v>4154</v>
      </c>
      <c r="B3418" t="s">
        <v>4173</v>
      </c>
      <c r="C3418" t="s">
        <v>524</v>
      </c>
      <c r="D3418" t="s">
        <v>3044</v>
      </c>
      <c r="E3418" t="s">
        <v>4186</v>
      </c>
      <c r="F3418" t="s">
        <v>4175</v>
      </c>
      <c r="G3418" t="s">
        <v>4158</v>
      </c>
      <c r="H3418" t="s">
        <v>373</v>
      </c>
      <c r="I3418" t="s">
        <v>289</v>
      </c>
      <c r="J3418" t="s">
        <v>796</v>
      </c>
      <c r="K3418">
        <v>5</v>
      </c>
      <c r="L3418" s="6">
        <v>1.5</v>
      </c>
      <c r="M3418" s="7">
        <v>40</v>
      </c>
      <c r="N3418" s="7">
        <v>92</v>
      </c>
      <c r="O3418" s="7">
        <f t="shared" si="263"/>
        <v>59.055118110236222</v>
      </c>
      <c r="P3418" s="7">
        <f t="shared" si="264"/>
        <v>1.5748031496062993</v>
      </c>
      <c r="Q3418" s="7">
        <f t="shared" si="264"/>
        <v>3.6220472440944884</v>
      </c>
      <c r="R3418" s="6">
        <f t="shared" si="265"/>
        <v>891.53300000000002</v>
      </c>
      <c r="S3418" s="6">
        <f t="shared" si="266"/>
        <v>5.5199999999999997E-3</v>
      </c>
      <c r="T3418" t="str">
        <f t="shared" si="267"/>
        <v>Maximo Thermo Scandinavian Pine S4S E4E 2x4 Short</v>
      </c>
    </row>
    <row r="3419" spans="1:20" x14ac:dyDescent="0.25">
      <c r="A3419" t="s">
        <v>4154</v>
      </c>
      <c r="B3419" t="s">
        <v>4173</v>
      </c>
      <c r="C3419" t="s">
        <v>524</v>
      </c>
      <c r="D3419" t="s">
        <v>3044</v>
      </c>
      <c r="E3419" t="s">
        <v>4187</v>
      </c>
      <c r="F3419" t="s">
        <v>4175</v>
      </c>
      <c r="G3419" t="s">
        <v>4158</v>
      </c>
      <c r="H3419" t="s">
        <v>373</v>
      </c>
      <c r="I3419" t="s">
        <v>289</v>
      </c>
      <c r="J3419" t="s">
        <v>796</v>
      </c>
      <c r="K3419">
        <v>6</v>
      </c>
      <c r="L3419" s="6">
        <v>1.8</v>
      </c>
      <c r="M3419" s="7">
        <v>40</v>
      </c>
      <c r="N3419" s="7">
        <v>92</v>
      </c>
      <c r="O3419" s="7">
        <f t="shared" si="263"/>
        <v>70.866141732283467</v>
      </c>
      <c r="P3419" s="7">
        <f t="shared" si="264"/>
        <v>1.5748031496062993</v>
      </c>
      <c r="Q3419" s="7">
        <f t="shared" si="264"/>
        <v>3.6220472440944884</v>
      </c>
      <c r="R3419" s="6">
        <f t="shared" si="265"/>
        <v>891.53300000000002</v>
      </c>
      <c r="S3419" s="6">
        <f t="shared" si="266"/>
        <v>6.6239999999999997E-3</v>
      </c>
      <c r="T3419" t="str">
        <f t="shared" si="267"/>
        <v>Maximo Thermo Scandinavian Pine S4S E4E 2x4 Short</v>
      </c>
    </row>
    <row r="3420" spans="1:20" x14ac:dyDescent="0.25">
      <c r="A3420" t="s">
        <v>4154</v>
      </c>
      <c r="B3420" t="s">
        <v>4173</v>
      </c>
      <c r="C3420" t="s">
        <v>524</v>
      </c>
      <c r="D3420" t="s">
        <v>3044</v>
      </c>
      <c r="E3420" t="s">
        <v>4188</v>
      </c>
      <c r="F3420" t="s">
        <v>4175</v>
      </c>
      <c r="G3420" t="s">
        <v>4158</v>
      </c>
      <c r="H3420" t="s">
        <v>373</v>
      </c>
      <c r="I3420" t="s">
        <v>289</v>
      </c>
      <c r="J3420" t="s">
        <v>796</v>
      </c>
      <c r="K3420">
        <v>7</v>
      </c>
      <c r="L3420" s="6">
        <v>2.1</v>
      </c>
      <c r="M3420" s="7">
        <v>40</v>
      </c>
      <c r="N3420" s="7">
        <v>92</v>
      </c>
      <c r="O3420" s="7">
        <f t="shared" si="263"/>
        <v>82.677165354330711</v>
      </c>
      <c r="P3420" s="7">
        <f t="shared" si="264"/>
        <v>1.5748031496062993</v>
      </c>
      <c r="Q3420" s="7">
        <f t="shared" si="264"/>
        <v>3.6220472440944884</v>
      </c>
      <c r="R3420" s="6">
        <f t="shared" si="265"/>
        <v>891.53300000000002</v>
      </c>
      <c r="S3420" s="6">
        <f t="shared" si="266"/>
        <v>7.7280000000000005E-3</v>
      </c>
      <c r="T3420" t="str">
        <f t="shared" si="267"/>
        <v>Maximo Thermo Scandinavian Pine S4S E4E 2x4 Short</v>
      </c>
    </row>
    <row r="3421" spans="1:20" x14ac:dyDescent="0.25">
      <c r="A3421" t="s">
        <v>4154</v>
      </c>
      <c r="B3421" t="s">
        <v>4173</v>
      </c>
      <c r="C3421" t="s">
        <v>283</v>
      </c>
      <c r="D3421" t="s">
        <v>3044</v>
      </c>
      <c r="E3421" t="s">
        <v>4189</v>
      </c>
      <c r="F3421" t="s">
        <v>4175</v>
      </c>
      <c r="G3421" t="s">
        <v>4158</v>
      </c>
      <c r="H3421" t="s">
        <v>373</v>
      </c>
      <c r="I3421" t="s">
        <v>289</v>
      </c>
      <c r="J3421" t="s">
        <v>796</v>
      </c>
      <c r="K3421">
        <v>8</v>
      </c>
      <c r="L3421" s="6">
        <v>2.4</v>
      </c>
      <c r="M3421" s="7">
        <v>40</v>
      </c>
      <c r="N3421" s="7">
        <v>92</v>
      </c>
      <c r="O3421" s="7">
        <f t="shared" si="263"/>
        <v>94.488188976377955</v>
      </c>
      <c r="P3421" s="7">
        <f t="shared" si="264"/>
        <v>1.5748031496062993</v>
      </c>
      <c r="Q3421" s="7">
        <f t="shared" si="264"/>
        <v>3.6220472440944884</v>
      </c>
      <c r="R3421" s="6">
        <f t="shared" si="265"/>
        <v>891.53300000000002</v>
      </c>
      <c r="S3421" s="6">
        <f t="shared" si="266"/>
        <v>8.8320000000000013E-3</v>
      </c>
      <c r="T3421" t="str">
        <f t="shared" si="267"/>
        <v>Maximo Thermo Scandinavian Pine S4S E4E 2x4 Long</v>
      </c>
    </row>
    <row r="3422" spans="1:20" x14ac:dyDescent="0.25">
      <c r="A3422" t="s">
        <v>4154</v>
      </c>
      <c r="B3422" t="s">
        <v>4173</v>
      </c>
      <c r="C3422" t="s">
        <v>283</v>
      </c>
      <c r="D3422" t="s">
        <v>3044</v>
      </c>
      <c r="E3422" t="s">
        <v>4190</v>
      </c>
      <c r="F3422" t="s">
        <v>4175</v>
      </c>
      <c r="G3422" t="s">
        <v>4158</v>
      </c>
      <c r="H3422" t="s">
        <v>373</v>
      </c>
      <c r="I3422" t="s">
        <v>289</v>
      </c>
      <c r="J3422" t="s">
        <v>796</v>
      </c>
      <c r="K3422">
        <v>9</v>
      </c>
      <c r="L3422" s="6">
        <v>2.7</v>
      </c>
      <c r="M3422" s="7">
        <v>40</v>
      </c>
      <c r="N3422" s="7">
        <v>92</v>
      </c>
      <c r="O3422" s="7">
        <f t="shared" si="263"/>
        <v>106.29921259842521</v>
      </c>
      <c r="P3422" s="7">
        <f t="shared" si="264"/>
        <v>1.5748031496062993</v>
      </c>
      <c r="Q3422" s="7">
        <f t="shared" si="264"/>
        <v>3.6220472440944884</v>
      </c>
      <c r="R3422" s="6">
        <f t="shared" si="265"/>
        <v>891.53300000000002</v>
      </c>
      <c r="S3422" s="6">
        <f t="shared" si="266"/>
        <v>9.9360000000000004E-3</v>
      </c>
      <c r="T3422" t="str">
        <f t="shared" si="267"/>
        <v>Maximo Thermo Scandinavian Pine S4S E4E 2x4 Long</v>
      </c>
    </row>
    <row r="3423" spans="1:20" x14ac:dyDescent="0.25">
      <c r="A3423" t="s">
        <v>4154</v>
      </c>
      <c r="B3423" t="s">
        <v>4191</v>
      </c>
      <c r="C3423" t="s">
        <v>283</v>
      </c>
      <c r="D3423" t="s">
        <v>3044</v>
      </c>
      <c r="E3423" t="s">
        <v>4192</v>
      </c>
      <c r="F3423" t="s">
        <v>4193</v>
      </c>
      <c r="G3423" t="s">
        <v>4158</v>
      </c>
      <c r="H3423" t="s">
        <v>373</v>
      </c>
      <c r="I3423" t="s">
        <v>289</v>
      </c>
      <c r="J3423" t="s">
        <v>301</v>
      </c>
      <c r="K3423">
        <v>10</v>
      </c>
      <c r="L3423" s="6">
        <v>3</v>
      </c>
      <c r="M3423" s="7">
        <v>26</v>
      </c>
      <c r="N3423" s="7">
        <v>138</v>
      </c>
      <c r="O3423" s="7">
        <f t="shared" si="263"/>
        <v>118.11023622047244</v>
      </c>
      <c r="P3423" s="7">
        <f t="shared" si="264"/>
        <v>1.0236220472440944</v>
      </c>
      <c r="Q3423" s="7">
        <f t="shared" si="264"/>
        <v>5.4330708661417324</v>
      </c>
      <c r="R3423" s="6">
        <f t="shared" si="265"/>
        <v>914.39200000000005</v>
      </c>
      <c r="S3423" s="6">
        <f t="shared" si="266"/>
        <v>1.0763999999999999E-2</v>
      </c>
      <c r="T3423" t="str">
        <f t="shared" si="267"/>
        <v>Maximo Thermo Scandinavian Pine S4S E4E 5/4x6 Long</v>
      </c>
    </row>
    <row r="3424" spans="1:20" x14ac:dyDescent="0.25">
      <c r="A3424" t="s">
        <v>4154</v>
      </c>
      <c r="B3424" t="s">
        <v>4191</v>
      </c>
      <c r="C3424" t="s">
        <v>283</v>
      </c>
      <c r="D3424" t="s">
        <v>3044</v>
      </c>
      <c r="E3424" t="s">
        <v>4194</v>
      </c>
      <c r="F3424" t="s">
        <v>4193</v>
      </c>
      <c r="G3424" t="s">
        <v>4158</v>
      </c>
      <c r="H3424" t="s">
        <v>373</v>
      </c>
      <c r="I3424" t="s">
        <v>289</v>
      </c>
      <c r="J3424" t="s">
        <v>301</v>
      </c>
      <c r="K3424">
        <v>11</v>
      </c>
      <c r="L3424" s="6">
        <v>3.3</v>
      </c>
      <c r="M3424" s="7">
        <v>26</v>
      </c>
      <c r="N3424" s="7">
        <v>138</v>
      </c>
      <c r="O3424" s="7">
        <f t="shared" si="263"/>
        <v>129.92125984251967</v>
      </c>
      <c r="P3424" s="7">
        <f t="shared" si="264"/>
        <v>1.0236220472440944</v>
      </c>
      <c r="Q3424" s="7">
        <f t="shared" si="264"/>
        <v>5.4330708661417324</v>
      </c>
      <c r="R3424" s="6">
        <f t="shared" si="265"/>
        <v>914.39200000000005</v>
      </c>
      <c r="S3424" s="6">
        <f t="shared" si="266"/>
        <v>1.1840400000000001E-2</v>
      </c>
      <c r="T3424" t="str">
        <f t="shared" si="267"/>
        <v>Maximo Thermo Scandinavian Pine S4S E4E 5/4x6 Long</v>
      </c>
    </row>
    <row r="3425" spans="1:20" x14ac:dyDescent="0.25">
      <c r="A3425" t="s">
        <v>4154</v>
      </c>
      <c r="B3425" t="s">
        <v>4191</v>
      </c>
      <c r="C3425" t="s">
        <v>283</v>
      </c>
      <c r="D3425" t="s">
        <v>3044</v>
      </c>
      <c r="E3425" t="s">
        <v>4195</v>
      </c>
      <c r="F3425" t="s">
        <v>4193</v>
      </c>
      <c r="G3425" t="s">
        <v>4158</v>
      </c>
      <c r="H3425" t="s">
        <v>373</v>
      </c>
      <c r="I3425" t="s">
        <v>289</v>
      </c>
      <c r="J3425" t="s">
        <v>301</v>
      </c>
      <c r="K3425">
        <v>12</v>
      </c>
      <c r="L3425" s="6">
        <v>3.6</v>
      </c>
      <c r="M3425" s="7">
        <v>26</v>
      </c>
      <c r="N3425" s="7">
        <v>138</v>
      </c>
      <c r="O3425" s="7">
        <f t="shared" si="263"/>
        <v>141.73228346456693</v>
      </c>
      <c r="P3425" s="7">
        <f t="shared" si="264"/>
        <v>1.0236220472440944</v>
      </c>
      <c r="Q3425" s="7">
        <f t="shared" si="264"/>
        <v>5.4330708661417324</v>
      </c>
      <c r="R3425" s="6">
        <f t="shared" si="265"/>
        <v>914.39200000000005</v>
      </c>
      <c r="S3425" s="6">
        <f t="shared" si="266"/>
        <v>1.2916800000000001E-2</v>
      </c>
      <c r="T3425" t="str">
        <f t="shared" si="267"/>
        <v>Maximo Thermo Scandinavian Pine S4S E4E 5/4x6 Long</v>
      </c>
    </row>
    <row r="3426" spans="1:20" x14ac:dyDescent="0.25">
      <c r="A3426" t="s">
        <v>4154</v>
      </c>
      <c r="B3426" t="s">
        <v>4191</v>
      </c>
      <c r="C3426" t="s">
        <v>283</v>
      </c>
      <c r="D3426" t="s">
        <v>3044</v>
      </c>
      <c r="E3426" t="s">
        <v>4196</v>
      </c>
      <c r="F3426" t="s">
        <v>4193</v>
      </c>
      <c r="G3426" t="s">
        <v>4158</v>
      </c>
      <c r="H3426" t="s">
        <v>373</v>
      </c>
      <c r="I3426" t="s">
        <v>289</v>
      </c>
      <c r="J3426" t="s">
        <v>301</v>
      </c>
      <c r="K3426">
        <v>13</v>
      </c>
      <c r="L3426" s="6">
        <v>3.9</v>
      </c>
      <c r="M3426" s="7">
        <v>26</v>
      </c>
      <c r="N3426" s="7">
        <v>138</v>
      </c>
      <c r="O3426" s="7">
        <f t="shared" si="263"/>
        <v>153.54330708661416</v>
      </c>
      <c r="P3426" s="7">
        <f t="shared" si="264"/>
        <v>1.0236220472440944</v>
      </c>
      <c r="Q3426" s="7">
        <f t="shared" si="264"/>
        <v>5.4330708661417324</v>
      </c>
      <c r="R3426" s="6">
        <f t="shared" si="265"/>
        <v>914.39200000000005</v>
      </c>
      <c r="S3426" s="6">
        <f t="shared" si="266"/>
        <v>1.3993199999999997E-2</v>
      </c>
      <c r="T3426" t="str">
        <f t="shared" si="267"/>
        <v>Maximo Thermo Scandinavian Pine S4S E4E 5/4x6 Long</v>
      </c>
    </row>
    <row r="3427" spans="1:20" x14ac:dyDescent="0.25">
      <c r="A3427" t="s">
        <v>4154</v>
      </c>
      <c r="B3427" t="s">
        <v>4191</v>
      </c>
      <c r="C3427" t="s">
        <v>283</v>
      </c>
      <c r="D3427" t="s">
        <v>3044</v>
      </c>
      <c r="E3427" t="s">
        <v>4197</v>
      </c>
      <c r="F3427" t="s">
        <v>4193</v>
      </c>
      <c r="G3427" t="s">
        <v>4158</v>
      </c>
      <c r="H3427" t="s">
        <v>373</v>
      </c>
      <c r="I3427" t="s">
        <v>289</v>
      </c>
      <c r="J3427" t="s">
        <v>301</v>
      </c>
      <c r="K3427">
        <v>14</v>
      </c>
      <c r="L3427" s="6">
        <v>4.2</v>
      </c>
      <c r="M3427" s="7">
        <v>26</v>
      </c>
      <c r="N3427" s="7">
        <v>138</v>
      </c>
      <c r="O3427" s="7">
        <f t="shared" si="263"/>
        <v>165.35433070866142</v>
      </c>
      <c r="P3427" s="7">
        <f t="shared" si="264"/>
        <v>1.0236220472440944</v>
      </c>
      <c r="Q3427" s="7">
        <f t="shared" si="264"/>
        <v>5.4330708661417324</v>
      </c>
      <c r="R3427" s="6">
        <f t="shared" si="265"/>
        <v>914.39200000000005</v>
      </c>
      <c r="S3427" s="6">
        <f t="shared" si="266"/>
        <v>1.5069600000000001E-2</v>
      </c>
      <c r="T3427" t="str">
        <f t="shared" si="267"/>
        <v>Maximo Thermo Scandinavian Pine S4S E4E 5/4x6 Long</v>
      </c>
    </row>
    <row r="3428" spans="1:20" x14ac:dyDescent="0.25">
      <c r="A3428" t="s">
        <v>4154</v>
      </c>
      <c r="B3428" t="s">
        <v>4191</v>
      </c>
      <c r="C3428" t="s">
        <v>283</v>
      </c>
      <c r="D3428" t="s">
        <v>3044</v>
      </c>
      <c r="E3428" t="s">
        <v>4198</v>
      </c>
      <c r="F3428" t="s">
        <v>4193</v>
      </c>
      <c r="G3428" t="s">
        <v>4158</v>
      </c>
      <c r="H3428" t="s">
        <v>373</v>
      </c>
      <c r="I3428" t="s">
        <v>289</v>
      </c>
      <c r="J3428" t="s">
        <v>301</v>
      </c>
      <c r="K3428">
        <v>15</v>
      </c>
      <c r="L3428" s="6">
        <v>4.5</v>
      </c>
      <c r="M3428" s="7">
        <v>26</v>
      </c>
      <c r="N3428" s="7">
        <v>138</v>
      </c>
      <c r="O3428" s="7">
        <f t="shared" si="263"/>
        <v>177.16535433070868</v>
      </c>
      <c r="P3428" s="7">
        <f t="shared" si="264"/>
        <v>1.0236220472440944</v>
      </c>
      <c r="Q3428" s="7">
        <f t="shared" si="264"/>
        <v>5.4330708661417324</v>
      </c>
      <c r="R3428" s="6">
        <f t="shared" si="265"/>
        <v>914.39200000000005</v>
      </c>
      <c r="S3428" s="6">
        <f t="shared" si="266"/>
        <v>1.6146000000000001E-2</v>
      </c>
      <c r="T3428" t="str">
        <f t="shared" si="267"/>
        <v>Maximo Thermo Scandinavian Pine S4S E4E 5/4x6 Long</v>
      </c>
    </row>
    <row r="3429" spans="1:20" x14ac:dyDescent="0.25">
      <c r="A3429" t="s">
        <v>4154</v>
      </c>
      <c r="B3429" t="s">
        <v>4191</v>
      </c>
      <c r="C3429" t="s">
        <v>283</v>
      </c>
      <c r="D3429" t="s">
        <v>3044</v>
      </c>
      <c r="E3429" t="s">
        <v>4199</v>
      </c>
      <c r="F3429" t="s">
        <v>4193</v>
      </c>
      <c r="G3429" t="s">
        <v>4158</v>
      </c>
      <c r="H3429" t="s">
        <v>373</v>
      </c>
      <c r="I3429" t="s">
        <v>289</v>
      </c>
      <c r="J3429" t="s">
        <v>301</v>
      </c>
      <c r="K3429">
        <v>16</v>
      </c>
      <c r="L3429" s="6">
        <v>4.8</v>
      </c>
      <c r="M3429" s="7">
        <v>26</v>
      </c>
      <c r="N3429" s="7">
        <v>138</v>
      </c>
      <c r="O3429" s="7">
        <f t="shared" si="263"/>
        <v>188.97637795275591</v>
      </c>
      <c r="P3429" s="7">
        <f t="shared" si="264"/>
        <v>1.0236220472440944</v>
      </c>
      <c r="Q3429" s="7">
        <f t="shared" si="264"/>
        <v>5.4330708661417324</v>
      </c>
      <c r="R3429" s="6">
        <f t="shared" si="265"/>
        <v>914.39200000000005</v>
      </c>
      <c r="S3429" s="6">
        <f t="shared" si="266"/>
        <v>1.7222399999999999E-2</v>
      </c>
      <c r="T3429" t="str">
        <f t="shared" si="267"/>
        <v>Maximo Thermo Scandinavian Pine S4S E4E 5/4x6 Long</v>
      </c>
    </row>
    <row r="3430" spans="1:20" x14ac:dyDescent="0.25">
      <c r="A3430" t="s">
        <v>4154</v>
      </c>
      <c r="B3430" t="s">
        <v>4191</v>
      </c>
      <c r="C3430" t="s">
        <v>283</v>
      </c>
      <c r="D3430" t="s">
        <v>3044</v>
      </c>
      <c r="E3430" t="s">
        <v>4200</v>
      </c>
      <c r="F3430" t="s">
        <v>4193</v>
      </c>
      <c r="G3430" t="s">
        <v>4158</v>
      </c>
      <c r="H3430" t="s">
        <v>373</v>
      </c>
      <c r="I3430" t="s">
        <v>289</v>
      </c>
      <c r="J3430" t="s">
        <v>301</v>
      </c>
      <c r="K3430">
        <v>17</v>
      </c>
      <c r="L3430" s="6">
        <v>5.0999999999999996</v>
      </c>
      <c r="M3430" s="7">
        <v>26</v>
      </c>
      <c r="N3430" s="7">
        <v>138</v>
      </c>
      <c r="O3430" s="7">
        <f t="shared" si="263"/>
        <v>200.78740157480314</v>
      </c>
      <c r="P3430" s="7">
        <f t="shared" si="264"/>
        <v>1.0236220472440944</v>
      </c>
      <c r="Q3430" s="7">
        <f t="shared" si="264"/>
        <v>5.4330708661417324</v>
      </c>
      <c r="R3430" s="6">
        <f t="shared" si="265"/>
        <v>914.39200000000005</v>
      </c>
      <c r="S3430" s="6">
        <f t="shared" si="266"/>
        <v>1.82988E-2</v>
      </c>
      <c r="T3430" t="str">
        <f t="shared" si="267"/>
        <v>Maximo Thermo Scandinavian Pine S4S E4E 5/4x6 Long</v>
      </c>
    </row>
    <row r="3431" spans="1:20" x14ac:dyDescent="0.25">
      <c r="A3431" t="s">
        <v>4154</v>
      </c>
      <c r="B3431" t="s">
        <v>4191</v>
      </c>
      <c r="C3431" t="s">
        <v>283</v>
      </c>
      <c r="D3431" t="s">
        <v>3044</v>
      </c>
      <c r="E3431" t="s">
        <v>4201</v>
      </c>
      <c r="F3431" t="s">
        <v>4193</v>
      </c>
      <c r="G3431" t="s">
        <v>4158</v>
      </c>
      <c r="H3431" t="s">
        <v>373</v>
      </c>
      <c r="I3431" t="s">
        <v>289</v>
      </c>
      <c r="J3431" t="s">
        <v>301</v>
      </c>
      <c r="K3431">
        <v>18</v>
      </c>
      <c r="L3431" s="6">
        <v>5.4</v>
      </c>
      <c r="M3431" s="7">
        <v>26</v>
      </c>
      <c r="N3431" s="7">
        <v>138</v>
      </c>
      <c r="O3431" s="7">
        <f t="shared" si="263"/>
        <v>212.59842519685043</v>
      </c>
      <c r="P3431" s="7">
        <f t="shared" si="264"/>
        <v>1.0236220472440944</v>
      </c>
      <c r="Q3431" s="7">
        <f t="shared" si="264"/>
        <v>5.4330708661417324</v>
      </c>
      <c r="R3431" s="6">
        <f t="shared" si="265"/>
        <v>914.39200000000005</v>
      </c>
      <c r="S3431" s="6">
        <f t="shared" si="266"/>
        <v>1.9375199999999999E-2</v>
      </c>
      <c r="T3431" t="str">
        <f t="shared" si="267"/>
        <v>Maximo Thermo Scandinavian Pine S4S E4E 5/4x6 Long</v>
      </c>
    </row>
    <row r="3432" spans="1:20" x14ac:dyDescent="0.25">
      <c r="A3432" t="s">
        <v>4154</v>
      </c>
      <c r="B3432" t="s">
        <v>4191</v>
      </c>
      <c r="C3432" t="s">
        <v>524</v>
      </c>
      <c r="D3432" t="s">
        <v>3044</v>
      </c>
      <c r="E3432" t="s">
        <v>4202</v>
      </c>
      <c r="F3432" t="s">
        <v>4193</v>
      </c>
      <c r="G3432" t="s">
        <v>4158</v>
      </c>
      <c r="H3432" t="s">
        <v>373</v>
      </c>
      <c r="I3432" t="s">
        <v>289</v>
      </c>
      <c r="J3432" t="s">
        <v>301</v>
      </c>
      <c r="K3432">
        <v>4</v>
      </c>
      <c r="L3432" s="6">
        <v>1.2</v>
      </c>
      <c r="M3432" s="7">
        <v>26</v>
      </c>
      <c r="N3432" s="7">
        <v>138</v>
      </c>
      <c r="O3432" s="7">
        <f t="shared" si="263"/>
        <v>47.244094488188978</v>
      </c>
      <c r="P3432" s="7">
        <f t="shared" si="264"/>
        <v>1.0236220472440944</v>
      </c>
      <c r="Q3432" s="7">
        <f t="shared" si="264"/>
        <v>5.4330708661417324</v>
      </c>
      <c r="R3432" s="6">
        <f t="shared" si="265"/>
        <v>914.39200000000005</v>
      </c>
      <c r="S3432" s="6">
        <f t="shared" si="266"/>
        <v>4.3055999999999997E-3</v>
      </c>
      <c r="T3432" t="str">
        <f t="shared" si="267"/>
        <v>Maximo Thermo Scandinavian Pine S4S E4E 5/4x6 Short</v>
      </c>
    </row>
    <row r="3433" spans="1:20" x14ac:dyDescent="0.25">
      <c r="A3433" t="s">
        <v>4154</v>
      </c>
      <c r="B3433" t="s">
        <v>4191</v>
      </c>
      <c r="C3433" t="s">
        <v>524</v>
      </c>
      <c r="D3433" t="s">
        <v>3044</v>
      </c>
      <c r="E3433" t="s">
        <v>4203</v>
      </c>
      <c r="F3433" t="s">
        <v>4193</v>
      </c>
      <c r="G3433" t="s">
        <v>4158</v>
      </c>
      <c r="H3433" t="s">
        <v>373</v>
      </c>
      <c r="I3433" t="s">
        <v>289</v>
      </c>
      <c r="J3433" t="s">
        <v>301</v>
      </c>
      <c r="K3433">
        <v>5</v>
      </c>
      <c r="L3433" s="6">
        <v>1.5</v>
      </c>
      <c r="M3433" s="7">
        <v>26</v>
      </c>
      <c r="N3433" s="7">
        <v>138</v>
      </c>
      <c r="O3433" s="7">
        <f t="shared" si="263"/>
        <v>59.055118110236222</v>
      </c>
      <c r="P3433" s="7">
        <f t="shared" si="264"/>
        <v>1.0236220472440944</v>
      </c>
      <c r="Q3433" s="7">
        <f t="shared" si="264"/>
        <v>5.4330708661417324</v>
      </c>
      <c r="R3433" s="6">
        <f t="shared" si="265"/>
        <v>914.39200000000005</v>
      </c>
      <c r="S3433" s="6">
        <f t="shared" si="266"/>
        <v>5.3819999999999996E-3</v>
      </c>
      <c r="T3433" t="str">
        <f t="shared" si="267"/>
        <v>Maximo Thermo Scandinavian Pine S4S E4E 5/4x6 Short</v>
      </c>
    </row>
    <row r="3434" spans="1:20" x14ac:dyDescent="0.25">
      <c r="A3434" t="s">
        <v>4154</v>
      </c>
      <c r="B3434" t="s">
        <v>4191</v>
      </c>
      <c r="C3434" t="s">
        <v>524</v>
      </c>
      <c r="D3434" t="s">
        <v>3044</v>
      </c>
      <c r="E3434" t="s">
        <v>4204</v>
      </c>
      <c r="F3434" t="s">
        <v>4193</v>
      </c>
      <c r="G3434" t="s">
        <v>4158</v>
      </c>
      <c r="H3434" t="s">
        <v>373</v>
      </c>
      <c r="I3434" t="s">
        <v>289</v>
      </c>
      <c r="J3434" t="s">
        <v>301</v>
      </c>
      <c r="K3434">
        <v>6</v>
      </c>
      <c r="L3434" s="6">
        <v>1.8</v>
      </c>
      <c r="M3434" s="7">
        <v>26</v>
      </c>
      <c r="N3434" s="7">
        <v>138</v>
      </c>
      <c r="O3434" s="7">
        <f t="shared" si="263"/>
        <v>70.866141732283467</v>
      </c>
      <c r="P3434" s="7">
        <f t="shared" si="264"/>
        <v>1.0236220472440944</v>
      </c>
      <c r="Q3434" s="7">
        <f t="shared" si="264"/>
        <v>5.4330708661417324</v>
      </c>
      <c r="R3434" s="6">
        <f t="shared" si="265"/>
        <v>914.39200000000005</v>
      </c>
      <c r="S3434" s="6">
        <f t="shared" si="266"/>
        <v>6.4584000000000004E-3</v>
      </c>
      <c r="T3434" t="str">
        <f t="shared" si="267"/>
        <v>Maximo Thermo Scandinavian Pine S4S E4E 5/4x6 Short</v>
      </c>
    </row>
    <row r="3435" spans="1:20" x14ac:dyDescent="0.25">
      <c r="A3435" t="s">
        <v>4154</v>
      </c>
      <c r="B3435" t="s">
        <v>4191</v>
      </c>
      <c r="C3435" t="s">
        <v>524</v>
      </c>
      <c r="D3435" t="s">
        <v>3044</v>
      </c>
      <c r="E3435" t="s">
        <v>4205</v>
      </c>
      <c r="F3435" t="s">
        <v>4193</v>
      </c>
      <c r="G3435" t="s">
        <v>4158</v>
      </c>
      <c r="H3435" t="s">
        <v>373</v>
      </c>
      <c r="I3435" t="s">
        <v>289</v>
      </c>
      <c r="J3435" t="s">
        <v>301</v>
      </c>
      <c r="K3435">
        <v>7</v>
      </c>
      <c r="L3435" s="6">
        <v>2.1</v>
      </c>
      <c r="M3435" s="7">
        <v>26</v>
      </c>
      <c r="N3435" s="7">
        <v>138</v>
      </c>
      <c r="O3435" s="7">
        <f t="shared" si="263"/>
        <v>82.677165354330711</v>
      </c>
      <c r="P3435" s="7">
        <f t="shared" si="264"/>
        <v>1.0236220472440944</v>
      </c>
      <c r="Q3435" s="7">
        <f t="shared" si="264"/>
        <v>5.4330708661417324</v>
      </c>
      <c r="R3435" s="6">
        <f t="shared" si="265"/>
        <v>914.39200000000005</v>
      </c>
      <c r="S3435" s="6">
        <f t="shared" si="266"/>
        <v>7.5348000000000004E-3</v>
      </c>
      <c r="T3435" t="str">
        <f t="shared" si="267"/>
        <v>Maximo Thermo Scandinavian Pine S4S E4E 5/4x6 Short</v>
      </c>
    </row>
    <row r="3436" spans="1:20" x14ac:dyDescent="0.25">
      <c r="A3436" t="s">
        <v>4154</v>
      </c>
      <c r="B3436" t="s">
        <v>4191</v>
      </c>
      <c r="C3436" t="s">
        <v>283</v>
      </c>
      <c r="D3436" t="s">
        <v>3044</v>
      </c>
      <c r="E3436" t="s">
        <v>4206</v>
      </c>
      <c r="F3436" t="s">
        <v>4193</v>
      </c>
      <c r="G3436" t="s">
        <v>4158</v>
      </c>
      <c r="H3436" t="s">
        <v>373</v>
      </c>
      <c r="I3436" t="s">
        <v>289</v>
      </c>
      <c r="J3436" t="s">
        <v>301</v>
      </c>
      <c r="K3436">
        <v>8</v>
      </c>
      <c r="L3436" s="6">
        <v>2.4</v>
      </c>
      <c r="M3436" s="7">
        <v>26</v>
      </c>
      <c r="N3436" s="7">
        <v>138</v>
      </c>
      <c r="O3436" s="7">
        <f t="shared" si="263"/>
        <v>94.488188976377955</v>
      </c>
      <c r="P3436" s="7">
        <f t="shared" si="264"/>
        <v>1.0236220472440944</v>
      </c>
      <c r="Q3436" s="7">
        <f t="shared" si="264"/>
        <v>5.4330708661417324</v>
      </c>
      <c r="R3436" s="6">
        <f t="shared" si="265"/>
        <v>914.39200000000005</v>
      </c>
      <c r="S3436" s="6">
        <f t="shared" si="266"/>
        <v>8.6111999999999994E-3</v>
      </c>
      <c r="T3436" t="str">
        <f t="shared" si="267"/>
        <v>Maximo Thermo Scandinavian Pine S4S E4E 5/4x6 Long</v>
      </c>
    </row>
    <row r="3437" spans="1:20" x14ac:dyDescent="0.25">
      <c r="A3437" t="s">
        <v>4154</v>
      </c>
      <c r="B3437" t="s">
        <v>4191</v>
      </c>
      <c r="C3437" t="s">
        <v>283</v>
      </c>
      <c r="D3437" t="s">
        <v>3044</v>
      </c>
      <c r="E3437" t="s">
        <v>4207</v>
      </c>
      <c r="F3437" t="s">
        <v>4193</v>
      </c>
      <c r="G3437" t="s">
        <v>4158</v>
      </c>
      <c r="H3437" t="s">
        <v>373</v>
      </c>
      <c r="I3437" t="s">
        <v>289</v>
      </c>
      <c r="J3437" t="s">
        <v>301</v>
      </c>
      <c r="K3437">
        <v>9</v>
      </c>
      <c r="L3437" s="6">
        <v>2.7</v>
      </c>
      <c r="M3437" s="7">
        <v>26</v>
      </c>
      <c r="N3437" s="7">
        <v>138</v>
      </c>
      <c r="O3437" s="7">
        <f t="shared" si="263"/>
        <v>106.29921259842521</v>
      </c>
      <c r="P3437" s="7">
        <f t="shared" si="264"/>
        <v>1.0236220472440944</v>
      </c>
      <c r="Q3437" s="7">
        <f t="shared" si="264"/>
        <v>5.4330708661417324</v>
      </c>
      <c r="R3437" s="6">
        <f t="shared" si="265"/>
        <v>914.39200000000005</v>
      </c>
      <c r="S3437" s="6">
        <f t="shared" si="266"/>
        <v>9.6875999999999993E-3</v>
      </c>
      <c r="T3437" t="str">
        <f t="shared" si="267"/>
        <v>Maximo Thermo Scandinavian Pine S4S E4E 5/4x6 Long</v>
      </c>
    </row>
    <row r="3438" spans="1:20" x14ac:dyDescent="0.25">
      <c r="A3438" t="s">
        <v>4154</v>
      </c>
      <c r="B3438" t="s">
        <v>4155</v>
      </c>
      <c r="C3438" t="s">
        <v>283</v>
      </c>
      <c r="D3438" t="s">
        <v>3044</v>
      </c>
      <c r="E3438" t="s">
        <v>141</v>
      </c>
      <c r="F3438" t="s">
        <v>4208</v>
      </c>
      <c r="G3438" t="s">
        <v>4158</v>
      </c>
      <c r="H3438" t="s">
        <v>3638</v>
      </c>
      <c r="I3438" t="s">
        <v>289</v>
      </c>
      <c r="J3438" t="s">
        <v>344</v>
      </c>
      <c r="K3438">
        <v>10</v>
      </c>
      <c r="L3438" s="6">
        <v>3</v>
      </c>
      <c r="M3438" s="7">
        <v>19</v>
      </c>
      <c r="N3438" s="7">
        <v>140</v>
      </c>
      <c r="O3438" s="7">
        <f t="shared" si="263"/>
        <v>118.11023622047244</v>
      </c>
      <c r="P3438" s="7">
        <f t="shared" si="264"/>
        <v>0.74803149606299213</v>
      </c>
      <c r="Q3438" s="7">
        <f t="shared" si="264"/>
        <v>5.5118110236220472</v>
      </c>
      <c r="R3438" s="6">
        <f t="shared" si="265"/>
        <v>1233.3979999999999</v>
      </c>
      <c r="S3438" s="6">
        <f t="shared" si="266"/>
        <v>7.980000000000001E-3</v>
      </c>
      <c r="T3438" t="str">
        <f t="shared" si="267"/>
        <v>Maximo Thermo Scandinavian Pine VJoint - Nickel Gap 1x6 Long</v>
      </c>
    </row>
    <row r="3439" spans="1:20" x14ac:dyDescent="0.25">
      <c r="A3439" t="s">
        <v>4154</v>
      </c>
      <c r="B3439" t="s">
        <v>4155</v>
      </c>
      <c r="C3439" t="s">
        <v>283</v>
      </c>
      <c r="D3439" t="s">
        <v>3044</v>
      </c>
      <c r="E3439" t="s">
        <v>142</v>
      </c>
      <c r="F3439" t="s">
        <v>4208</v>
      </c>
      <c r="G3439" t="s">
        <v>4158</v>
      </c>
      <c r="H3439" t="s">
        <v>3638</v>
      </c>
      <c r="I3439" t="s">
        <v>289</v>
      </c>
      <c r="J3439" t="s">
        <v>344</v>
      </c>
      <c r="K3439">
        <v>11</v>
      </c>
      <c r="L3439" s="6">
        <v>3.3</v>
      </c>
      <c r="M3439" s="7">
        <v>19</v>
      </c>
      <c r="N3439" s="7">
        <v>140</v>
      </c>
      <c r="O3439" s="7">
        <f t="shared" si="263"/>
        <v>129.92125984251967</v>
      </c>
      <c r="P3439" s="7">
        <f t="shared" si="264"/>
        <v>0.74803149606299213</v>
      </c>
      <c r="Q3439" s="7">
        <f t="shared" si="264"/>
        <v>5.5118110236220472</v>
      </c>
      <c r="R3439" s="6">
        <f t="shared" si="265"/>
        <v>1233.3979999999999</v>
      </c>
      <c r="S3439" s="6">
        <f t="shared" si="266"/>
        <v>8.7779999999999993E-3</v>
      </c>
      <c r="T3439" t="str">
        <f t="shared" si="267"/>
        <v>Maximo Thermo Scandinavian Pine VJoint - Nickel Gap 1x6 Long</v>
      </c>
    </row>
    <row r="3440" spans="1:20" x14ac:dyDescent="0.25">
      <c r="A3440" t="s">
        <v>4154</v>
      </c>
      <c r="B3440" t="s">
        <v>4155</v>
      </c>
      <c r="C3440" t="s">
        <v>283</v>
      </c>
      <c r="D3440" t="s">
        <v>3044</v>
      </c>
      <c r="E3440" t="s">
        <v>143</v>
      </c>
      <c r="F3440" t="s">
        <v>4208</v>
      </c>
      <c r="G3440" t="s">
        <v>4158</v>
      </c>
      <c r="H3440" t="s">
        <v>3638</v>
      </c>
      <c r="I3440" t="s">
        <v>289</v>
      </c>
      <c r="J3440" t="s">
        <v>344</v>
      </c>
      <c r="K3440">
        <v>12</v>
      </c>
      <c r="L3440" s="6">
        <v>3.6</v>
      </c>
      <c r="M3440" s="7">
        <v>19</v>
      </c>
      <c r="N3440" s="7">
        <v>140</v>
      </c>
      <c r="O3440" s="7">
        <f t="shared" ref="O3440:O3497" si="268">L3440/0.0254</f>
        <v>141.73228346456693</v>
      </c>
      <c r="P3440" s="7">
        <f t="shared" ref="P3440:Q3497" si="269">M3440/25.4</f>
        <v>0.74803149606299213</v>
      </c>
      <c r="Q3440" s="7">
        <f t="shared" si="269"/>
        <v>5.5118110236220472</v>
      </c>
      <c r="R3440" s="6">
        <f t="shared" ref="R3440:R3497" si="270">ROUND(IFERROR(1/((M3440*N3440*0.3048)/1000000),0),3)</f>
        <v>1233.3979999999999</v>
      </c>
      <c r="S3440" s="6">
        <f t="shared" ref="S3440:S3497" si="271">L3440*M3440/1000*N3440/1000</f>
        <v>9.5760000000000012E-3</v>
      </c>
      <c r="T3440" t="str">
        <f t="shared" si="267"/>
        <v>Maximo Thermo Scandinavian Pine VJoint - Nickel Gap 1x6 Long</v>
      </c>
    </row>
    <row r="3441" spans="1:20" x14ac:dyDescent="0.25">
      <c r="A3441" t="s">
        <v>4154</v>
      </c>
      <c r="B3441" t="s">
        <v>4155</v>
      </c>
      <c r="C3441" t="s">
        <v>283</v>
      </c>
      <c r="D3441" t="s">
        <v>3044</v>
      </c>
      <c r="E3441" t="s">
        <v>144</v>
      </c>
      <c r="F3441" t="s">
        <v>4208</v>
      </c>
      <c r="G3441" t="s">
        <v>4158</v>
      </c>
      <c r="H3441" t="s">
        <v>3638</v>
      </c>
      <c r="I3441" t="s">
        <v>289</v>
      </c>
      <c r="J3441" t="s">
        <v>344</v>
      </c>
      <c r="K3441">
        <v>13</v>
      </c>
      <c r="L3441" s="6">
        <v>3.9</v>
      </c>
      <c r="M3441" s="7">
        <v>19</v>
      </c>
      <c r="N3441" s="7">
        <v>140</v>
      </c>
      <c r="O3441" s="7">
        <f t="shared" si="268"/>
        <v>153.54330708661416</v>
      </c>
      <c r="P3441" s="7">
        <f t="shared" si="269"/>
        <v>0.74803149606299213</v>
      </c>
      <c r="Q3441" s="7">
        <f t="shared" si="269"/>
        <v>5.5118110236220472</v>
      </c>
      <c r="R3441" s="6">
        <f t="shared" si="270"/>
        <v>1233.3979999999999</v>
      </c>
      <c r="S3441" s="6">
        <f t="shared" si="271"/>
        <v>1.0374000000000001E-2</v>
      </c>
      <c r="T3441" t="str">
        <f t="shared" si="267"/>
        <v>Maximo Thermo Scandinavian Pine VJoint - Nickel Gap 1x6 Long</v>
      </c>
    </row>
    <row r="3442" spans="1:20" x14ac:dyDescent="0.25">
      <c r="A3442" t="s">
        <v>4154</v>
      </c>
      <c r="B3442" t="s">
        <v>4155</v>
      </c>
      <c r="C3442" t="s">
        <v>283</v>
      </c>
      <c r="D3442" t="s">
        <v>3044</v>
      </c>
      <c r="E3442" t="s">
        <v>145</v>
      </c>
      <c r="F3442" t="s">
        <v>4208</v>
      </c>
      <c r="G3442" t="s">
        <v>4158</v>
      </c>
      <c r="H3442" t="s">
        <v>3638</v>
      </c>
      <c r="I3442" t="s">
        <v>289</v>
      </c>
      <c r="J3442" t="s">
        <v>344</v>
      </c>
      <c r="K3442">
        <v>14</v>
      </c>
      <c r="L3442" s="6">
        <v>4.2</v>
      </c>
      <c r="M3442" s="7">
        <v>19</v>
      </c>
      <c r="N3442" s="7">
        <v>140</v>
      </c>
      <c r="O3442" s="7">
        <f t="shared" si="268"/>
        <v>165.35433070866142</v>
      </c>
      <c r="P3442" s="7">
        <f t="shared" si="269"/>
        <v>0.74803149606299213</v>
      </c>
      <c r="Q3442" s="7">
        <f t="shared" si="269"/>
        <v>5.5118110236220472</v>
      </c>
      <c r="R3442" s="6">
        <f t="shared" si="270"/>
        <v>1233.3979999999999</v>
      </c>
      <c r="S3442" s="6">
        <f t="shared" si="271"/>
        <v>1.1172E-2</v>
      </c>
      <c r="T3442" t="str">
        <f t="shared" si="267"/>
        <v>Maximo Thermo Scandinavian Pine VJoint - Nickel Gap 1x6 Long</v>
      </c>
    </row>
    <row r="3443" spans="1:20" x14ac:dyDescent="0.25">
      <c r="A3443" t="s">
        <v>4154</v>
      </c>
      <c r="B3443" t="s">
        <v>4155</v>
      </c>
      <c r="C3443" t="s">
        <v>283</v>
      </c>
      <c r="D3443" t="s">
        <v>3044</v>
      </c>
      <c r="E3443" t="s">
        <v>146</v>
      </c>
      <c r="F3443" t="s">
        <v>4208</v>
      </c>
      <c r="G3443" t="s">
        <v>4158</v>
      </c>
      <c r="H3443" t="s">
        <v>3638</v>
      </c>
      <c r="I3443" t="s">
        <v>289</v>
      </c>
      <c r="J3443" t="s">
        <v>344</v>
      </c>
      <c r="K3443">
        <v>15</v>
      </c>
      <c r="L3443" s="6">
        <v>4.5</v>
      </c>
      <c r="M3443" s="7">
        <v>19</v>
      </c>
      <c r="N3443" s="7">
        <v>140</v>
      </c>
      <c r="O3443" s="7">
        <f t="shared" si="268"/>
        <v>177.16535433070868</v>
      </c>
      <c r="P3443" s="7">
        <f t="shared" si="269"/>
        <v>0.74803149606299213</v>
      </c>
      <c r="Q3443" s="7">
        <f t="shared" si="269"/>
        <v>5.5118110236220472</v>
      </c>
      <c r="R3443" s="6">
        <f t="shared" si="270"/>
        <v>1233.3979999999999</v>
      </c>
      <c r="S3443" s="6">
        <f t="shared" si="271"/>
        <v>1.1970000000000001E-2</v>
      </c>
      <c r="T3443" t="str">
        <f t="shared" si="267"/>
        <v>Maximo Thermo Scandinavian Pine VJoint - Nickel Gap 1x6 Long</v>
      </c>
    </row>
    <row r="3444" spans="1:20" x14ac:dyDescent="0.25">
      <c r="A3444" t="s">
        <v>4154</v>
      </c>
      <c r="B3444" t="s">
        <v>4155</v>
      </c>
      <c r="C3444" t="s">
        <v>283</v>
      </c>
      <c r="D3444" t="s">
        <v>3044</v>
      </c>
      <c r="E3444" t="s">
        <v>4209</v>
      </c>
      <c r="F3444" t="s">
        <v>4208</v>
      </c>
      <c r="G3444" t="s">
        <v>4158</v>
      </c>
      <c r="H3444" t="s">
        <v>3638</v>
      </c>
      <c r="I3444" t="s">
        <v>289</v>
      </c>
      <c r="J3444" t="s">
        <v>344</v>
      </c>
      <c r="K3444">
        <v>16</v>
      </c>
      <c r="L3444" s="6">
        <v>4.8</v>
      </c>
      <c r="M3444" s="7">
        <v>19</v>
      </c>
      <c r="N3444" s="7">
        <v>140</v>
      </c>
      <c r="O3444" s="7">
        <f t="shared" si="268"/>
        <v>188.97637795275591</v>
      </c>
      <c r="P3444" s="7">
        <f t="shared" si="269"/>
        <v>0.74803149606299213</v>
      </c>
      <c r="Q3444" s="7">
        <f t="shared" si="269"/>
        <v>5.5118110236220472</v>
      </c>
      <c r="R3444" s="6">
        <f t="shared" si="270"/>
        <v>1233.3979999999999</v>
      </c>
      <c r="S3444" s="6">
        <f t="shared" si="271"/>
        <v>1.2768E-2</v>
      </c>
      <c r="T3444" t="str">
        <f t="shared" si="267"/>
        <v>Maximo Thermo Scandinavian Pine VJoint - Nickel Gap 1x6 Long</v>
      </c>
    </row>
    <row r="3445" spans="1:20" x14ac:dyDescent="0.25">
      <c r="A3445" t="s">
        <v>4154</v>
      </c>
      <c r="B3445" t="s">
        <v>4155</v>
      </c>
      <c r="C3445" t="s">
        <v>283</v>
      </c>
      <c r="D3445" t="s">
        <v>3044</v>
      </c>
      <c r="E3445" t="s">
        <v>154</v>
      </c>
      <c r="F3445" t="s">
        <v>4208</v>
      </c>
      <c r="G3445" t="s">
        <v>4158</v>
      </c>
      <c r="H3445" t="s">
        <v>3638</v>
      </c>
      <c r="I3445" t="s">
        <v>289</v>
      </c>
      <c r="J3445" t="s">
        <v>344</v>
      </c>
      <c r="K3445">
        <v>17</v>
      </c>
      <c r="L3445" s="6">
        <v>5.0999999999999996</v>
      </c>
      <c r="M3445" s="7">
        <v>19</v>
      </c>
      <c r="N3445" s="7">
        <v>140</v>
      </c>
      <c r="O3445" s="7">
        <f t="shared" si="268"/>
        <v>200.78740157480314</v>
      </c>
      <c r="P3445" s="7">
        <f t="shared" si="269"/>
        <v>0.74803149606299213</v>
      </c>
      <c r="Q3445" s="7">
        <f t="shared" si="269"/>
        <v>5.5118110236220472</v>
      </c>
      <c r="R3445" s="6">
        <f t="shared" si="270"/>
        <v>1233.3979999999999</v>
      </c>
      <c r="S3445" s="6">
        <f t="shared" si="271"/>
        <v>1.3565999999999998E-2</v>
      </c>
      <c r="T3445" t="str">
        <f t="shared" si="267"/>
        <v>Maximo Thermo Scandinavian Pine VJoint - Nickel Gap 1x6 Long</v>
      </c>
    </row>
    <row r="3446" spans="1:20" x14ac:dyDescent="0.25">
      <c r="A3446" t="s">
        <v>4154</v>
      </c>
      <c r="B3446" t="s">
        <v>4155</v>
      </c>
      <c r="C3446" t="s">
        <v>283</v>
      </c>
      <c r="D3446" t="s">
        <v>3044</v>
      </c>
      <c r="E3446" t="s">
        <v>4210</v>
      </c>
      <c r="F3446" t="s">
        <v>4208</v>
      </c>
      <c r="G3446" t="s">
        <v>4158</v>
      </c>
      <c r="H3446" t="s">
        <v>3638</v>
      </c>
      <c r="I3446" t="s">
        <v>289</v>
      </c>
      <c r="J3446" t="s">
        <v>344</v>
      </c>
      <c r="K3446">
        <v>18</v>
      </c>
      <c r="L3446" s="6">
        <v>5.4</v>
      </c>
      <c r="M3446" s="7">
        <v>19</v>
      </c>
      <c r="N3446" s="7">
        <v>140</v>
      </c>
      <c r="O3446" s="7">
        <f t="shared" si="268"/>
        <v>212.59842519685043</v>
      </c>
      <c r="P3446" s="7">
        <f t="shared" si="269"/>
        <v>0.74803149606299213</v>
      </c>
      <c r="Q3446" s="7">
        <f t="shared" si="269"/>
        <v>5.5118110236220472</v>
      </c>
      <c r="R3446" s="6">
        <f t="shared" si="270"/>
        <v>1233.3979999999999</v>
      </c>
      <c r="S3446" s="6">
        <f t="shared" si="271"/>
        <v>1.4364E-2</v>
      </c>
      <c r="T3446" t="str">
        <f t="shared" si="267"/>
        <v>Maximo Thermo Scandinavian Pine VJoint - Nickel Gap 1x6 Long</v>
      </c>
    </row>
    <row r="3447" spans="1:20" x14ac:dyDescent="0.25">
      <c r="A3447" t="s">
        <v>4154</v>
      </c>
      <c r="B3447" t="s">
        <v>4155</v>
      </c>
      <c r="C3447" t="s">
        <v>524</v>
      </c>
      <c r="D3447" t="s">
        <v>3044</v>
      </c>
      <c r="E3447" t="s">
        <v>4211</v>
      </c>
      <c r="F3447" t="s">
        <v>4208</v>
      </c>
      <c r="G3447" t="s">
        <v>4158</v>
      </c>
      <c r="H3447" t="s">
        <v>3638</v>
      </c>
      <c r="I3447" t="s">
        <v>289</v>
      </c>
      <c r="J3447" t="s">
        <v>344</v>
      </c>
      <c r="K3447">
        <v>4</v>
      </c>
      <c r="L3447" s="6">
        <v>1.2</v>
      </c>
      <c r="M3447" s="7">
        <v>19</v>
      </c>
      <c r="N3447" s="7">
        <v>140</v>
      </c>
      <c r="O3447" s="7">
        <f t="shared" si="268"/>
        <v>47.244094488188978</v>
      </c>
      <c r="P3447" s="7">
        <f t="shared" si="269"/>
        <v>0.74803149606299213</v>
      </c>
      <c r="Q3447" s="7">
        <f t="shared" si="269"/>
        <v>5.5118110236220472</v>
      </c>
      <c r="R3447" s="6">
        <f t="shared" si="270"/>
        <v>1233.3979999999999</v>
      </c>
      <c r="S3447" s="6">
        <f t="shared" si="271"/>
        <v>3.192E-3</v>
      </c>
      <c r="T3447" t="str">
        <f t="shared" si="267"/>
        <v>Maximo Thermo Scandinavian Pine VJoint - Nickel Gap 1x6 Short</v>
      </c>
    </row>
    <row r="3448" spans="1:20" x14ac:dyDescent="0.25">
      <c r="A3448" t="s">
        <v>4154</v>
      </c>
      <c r="B3448" t="s">
        <v>4155</v>
      </c>
      <c r="C3448" t="s">
        <v>524</v>
      </c>
      <c r="D3448" t="s">
        <v>3044</v>
      </c>
      <c r="E3448" t="s">
        <v>147</v>
      </c>
      <c r="F3448" t="s">
        <v>4208</v>
      </c>
      <c r="G3448" t="s">
        <v>4158</v>
      </c>
      <c r="H3448" t="s">
        <v>3638</v>
      </c>
      <c r="I3448" t="s">
        <v>289</v>
      </c>
      <c r="J3448" t="s">
        <v>344</v>
      </c>
      <c r="K3448">
        <v>5</v>
      </c>
      <c r="L3448" s="6">
        <v>1.5</v>
      </c>
      <c r="M3448" s="7">
        <v>19</v>
      </c>
      <c r="N3448" s="7">
        <v>140</v>
      </c>
      <c r="O3448" s="7">
        <f t="shared" si="268"/>
        <v>59.055118110236222</v>
      </c>
      <c r="P3448" s="7">
        <f t="shared" si="269"/>
        <v>0.74803149606299213</v>
      </c>
      <c r="Q3448" s="7">
        <f t="shared" si="269"/>
        <v>5.5118110236220472</v>
      </c>
      <c r="R3448" s="6">
        <f t="shared" si="270"/>
        <v>1233.3979999999999</v>
      </c>
      <c r="S3448" s="6">
        <f t="shared" si="271"/>
        <v>3.9900000000000005E-3</v>
      </c>
      <c r="T3448" t="str">
        <f t="shared" si="267"/>
        <v>Maximo Thermo Scandinavian Pine VJoint - Nickel Gap 1x6 Short</v>
      </c>
    </row>
    <row r="3449" spans="1:20" x14ac:dyDescent="0.25">
      <c r="A3449" t="s">
        <v>4154</v>
      </c>
      <c r="B3449" t="s">
        <v>4155</v>
      </c>
      <c r="C3449" t="s">
        <v>524</v>
      </c>
      <c r="D3449" t="s">
        <v>3044</v>
      </c>
      <c r="E3449" t="s">
        <v>4212</v>
      </c>
      <c r="F3449" t="s">
        <v>4208</v>
      </c>
      <c r="G3449" t="s">
        <v>4158</v>
      </c>
      <c r="H3449" t="s">
        <v>3638</v>
      </c>
      <c r="I3449" t="s">
        <v>289</v>
      </c>
      <c r="J3449" t="s">
        <v>344</v>
      </c>
      <c r="K3449">
        <v>6</v>
      </c>
      <c r="L3449" s="6">
        <v>1.8</v>
      </c>
      <c r="M3449" s="7">
        <v>19</v>
      </c>
      <c r="N3449" s="7">
        <v>140</v>
      </c>
      <c r="O3449" s="7">
        <f t="shared" si="268"/>
        <v>70.866141732283467</v>
      </c>
      <c r="P3449" s="7">
        <f t="shared" si="269"/>
        <v>0.74803149606299213</v>
      </c>
      <c r="Q3449" s="7">
        <f t="shared" si="269"/>
        <v>5.5118110236220472</v>
      </c>
      <c r="R3449" s="6">
        <f t="shared" si="270"/>
        <v>1233.3979999999999</v>
      </c>
      <c r="S3449" s="6">
        <f t="shared" si="271"/>
        <v>4.7880000000000006E-3</v>
      </c>
      <c r="T3449" t="str">
        <f t="shared" si="267"/>
        <v>Maximo Thermo Scandinavian Pine VJoint - Nickel Gap 1x6 Short</v>
      </c>
    </row>
    <row r="3450" spans="1:20" x14ac:dyDescent="0.25">
      <c r="A3450" t="s">
        <v>4154</v>
      </c>
      <c r="B3450" t="s">
        <v>4155</v>
      </c>
      <c r="C3450" t="s">
        <v>524</v>
      </c>
      <c r="D3450" t="s">
        <v>3044</v>
      </c>
      <c r="E3450" t="s">
        <v>211</v>
      </c>
      <c r="F3450" t="s">
        <v>4208</v>
      </c>
      <c r="G3450" t="s">
        <v>4158</v>
      </c>
      <c r="H3450" t="s">
        <v>3638</v>
      </c>
      <c r="I3450" t="s">
        <v>289</v>
      </c>
      <c r="J3450" t="s">
        <v>344</v>
      </c>
      <c r="K3450">
        <v>7</v>
      </c>
      <c r="L3450" s="6">
        <v>2.1</v>
      </c>
      <c r="M3450" s="7">
        <v>19</v>
      </c>
      <c r="N3450" s="7">
        <v>140</v>
      </c>
      <c r="O3450" s="7">
        <f t="shared" si="268"/>
        <v>82.677165354330711</v>
      </c>
      <c r="P3450" s="7">
        <f t="shared" si="269"/>
        <v>0.74803149606299213</v>
      </c>
      <c r="Q3450" s="7">
        <f t="shared" si="269"/>
        <v>5.5118110236220472</v>
      </c>
      <c r="R3450" s="6">
        <f t="shared" si="270"/>
        <v>1233.3979999999999</v>
      </c>
      <c r="S3450" s="6">
        <f t="shared" si="271"/>
        <v>5.5859999999999998E-3</v>
      </c>
      <c r="T3450" t="str">
        <f t="shared" si="267"/>
        <v>Maximo Thermo Scandinavian Pine VJoint - Nickel Gap 1x6 Short</v>
      </c>
    </row>
    <row r="3451" spans="1:20" x14ac:dyDescent="0.25">
      <c r="A3451" t="s">
        <v>4154</v>
      </c>
      <c r="B3451" t="s">
        <v>4155</v>
      </c>
      <c r="C3451" t="s">
        <v>283</v>
      </c>
      <c r="D3451" t="s">
        <v>3044</v>
      </c>
      <c r="E3451" t="s">
        <v>148</v>
      </c>
      <c r="F3451" t="s">
        <v>4208</v>
      </c>
      <c r="G3451" t="s">
        <v>4158</v>
      </c>
      <c r="H3451" t="s">
        <v>3638</v>
      </c>
      <c r="I3451" t="s">
        <v>289</v>
      </c>
      <c r="J3451" t="s">
        <v>344</v>
      </c>
      <c r="K3451">
        <v>8</v>
      </c>
      <c r="L3451" s="6">
        <v>2.4</v>
      </c>
      <c r="M3451" s="7">
        <v>19</v>
      </c>
      <c r="N3451" s="7">
        <v>140</v>
      </c>
      <c r="O3451" s="7">
        <f t="shared" si="268"/>
        <v>94.488188976377955</v>
      </c>
      <c r="P3451" s="7">
        <f t="shared" si="269"/>
        <v>0.74803149606299213</v>
      </c>
      <c r="Q3451" s="7">
        <f t="shared" si="269"/>
        <v>5.5118110236220472</v>
      </c>
      <c r="R3451" s="6">
        <f t="shared" si="270"/>
        <v>1233.3979999999999</v>
      </c>
      <c r="S3451" s="6">
        <f t="shared" si="271"/>
        <v>6.3839999999999999E-3</v>
      </c>
      <c r="T3451" t="str">
        <f t="shared" si="267"/>
        <v>Maximo Thermo Scandinavian Pine VJoint - Nickel Gap 1x6 Long</v>
      </c>
    </row>
    <row r="3452" spans="1:20" x14ac:dyDescent="0.25">
      <c r="A3452" t="s">
        <v>4154</v>
      </c>
      <c r="B3452" t="s">
        <v>4155</v>
      </c>
      <c r="C3452" t="s">
        <v>283</v>
      </c>
      <c r="D3452" t="s">
        <v>3044</v>
      </c>
      <c r="E3452" t="s">
        <v>149</v>
      </c>
      <c r="F3452" t="s">
        <v>4208</v>
      </c>
      <c r="G3452" t="s">
        <v>4158</v>
      </c>
      <c r="H3452" t="s">
        <v>3638</v>
      </c>
      <c r="I3452" t="s">
        <v>289</v>
      </c>
      <c r="J3452" t="s">
        <v>344</v>
      </c>
      <c r="K3452">
        <v>9</v>
      </c>
      <c r="L3452" s="6">
        <v>2.7</v>
      </c>
      <c r="M3452" s="7">
        <v>19</v>
      </c>
      <c r="N3452" s="7">
        <v>140</v>
      </c>
      <c r="O3452" s="7">
        <f t="shared" si="268"/>
        <v>106.29921259842521</v>
      </c>
      <c r="P3452" s="7">
        <f t="shared" si="269"/>
        <v>0.74803149606299213</v>
      </c>
      <c r="Q3452" s="7">
        <f t="shared" si="269"/>
        <v>5.5118110236220472</v>
      </c>
      <c r="R3452" s="6">
        <f t="shared" si="270"/>
        <v>1233.3979999999999</v>
      </c>
      <c r="S3452" s="6">
        <f t="shared" si="271"/>
        <v>7.182E-3</v>
      </c>
      <c r="T3452" t="str">
        <f t="shared" si="267"/>
        <v>Maximo Thermo Scandinavian Pine VJoint - Nickel Gap 1x6 Long</v>
      </c>
    </row>
    <row r="3453" spans="1:20" x14ac:dyDescent="0.25">
      <c r="A3453" t="s">
        <v>4154</v>
      </c>
      <c r="B3453" t="s">
        <v>4155</v>
      </c>
      <c r="C3453" t="s">
        <v>283</v>
      </c>
      <c r="D3453" t="s">
        <v>3044</v>
      </c>
      <c r="E3453" t="s">
        <v>71</v>
      </c>
      <c r="F3453" t="s">
        <v>4213</v>
      </c>
      <c r="G3453" t="s">
        <v>4158</v>
      </c>
      <c r="H3453" t="s">
        <v>3397</v>
      </c>
      <c r="I3453" t="s">
        <v>289</v>
      </c>
      <c r="J3453" t="s">
        <v>344</v>
      </c>
      <c r="K3453">
        <v>10</v>
      </c>
      <c r="L3453" s="6">
        <v>3</v>
      </c>
      <c r="M3453" s="7">
        <v>19</v>
      </c>
      <c r="N3453" s="7">
        <v>140</v>
      </c>
      <c r="O3453" s="7">
        <f t="shared" si="268"/>
        <v>118.11023622047244</v>
      </c>
      <c r="P3453" s="7">
        <f t="shared" si="269"/>
        <v>0.74803149606299213</v>
      </c>
      <c r="Q3453" s="7">
        <f t="shared" si="269"/>
        <v>5.5118110236220472</v>
      </c>
      <c r="R3453" s="6">
        <f t="shared" si="270"/>
        <v>1233.3979999999999</v>
      </c>
      <c r="S3453" s="6">
        <f t="shared" si="271"/>
        <v>7.980000000000001E-3</v>
      </c>
      <c r="T3453" t="str">
        <f t="shared" si="267"/>
        <v>Maximo Thermo Scandinavian Pine VJoint - Square Back 1x6 Long</v>
      </c>
    </row>
    <row r="3454" spans="1:20" x14ac:dyDescent="0.25">
      <c r="A3454" t="s">
        <v>4154</v>
      </c>
      <c r="B3454" t="s">
        <v>4155</v>
      </c>
      <c r="C3454" t="s">
        <v>283</v>
      </c>
      <c r="D3454" t="s">
        <v>3044</v>
      </c>
      <c r="E3454" t="s">
        <v>72</v>
      </c>
      <c r="F3454" t="s">
        <v>4213</v>
      </c>
      <c r="G3454" t="s">
        <v>4158</v>
      </c>
      <c r="H3454" t="s">
        <v>3397</v>
      </c>
      <c r="I3454" t="s">
        <v>289</v>
      </c>
      <c r="J3454" t="s">
        <v>344</v>
      </c>
      <c r="K3454">
        <v>11</v>
      </c>
      <c r="L3454" s="6">
        <v>3.3</v>
      </c>
      <c r="M3454" s="7">
        <v>19</v>
      </c>
      <c r="N3454" s="7">
        <v>140</v>
      </c>
      <c r="O3454" s="7">
        <f t="shared" si="268"/>
        <v>129.92125984251967</v>
      </c>
      <c r="P3454" s="7">
        <f t="shared" si="269"/>
        <v>0.74803149606299213</v>
      </c>
      <c r="Q3454" s="7">
        <f t="shared" si="269"/>
        <v>5.5118110236220472</v>
      </c>
      <c r="R3454" s="6">
        <f t="shared" si="270"/>
        <v>1233.3979999999999</v>
      </c>
      <c r="S3454" s="6">
        <f t="shared" si="271"/>
        <v>8.7779999999999993E-3</v>
      </c>
      <c r="T3454" t="str">
        <f t="shared" si="267"/>
        <v>Maximo Thermo Scandinavian Pine VJoint - Square Back 1x6 Long</v>
      </c>
    </row>
    <row r="3455" spans="1:20" x14ac:dyDescent="0.25">
      <c r="A3455" t="s">
        <v>4154</v>
      </c>
      <c r="B3455" t="s">
        <v>4155</v>
      </c>
      <c r="C3455" t="s">
        <v>283</v>
      </c>
      <c r="D3455" t="s">
        <v>3044</v>
      </c>
      <c r="E3455" t="s">
        <v>73</v>
      </c>
      <c r="F3455" t="s">
        <v>4213</v>
      </c>
      <c r="G3455" t="s">
        <v>4158</v>
      </c>
      <c r="H3455" t="s">
        <v>3397</v>
      </c>
      <c r="I3455" t="s">
        <v>289</v>
      </c>
      <c r="J3455" t="s">
        <v>344</v>
      </c>
      <c r="K3455">
        <v>12</v>
      </c>
      <c r="L3455" s="6">
        <v>3.6</v>
      </c>
      <c r="M3455" s="7">
        <v>19</v>
      </c>
      <c r="N3455" s="7">
        <v>140</v>
      </c>
      <c r="O3455" s="7">
        <f t="shared" si="268"/>
        <v>141.73228346456693</v>
      </c>
      <c r="P3455" s="7">
        <f t="shared" si="269"/>
        <v>0.74803149606299213</v>
      </c>
      <c r="Q3455" s="7">
        <f t="shared" si="269"/>
        <v>5.5118110236220472</v>
      </c>
      <c r="R3455" s="6">
        <f t="shared" si="270"/>
        <v>1233.3979999999999</v>
      </c>
      <c r="S3455" s="6">
        <f t="shared" si="271"/>
        <v>9.5760000000000012E-3</v>
      </c>
      <c r="T3455" t="str">
        <f t="shared" si="267"/>
        <v>Maximo Thermo Scandinavian Pine VJoint - Square Back 1x6 Long</v>
      </c>
    </row>
    <row r="3456" spans="1:20" x14ac:dyDescent="0.25">
      <c r="A3456" t="s">
        <v>4154</v>
      </c>
      <c r="B3456" t="s">
        <v>4155</v>
      </c>
      <c r="C3456" t="s">
        <v>283</v>
      </c>
      <c r="D3456" t="s">
        <v>3044</v>
      </c>
      <c r="E3456" t="s">
        <v>74</v>
      </c>
      <c r="F3456" t="s">
        <v>4213</v>
      </c>
      <c r="G3456" t="s">
        <v>4158</v>
      </c>
      <c r="H3456" t="s">
        <v>3397</v>
      </c>
      <c r="I3456" t="s">
        <v>289</v>
      </c>
      <c r="J3456" t="s">
        <v>344</v>
      </c>
      <c r="K3456">
        <v>13</v>
      </c>
      <c r="L3456" s="6">
        <v>3.9</v>
      </c>
      <c r="M3456" s="7">
        <v>19</v>
      </c>
      <c r="N3456" s="7">
        <v>140</v>
      </c>
      <c r="O3456" s="7">
        <f t="shared" si="268"/>
        <v>153.54330708661416</v>
      </c>
      <c r="P3456" s="7">
        <f t="shared" si="269"/>
        <v>0.74803149606299213</v>
      </c>
      <c r="Q3456" s="7">
        <f t="shared" si="269"/>
        <v>5.5118110236220472</v>
      </c>
      <c r="R3456" s="6">
        <f t="shared" si="270"/>
        <v>1233.3979999999999</v>
      </c>
      <c r="S3456" s="6">
        <f t="shared" si="271"/>
        <v>1.0374000000000001E-2</v>
      </c>
      <c r="T3456" t="str">
        <f t="shared" si="267"/>
        <v>Maximo Thermo Scandinavian Pine VJoint - Square Back 1x6 Long</v>
      </c>
    </row>
    <row r="3457" spans="1:20" x14ac:dyDescent="0.25">
      <c r="A3457" t="s">
        <v>4154</v>
      </c>
      <c r="B3457" t="s">
        <v>4155</v>
      </c>
      <c r="C3457" t="s">
        <v>283</v>
      </c>
      <c r="D3457" t="s">
        <v>3044</v>
      </c>
      <c r="E3457" t="s">
        <v>75</v>
      </c>
      <c r="F3457" t="s">
        <v>4213</v>
      </c>
      <c r="G3457" t="s">
        <v>4158</v>
      </c>
      <c r="H3457" t="s">
        <v>3397</v>
      </c>
      <c r="I3457" t="s">
        <v>289</v>
      </c>
      <c r="J3457" t="s">
        <v>344</v>
      </c>
      <c r="K3457">
        <v>14</v>
      </c>
      <c r="L3457" s="6">
        <v>4.2</v>
      </c>
      <c r="M3457" s="7">
        <v>19</v>
      </c>
      <c r="N3457" s="7">
        <v>140</v>
      </c>
      <c r="O3457" s="7">
        <f t="shared" si="268"/>
        <v>165.35433070866142</v>
      </c>
      <c r="P3457" s="7">
        <f t="shared" si="269"/>
        <v>0.74803149606299213</v>
      </c>
      <c r="Q3457" s="7">
        <f t="shared" si="269"/>
        <v>5.5118110236220472</v>
      </c>
      <c r="R3457" s="6">
        <f t="shared" si="270"/>
        <v>1233.3979999999999</v>
      </c>
      <c r="S3457" s="6">
        <f t="shared" si="271"/>
        <v>1.1172E-2</v>
      </c>
      <c r="T3457" t="str">
        <f t="shared" si="267"/>
        <v>Maximo Thermo Scandinavian Pine VJoint - Square Back 1x6 Long</v>
      </c>
    </row>
    <row r="3458" spans="1:20" x14ac:dyDescent="0.25">
      <c r="A3458" t="s">
        <v>4154</v>
      </c>
      <c r="B3458" t="s">
        <v>4155</v>
      </c>
      <c r="C3458" t="s">
        <v>283</v>
      </c>
      <c r="D3458" t="s">
        <v>3044</v>
      </c>
      <c r="E3458" t="s">
        <v>76</v>
      </c>
      <c r="F3458" t="s">
        <v>4213</v>
      </c>
      <c r="G3458" t="s">
        <v>4158</v>
      </c>
      <c r="H3458" t="s">
        <v>3397</v>
      </c>
      <c r="I3458" t="s">
        <v>289</v>
      </c>
      <c r="J3458" t="s">
        <v>344</v>
      </c>
      <c r="K3458">
        <v>15</v>
      </c>
      <c r="L3458" s="6">
        <v>4.5</v>
      </c>
      <c r="M3458" s="7">
        <v>19</v>
      </c>
      <c r="N3458" s="7">
        <v>140</v>
      </c>
      <c r="O3458" s="7">
        <f t="shared" si="268"/>
        <v>177.16535433070868</v>
      </c>
      <c r="P3458" s="7">
        <f t="shared" si="269"/>
        <v>0.74803149606299213</v>
      </c>
      <c r="Q3458" s="7">
        <f t="shared" si="269"/>
        <v>5.5118110236220472</v>
      </c>
      <c r="R3458" s="6">
        <f t="shared" si="270"/>
        <v>1233.3979999999999</v>
      </c>
      <c r="S3458" s="6">
        <f t="shared" si="271"/>
        <v>1.1970000000000001E-2</v>
      </c>
      <c r="T3458" t="str">
        <f t="shared" ref="T3458:T3521" si="272">F3458&amp;" "&amp;C3458</f>
        <v>Maximo Thermo Scandinavian Pine VJoint - Square Back 1x6 Long</v>
      </c>
    </row>
    <row r="3459" spans="1:20" x14ac:dyDescent="0.25">
      <c r="A3459" t="s">
        <v>4154</v>
      </c>
      <c r="B3459" t="s">
        <v>4155</v>
      </c>
      <c r="C3459" t="s">
        <v>283</v>
      </c>
      <c r="D3459" t="s">
        <v>3044</v>
      </c>
      <c r="E3459" t="s">
        <v>4214</v>
      </c>
      <c r="F3459" t="s">
        <v>4213</v>
      </c>
      <c r="G3459" t="s">
        <v>4158</v>
      </c>
      <c r="H3459" t="s">
        <v>3397</v>
      </c>
      <c r="I3459" t="s">
        <v>289</v>
      </c>
      <c r="J3459" t="s">
        <v>344</v>
      </c>
      <c r="K3459">
        <v>16</v>
      </c>
      <c r="L3459" s="6">
        <v>4.8</v>
      </c>
      <c r="M3459" s="7">
        <v>19</v>
      </c>
      <c r="N3459" s="7">
        <v>140</v>
      </c>
      <c r="O3459" s="7">
        <f t="shared" si="268"/>
        <v>188.97637795275591</v>
      </c>
      <c r="P3459" s="7">
        <f t="shared" si="269"/>
        <v>0.74803149606299213</v>
      </c>
      <c r="Q3459" s="7">
        <f t="shared" si="269"/>
        <v>5.5118110236220472</v>
      </c>
      <c r="R3459" s="6">
        <f t="shared" si="270"/>
        <v>1233.3979999999999</v>
      </c>
      <c r="S3459" s="6">
        <f t="shared" si="271"/>
        <v>1.2768E-2</v>
      </c>
      <c r="T3459" t="str">
        <f t="shared" si="272"/>
        <v>Maximo Thermo Scandinavian Pine VJoint - Square Back 1x6 Long</v>
      </c>
    </row>
    <row r="3460" spans="1:20" x14ac:dyDescent="0.25">
      <c r="A3460" t="s">
        <v>4154</v>
      </c>
      <c r="B3460" t="s">
        <v>4155</v>
      </c>
      <c r="C3460" t="s">
        <v>283</v>
      </c>
      <c r="D3460" t="s">
        <v>3044</v>
      </c>
      <c r="E3460" t="s">
        <v>77</v>
      </c>
      <c r="F3460" t="s">
        <v>4213</v>
      </c>
      <c r="G3460" t="s">
        <v>4158</v>
      </c>
      <c r="H3460" t="s">
        <v>3397</v>
      </c>
      <c r="I3460" t="s">
        <v>289</v>
      </c>
      <c r="J3460" t="s">
        <v>344</v>
      </c>
      <c r="K3460">
        <v>17</v>
      </c>
      <c r="L3460" s="6">
        <v>5.0999999999999996</v>
      </c>
      <c r="M3460" s="7">
        <v>19</v>
      </c>
      <c r="N3460" s="7">
        <v>140</v>
      </c>
      <c r="O3460" s="7">
        <f t="shared" si="268"/>
        <v>200.78740157480314</v>
      </c>
      <c r="P3460" s="7">
        <f t="shared" si="269"/>
        <v>0.74803149606299213</v>
      </c>
      <c r="Q3460" s="7">
        <f t="shared" si="269"/>
        <v>5.5118110236220472</v>
      </c>
      <c r="R3460" s="6">
        <f t="shared" si="270"/>
        <v>1233.3979999999999</v>
      </c>
      <c r="S3460" s="6">
        <f t="shared" si="271"/>
        <v>1.3565999999999998E-2</v>
      </c>
      <c r="T3460" t="str">
        <f t="shared" si="272"/>
        <v>Maximo Thermo Scandinavian Pine VJoint - Square Back 1x6 Long</v>
      </c>
    </row>
    <row r="3461" spans="1:20" x14ac:dyDescent="0.25">
      <c r="A3461" t="s">
        <v>4154</v>
      </c>
      <c r="B3461" t="s">
        <v>4155</v>
      </c>
      <c r="C3461" t="s">
        <v>283</v>
      </c>
      <c r="D3461" t="s">
        <v>3044</v>
      </c>
      <c r="E3461" t="s">
        <v>4215</v>
      </c>
      <c r="F3461" t="s">
        <v>4213</v>
      </c>
      <c r="G3461" t="s">
        <v>4158</v>
      </c>
      <c r="H3461" t="s">
        <v>3397</v>
      </c>
      <c r="I3461" t="s">
        <v>289</v>
      </c>
      <c r="J3461" t="s">
        <v>344</v>
      </c>
      <c r="K3461">
        <v>18</v>
      </c>
      <c r="L3461" s="6">
        <v>5.4</v>
      </c>
      <c r="M3461" s="7">
        <v>19</v>
      </c>
      <c r="N3461" s="7">
        <v>140</v>
      </c>
      <c r="O3461" s="7">
        <f t="shared" si="268"/>
        <v>212.59842519685043</v>
      </c>
      <c r="P3461" s="7">
        <f t="shared" si="269"/>
        <v>0.74803149606299213</v>
      </c>
      <c r="Q3461" s="7">
        <f t="shared" si="269"/>
        <v>5.5118110236220472</v>
      </c>
      <c r="R3461" s="6">
        <f t="shared" si="270"/>
        <v>1233.3979999999999</v>
      </c>
      <c r="S3461" s="6">
        <f t="shared" si="271"/>
        <v>1.4364E-2</v>
      </c>
      <c r="T3461" t="str">
        <f t="shared" si="272"/>
        <v>Maximo Thermo Scandinavian Pine VJoint - Square Back 1x6 Long</v>
      </c>
    </row>
    <row r="3462" spans="1:20" x14ac:dyDescent="0.25">
      <c r="A3462" t="s">
        <v>4154</v>
      </c>
      <c r="B3462" t="s">
        <v>4155</v>
      </c>
      <c r="C3462" t="s">
        <v>524</v>
      </c>
      <c r="D3462" t="s">
        <v>3044</v>
      </c>
      <c r="E3462" t="s">
        <v>4216</v>
      </c>
      <c r="F3462" t="s">
        <v>4213</v>
      </c>
      <c r="G3462" t="s">
        <v>4158</v>
      </c>
      <c r="H3462" t="s">
        <v>3397</v>
      </c>
      <c r="I3462" t="s">
        <v>289</v>
      </c>
      <c r="J3462" t="s">
        <v>344</v>
      </c>
      <c r="K3462">
        <v>4</v>
      </c>
      <c r="L3462" s="6">
        <v>1.2</v>
      </c>
      <c r="M3462" s="7">
        <v>19</v>
      </c>
      <c r="N3462" s="7">
        <v>140</v>
      </c>
      <c r="O3462" s="7">
        <f t="shared" si="268"/>
        <v>47.244094488188978</v>
      </c>
      <c r="P3462" s="7">
        <f t="shared" si="269"/>
        <v>0.74803149606299213</v>
      </c>
      <c r="Q3462" s="7">
        <f t="shared" si="269"/>
        <v>5.5118110236220472</v>
      </c>
      <c r="R3462" s="6">
        <f t="shared" si="270"/>
        <v>1233.3979999999999</v>
      </c>
      <c r="S3462" s="6">
        <f t="shared" si="271"/>
        <v>3.192E-3</v>
      </c>
      <c r="T3462" t="str">
        <f t="shared" si="272"/>
        <v>Maximo Thermo Scandinavian Pine VJoint - Square Back 1x6 Short</v>
      </c>
    </row>
    <row r="3463" spans="1:20" x14ac:dyDescent="0.25">
      <c r="A3463" t="s">
        <v>4154</v>
      </c>
      <c r="B3463" t="s">
        <v>4155</v>
      </c>
      <c r="C3463" t="s">
        <v>524</v>
      </c>
      <c r="D3463" t="s">
        <v>3044</v>
      </c>
      <c r="E3463" t="s">
        <v>150</v>
      </c>
      <c r="F3463" t="s">
        <v>4213</v>
      </c>
      <c r="G3463" t="s">
        <v>4158</v>
      </c>
      <c r="H3463" t="s">
        <v>3397</v>
      </c>
      <c r="I3463" t="s">
        <v>289</v>
      </c>
      <c r="J3463" t="s">
        <v>344</v>
      </c>
      <c r="K3463">
        <v>5</v>
      </c>
      <c r="L3463" s="6">
        <v>1.5</v>
      </c>
      <c r="M3463" s="7">
        <v>19</v>
      </c>
      <c r="N3463" s="7">
        <v>140</v>
      </c>
      <c r="O3463" s="7">
        <f t="shared" si="268"/>
        <v>59.055118110236222</v>
      </c>
      <c r="P3463" s="7">
        <f t="shared" si="269"/>
        <v>0.74803149606299213</v>
      </c>
      <c r="Q3463" s="7">
        <f t="shared" si="269"/>
        <v>5.5118110236220472</v>
      </c>
      <c r="R3463" s="6">
        <f t="shared" si="270"/>
        <v>1233.3979999999999</v>
      </c>
      <c r="S3463" s="6">
        <f t="shared" si="271"/>
        <v>3.9900000000000005E-3</v>
      </c>
      <c r="T3463" t="str">
        <f t="shared" si="272"/>
        <v>Maximo Thermo Scandinavian Pine VJoint - Square Back 1x6 Short</v>
      </c>
    </row>
    <row r="3464" spans="1:20" x14ac:dyDescent="0.25">
      <c r="A3464" t="s">
        <v>4154</v>
      </c>
      <c r="B3464" t="s">
        <v>4155</v>
      </c>
      <c r="C3464" t="s">
        <v>524</v>
      </c>
      <c r="D3464" t="s">
        <v>3044</v>
      </c>
      <c r="E3464" t="s">
        <v>151</v>
      </c>
      <c r="F3464" t="s">
        <v>4213</v>
      </c>
      <c r="G3464" t="s">
        <v>4158</v>
      </c>
      <c r="H3464" t="s">
        <v>3397</v>
      </c>
      <c r="I3464" t="s">
        <v>289</v>
      </c>
      <c r="J3464" t="s">
        <v>344</v>
      </c>
      <c r="K3464">
        <v>6</v>
      </c>
      <c r="L3464" s="6">
        <v>1.8</v>
      </c>
      <c r="M3464" s="7">
        <v>19</v>
      </c>
      <c r="N3464" s="7">
        <v>140</v>
      </c>
      <c r="O3464" s="7">
        <f t="shared" si="268"/>
        <v>70.866141732283467</v>
      </c>
      <c r="P3464" s="7">
        <f t="shared" si="269"/>
        <v>0.74803149606299213</v>
      </c>
      <c r="Q3464" s="7">
        <f t="shared" si="269"/>
        <v>5.5118110236220472</v>
      </c>
      <c r="R3464" s="6">
        <f t="shared" si="270"/>
        <v>1233.3979999999999</v>
      </c>
      <c r="S3464" s="6">
        <f t="shared" si="271"/>
        <v>4.7880000000000006E-3</v>
      </c>
      <c r="T3464" t="str">
        <f t="shared" si="272"/>
        <v>Maximo Thermo Scandinavian Pine VJoint - Square Back 1x6 Short</v>
      </c>
    </row>
    <row r="3465" spans="1:20" x14ac:dyDescent="0.25">
      <c r="A3465" t="s">
        <v>4154</v>
      </c>
      <c r="B3465" t="s">
        <v>4155</v>
      </c>
      <c r="C3465" t="s">
        <v>524</v>
      </c>
      <c r="D3465" t="s">
        <v>3044</v>
      </c>
      <c r="E3465" t="s">
        <v>152</v>
      </c>
      <c r="F3465" t="s">
        <v>4213</v>
      </c>
      <c r="G3465" t="s">
        <v>4158</v>
      </c>
      <c r="H3465" t="s">
        <v>3397</v>
      </c>
      <c r="I3465" t="s">
        <v>289</v>
      </c>
      <c r="J3465" t="s">
        <v>344</v>
      </c>
      <c r="K3465">
        <v>7</v>
      </c>
      <c r="L3465" s="6">
        <v>2.1</v>
      </c>
      <c r="M3465" s="7">
        <v>19</v>
      </c>
      <c r="N3465" s="7">
        <v>140</v>
      </c>
      <c r="O3465" s="7">
        <f t="shared" si="268"/>
        <v>82.677165354330711</v>
      </c>
      <c r="P3465" s="7">
        <f t="shared" si="269"/>
        <v>0.74803149606299213</v>
      </c>
      <c r="Q3465" s="7">
        <f t="shared" si="269"/>
        <v>5.5118110236220472</v>
      </c>
      <c r="R3465" s="6">
        <f t="shared" si="270"/>
        <v>1233.3979999999999</v>
      </c>
      <c r="S3465" s="6">
        <f t="shared" si="271"/>
        <v>5.5859999999999998E-3</v>
      </c>
      <c r="T3465" t="str">
        <f t="shared" si="272"/>
        <v>Maximo Thermo Scandinavian Pine VJoint - Square Back 1x6 Short</v>
      </c>
    </row>
    <row r="3466" spans="1:20" x14ac:dyDescent="0.25">
      <c r="A3466" t="s">
        <v>4154</v>
      </c>
      <c r="B3466" t="s">
        <v>4155</v>
      </c>
      <c r="C3466" t="s">
        <v>283</v>
      </c>
      <c r="D3466" t="s">
        <v>3044</v>
      </c>
      <c r="E3466" t="s">
        <v>153</v>
      </c>
      <c r="F3466" t="s">
        <v>4213</v>
      </c>
      <c r="G3466" t="s">
        <v>4158</v>
      </c>
      <c r="H3466" t="s">
        <v>3397</v>
      </c>
      <c r="I3466" t="s">
        <v>289</v>
      </c>
      <c r="J3466" t="s">
        <v>344</v>
      </c>
      <c r="K3466">
        <v>8</v>
      </c>
      <c r="L3466" s="6">
        <v>2.4</v>
      </c>
      <c r="M3466" s="7">
        <v>19</v>
      </c>
      <c r="N3466" s="7">
        <v>140</v>
      </c>
      <c r="O3466" s="7">
        <f t="shared" si="268"/>
        <v>94.488188976377955</v>
      </c>
      <c r="P3466" s="7">
        <f t="shared" si="269"/>
        <v>0.74803149606299213</v>
      </c>
      <c r="Q3466" s="7">
        <f t="shared" si="269"/>
        <v>5.5118110236220472</v>
      </c>
      <c r="R3466" s="6">
        <f t="shared" si="270"/>
        <v>1233.3979999999999</v>
      </c>
      <c r="S3466" s="6">
        <f t="shared" si="271"/>
        <v>6.3839999999999999E-3</v>
      </c>
      <c r="T3466" t="str">
        <f t="shared" si="272"/>
        <v>Maximo Thermo Scandinavian Pine VJoint - Square Back 1x6 Long</v>
      </c>
    </row>
    <row r="3467" spans="1:20" x14ac:dyDescent="0.25">
      <c r="A3467" t="s">
        <v>4154</v>
      </c>
      <c r="B3467" t="s">
        <v>4155</v>
      </c>
      <c r="C3467" t="s">
        <v>283</v>
      </c>
      <c r="D3467" t="s">
        <v>3044</v>
      </c>
      <c r="E3467" t="s">
        <v>78</v>
      </c>
      <c r="F3467" t="s">
        <v>4213</v>
      </c>
      <c r="G3467" t="s">
        <v>4158</v>
      </c>
      <c r="H3467" t="s">
        <v>3397</v>
      </c>
      <c r="I3467" t="s">
        <v>289</v>
      </c>
      <c r="J3467" t="s">
        <v>344</v>
      </c>
      <c r="K3467">
        <v>9</v>
      </c>
      <c r="L3467" s="6">
        <v>2.7</v>
      </c>
      <c r="M3467" s="7">
        <v>19</v>
      </c>
      <c r="N3467" s="7">
        <v>140</v>
      </c>
      <c r="O3467" s="7">
        <f t="shared" si="268"/>
        <v>106.29921259842521</v>
      </c>
      <c r="P3467" s="7">
        <f t="shared" si="269"/>
        <v>0.74803149606299213</v>
      </c>
      <c r="Q3467" s="7">
        <f t="shared" si="269"/>
        <v>5.5118110236220472</v>
      </c>
      <c r="R3467" s="6">
        <f t="shared" si="270"/>
        <v>1233.3979999999999</v>
      </c>
      <c r="S3467" s="6">
        <f t="shared" si="271"/>
        <v>7.182E-3</v>
      </c>
      <c r="T3467" t="str">
        <f t="shared" si="272"/>
        <v>Maximo Thermo Scandinavian Pine VJoint - Square Back 1x6 Long</v>
      </c>
    </row>
    <row r="3468" spans="1:20" x14ac:dyDescent="0.25">
      <c r="A3468" t="s">
        <v>4154</v>
      </c>
      <c r="B3468" t="s">
        <v>4217</v>
      </c>
      <c r="C3468" t="s">
        <v>283</v>
      </c>
      <c r="D3468" t="s">
        <v>3044</v>
      </c>
      <c r="E3468" t="s">
        <v>4218</v>
      </c>
      <c r="F3468" t="s">
        <v>4219</v>
      </c>
      <c r="G3468" t="s">
        <v>4158</v>
      </c>
      <c r="H3468" t="s">
        <v>3397</v>
      </c>
      <c r="I3468" t="s">
        <v>289</v>
      </c>
      <c r="J3468" t="s">
        <v>4220</v>
      </c>
      <c r="K3468">
        <v>10</v>
      </c>
      <c r="L3468" s="6">
        <v>3</v>
      </c>
      <c r="M3468" s="7">
        <v>15</v>
      </c>
      <c r="N3468" s="7">
        <v>92</v>
      </c>
      <c r="O3468" s="7">
        <f t="shared" si="268"/>
        <v>118.11023622047244</v>
      </c>
      <c r="P3468" s="7">
        <f t="shared" si="269"/>
        <v>0.59055118110236227</v>
      </c>
      <c r="Q3468" s="7">
        <f t="shared" si="269"/>
        <v>3.6220472440944884</v>
      </c>
      <c r="R3468" s="6">
        <f t="shared" si="270"/>
        <v>2377.42</v>
      </c>
      <c r="S3468" s="6">
        <f t="shared" si="271"/>
        <v>4.1399999999999996E-3</v>
      </c>
      <c r="T3468" t="str">
        <f t="shared" si="272"/>
        <v>Maximo Thermo Scandinavian Pine VJoint - Square Back 5/8x4 Long</v>
      </c>
    </row>
    <row r="3469" spans="1:20" x14ac:dyDescent="0.25">
      <c r="A3469" t="s">
        <v>4154</v>
      </c>
      <c r="B3469" t="s">
        <v>4217</v>
      </c>
      <c r="C3469" t="s">
        <v>283</v>
      </c>
      <c r="D3469" t="s">
        <v>3044</v>
      </c>
      <c r="E3469" t="s">
        <v>4221</v>
      </c>
      <c r="F3469" t="s">
        <v>4219</v>
      </c>
      <c r="G3469" t="s">
        <v>4158</v>
      </c>
      <c r="H3469" t="s">
        <v>3397</v>
      </c>
      <c r="I3469" t="s">
        <v>289</v>
      </c>
      <c r="J3469" t="s">
        <v>4220</v>
      </c>
      <c r="K3469">
        <v>11</v>
      </c>
      <c r="L3469" s="6">
        <v>3.3</v>
      </c>
      <c r="M3469" s="7">
        <v>15</v>
      </c>
      <c r="N3469" s="7">
        <v>92</v>
      </c>
      <c r="O3469" s="7">
        <f t="shared" si="268"/>
        <v>129.92125984251967</v>
      </c>
      <c r="P3469" s="7">
        <f t="shared" si="269"/>
        <v>0.59055118110236227</v>
      </c>
      <c r="Q3469" s="7">
        <f t="shared" si="269"/>
        <v>3.6220472440944884</v>
      </c>
      <c r="R3469" s="6">
        <f t="shared" si="270"/>
        <v>2377.42</v>
      </c>
      <c r="S3469" s="6">
        <f t="shared" si="271"/>
        <v>4.5539999999999999E-3</v>
      </c>
      <c r="T3469" t="str">
        <f t="shared" si="272"/>
        <v>Maximo Thermo Scandinavian Pine VJoint - Square Back 5/8x4 Long</v>
      </c>
    </row>
    <row r="3470" spans="1:20" x14ac:dyDescent="0.25">
      <c r="A3470" t="s">
        <v>4154</v>
      </c>
      <c r="B3470" t="s">
        <v>4217</v>
      </c>
      <c r="C3470" t="s">
        <v>283</v>
      </c>
      <c r="D3470" t="s">
        <v>3044</v>
      </c>
      <c r="E3470" t="s">
        <v>212</v>
      </c>
      <c r="F3470" t="s">
        <v>4219</v>
      </c>
      <c r="G3470" t="s">
        <v>4158</v>
      </c>
      <c r="H3470" t="s">
        <v>3397</v>
      </c>
      <c r="I3470" t="s">
        <v>289</v>
      </c>
      <c r="J3470" t="s">
        <v>4220</v>
      </c>
      <c r="K3470">
        <v>12</v>
      </c>
      <c r="L3470" s="6">
        <v>3.6</v>
      </c>
      <c r="M3470" s="7">
        <v>15</v>
      </c>
      <c r="N3470" s="7">
        <v>92</v>
      </c>
      <c r="O3470" s="7">
        <f t="shared" si="268"/>
        <v>141.73228346456693</v>
      </c>
      <c r="P3470" s="7">
        <f t="shared" si="269"/>
        <v>0.59055118110236227</v>
      </c>
      <c r="Q3470" s="7">
        <f t="shared" si="269"/>
        <v>3.6220472440944884</v>
      </c>
      <c r="R3470" s="6">
        <f t="shared" si="270"/>
        <v>2377.42</v>
      </c>
      <c r="S3470" s="6">
        <f t="shared" si="271"/>
        <v>4.9680000000000002E-3</v>
      </c>
      <c r="T3470" t="str">
        <f t="shared" si="272"/>
        <v>Maximo Thermo Scandinavian Pine VJoint - Square Back 5/8x4 Long</v>
      </c>
    </row>
    <row r="3471" spans="1:20" x14ac:dyDescent="0.25">
      <c r="A3471" t="s">
        <v>4154</v>
      </c>
      <c r="B3471" t="s">
        <v>4217</v>
      </c>
      <c r="C3471" t="s">
        <v>283</v>
      </c>
      <c r="D3471" t="s">
        <v>3044</v>
      </c>
      <c r="E3471" t="s">
        <v>138</v>
      </c>
      <c r="F3471" t="s">
        <v>4219</v>
      </c>
      <c r="G3471" t="s">
        <v>4158</v>
      </c>
      <c r="H3471" t="s">
        <v>3397</v>
      </c>
      <c r="I3471" t="s">
        <v>289</v>
      </c>
      <c r="J3471" t="s">
        <v>4220</v>
      </c>
      <c r="K3471">
        <v>13</v>
      </c>
      <c r="L3471" s="6">
        <v>3.9</v>
      </c>
      <c r="M3471" s="7">
        <v>15</v>
      </c>
      <c r="N3471" s="7">
        <v>92</v>
      </c>
      <c r="O3471" s="7">
        <f t="shared" si="268"/>
        <v>153.54330708661416</v>
      </c>
      <c r="P3471" s="7">
        <f t="shared" si="269"/>
        <v>0.59055118110236227</v>
      </c>
      <c r="Q3471" s="7">
        <f t="shared" si="269"/>
        <v>3.6220472440944884</v>
      </c>
      <c r="R3471" s="6">
        <f t="shared" si="270"/>
        <v>2377.42</v>
      </c>
      <c r="S3471" s="6">
        <f t="shared" si="271"/>
        <v>5.3820000000000005E-3</v>
      </c>
      <c r="T3471" t="str">
        <f t="shared" si="272"/>
        <v>Maximo Thermo Scandinavian Pine VJoint - Square Back 5/8x4 Long</v>
      </c>
    </row>
    <row r="3472" spans="1:20" x14ac:dyDescent="0.25">
      <c r="A3472" t="s">
        <v>4154</v>
      </c>
      <c r="B3472" t="s">
        <v>4217</v>
      </c>
      <c r="C3472" t="s">
        <v>283</v>
      </c>
      <c r="D3472" t="s">
        <v>3044</v>
      </c>
      <c r="E3472" t="s">
        <v>213</v>
      </c>
      <c r="F3472" t="s">
        <v>4219</v>
      </c>
      <c r="G3472" t="s">
        <v>4158</v>
      </c>
      <c r="H3472" t="s">
        <v>3397</v>
      </c>
      <c r="I3472" t="s">
        <v>289</v>
      </c>
      <c r="J3472" t="s">
        <v>4220</v>
      </c>
      <c r="K3472">
        <v>14</v>
      </c>
      <c r="L3472" s="6">
        <v>4.2</v>
      </c>
      <c r="M3472" s="7">
        <v>15</v>
      </c>
      <c r="N3472" s="7">
        <v>92</v>
      </c>
      <c r="O3472" s="7">
        <f t="shared" si="268"/>
        <v>165.35433070866142</v>
      </c>
      <c r="P3472" s="7">
        <f t="shared" si="269"/>
        <v>0.59055118110236227</v>
      </c>
      <c r="Q3472" s="7">
        <f t="shared" si="269"/>
        <v>3.6220472440944884</v>
      </c>
      <c r="R3472" s="6">
        <f t="shared" si="270"/>
        <v>2377.42</v>
      </c>
      <c r="S3472" s="6">
        <f t="shared" si="271"/>
        <v>5.7959999999999999E-3</v>
      </c>
      <c r="T3472" t="str">
        <f t="shared" si="272"/>
        <v>Maximo Thermo Scandinavian Pine VJoint - Square Back 5/8x4 Long</v>
      </c>
    </row>
    <row r="3473" spans="1:20" x14ac:dyDescent="0.25">
      <c r="A3473" t="s">
        <v>4154</v>
      </c>
      <c r="B3473" t="s">
        <v>4217</v>
      </c>
      <c r="C3473" t="s">
        <v>283</v>
      </c>
      <c r="D3473" t="s">
        <v>3044</v>
      </c>
      <c r="E3473" t="s">
        <v>214</v>
      </c>
      <c r="F3473" t="s">
        <v>4219</v>
      </c>
      <c r="G3473" t="s">
        <v>4158</v>
      </c>
      <c r="H3473" t="s">
        <v>3397</v>
      </c>
      <c r="I3473" t="s">
        <v>289</v>
      </c>
      <c r="J3473" t="s">
        <v>4220</v>
      </c>
      <c r="K3473">
        <v>15</v>
      </c>
      <c r="L3473" s="6">
        <v>4.5</v>
      </c>
      <c r="M3473" s="7">
        <v>15</v>
      </c>
      <c r="N3473" s="7">
        <v>92</v>
      </c>
      <c r="O3473" s="7">
        <f t="shared" si="268"/>
        <v>177.16535433070868</v>
      </c>
      <c r="P3473" s="7">
        <f t="shared" si="269"/>
        <v>0.59055118110236227</v>
      </c>
      <c r="Q3473" s="7">
        <f t="shared" si="269"/>
        <v>3.6220472440944884</v>
      </c>
      <c r="R3473" s="6">
        <f t="shared" si="270"/>
        <v>2377.42</v>
      </c>
      <c r="S3473" s="6">
        <f t="shared" si="271"/>
        <v>6.2100000000000011E-3</v>
      </c>
      <c r="T3473" t="str">
        <f t="shared" si="272"/>
        <v>Maximo Thermo Scandinavian Pine VJoint - Square Back 5/8x4 Long</v>
      </c>
    </row>
    <row r="3474" spans="1:20" x14ac:dyDescent="0.25">
      <c r="A3474" t="s">
        <v>4154</v>
      </c>
      <c r="B3474" t="s">
        <v>4217</v>
      </c>
      <c r="C3474" t="s">
        <v>283</v>
      </c>
      <c r="D3474" t="s">
        <v>3044</v>
      </c>
      <c r="E3474" t="s">
        <v>4222</v>
      </c>
      <c r="F3474" t="s">
        <v>4219</v>
      </c>
      <c r="G3474" t="s">
        <v>4158</v>
      </c>
      <c r="H3474" t="s">
        <v>3397</v>
      </c>
      <c r="I3474" t="s">
        <v>289</v>
      </c>
      <c r="J3474" t="s">
        <v>4220</v>
      </c>
      <c r="K3474">
        <v>16</v>
      </c>
      <c r="L3474" s="6">
        <v>4.8</v>
      </c>
      <c r="M3474" s="7">
        <v>15</v>
      </c>
      <c r="N3474" s="7">
        <v>92</v>
      </c>
      <c r="O3474" s="7">
        <f t="shared" si="268"/>
        <v>188.97637795275591</v>
      </c>
      <c r="P3474" s="7">
        <f t="shared" si="269"/>
        <v>0.59055118110236227</v>
      </c>
      <c r="Q3474" s="7">
        <f t="shared" si="269"/>
        <v>3.6220472440944884</v>
      </c>
      <c r="R3474" s="6">
        <f t="shared" si="270"/>
        <v>2377.42</v>
      </c>
      <c r="S3474" s="6">
        <f t="shared" si="271"/>
        <v>6.6239999999999997E-3</v>
      </c>
      <c r="T3474" t="str">
        <f t="shared" si="272"/>
        <v>Maximo Thermo Scandinavian Pine VJoint - Square Back 5/8x4 Long</v>
      </c>
    </row>
    <row r="3475" spans="1:20" x14ac:dyDescent="0.25">
      <c r="A3475" t="s">
        <v>4154</v>
      </c>
      <c r="B3475" t="s">
        <v>4217</v>
      </c>
      <c r="C3475" t="s">
        <v>283</v>
      </c>
      <c r="D3475" t="s">
        <v>3044</v>
      </c>
      <c r="E3475" t="s">
        <v>4223</v>
      </c>
      <c r="F3475" t="s">
        <v>4219</v>
      </c>
      <c r="G3475" t="s">
        <v>4158</v>
      </c>
      <c r="H3475" t="s">
        <v>3397</v>
      </c>
      <c r="I3475" t="s">
        <v>289</v>
      </c>
      <c r="J3475" t="s">
        <v>4220</v>
      </c>
      <c r="K3475">
        <v>17</v>
      </c>
      <c r="L3475" s="6">
        <v>5.0999999999999996</v>
      </c>
      <c r="M3475" s="7">
        <v>15</v>
      </c>
      <c r="N3475" s="7">
        <v>92</v>
      </c>
      <c r="O3475" s="7">
        <f t="shared" si="268"/>
        <v>200.78740157480314</v>
      </c>
      <c r="P3475" s="7">
        <f t="shared" si="269"/>
        <v>0.59055118110236227</v>
      </c>
      <c r="Q3475" s="7">
        <f t="shared" si="269"/>
        <v>3.6220472440944884</v>
      </c>
      <c r="R3475" s="6">
        <f t="shared" si="270"/>
        <v>2377.42</v>
      </c>
      <c r="S3475" s="6">
        <f t="shared" si="271"/>
        <v>7.038E-3</v>
      </c>
      <c r="T3475" t="str">
        <f t="shared" si="272"/>
        <v>Maximo Thermo Scandinavian Pine VJoint - Square Back 5/8x4 Long</v>
      </c>
    </row>
    <row r="3476" spans="1:20" x14ac:dyDescent="0.25">
      <c r="A3476" t="s">
        <v>4154</v>
      </c>
      <c r="B3476" t="s">
        <v>4217</v>
      </c>
      <c r="C3476" t="s">
        <v>283</v>
      </c>
      <c r="D3476" t="s">
        <v>3044</v>
      </c>
      <c r="E3476" t="s">
        <v>4224</v>
      </c>
      <c r="F3476" t="s">
        <v>4219</v>
      </c>
      <c r="G3476" t="s">
        <v>4158</v>
      </c>
      <c r="H3476" t="s">
        <v>3397</v>
      </c>
      <c r="I3476" t="s">
        <v>289</v>
      </c>
      <c r="J3476" t="s">
        <v>4220</v>
      </c>
      <c r="K3476">
        <v>18</v>
      </c>
      <c r="L3476" s="6">
        <v>5.4</v>
      </c>
      <c r="M3476" s="7">
        <v>15</v>
      </c>
      <c r="N3476" s="7">
        <v>92</v>
      </c>
      <c r="O3476" s="7">
        <f t="shared" si="268"/>
        <v>212.59842519685043</v>
      </c>
      <c r="P3476" s="7">
        <f t="shared" si="269"/>
        <v>0.59055118110236227</v>
      </c>
      <c r="Q3476" s="7">
        <f t="shared" si="269"/>
        <v>3.6220472440944884</v>
      </c>
      <c r="R3476" s="6">
        <f t="shared" si="270"/>
        <v>2377.42</v>
      </c>
      <c r="S3476" s="6">
        <f t="shared" si="271"/>
        <v>7.4520000000000003E-3</v>
      </c>
      <c r="T3476" t="str">
        <f t="shared" si="272"/>
        <v>Maximo Thermo Scandinavian Pine VJoint - Square Back 5/8x4 Long</v>
      </c>
    </row>
    <row r="3477" spans="1:20" x14ac:dyDescent="0.25">
      <c r="A3477" t="s">
        <v>4154</v>
      </c>
      <c r="B3477" t="s">
        <v>4217</v>
      </c>
      <c r="C3477" t="s">
        <v>524</v>
      </c>
      <c r="D3477" t="s">
        <v>3044</v>
      </c>
      <c r="E3477" t="s">
        <v>4225</v>
      </c>
      <c r="F3477" t="s">
        <v>4219</v>
      </c>
      <c r="G3477" t="s">
        <v>4158</v>
      </c>
      <c r="H3477" t="s">
        <v>3397</v>
      </c>
      <c r="I3477" t="s">
        <v>289</v>
      </c>
      <c r="J3477" t="s">
        <v>4220</v>
      </c>
      <c r="K3477">
        <v>4</v>
      </c>
      <c r="L3477" s="6">
        <v>1.2</v>
      </c>
      <c r="M3477" s="7">
        <v>15</v>
      </c>
      <c r="N3477" s="7">
        <v>92</v>
      </c>
      <c r="O3477" s="7">
        <f t="shared" si="268"/>
        <v>47.244094488188978</v>
      </c>
      <c r="P3477" s="7">
        <f t="shared" si="269"/>
        <v>0.59055118110236227</v>
      </c>
      <c r="Q3477" s="7">
        <f t="shared" si="269"/>
        <v>3.6220472440944884</v>
      </c>
      <c r="R3477" s="6">
        <f t="shared" si="270"/>
        <v>2377.42</v>
      </c>
      <c r="S3477" s="6">
        <f t="shared" si="271"/>
        <v>1.6559999999999999E-3</v>
      </c>
      <c r="T3477" t="str">
        <f t="shared" si="272"/>
        <v>Maximo Thermo Scandinavian Pine VJoint - Square Back 5/8x4 Short</v>
      </c>
    </row>
    <row r="3478" spans="1:20" x14ac:dyDescent="0.25">
      <c r="A3478" t="s">
        <v>4154</v>
      </c>
      <c r="B3478" t="s">
        <v>4217</v>
      </c>
      <c r="C3478" t="s">
        <v>524</v>
      </c>
      <c r="D3478" t="s">
        <v>3044</v>
      </c>
      <c r="E3478" t="s">
        <v>4226</v>
      </c>
      <c r="F3478" t="s">
        <v>4219</v>
      </c>
      <c r="G3478" t="s">
        <v>4158</v>
      </c>
      <c r="H3478" t="s">
        <v>3397</v>
      </c>
      <c r="I3478" t="s">
        <v>289</v>
      </c>
      <c r="J3478" t="s">
        <v>4220</v>
      </c>
      <c r="K3478">
        <v>5</v>
      </c>
      <c r="L3478" s="6">
        <v>1.5</v>
      </c>
      <c r="M3478" s="7">
        <v>15</v>
      </c>
      <c r="N3478" s="7">
        <v>92</v>
      </c>
      <c r="O3478" s="7">
        <f t="shared" si="268"/>
        <v>59.055118110236222</v>
      </c>
      <c r="P3478" s="7">
        <f t="shared" si="269"/>
        <v>0.59055118110236227</v>
      </c>
      <c r="Q3478" s="7">
        <f t="shared" si="269"/>
        <v>3.6220472440944884</v>
      </c>
      <c r="R3478" s="6">
        <f t="shared" si="270"/>
        <v>2377.42</v>
      </c>
      <c r="S3478" s="6">
        <f t="shared" si="271"/>
        <v>2.0699999999999998E-3</v>
      </c>
      <c r="T3478" t="str">
        <f t="shared" si="272"/>
        <v>Maximo Thermo Scandinavian Pine VJoint - Square Back 5/8x4 Short</v>
      </c>
    </row>
    <row r="3479" spans="1:20" x14ac:dyDescent="0.25">
      <c r="A3479" t="s">
        <v>4154</v>
      </c>
      <c r="B3479" t="s">
        <v>4217</v>
      </c>
      <c r="C3479" t="s">
        <v>524</v>
      </c>
      <c r="D3479" t="s">
        <v>3044</v>
      </c>
      <c r="E3479" t="s">
        <v>4227</v>
      </c>
      <c r="F3479" t="s">
        <v>4219</v>
      </c>
      <c r="G3479" t="s">
        <v>4158</v>
      </c>
      <c r="H3479" t="s">
        <v>3397</v>
      </c>
      <c r="I3479" t="s">
        <v>289</v>
      </c>
      <c r="J3479" t="s">
        <v>4220</v>
      </c>
      <c r="K3479">
        <v>6</v>
      </c>
      <c r="L3479" s="6">
        <v>1.8</v>
      </c>
      <c r="M3479" s="7">
        <v>15</v>
      </c>
      <c r="N3479" s="7">
        <v>92</v>
      </c>
      <c r="O3479" s="7">
        <f t="shared" si="268"/>
        <v>70.866141732283467</v>
      </c>
      <c r="P3479" s="7">
        <f t="shared" si="269"/>
        <v>0.59055118110236227</v>
      </c>
      <c r="Q3479" s="7">
        <f t="shared" si="269"/>
        <v>3.6220472440944884</v>
      </c>
      <c r="R3479" s="6">
        <f t="shared" si="270"/>
        <v>2377.42</v>
      </c>
      <c r="S3479" s="6">
        <f t="shared" si="271"/>
        <v>2.4840000000000001E-3</v>
      </c>
      <c r="T3479" t="str">
        <f t="shared" si="272"/>
        <v>Maximo Thermo Scandinavian Pine VJoint - Square Back 5/8x4 Short</v>
      </c>
    </row>
    <row r="3480" spans="1:20" x14ac:dyDescent="0.25">
      <c r="A3480" t="s">
        <v>4154</v>
      </c>
      <c r="B3480" t="s">
        <v>4217</v>
      </c>
      <c r="C3480" t="s">
        <v>524</v>
      </c>
      <c r="D3480" t="s">
        <v>3044</v>
      </c>
      <c r="E3480" t="s">
        <v>4228</v>
      </c>
      <c r="F3480" t="s">
        <v>4219</v>
      </c>
      <c r="G3480" t="s">
        <v>4158</v>
      </c>
      <c r="H3480" t="s">
        <v>3397</v>
      </c>
      <c r="I3480" t="s">
        <v>289</v>
      </c>
      <c r="J3480" t="s">
        <v>4220</v>
      </c>
      <c r="K3480">
        <v>7</v>
      </c>
      <c r="L3480" s="6">
        <v>2.1</v>
      </c>
      <c r="M3480" s="7">
        <v>15</v>
      </c>
      <c r="N3480" s="7">
        <v>92</v>
      </c>
      <c r="O3480" s="7">
        <f t="shared" si="268"/>
        <v>82.677165354330711</v>
      </c>
      <c r="P3480" s="7">
        <f t="shared" si="269"/>
        <v>0.59055118110236227</v>
      </c>
      <c r="Q3480" s="7">
        <f t="shared" si="269"/>
        <v>3.6220472440944884</v>
      </c>
      <c r="R3480" s="6">
        <f t="shared" si="270"/>
        <v>2377.42</v>
      </c>
      <c r="S3480" s="6">
        <f t="shared" si="271"/>
        <v>2.898E-3</v>
      </c>
      <c r="T3480" t="str">
        <f t="shared" si="272"/>
        <v>Maximo Thermo Scandinavian Pine VJoint - Square Back 5/8x4 Short</v>
      </c>
    </row>
    <row r="3481" spans="1:20" x14ac:dyDescent="0.25">
      <c r="A3481" t="s">
        <v>4154</v>
      </c>
      <c r="B3481" t="s">
        <v>4217</v>
      </c>
      <c r="C3481" t="s">
        <v>283</v>
      </c>
      <c r="D3481" t="s">
        <v>3044</v>
      </c>
      <c r="E3481" t="s">
        <v>4229</v>
      </c>
      <c r="F3481" t="s">
        <v>4219</v>
      </c>
      <c r="G3481" t="s">
        <v>4158</v>
      </c>
      <c r="H3481" t="s">
        <v>3397</v>
      </c>
      <c r="I3481" t="s">
        <v>289</v>
      </c>
      <c r="J3481" t="s">
        <v>4220</v>
      </c>
      <c r="K3481">
        <v>8</v>
      </c>
      <c r="L3481" s="6">
        <v>2.4</v>
      </c>
      <c r="M3481" s="7">
        <v>15</v>
      </c>
      <c r="N3481" s="7">
        <v>92</v>
      </c>
      <c r="O3481" s="7">
        <f t="shared" si="268"/>
        <v>94.488188976377955</v>
      </c>
      <c r="P3481" s="7">
        <f t="shared" si="269"/>
        <v>0.59055118110236227</v>
      </c>
      <c r="Q3481" s="7">
        <f t="shared" si="269"/>
        <v>3.6220472440944884</v>
      </c>
      <c r="R3481" s="6">
        <f t="shared" si="270"/>
        <v>2377.42</v>
      </c>
      <c r="S3481" s="6">
        <f t="shared" si="271"/>
        <v>3.3119999999999998E-3</v>
      </c>
      <c r="T3481" t="str">
        <f t="shared" si="272"/>
        <v>Maximo Thermo Scandinavian Pine VJoint - Square Back 5/8x4 Long</v>
      </c>
    </row>
    <row r="3482" spans="1:20" x14ac:dyDescent="0.25">
      <c r="A3482" t="s">
        <v>4154</v>
      </c>
      <c r="B3482" t="s">
        <v>4217</v>
      </c>
      <c r="C3482" t="s">
        <v>283</v>
      </c>
      <c r="D3482" t="s">
        <v>3044</v>
      </c>
      <c r="E3482" t="s">
        <v>4230</v>
      </c>
      <c r="F3482" t="s">
        <v>4219</v>
      </c>
      <c r="G3482" t="s">
        <v>4158</v>
      </c>
      <c r="H3482" t="s">
        <v>3397</v>
      </c>
      <c r="I3482" t="s">
        <v>289</v>
      </c>
      <c r="J3482" t="s">
        <v>4220</v>
      </c>
      <c r="K3482">
        <v>9</v>
      </c>
      <c r="L3482" s="6">
        <v>2.7</v>
      </c>
      <c r="M3482" s="7">
        <v>15</v>
      </c>
      <c r="N3482" s="7">
        <v>92</v>
      </c>
      <c r="O3482" s="7">
        <f t="shared" si="268"/>
        <v>106.29921259842521</v>
      </c>
      <c r="P3482" s="7">
        <f t="shared" si="269"/>
        <v>0.59055118110236227</v>
      </c>
      <c r="Q3482" s="7">
        <f t="shared" si="269"/>
        <v>3.6220472440944884</v>
      </c>
      <c r="R3482" s="6">
        <f t="shared" si="270"/>
        <v>2377.42</v>
      </c>
      <c r="S3482" s="6">
        <f t="shared" si="271"/>
        <v>3.7260000000000001E-3</v>
      </c>
      <c r="T3482" t="str">
        <f t="shared" si="272"/>
        <v>Maximo Thermo Scandinavian Pine VJoint - Square Back 5/8x4 Long</v>
      </c>
    </row>
    <row r="3483" spans="1:20" x14ac:dyDescent="0.25">
      <c r="A3483" t="s">
        <v>3073</v>
      </c>
      <c r="B3483" t="s">
        <v>4231</v>
      </c>
      <c r="C3483" t="s">
        <v>283</v>
      </c>
      <c r="D3483" t="s">
        <v>3044</v>
      </c>
      <c r="E3483" t="s">
        <v>4232</v>
      </c>
      <c r="F3483" t="s">
        <v>4233</v>
      </c>
      <c r="G3483" t="s">
        <v>3077</v>
      </c>
      <c r="H3483" t="s">
        <v>3638</v>
      </c>
      <c r="I3483" t="s">
        <v>289</v>
      </c>
      <c r="J3483" t="s">
        <v>637</v>
      </c>
      <c r="K3483">
        <v>12</v>
      </c>
      <c r="L3483" s="6">
        <v>3.6</v>
      </c>
      <c r="M3483" s="7">
        <v>19</v>
      </c>
      <c r="N3483" s="7">
        <v>150</v>
      </c>
      <c r="O3483" s="7">
        <f t="shared" si="268"/>
        <v>141.73228346456693</v>
      </c>
      <c r="P3483" s="7">
        <f t="shared" si="269"/>
        <v>0.74803149606299213</v>
      </c>
      <c r="Q3483" s="7">
        <f t="shared" si="269"/>
        <v>5.9055118110236222</v>
      </c>
      <c r="R3483" s="6">
        <f t="shared" si="270"/>
        <v>1151.172</v>
      </c>
      <c r="S3483" s="6">
        <f t="shared" si="271"/>
        <v>1.026E-2</v>
      </c>
      <c r="T3483" t="str">
        <f t="shared" si="272"/>
        <v>Maximo Thermo Ayous VJoint - Nickel Gap 1x6 Plus Long</v>
      </c>
    </row>
    <row r="3484" spans="1:20" x14ac:dyDescent="0.25">
      <c r="A3484" t="s">
        <v>3073</v>
      </c>
      <c r="B3484" t="s">
        <v>4231</v>
      </c>
      <c r="C3484" t="s">
        <v>283</v>
      </c>
      <c r="D3484" t="s">
        <v>3044</v>
      </c>
      <c r="E3484" t="s">
        <v>4234</v>
      </c>
      <c r="F3484" t="s">
        <v>4233</v>
      </c>
      <c r="G3484" t="s">
        <v>3077</v>
      </c>
      <c r="H3484" t="s">
        <v>3638</v>
      </c>
      <c r="I3484" t="s">
        <v>289</v>
      </c>
      <c r="J3484" t="s">
        <v>637</v>
      </c>
      <c r="K3484">
        <v>13</v>
      </c>
      <c r="L3484" s="6">
        <v>3.9</v>
      </c>
      <c r="M3484" s="7">
        <v>19</v>
      </c>
      <c r="N3484" s="7">
        <v>150</v>
      </c>
      <c r="O3484" s="7">
        <f t="shared" si="268"/>
        <v>153.54330708661416</v>
      </c>
      <c r="P3484" s="7">
        <f t="shared" si="269"/>
        <v>0.74803149606299213</v>
      </c>
      <c r="Q3484" s="7">
        <f t="shared" si="269"/>
        <v>5.9055118110236222</v>
      </c>
      <c r="R3484" s="6">
        <f t="shared" si="270"/>
        <v>1151.172</v>
      </c>
      <c r="S3484" s="6">
        <f t="shared" si="271"/>
        <v>1.1115E-2</v>
      </c>
      <c r="T3484" t="str">
        <f t="shared" si="272"/>
        <v>Maximo Thermo Ayous VJoint - Nickel Gap 1x6 Plus Long</v>
      </c>
    </row>
    <row r="3485" spans="1:20" x14ac:dyDescent="0.25">
      <c r="A3485" t="s">
        <v>3073</v>
      </c>
      <c r="B3485" t="s">
        <v>4231</v>
      </c>
      <c r="C3485" t="s">
        <v>283</v>
      </c>
      <c r="D3485" t="s">
        <v>3044</v>
      </c>
      <c r="E3485" t="s">
        <v>4235</v>
      </c>
      <c r="F3485" t="s">
        <v>4233</v>
      </c>
      <c r="G3485" t="s">
        <v>3077</v>
      </c>
      <c r="H3485" t="s">
        <v>3638</v>
      </c>
      <c r="I3485" t="s">
        <v>289</v>
      </c>
      <c r="J3485" t="s">
        <v>637</v>
      </c>
      <c r="K3485">
        <v>14</v>
      </c>
      <c r="L3485" s="6">
        <v>4.2</v>
      </c>
      <c r="M3485" s="7">
        <v>19</v>
      </c>
      <c r="N3485" s="7">
        <v>150</v>
      </c>
      <c r="O3485" s="7">
        <f t="shared" si="268"/>
        <v>165.35433070866142</v>
      </c>
      <c r="P3485" s="7">
        <f t="shared" si="269"/>
        <v>0.74803149606299213</v>
      </c>
      <c r="Q3485" s="7">
        <f t="shared" si="269"/>
        <v>5.9055118110236222</v>
      </c>
      <c r="R3485" s="6">
        <f t="shared" si="270"/>
        <v>1151.172</v>
      </c>
      <c r="S3485" s="6">
        <f t="shared" si="271"/>
        <v>1.1969999999999998E-2</v>
      </c>
      <c r="T3485" t="str">
        <f t="shared" si="272"/>
        <v>Maximo Thermo Ayous VJoint - Nickel Gap 1x6 Plus Long</v>
      </c>
    </row>
    <row r="3486" spans="1:20" x14ac:dyDescent="0.25">
      <c r="A3486" t="s">
        <v>3073</v>
      </c>
      <c r="B3486" t="s">
        <v>4231</v>
      </c>
      <c r="C3486" t="s">
        <v>283</v>
      </c>
      <c r="D3486" t="s">
        <v>3044</v>
      </c>
      <c r="E3486" t="s">
        <v>4236</v>
      </c>
      <c r="F3486" t="s">
        <v>4233</v>
      </c>
      <c r="G3486" t="s">
        <v>3077</v>
      </c>
      <c r="H3486" t="s">
        <v>3638</v>
      </c>
      <c r="I3486" t="s">
        <v>289</v>
      </c>
      <c r="J3486" t="s">
        <v>637</v>
      </c>
      <c r="K3486">
        <v>15</v>
      </c>
      <c r="L3486" s="6">
        <v>4.5</v>
      </c>
      <c r="M3486" s="7">
        <v>19</v>
      </c>
      <c r="N3486" s="7">
        <v>150</v>
      </c>
      <c r="O3486" s="7">
        <f t="shared" si="268"/>
        <v>177.16535433070868</v>
      </c>
      <c r="P3486" s="7">
        <f t="shared" si="269"/>
        <v>0.74803149606299213</v>
      </c>
      <c r="Q3486" s="7">
        <f t="shared" si="269"/>
        <v>5.9055118110236222</v>
      </c>
      <c r="R3486" s="6">
        <f t="shared" si="270"/>
        <v>1151.172</v>
      </c>
      <c r="S3486" s="6">
        <f t="shared" si="271"/>
        <v>1.2825000000000001E-2</v>
      </c>
      <c r="T3486" t="str">
        <f t="shared" si="272"/>
        <v>Maximo Thermo Ayous VJoint - Nickel Gap 1x6 Plus Long</v>
      </c>
    </row>
    <row r="3487" spans="1:20" x14ac:dyDescent="0.25">
      <c r="A3487" t="s">
        <v>3073</v>
      </c>
      <c r="B3487" t="s">
        <v>4231</v>
      </c>
      <c r="C3487" t="s">
        <v>283</v>
      </c>
      <c r="D3487" t="s">
        <v>3044</v>
      </c>
      <c r="E3487" t="s">
        <v>4237</v>
      </c>
      <c r="F3487" t="s">
        <v>4233</v>
      </c>
      <c r="G3487" t="s">
        <v>3077</v>
      </c>
      <c r="H3487" t="s">
        <v>3638</v>
      </c>
      <c r="I3487" t="s">
        <v>289</v>
      </c>
      <c r="J3487" t="s">
        <v>637</v>
      </c>
      <c r="K3487">
        <v>16</v>
      </c>
      <c r="L3487" s="6">
        <v>4.8</v>
      </c>
      <c r="M3487" s="7">
        <v>19</v>
      </c>
      <c r="N3487" s="7">
        <v>150</v>
      </c>
      <c r="O3487" s="7">
        <f t="shared" si="268"/>
        <v>188.97637795275591</v>
      </c>
      <c r="P3487" s="7">
        <f t="shared" si="269"/>
        <v>0.74803149606299213</v>
      </c>
      <c r="Q3487" s="7">
        <f t="shared" si="269"/>
        <v>5.9055118110236222</v>
      </c>
      <c r="R3487" s="6">
        <f t="shared" si="270"/>
        <v>1151.172</v>
      </c>
      <c r="S3487" s="6">
        <f t="shared" si="271"/>
        <v>1.3679999999999999E-2</v>
      </c>
      <c r="T3487" t="str">
        <f t="shared" si="272"/>
        <v>Maximo Thermo Ayous VJoint - Nickel Gap 1x6 Plus Long</v>
      </c>
    </row>
    <row r="3488" spans="1:20" x14ac:dyDescent="0.25">
      <c r="A3488" t="s">
        <v>3073</v>
      </c>
      <c r="B3488" t="s">
        <v>4231</v>
      </c>
      <c r="C3488" t="s">
        <v>283</v>
      </c>
      <c r="D3488" t="s">
        <v>3044</v>
      </c>
      <c r="E3488" t="s">
        <v>4238</v>
      </c>
      <c r="F3488" t="s">
        <v>4233</v>
      </c>
      <c r="G3488" t="s">
        <v>3077</v>
      </c>
      <c r="H3488" t="s">
        <v>3638</v>
      </c>
      <c r="I3488" t="s">
        <v>289</v>
      </c>
      <c r="J3488" t="s">
        <v>637</v>
      </c>
      <c r="K3488">
        <v>17</v>
      </c>
      <c r="L3488" s="6">
        <v>5.0999999999999996</v>
      </c>
      <c r="M3488" s="7">
        <v>19</v>
      </c>
      <c r="N3488" s="7">
        <v>150</v>
      </c>
      <c r="O3488" s="7">
        <f t="shared" si="268"/>
        <v>200.78740157480314</v>
      </c>
      <c r="P3488" s="7">
        <f t="shared" si="269"/>
        <v>0.74803149606299213</v>
      </c>
      <c r="Q3488" s="7">
        <f t="shared" si="269"/>
        <v>5.9055118110236222</v>
      </c>
      <c r="R3488" s="6">
        <f t="shared" si="270"/>
        <v>1151.172</v>
      </c>
      <c r="S3488" s="6">
        <f t="shared" si="271"/>
        <v>1.4534999999999998E-2</v>
      </c>
      <c r="T3488" t="str">
        <f t="shared" si="272"/>
        <v>Maximo Thermo Ayous VJoint - Nickel Gap 1x6 Plus Long</v>
      </c>
    </row>
    <row r="3489" spans="1:20" x14ac:dyDescent="0.25">
      <c r="A3489" t="s">
        <v>3073</v>
      </c>
      <c r="B3489" t="s">
        <v>4231</v>
      </c>
      <c r="C3489" t="s">
        <v>283</v>
      </c>
      <c r="D3489" t="s">
        <v>3044</v>
      </c>
      <c r="E3489" t="s">
        <v>4239</v>
      </c>
      <c r="F3489" t="s">
        <v>4233</v>
      </c>
      <c r="G3489" t="s">
        <v>3077</v>
      </c>
      <c r="H3489" t="s">
        <v>3638</v>
      </c>
      <c r="I3489" t="s">
        <v>289</v>
      </c>
      <c r="J3489" t="s">
        <v>637</v>
      </c>
      <c r="K3489">
        <v>18</v>
      </c>
      <c r="L3489" s="6">
        <v>5.4</v>
      </c>
      <c r="M3489" s="7">
        <v>19</v>
      </c>
      <c r="N3489" s="7">
        <v>150</v>
      </c>
      <c r="O3489" s="7">
        <f t="shared" si="268"/>
        <v>212.59842519685043</v>
      </c>
      <c r="P3489" s="7">
        <f t="shared" si="269"/>
        <v>0.74803149606299213</v>
      </c>
      <c r="Q3489" s="7">
        <f t="shared" si="269"/>
        <v>5.9055118110236222</v>
      </c>
      <c r="R3489" s="6">
        <f t="shared" si="270"/>
        <v>1151.172</v>
      </c>
      <c r="S3489" s="6">
        <f t="shared" si="271"/>
        <v>1.5390000000000003E-2</v>
      </c>
      <c r="T3489" t="str">
        <f t="shared" si="272"/>
        <v>Maximo Thermo Ayous VJoint - Nickel Gap 1x6 Plus Long</v>
      </c>
    </row>
    <row r="3490" spans="1:20" x14ac:dyDescent="0.25">
      <c r="A3490" t="s">
        <v>3073</v>
      </c>
      <c r="B3490" t="s">
        <v>4231</v>
      </c>
      <c r="C3490" t="s">
        <v>524</v>
      </c>
      <c r="D3490" t="s">
        <v>3044</v>
      </c>
      <c r="E3490" t="s">
        <v>4240</v>
      </c>
      <c r="F3490" t="s">
        <v>4233</v>
      </c>
      <c r="G3490" t="s">
        <v>3077</v>
      </c>
      <c r="H3490" t="s">
        <v>3638</v>
      </c>
      <c r="I3490" t="s">
        <v>289</v>
      </c>
      <c r="J3490" t="s">
        <v>637</v>
      </c>
      <c r="K3490">
        <v>4</v>
      </c>
      <c r="L3490" s="6">
        <v>1.2</v>
      </c>
      <c r="M3490" s="7">
        <v>19</v>
      </c>
      <c r="N3490" s="7">
        <v>150</v>
      </c>
      <c r="O3490" s="7">
        <f t="shared" si="268"/>
        <v>47.244094488188978</v>
      </c>
      <c r="P3490" s="7">
        <f t="shared" si="269"/>
        <v>0.74803149606299213</v>
      </c>
      <c r="Q3490" s="7">
        <f t="shared" si="269"/>
        <v>5.9055118110236222</v>
      </c>
      <c r="R3490" s="6">
        <f t="shared" si="270"/>
        <v>1151.172</v>
      </c>
      <c r="S3490" s="6">
        <f t="shared" si="271"/>
        <v>3.4199999999999999E-3</v>
      </c>
      <c r="T3490" t="str">
        <f t="shared" si="272"/>
        <v>Maximo Thermo Ayous VJoint - Nickel Gap 1x6 Plus Short</v>
      </c>
    </row>
    <row r="3491" spans="1:20" x14ac:dyDescent="0.25">
      <c r="A3491" t="s">
        <v>3073</v>
      </c>
      <c r="B3491" t="s">
        <v>4231</v>
      </c>
      <c r="C3491" t="s">
        <v>524</v>
      </c>
      <c r="D3491" t="s">
        <v>3044</v>
      </c>
      <c r="E3491" t="s">
        <v>4241</v>
      </c>
      <c r="F3491" t="s">
        <v>4233</v>
      </c>
      <c r="G3491" t="s">
        <v>3077</v>
      </c>
      <c r="H3491" t="s">
        <v>3638</v>
      </c>
      <c r="I3491" t="s">
        <v>289</v>
      </c>
      <c r="J3491" t="s">
        <v>637</v>
      </c>
      <c r="K3491">
        <v>5</v>
      </c>
      <c r="L3491" s="6">
        <v>1.5</v>
      </c>
      <c r="M3491" s="7">
        <v>19</v>
      </c>
      <c r="N3491" s="7">
        <v>150</v>
      </c>
      <c r="O3491" s="7">
        <f t="shared" si="268"/>
        <v>59.055118110236222</v>
      </c>
      <c r="P3491" s="7">
        <f t="shared" si="269"/>
        <v>0.74803149606299213</v>
      </c>
      <c r="Q3491" s="7">
        <f t="shared" si="269"/>
        <v>5.9055118110236222</v>
      </c>
      <c r="R3491" s="6">
        <f t="shared" si="270"/>
        <v>1151.172</v>
      </c>
      <c r="S3491" s="6">
        <f t="shared" si="271"/>
        <v>4.2750000000000002E-3</v>
      </c>
      <c r="T3491" t="str">
        <f t="shared" si="272"/>
        <v>Maximo Thermo Ayous VJoint - Nickel Gap 1x6 Plus Short</v>
      </c>
    </row>
    <row r="3492" spans="1:20" x14ac:dyDescent="0.25">
      <c r="A3492" t="s">
        <v>3073</v>
      </c>
      <c r="B3492" t="s">
        <v>4231</v>
      </c>
      <c r="C3492" t="s">
        <v>524</v>
      </c>
      <c r="D3492" t="s">
        <v>3044</v>
      </c>
      <c r="E3492" t="s">
        <v>4242</v>
      </c>
      <c r="F3492" t="s">
        <v>4233</v>
      </c>
      <c r="G3492" t="s">
        <v>3077</v>
      </c>
      <c r="H3492" t="s">
        <v>3638</v>
      </c>
      <c r="I3492" t="s">
        <v>289</v>
      </c>
      <c r="J3492" t="s">
        <v>637</v>
      </c>
      <c r="K3492">
        <v>6</v>
      </c>
      <c r="L3492" s="6">
        <v>1.8</v>
      </c>
      <c r="M3492" s="7">
        <v>19</v>
      </c>
      <c r="N3492" s="7">
        <v>150</v>
      </c>
      <c r="O3492" s="7">
        <f t="shared" si="268"/>
        <v>70.866141732283467</v>
      </c>
      <c r="P3492" s="7">
        <f t="shared" si="269"/>
        <v>0.74803149606299213</v>
      </c>
      <c r="Q3492" s="7">
        <f t="shared" si="269"/>
        <v>5.9055118110236222</v>
      </c>
      <c r="R3492" s="6">
        <f t="shared" si="270"/>
        <v>1151.172</v>
      </c>
      <c r="S3492" s="6">
        <f t="shared" si="271"/>
        <v>5.13E-3</v>
      </c>
      <c r="T3492" t="str">
        <f t="shared" si="272"/>
        <v>Maximo Thermo Ayous VJoint - Nickel Gap 1x6 Plus Short</v>
      </c>
    </row>
    <row r="3493" spans="1:20" x14ac:dyDescent="0.25">
      <c r="A3493" t="s">
        <v>3073</v>
      </c>
      <c r="B3493" t="s">
        <v>4231</v>
      </c>
      <c r="C3493" t="s">
        <v>524</v>
      </c>
      <c r="D3493" t="s">
        <v>3044</v>
      </c>
      <c r="E3493" t="s">
        <v>4243</v>
      </c>
      <c r="F3493" t="s">
        <v>4233</v>
      </c>
      <c r="G3493" t="s">
        <v>3077</v>
      </c>
      <c r="H3493" t="s">
        <v>3638</v>
      </c>
      <c r="I3493" t="s">
        <v>289</v>
      </c>
      <c r="J3493" t="s">
        <v>637</v>
      </c>
      <c r="K3493">
        <v>7</v>
      </c>
      <c r="L3493" s="6">
        <v>2.1</v>
      </c>
      <c r="M3493" s="7">
        <v>19</v>
      </c>
      <c r="N3493" s="7">
        <v>150</v>
      </c>
      <c r="O3493" s="7">
        <f t="shared" si="268"/>
        <v>82.677165354330711</v>
      </c>
      <c r="P3493" s="7">
        <f t="shared" si="269"/>
        <v>0.74803149606299213</v>
      </c>
      <c r="Q3493" s="7">
        <f t="shared" si="269"/>
        <v>5.9055118110236222</v>
      </c>
      <c r="R3493" s="6">
        <f t="shared" si="270"/>
        <v>1151.172</v>
      </c>
      <c r="S3493" s="6">
        <f t="shared" si="271"/>
        <v>5.984999999999999E-3</v>
      </c>
      <c r="T3493" t="str">
        <f t="shared" si="272"/>
        <v>Maximo Thermo Ayous VJoint - Nickel Gap 1x6 Plus Short</v>
      </c>
    </row>
    <row r="3494" spans="1:20" x14ac:dyDescent="0.25">
      <c r="A3494" t="s">
        <v>3073</v>
      </c>
      <c r="B3494" t="s">
        <v>4231</v>
      </c>
      <c r="C3494" t="s">
        <v>283</v>
      </c>
      <c r="D3494" t="s">
        <v>3044</v>
      </c>
      <c r="E3494" t="s">
        <v>4244</v>
      </c>
      <c r="F3494" t="s">
        <v>4233</v>
      </c>
      <c r="G3494" t="s">
        <v>3077</v>
      </c>
      <c r="H3494" t="s">
        <v>3638</v>
      </c>
      <c r="I3494" t="s">
        <v>289</v>
      </c>
      <c r="J3494" t="s">
        <v>637</v>
      </c>
      <c r="K3494">
        <v>10</v>
      </c>
      <c r="L3494" s="6">
        <v>3</v>
      </c>
      <c r="M3494" s="7">
        <v>19</v>
      </c>
      <c r="N3494" s="7">
        <v>150</v>
      </c>
      <c r="O3494" s="7">
        <f t="shared" si="268"/>
        <v>118.11023622047244</v>
      </c>
      <c r="P3494" s="7">
        <f t="shared" si="269"/>
        <v>0.74803149606299213</v>
      </c>
      <c r="Q3494" s="7">
        <f t="shared" si="269"/>
        <v>5.9055118110236222</v>
      </c>
      <c r="R3494" s="6">
        <f t="shared" si="270"/>
        <v>1151.172</v>
      </c>
      <c r="S3494" s="6">
        <f t="shared" si="271"/>
        <v>8.5500000000000003E-3</v>
      </c>
      <c r="T3494" t="str">
        <f t="shared" si="272"/>
        <v>Maximo Thermo Ayous VJoint - Nickel Gap 1x6 Plus Long</v>
      </c>
    </row>
    <row r="3495" spans="1:20" x14ac:dyDescent="0.25">
      <c r="A3495" t="s">
        <v>3073</v>
      </c>
      <c r="B3495" t="s">
        <v>4231</v>
      </c>
      <c r="C3495" t="s">
        <v>283</v>
      </c>
      <c r="D3495" t="s">
        <v>3044</v>
      </c>
      <c r="E3495" t="s">
        <v>4245</v>
      </c>
      <c r="F3495" t="s">
        <v>4233</v>
      </c>
      <c r="G3495" t="s">
        <v>3077</v>
      </c>
      <c r="H3495" t="s">
        <v>3638</v>
      </c>
      <c r="I3495" t="s">
        <v>289</v>
      </c>
      <c r="J3495" t="s">
        <v>637</v>
      </c>
      <c r="K3495">
        <v>8</v>
      </c>
      <c r="L3495" s="6">
        <v>2.4</v>
      </c>
      <c r="M3495" s="7">
        <v>19</v>
      </c>
      <c r="N3495" s="7">
        <v>150</v>
      </c>
      <c r="O3495" s="7">
        <f t="shared" si="268"/>
        <v>94.488188976377955</v>
      </c>
      <c r="P3495" s="7">
        <f t="shared" si="269"/>
        <v>0.74803149606299213</v>
      </c>
      <c r="Q3495" s="7">
        <f t="shared" si="269"/>
        <v>5.9055118110236222</v>
      </c>
      <c r="R3495" s="6">
        <f t="shared" si="270"/>
        <v>1151.172</v>
      </c>
      <c r="S3495" s="6">
        <f t="shared" si="271"/>
        <v>6.8399999999999997E-3</v>
      </c>
      <c r="T3495" t="str">
        <f t="shared" si="272"/>
        <v>Maximo Thermo Ayous VJoint - Nickel Gap 1x6 Plus Long</v>
      </c>
    </row>
    <row r="3496" spans="1:20" x14ac:dyDescent="0.25">
      <c r="A3496" t="s">
        <v>3073</v>
      </c>
      <c r="B3496" t="s">
        <v>4231</v>
      </c>
      <c r="C3496" t="s">
        <v>283</v>
      </c>
      <c r="D3496" t="s">
        <v>3044</v>
      </c>
      <c r="E3496" t="s">
        <v>4246</v>
      </c>
      <c r="F3496" t="s">
        <v>4233</v>
      </c>
      <c r="G3496" t="s">
        <v>3077</v>
      </c>
      <c r="H3496" t="s">
        <v>3638</v>
      </c>
      <c r="I3496" t="s">
        <v>289</v>
      </c>
      <c r="J3496" t="s">
        <v>637</v>
      </c>
      <c r="K3496">
        <v>11</v>
      </c>
      <c r="L3496" s="6">
        <v>3.3</v>
      </c>
      <c r="M3496" s="7">
        <v>19</v>
      </c>
      <c r="N3496" s="7">
        <v>150</v>
      </c>
      <c r="O3496" s="7">
        <f t="shared" si="268"/>
        <v>129.92125984251967</v>
      </c>
      <c r="P3496" s="7">
        <f t="shared" si="269"/>
        <v>0.74803149606299213</v>
      </c>
      <c r="Q3496" s="7">
        <f t="shared" si="269"/>
        <v>5.9055118110236222</v>
      </c>
      <c r="R3496" s="6">
        <f t="shared" si="270"/>
        <v>1151.172</v>
      </c>
      <c r="S3496" s="6">
        <f t="shared" si="271"/>
        <v>9.4050000000000002E-3</v>
      </c>
      <c r="T3496" t="str">
        <f t="shared" si="272"/>
        <v>Maximo Thermo Ayous VJoint - Nickel Gap 1x6 Plus Long</v>
      </c>
    </row>
    <row r="3497" spans="1:20" x14ac:dyDescent="0.25">
      <c r="A3497" t="s">
        <v>3073</v>
      </c>
      <c r="B3497" t="s">
        <v>4231</v>
      </c>
      <c r="C3497" t="s">
        <v>283</v>
      </c>
      <c r="D3497" t="s">
        <v>3044</v>
      </c>
      <c r="E3497" t="s">
        <v>4247</v>
      </c>
      <c r="F3497" t="s">
        <v>4233</v>
      </c>
      <c r="G3497" t="s">
        <v>3077</v>
      </c>
      <c r="H3497" t="s">
        <v>3638</v>
      </c>
      <c r="I3497" t="s">
        <v>289</v>
      </c>
      <c r="J3497" t="s">
        <v>637</v>
      </c>
      <c r="K3497">
        <v>9</v>
      </c>
      <c r="L3497" s="6">
        <v>2.7</v>
      </c>
      <c r="M3497" s="7">
        <v>19</v>
      </c>
      <c r="N3497" s="7">
        <v>150</v>
      </c>
      <c r="O3497" s="7">
        <f t="shared" si="268"/>
        <v>106.29921259842521</v>
      </c>
      <c r="P3497" s="7">
        <f t="shared" si="269"/>
        <v>0.74803149606299213</v>
      </c>
      <c r="Q3497" s="7">
        <f t="shared" si="269"/>
        <v>5.9055118110236222</v>
      </c>
      <c r="R3497" s="6">
        <f t="shared" si="270"/>
        <v>1151.172</v>
      </c>
      <c r="S3497" s="6">
        <f t="shared" si="271"/>
        <v>7.6950000000000013E-3</v>
      </c>
      <c r="T3497" t="str">
        <f t="shared" si="272"/>
        <v>Maximo Thermo Ayous VJoint - Nickel Gap 1x6 Plus Long</v>
      </c>
    </row>
    <row r="3498" spans="1:20" x14ac:dyDescent="0.25">
      <c r="A3498" t="s">
        <v>4248</v>
      </c>
      <c r="B3498" t="s">
        <v>4249</v>
      </c>
      <c r="C3498" t="s">
        <v>2886</v>
      </c>
      <c r="D3498" t="s">
        <v>2886</v>
      </c>
      <c r="E3498" t="s">
        <v>4250</v>
      </c>
      <c r="F3498" t="s">
        <v>4251</v>
      </c>
      <c r="G3498" t="s">
        <v>4252</v>
      </c>
      <c r="H3498" t="s">
        <v>4253</v>
      </c>
      <c r="I3498" t="s">
        <v>289</v>
      </c>
      <c r="J3498" t="s">
        <v>4254</v>
      </c>
      <c r="K3498">
        <v>0</v>
      </c>
      <c r="L3498" s="6">
        <v>0</v>
      </c>
      <c r="M3498" s="7">
        <v>0</v>
      </c>
      <c r="N3498" s="7">
        <v>0</v>
      </c>
      <c r="O3498" s="7">
        <v>0</v>
      </c>
      <c r="P3498" s="7">
        <v>0</v>
      </c>
      <c r="Q3498" s="7">
        <v>0</v>
      </c>
      <c r="R3498" s="6">
        <v>0</v>
      </c>
      <c r="S3498" s="6">
        <v>0</v>
      </c>
      <c r="T3498" t="str">
        <f t="shared" si="272"/>
        <v>Nero Abodo Protector Water Born 4L Oil</v>
      </c>
    </row>
    <row r="3499" spans="1:20" x14ac:dyDescent="0.25">
      <c r="A3499" t="s">
        <v>4255</v>
      </c>
      <c r="B3499" t="s">
        <v>4256</v>
      </c>
      <c r="C3499" t="s">
        <v>283</v>
      </c>
      <c r="D3499" t="s">
        <v>3044</v>
      </c>
      <c r="E3499" t="s">
        <v>88</v>
      </c>
      <c r="F3499" t="s">
        <v>4257</v>
      </c>
      <c r="G3499" t="s">
        <v>4255</v>
      </c>
      <c r="H3499" t="s">
        <v>4258</v>
      </c>
      <c r="I3499" t="s">
        <v>289</v>
      </c>
      <c r="J3499" t="s">
        <v>344</v>
      </c>
      <c r="K3499">
        <v>10</v>
      </c>
      <c r="L3499" s="6">
        <v>3</v>
      </c>
      <c r="M3499" s="7">
        <v>19.049999999999997</v>
      </c>
      <c r="N3499" s="7">
        <v>139.69999999999999</v>
      </c>
      <c r="O3499" s="7">
        <f t="shared" ref="O3499:O3513" si="273">L3499/0.0254</f>
        <v>118.11023622047244</v>
      </c>
      <c r="P3499" s="7">
        <f t="shared" ref="P3499:Q3513" si="274">M3499/25.4</f>
        <v>0.74999999999999989</v>
      </c>
      <c r="Q3499" s="7">
        <f t="shared" si="274"/>
        <v>5.5</v>
      </c>
      <c r="R3499" s="6">
        <f t="shared" ref="R3499:R3513" si="275">ROUND(IFERROR(1/((M3499*N3499*0.3048)/1000000),0),3)</f>
        <v>1232.8030000000001</v>
      </c>
      <c r="S3499" s="6">
        <f t="shared" ref="S3499:S3513" si="276">L3499*M3499/1000*N3499/1000</f>
        <v>7.983854999999998E-3</v>
      </c>
      <c r="T3499" t="str">
        <f t="shared" si="272"/>
        <v>Wawa S4S Tongue &amp; Grooved 1x6 Long</v>
      </c>
    </row>
    <row r="3500" spans="1:20" x14ac:dyDescent="0.25">
      <c r="A3500" t="s">
        <v>4255</v>
      </c>
      <c r="B3500" t="s">
        <v>4256</v>
      </c>
      <c r="C3500" t="s">
        <v>283</v>
      </c>
      <c r="D3500" t="s">
        <v>3044</v>
      </c>
      <c r="E3500" t="s">
        <v>4259</v>
      </c>
      <c r="F3500" t="s">
        <v>4257</v>
      </c>
      <c r="G3500" t="s">
        <v>4255</v>
      </c>
      <c r="H3500" t="s">
        <v>4258</v>
      </c>
      <c r="I3500" t="s">
        <v>289</v>
      </c>
      <c r="J3500" t="s">
        <v>344</v>
      </c>
      <c r="K3500">
        <v>11</v>
      </c>
      <c r="L3500" s="6">
        <v>3.3</v>
      </c>
      <c r="M3500" s="7">
        <v>19.049999999999997</v>
      </c>
      <c r="N3500" s="7">
        <v>139.69999999999999</v>
      </c>
      <c r="O3500" s="7">
        <f t="shared" si="273"/>
        <v>129.92125984251967</v>
      </c>
      <c r="P3500" s="7">
        <f t="shared" si="274"/>
        <v>0.74999999999999989</v>
      </c>
      <c r="Q3500" s="7">
        <f t="shared" si="274"/>
        <v>5.5</v>
      </c>
      <c r="R3500" s="6">
        <f t="shared" si="275"/>
        <v>1232.8030000000001</v>
      </c>
      <c r="S3500" s="6">
        <f t="shared" si="276"/>
        <v>8.7822404999999982E-3</v>
      </c>
      <c r="T3500" t="str">
        <f t="shared" si="272"/>
        <v>Wawa S4S Tongue &amp; Grooved 1x6 Long</v>
      </c>
    </row>
    <row r="3501" spans="1:20" x14ac:dyDescent="0.25">
      <c r="A3501" t="s">
        <v>4255</v>
      </c>
      <c r="B3501" t="s">
        <v>4256</v>
      </c>
      <c r="C3501" t="s">
        <v>283</v>
      </c>
      <c r="D3501" t="s">
        <v>3044</v>
      </c>
      <c r="E3501" t="s">
        <v>89</v>
      </c>
      <c r="F3501" t="s">
        <v>4257</v>
      </c>
      <c r="G3501" t="s">
        <v>4255</v>
      </c>
      <c r="H3501" t="s">
        <v>4258</v>
      </c>
      <c r="I3501" t="s">
        <v>289</v>
      </c>
      <c r="J3501" t="s">
        <v>344</v>
      </c>
      <c r="K3501">
        <v>12</v>
      </c>
      <c r="L3501" s="6">
        <v>3.6</v>
      </c>
      <c r="M3501" s="7">
        <v>19.049999999999997</v>
      </c>
      <c r="N3501" s="7">
        <v>139.69999999999999</v>
      </c>
      <c r="O3501" s="7">
        <f t="shared" si="273"/>
        <v>141.73228346456693</v>
      </c>
      <c r="P3501" s="7">
        <f t="shared" si="274"/>
        <v>0.74999999999999989</v>
      </c>
      <c r="Q3501" s="7">
        <f t="shared" si="274"/>
        <v>5.5</v>
      </c>
      <c r="R3501" s="6">
        <f t="shared" si="275"/>
        <v>1232.8030000000001</v>
      </c>
      <c r="S3501" s="6">
        <f t="shared" si="276"/>
        <v>9.5806259999999983E-3</v>
      </c>
      <c r="T3501" t="str">
        <f t="shared" si="272"/>
        <v>Wawa S4S Tongue &amp; Grooved 1x6 Long</v>
      </c>
    </row>
    <row r="3502" spans="1:20" x14ac:dyDescent="0.25">
      <c r="A3502" t="s">
        <v>4255</v>
      </c>
      <c r="B3502" t="s">
        <v>4256</v>
      </c>
      <c r="C3502" t="s">
        <v>283</v>
      </c>
      <c r="D3502" t="s">
        <v>3044</v>
      </c>
      <c r="E3502" t="s">
        <v>4260</v>
      </c>
      <c r="F3502" t="s">
        <v>4257</v>
      </c>
      <c r="G3502" t="s">
        <v>4255</v>
      </c>
      <c r="H3502" t="s">
        <v>4258</v>
      </c>
      <c r="I3502" t="s">
        <v>289</v>
      </c>
      <c r="J3502" t="s">
        <v>344</v>
      </c>
      <c r="K3502">
        <v>13</v>
      </c>
      <c r="L3502" s="6">
        <v>3.9</v>
      </c>
      <c r="M3502" s="7">
        <v>19.049999999999997</v>
      </c>
      <c r="N3502" s="7">
        <v>139.69999999999999</v>
      </c>
      <c r="O3502" s="7">
        <f t="shared" si="273"/>
        <v>153.54330708661416</v>
      </c>
      <c r="P3502" s="7">
        <f t="shared" si="274"/>
        <v>0.74999999999999989</v>
      </c>
      <c r="Q3502" s="7">
        <f t="shared" si="274"/>
        <v>5.5</v>
      </c>
      <c r="R3502" s="6">
        <f t="shared" si="275"/>
        <v>1232.8030000000001</v>
      </c>
      <c r="S3502" s="6">
        <f t="shared" si="276"/>
        <v>1.0379011499999997E-2</v>
      </c>
      <c r="T3502" t="str">
        <f t="shared" si="272"/>
        <v>Wawa S4S Tongue &amp; Grooved 1x6 Long</v>
      </c>
    </row>
    <row r="3503" spans="1:20" x14ac:dyDescent="0.25">
      <c r="A3503" t="s">
        <v>4255</v>
      </c>
      <c r="B3503" t="s">
        <v>4256</v>
      </c>
      <c r="C3503" t="s">
        <v>283</v>
      </c>
      <c r="D3503" t="s">
        <v>3044</v>
      </c>
      <c r="E3503" t="s">
        <v>4261</v>
      </c>
      <c r="F3503" t="s">
        <v>4257</v>
      </c>
      <c r="G3503" t="s">
        <v>4255</v>
      </c>
      <c r="H3503" t="s">
        <v>4258</v>
      </c>
      <c r="I3503" t="s">
        <v>289</v>
      </c>
      <c r="J3503" t="s">
        <v>344</v>
      </c>
      <c r="K3503">
        <v>14</v>
      </c>
      <c r="L3503" s="6">
        <v>4.2</v>
      </c>
      <c r="M3503" s="7">
        <v>19.049999999999997</v>
      </c>
      <c r="N3503" s="7">
        <v>139.69999999999999</v>
      </c>
      <c r="O3503" s="7">
        <f t="shared" si="273"/>
        <v>165.35433070866142</v>
      </c>
      <c r="P3503" s="7">
        <f t="shared" si="274"/>
        <v>0.74999999999999989</v>
      </c>
      <c r="Q3503" s="7">
        <f t="shared" si="274"/>
        <v>5.5</v>
      </c>
      <c r="R3503" s="6">
        <f t="shared" si="275"/>
        <v>1232.8030000000001</v>
      </c>
      <c r="S3503" s="6">
        <f t="shared" si="276"/>
        <v>1.1177396999999999E-2</v>
      </c>
      <c r="T3503" t="str">
        <f t="shared" si="272"/>
        <v>Wawa S4S Tongue &amp; Grooved 1x6 Long</v>
      </c>
    </row>
    <row r="3504" spans="1:20" x14ac:dyDescent="0.25">
      <c r="A3504" t="s">
        <v>4255</v>
      </c>
      <c r="B3504" t="s">
        <v>4256</v>
      </c>
      <c r="C3504" t="s">
        <v>283</v>
      </c>
      <c r="D3504" t="s">
        <v>3044</v>
      </c>
      <c r="E3504" t="s">
        <v>4262</v>
      </c>
      <c r="F3504" t="s">
        <v>4257</v>
      </c>
      <c r="G3504" t="s">
        <v>4255</v>
      </c>
      <c r="H3504" t="s">
        <v>4258</v>
      </c>
      <c r="I3504" t="s">
        <v>289</v>
      </c>
      <c r="J3504" t="s">
        <v>344</v>
      </c>
      <c r="K3504">
        <v>15</v>
      </c>
      <c r="L3504" s="6">
        <v>4.5</v>
      </c>
      <c r="M3504" s="7">
        <v>19.049999999999997</v>
      </c>
      <c r="N3504" s="7">
        <v>139.69999999999999</v>
      </c>
      <c r="O3504" s="7">
        <f t="shared" si="273"/>
        <v>177.16535433070868</v>
      </c>
      <c r="P3504" s="7">
        <f t="shared" si="274"/>
        <v>0.74999999999999989</v>
      </c>
      <c r="Q3504" s="7">
        <f t="shared" si="274"/>
        <v>5.5</v>
      </c>
      <c r="R3504" s="6">
        <f t="shared" si="275"/>
        <v>1232.8030000000001</v>
      </c>
      <c r="S3504" s="6">
        <f t="shared" si="276"/>
        <v>1.1975782499999997E-2</v>
      </c>
      <c r="T3504" t="str">
        <f t="shared" si="272"/>
        <v>Wawa S4S Tongue &amp; Grooved 1x6 Long</v>
      </c>
    </row>
    <row r="3505" spans="1:20" x14ac:dyDescent="0.25">
      <c r="A3505" t="s">
        <v>4255</v>
      </c>
      <c r="B3505" t="s">
        <v>4256</v>
      </c>
      <c r="C3505" t="s">
        <v>283</v>
      </c>
      <c r="D3505" t="s">
        <v>3044</v>
      </c>
      <c r="E3505" t="s">
        <v>4263</v>
      </c>
      <c r="F3505" t="s">
        <v>4257</v>
      </c>
      <c r="G3505" t="s">
        <v>4255</v>
      </c>
      <c r="H3505" t="s">
        <v>4258</v>
      </c>
      <c r="I3505" t="s">
        <v>289</v>
      </c>
      <c r="J3505" t="s">
        <v>344</v>
      </c>
      <c r="K3505">
        <v>16</v>
      </c>
      <c r="L3505" s="6">
        <v>4.8</v>
      </c>
      <c r="M3505" s="7">
        <v>19.049999999999997</v>
      </c>
      <c r="N3505" s="7">
        <v>139.69999999999999</v>
      </c>
      <c r="O3505" s="7">
        <f t="shared" si="273"/>
        <v>188.97637795275591</v>
      </c>
      <c r="P3505" s="7">
        <f t="shared" si="274"/>
        <v>0.74999999999999989</v>
      </c>
      <c r="Q3505" s="7">
        <f t="shared" si="274"/>
        <v>5.5</v>
      </c>
      <c r="R3505" s="6">
        <f t="shared" si="275"/>
        <v>1232.8030000000001</v>
      </c>
      <c r="S3505" s="6">
        <f t="shared" si="276"/>
        <v>1.2774167999999995E-2</v>
      </c>
      <c r="T3505" t="str">
        <f t="shared" si="272"/>
        <v>Wawa S4S Tongue &amp; Grooved 1x6 Long</v>
      </c>
    </row>
    <row r="3506" spans="1:20" x14ac:dyDescent="0.25">
      <c r="A3506" t="s">
        <v>4255</v>
      </c>
      <c r="B3506" t="s">
        <v>4256</v>
      </c>
      <c r="C3506" t="s">
        <v>283</v>
      </c>
      <c r="D3506" t="s">
        <v>3044</v>
      </c>
      <c r="E3506" t="s">
        <v>4264</v>
      </c>
      <c r="F3506" t="s">
        <v>4257</v>
      </c>
      <c r="G3506" t="s">
        <v>4255</v>
      </c>
      <c r="H3506" t="s">
        <v>4258</v>
      </c>
      <c r="I3506" t="s">
        <v>289</v>
      </c>
      <c r="J3506" t="s">
        <v>344</v>
      </c>
      <c r="K3506">
        <v>17</v>
      </c>
      <c r="L3506" s="6">
        <v>5.0999999999999996</v>
      </c>
      <c r="M3506" s="7">
        <v>19.049999999999997</v>
      </c>
      <c r="N3506" s="7">
        <v>139.69999999999999</v>
      </c>
      <c r="O3506" s="7">
        <f t="shared" si="273"/>
        <v>200.78740157480314</v>
      </c>
      <c r="P3506" s="7">
        <f t="shared" si="274"/>
        <v>0.74999999999999989</v>
      </c>
      <c r="Q3506" s="7">
        <f t="shared" si="274"/>
        <v>5.5</v>
      </c>
      <c r="R3506" s="6">
        <f t="shared" si="275"/>
        <v>1232.8030000000001</v>
      </c>
      <c r="S3506" s="6">
        <f t="shared" si="276"/>
        <v>1.3572553499999996E-2</v>
      </c>
      <c r="T3506" t="str">
        <f t="shared" si="272"/>
        <v>Wawa S4S Tongue &amp; Grooved 1x6 Long</v>
      </c>
    </row>
    <row r="3507" spans="1:20" x14ac:dyDescent="0.25">
      <c r="A3507" t="s">
        <v>4255</v>
      </c>
      <c r="B3507" t="s">
        <v>4256</v>
      </c>
      <c r="C3507" t="s">
        <v>283</v>
      </c>
      <c r="D3507" t="s">
        <v>3044</v>
      </c>
      <c r="E3507" t="s">
        <v>4265</v>
      </c>
      <c r="F3507" t="s">
        <v>4257</v>
      </c>
      <c r="G3507" t="s">
        <v>4255</v>
      </c>
      <c r="H3507" t="s">
        <v>4258</v>
      </c>
      <c r="I3507" t="s">
        <v>289</v>
      </c>
      <c r="J3507" t="s">
        <v>344</v>
      </c>
      <c r="K3507">
        <v>18</v>
      </c>
      <c r="L3507" s="6">
        <v>5.4</v>
      </c>
      <c r="M3507" s="7">
        <v>19.049999999999997</v>
      </c>
      <c r="N3507" s="7">
        <v>139.69999999999999</v>
      </c>
      <c r="O3507" s="7">
        <f t="shared" si="273"/>
        <v>212.59842519685043</v>
      </c>
      <c r="P3507" s="7">
        <f t="shared" si="274"/>
        <v>0.74999999999999989</v>
      </c>
      <c r="Q3507" s="7">
        <f t="shared" si="274"/>
        <v>5.5</v>
      </c>
      <c r="R3507" s="6">
        <f t="shared" si="275"/>
        <v>1232.8030000000001</v>
      </c>
      <c r="S3507" s="6">
        <f t="shared" si="276"/>
        <v>1.4370938999999998E-2</v>
      </c>
      <c r="T3507" t="str">
        <f t="shared" si="272"/>
        <v>Wawa S4S Tongue &amp; Grooved 1x6 Long</v>
      </c>
    </row>
    <row r="3508" spans="1:20" x14ac:dyDescent="0.25">
      <c r="A3508" t="s">
        <v>4255</v>
      </c>
      <c r="B3508" t="s">
        <v>4256</v>
      </c>
      <c r="C3508" t="s">
        <v>524</v>
      </c>
      <c r="D3508" t="s">
        <v>3044</v>
      </c>
      <c r="E3508" t="s">
        <v>4266</v>
      </c>
      <c r="F3508" t="s">
        <v>4257</v>
      </c>
      <c r="G3508" t="s">
        <v>4255</v>
      </c>
      <c r="H3508" t="s">
        <v>4258</v>
      </c>
      <c r="I3508" t="s">
        <v>289</v>
      </c>
      <c r="J3508" t="s">
        <v>344</v>
      </c>
      <c r="K3508">
        <v>4</v>
      </c>
      <c r="L3508" s="6">
        <v>1.2</v>
      </c>
      <c r="M3508" s="7">
        <v>19.049999999999997</v>
      </c>
      <c r="N3508" s="7">
        <v>139.69999999999999</v>
      </c>
      <c r="O3508" s="7">
        <f t="shared" si="273"/>
        <v>47.244094488188978</v>
      </c>
      <c r="P3508" s="7">
        <f t="shared" si="274"/>
        <v>0.74999999999999989</v>
      </c>
      <c r="Q3508" s="7">
        <f t="shared" si="274"/>
        <v>5.5</v>
      </c>
      <c r="R3508" s="6">
        <f t="shared" si="275"/>
        <v>1232.8030000000001</v>
      </c>
      <c r="S3508" s="6">
        <f t="shared" si="276"/>
        <v>3.1935419999999989E-3</v>
      </c>
      <c r="T3508" t="str">
        <f t="shared" si="272"/>
        <v>Wawa S4S Tongue &amp; Grooved 1x6 Short</v>
      </c>
    </row>
    <row r="3509" spans="1:20" x14ac:dyDescent="0.25">
      <c r="A3509" t="s">
        <v>4255</v>
      </c>
      <c r="B3509" t="s">
        <v>4256</v>
      </c>
      <c r="C3509" t="s">
        <v>524</v>
      </c>
      <c r="D3509" t="s">
        <v>3044</v>
      </c>
      <c r="E3509" t="s">
        <v>4267</v>
      </c>
      <c r="F3509" t="s">
        <v>4257</v>
      </c>
      <c r="G3509" t="s">
        <v>4255</v>
      </c>
      <c r="H3509" t="s">
        <v>4258</v>
      </c>
      <c r="I3509" t="s">
        <v>289</v>
      </c>
      <c r="J3509" t="s">
        <v>344</v>
      </c>
      <c r="K3509">
        <v>5</v>
      </c>
      <c r="L3509" s="6">
        <v>1.5</v>
      </c>
      <c r="M3509" s="7">
        <v>19.049999999999997</v>
      </c>
      <c r="N3509" s="7">
        <v>139.69999999999999</v>
      </c>
      <c r="O3509" s="7">
        <f t="shared" si="273"/>
        <v>59.055118110236222</v>
      </c>
      <c r="P3509" s="7">
        <f t="shared" si="274"/>
        <v>0.74999999999999989</v>
      </c>
      <c r="Q3509" s="7">
        <f t="shared" si="274"/>
        <v>5.5</v>
      </c>
      <c r="R3509" s="6">
        <f t="shared" si="275"/>
        <v>1232.8030000000001</v>
      </c>
      <c r="S3509" s="6">
        <f t="shared" si="276"/>
        <v>3.991927499999999E-3</v>
      </c>
      <c r="T3509" t="str">
        <f t="shared" si="272"/>
        <v>Wawa S4S Tongue &amp; Grooved 1x6 Short</v>
      </c>
    </row>
    <row r="3510" spans="1:20" x14ac:dyDescent="0.25">
      <c r="A3510" t="s">
        <v>4255</v>
      </c>
      <c r="B3510" t="s">
        <v>4256</v>
      </c>
      <c r="C3510" t="s">
        <v>524</v>
      </c>
      <c r="D3510" t="s">
        <v>3044</v>
      </c>
      <c r="E3510" t="s">
        <v>4268</v>
      </c>
      <c r="F3510" t="s">
        <v>4257</v>
      </c>
      <c r="G3510" t="s">
        <v>4255</v>
      </c>
      <c r="H3510" t="s">
        <v>4258</v>
      </c>
      <c r="I3510" t="s">
        <v>289</v>
      </c>
      <c r="J3510" t="s">
        <v>344</v>
      </c>
      <c r="K3510">
        <v>6</v>
      </c>
      <c r="L3510" s="6">
        <v>1.8</v>
      </c>
      <c r="M3510" s="7">
        <v>19.049999999999997</v>
      </c>
      <c r="N3510" s="7">
        <v>139.69999999999999</v>
      </c>
      <c r="O3510" s="7">
        <f t="shared" si="273"/>
        <v>70.866141732283467</v>
      </c>
      <c r="P3510" s="7">
        <f t="shared" si="274"/>
        <v>0.74999999999999989</v>
      </c>
      <c r="Q3510" s="7">
        <f t="shared" si="274"/>
        <v>5.5</v>
      </c>
      <c r="R3510" s="6">
        <f t="shared" si="275"/>
        <v>1232.8030000000001</v>
      </c>
      <c r="S3510" s="6">
        <f t="shared" si="276"/>
        <v>4.7903129999999992E-3</v>
      </c>
      <c r="T3510" t="str">
        <f t="shared" si="272"/>
        <v>Wawa S4S Tongue &amp; Grooved 1x6 Short</v>
      </c>
    </row>
    <row r="3511" spans="1:20" x14ac:dyDescent="0.25">
      <c r="A3511" t="s">
        <v>4255</v>
      </c>
      <c r="B3511" t="s">
        <v>4256</v>
      </c>
      <c r="C3511" t="s">
        <v>524</v>
      </c>
      <c r="D3511" t="s">
        <v>3044</v>
      </c>
      <c r="E3511" t="s">
        <v>4269</v>
      </c>
      <c r="F3511" t="s">
        <v>4257</v>
      </c>
      <c r="G3511" t="s">
        <v>4255</v>
      </c>
      <c r="H3511" t="s">
        <v>4258</v>
      </c>
      <c r="I3511" t="s">
        <v>289</v>
      </c>
      <c r="J3511" t="s">
        <v>344</v>
      </c>
      <c r="K3511">
        <v>7</v>
      </c>
      <c r="L3511" s="6">
        <v>2.1</v>
      </c>
      <c r="M3511" s="7">
        <v>19.049999999999997</v>
      </c>
      <c r="N3511" s="7">
        <v>139.69999999999999</v>
      </c>
      <c r="O3511" s="7">
        <f t="shared" si="273"/>
        <v>82.677165354330711</v>
      </c>
      <c r="P3511" s="7">
        <f t="shared" si="274"/>
        <v>0.74999999999999989</v>
      </c>
      <c r="Q3511" s="7">
        <f t="shared" si="274"/>
        <v>5.5</v>
      </c>
      <c r="R3511" s="6">
        <f t="shared" si="275"/>
        <v>1232.8030000000001</v>
      </c>
      <c r="S3511" s="6">
        <f t="shared" si="276"/>
        <v>5.5886984999999993E-3</v>
      </c>
      <c r="T3511" t="str">
        <f t="shared" si="272"/>
        <v>Wawa S4S Tongue &amp; Grooved 1x6 Short</v>
      </c>
    </row>
    <row r="3512" spans="1:20" x14ac:dyDescent="0.25">
      <c r="A3512" t="s">
        <v>4255</v>
      </c>
      <c r="B3512" t="s">
        <v>4256</v>
      </c>
      <c r="C3512" t="s">
        <v>283</v>
      </c>
      <c r="D3512" t="s">
        <v>3044</v>
      </c>
      <c r="E3512" t="s">
        <v>4270</v>
      </c>
      <c r="F3512" t="s">
        <v>4257</v>
      </c>
      <c r="G3512" t="s">
        <v>4255</v>
      </c>
      <c r="H3512" t="s">
        <v>4258</v>
      </c>
      <c r="I3512" t="s">
        <v>289</v>
      </c>
      <c r="J3512" t="s">
        <v>344</v>
      </c>
      <c r="K3512">
        <v>8</v>
      </c>
      <c r="L3512" s="6">
        <v>2.4</v>
      </c>
      <c r="M3512" s="7">
        <v>19.049999999999997</v>
      </c>
      <c r="N3512" s="7">
        <v>139.69999999999999</v>
      </c>
      <c r="O3512" s="7">
        <f t="shared" si="273"/>
        <v>94.488188976377955</v>
      </c>
      <c r="P3512" s="7">
        <f t="shared" si="274"/>
        <v>0.74999999999999989</v>
      </c>
      <c r="Q3512" s="7">
        <f t="shared" si="274"/>
        <v>5.5</v>
      </c>
      <c r="R3512" s="6">
        <f t="shared" si="275"/>
        <v>1232.8030000000001</v>
      </c>
      <c r="S3512" s="6">
        <f t="shared" si="276"/>
        <v>6.3870839999999977E-3</v>
      </c>
      <c r="T3512" t="str">
        <f t="shared" si="272"/>
        <v>Wawa S4S Tongue &amp; Grooved 1x6 Long</v>
      </c>
    </row>
    <row r="3513" spans="1:20" x14ac:dyDescent="0.25">
      <c r="A3513" t="s">
        <v>4255</v>
      </c>
      <c r="B3513" t="s">
        <v>4256</v>
      </c>
      <c r="C3513" t="s">
        <v>283</v>
      </c>
      <c r="D3513" t="s">
        <v>3044</v>
      </c>
      <c r="E3513" t="s">
        <v>4271</v>
      </c>
      <c r="F3513" t="s">
        <v>4257</v>
      </c>
      <c r="G3513" t="s">
        <v>4255</v>
      </c>
      <c r="H3513" t="s">
        <v>4258</v>
      </c>
      <c r="I3513" t="s">
        <v>289</v>
      </c>
      <c r="J3513" t="s">
        <v>344</v>
      </c>
      <c r="K3513">
        <v>9</v>
      </c>
      <c r="L3513" s="6">
        <v>2.7</v>
      </c>
      <c r="M3513" s="7">
        <v>19.049999999999997</v>
      </c>
      <c r="N3513" s="7">
        <v>139.69999999999999</v>
      </c>
      <c r="O3513" s="7">
        <f t="shared" si="273"/>
        <v>106.29921259842521</v>
      </c>
      <c r="P3513" s="7">
        <f t="shared" si="274"/>
        <v>0.74999999999999989</v>
      </c>
      <c r="Q3513" s="7">
        <f t="shared" si="274"/>
        <v>5.5</v>
      </c>
      <c r="R3513" s="6">
        <f t="shared" si="275"/>
        <v>1232.8030000000001</v>
      </c>
      <c r="S3513" s="6">
        <f t="shared" si="276"/>
        <v>7.1854694999999988E-3</v>
      </c>
      <c r="T3513" t="str">
        <f t="shared" si="272"/>
        <v>Wawa S4S Tongue &amp; Grooved 1x6 Long</v>
      </c>
    </row>
    <row r="3514" spans="1:20" x14ac:dyDescent="0.25">
      <c r="A3514" t="s">
        <v>4248</v>
      </c>
      <c r="B3514" t="s">
        <v>4249</v>
      </c>
      <c r="C3514" t="s">
        <v>2886</v>
      </c>
      <c r="D3514" t="s">
        <v>2886</v>
      </c>
      <c r="E3514" t="s">
        <v>4272</v>
      </c>
      <c r="F3514" t="s">
        <v>4273</v>
      </c>
      <c r="G3514" t="s">
        <v>2822</v>
      </c>
      <c r="H3514" t="s">
        <v>4253</v>
      </c>
      <c r="I3514" t="s">
        <v>289</v>
      </c>
      <c r="J3514" t="s">
        <v>4254</v>
      </c>
      <c r="K3514">
        <v>0</v>
      </c>
      <c r="L3514" s="6">
        <v>0</v>
      </c>
      <c r="M3514" s="7">
        <v>0</v>
      </c>
      <c r="N3514" s="7">
        <v>0</v>
      </c>
      <c r="O3514" s="7">
        <v>0</v>
      </c>
      <c r="P3514" s="7">
        <v>0</v>
      </c>
      <c r="Q3514" s="7">
        <v>0</v>
      </c>
      <c r="R3514" s="6">
        <v>0</v>
      </c>
      <c r="S3514" s="6">
        <v>0</v>
      </c>
      <c r="T3514" t="str">
        <f t="shared" si="272"/>
        <v>White Abodo Protector Water Born 4L Oil</v>
      </c>
    </row>
    <row r="3515" spans="1:20" x14ac:dyDescent="0.25">
      <c r="A3515" t="s">
        <v>4274</v>
      </c>
      <c r="B3515" t="s">
        <v>4275</v>
      </c>
      <c r="C3515" t="s">
        <v>2886</v>
      </c>
      <c r="D3515" t="s">
        <v>4274</v>
      </c>
      <c r="E3515">
        <v>100558</v>
      </c>
      <c r="F3515" t="s">
        <v>4276</v>
      </c>
      <c r="G3515" t="s">
        <v>2904</v>
      </c>
      <c r="H3515" t="s">
        <v>4277</v>
      </c>
      <c r="I3515" t="s">
        <v>2891</v>
      </c>
      <c r="J3515" t="s">
        <v>2898</v>
      </c>
      <c r="K3515">
        <v>0</v>
      </c>
      <c r="L3515" s="6">
        <v>0</v>
      </c>
      <c r="M3515" s="7">
        <v>0</v>
      </c>
      <c r="N3515" s="7">
        <v>0</v>
      </c>
      <c r="O3515" s="7">
        <v>0</v>
      </c>
      <c r="P3515" s="7">
        <v>0</v>
      </c>
      <c r="Q3515" s="7">
        <v>0</v>
      </c>
      <c r="R3515" s="6">
        <v>0</v>
      </c>
      <c r="S3515" s="6">
        <v>0</v>
      </c>
      <c r="T3515" t="str">
        <f t="shared" si="272"/>
        <v>Ayous Natural US4 Everclad Aqua Oil Transparent Oil</v>
      </c>
    </row>
    <row r="3516" spans="1:20" x14ac:dyDescent="0.25">
      <c r="A3516" t="s">
        <v>4274</v>
      </c>
      <c r="B3516" t="s">
        <v>4278</v>
      </c>
      <c r="C3516" t="s">
        <v>2886</v>
      </c>
      <c r="D3516" t="s">
        <v>4274</v>
      </c>
      <c r="E3516">
        <v>100567</v>
      </c>
      <c r="F3516" t="s">
        <v>4276</v>
      </c>
      <c r="G3516" t="s">
        <v>2904</v>
      </c>
      <c r="H3516" t="s">
        <v>4277</v>
      </c>
      <c r="I3516" t="s">
        <v>2891</v>
      </c>
      <c r="J3516" t="s">
        <v>2895</v>
      </c>
      <c r="K3516">
        <v>0</v>
      </c>
      <c r="L3516" s="6">
        <v>0</v>
      </c>
      <c r="M3516" s="7">
        <v>0</v>
      </c>
      <c r="N3516" s="7">
        <v>0</v>
      </c>
      <c r="O3516" s="7">
        <v>0</v>
      </c>
      <c r="P3516" s="7">
        <v>0</v>
      </c>
      <c r="Q3516" s="7">
        <v>0</v>
      </c>
      <c r="R3516" s="6">
        <v>0</v>
      </c>
      <c r="S3516" s="6">
        <v>0</v>
      </c>
      <c r="T3516" t="str">
        <f t="shared" si="272"/>
        <v>Ayous Natural US4 Everclad Aqua Oil Transparent Oil</v>
      </c>
    </row>
    <row r="3517" spans="1:20" x14ac:dyDescent="0.25">
      <c r="A3517" t="s">
        <v>4274</v>
      </c>
      <c r="B3517" t="s">
        <v>4279</v>
      </c>
      <c r="C3517" t="s">
        <v>2886</v>
      </c>
      <c r="D3517" t="s">
        <v>4274</v>
      </c>
      <c r="E3517">
        <v>100576</v>
      </c>
      <c r="F3517" t="s">
        <v>4276</v>
      </c>
      <c r="G3517" t="s">
        <v>2904</v>
      </c>
      <c r="H3517" t="s">
        <v>4277</v>
      </c>
      <c r="I3517" t="s">
        <v>2891</v>
      </c>
      <c r="J3517" t="s">
        <v>2901</v>
      </c>
      <c r="K3517">
        <v>0</v>
      </c>
      <c r="L3517" s="6">
        <v>0</v>
      </c>
      <c r="M3517" s="7">
        <v>0</v>
      </c>
      <c r="N3517" s="7">
        <v>0</v>
      </c>
      <c r="O3517" s="7">
        <v>0</v>
      </c>
      <c r="P3517" s="7">
        <v>0</v>
      </c>
      <c r="Q3517" s="7">
        <v>0</v>
      </c>
      <c r="R3517" s="6">
        <v>0</v>
      </c>
      <c r="S3517" s="6">
        <v>0</v>
      </c>
      <c r="T3517" t="str">
        <f t="shared" si="272"/>
        <v>Ayous Natural US4 Everclad Aqua Oil Transparent Oil</v>
      </c>
    </row>
    <row r="3518" spans="1:20" x14ac:dyDescent="0.25">
      <c r="A3518" t="s">
        <v>4274</v>
      </c>
      <c r="B3518" t="s">
        <v>4280</v>
      </c>
      <c r="C3518" t="s">
        <v>2886</v>
      </c>
      <c r="D3518" t="s">
        <v>4274</v>
      </c>
      <c r="E3518">
        <v>100585</v>
      </c>
      <c r="F3518" t="s">
        <v>4276</v>
      </c>
      <c r="G3518" t="s">
        <v>2904</v>
      </c>
      <c r="H3518" t="s">
        <v>4277</v>
      </c>
      <c r="I3518" t="s">
        <v>2891</v>
      </c>
      <c r="J3518" t="s">
        <v>2892</v>
      </c>
      <c r="K3518">
        <v>0</v>
      </c>
      <c r="L3518" s="6">
        <v>0</v>
      </c>
      <c r="M3518" s="7">
        <v>0</v>
      </c>
      <c r="N3518" s="7">
        <v>0</v>
      </c>
      <c r="O3518" s="7">
        <v>0</v>
      </c>
      <c r="P3518" s="7">
        <v>0</v>
      </c>
      <c r="Q3518" s="7">
        <v>0</v>
      </c>
      <c r="R3518" s="6">
        <v>0</v>
      </c>
      <c r="S3518" s="6">
        <v>0</v>
      </c>
      <c r="T3518" t="str">
        <f t="shared" si="272"/>
        <v>Ayous Natural US4 Everclad Aqua Oil Transparent Oil</v>
      </c>
    </row>
    <row r="3519" spans="1:20" x14ac:dyDescent="0.25">
      <c r="A3519" t="s">
        <v>4274</v>
      </c>
      <c r="B3519" t="s">
        <v>4275</v>
      </c>
      <c r="C3519" t="s">
        <v>2886</v>
      </c>
      <c r="D3519" t="s">
        <v>4274</v>
      </c>
      <c r="E3519">
        <v>100610</v>
      </c>
      <c r="F3519" t="s">
        <v>4281</v>
      </c>
      <c r="G3519" t="s">
        <v>2910</v>
      </c>
      <c r="H3519" t="s">
        <v>4277</v>
      </c>
      <c r="I3519" t="s">
        <v>2936</v>
      </c>
      <c r="J3519" t="s">
        <v>2898</v>
      </c>
      <c r="K3519">
        <v>0</v>
      </c>
      <c r="L3519" s="6">
        <v>0</v>
      </c>
      <c r="M3519" s="7">
        <v>0</v>
      </c>
      <c r="N3519" s="7">
        <v>0</v>
      </c>
      <c r="O3519" s="7">
        <v>0</v>
      </c>
      <c r="P3519" s="7">
        <v>0</v>
      </c>
      <c r="Q3519" s="7">
        <v>0</v>
      </c>
      <c r="R3519" s="6">
        <v>0</v>
      </c>
      <c r="S3519" s="6">
        <v>0</v>
      </c>
      <c r="T3519" t="str">
        <f t="shared" si="272"/>
        <v>Bangkirai US4 Everclad Aqua Oil Opaque Oil</v>
      </c>
    </row>
    <row r="3520" spans="1:20" x14ac:dyDescent="0.25">
      <c r="A3520" t="s">
        <v>4274</v>
      </c>
      <c r="B3520" t="s">
        <v>4278</v>
      </c>
      <c r="C3520" t="s">
        <v>2886</v>
      </c>
      <c r="D3520" t="s">
        <v>4274</v>
      </c>
      <c r="E3520">
        <v>100616</v>
      </c>
      <c r="F3520" t="s">
        <v>4281</v>
      </c>
      <c r="G3520" t="s">
        <v>2910</v>
      </c>
      <c r="H3520" t="s">
        <v>4277</v>
      </c>
      <c r="I3520" t="s">
        <v>2936</v>
      </c>
      <c r="J3520" t="s">
        <v>2895</v>
      </c>
      <c r="K3520">
        <v>0</v>
      </c>
      <c r="L3520" s="6">
        <v>0</v>
      </c>
      <c r="M3520" s="7">
        <v>0</v>
      </c>
      <c r="N3520" s="7">
        <v>0</v>
      </c>
      <c r="O3520" s="7">
        <v>0</v>
      </c>
      <c r="P3520" s="7">
        <v>0</v>
      </c>
      <c r="Q3520" s="7">
        <v>0</v>
      </c>
      <c r="R3520" s="6">
        <v>0</v>
      </c>
      <c r="S3520" s="6">
        <v>0</v>
      </c>
      <c r="T3520" t="str">
        <f t="shared" si="272"/>
        <v>Bangkirai US4 Everclad Aqua Oil Opaque Oil</v>
      </c>
    </row>
    <row r="3521" spans="1:20" x14ac:dyDescent="0.25">
      <c r="A3521" t="s">
        <v>4274</v>
      </c>
      <c r="B3521" t="s">
        <v>4279</v>
      </c>
      <c r="C3521" t="s">
        <v>2886</v>
      </c>
      <c r="D3521" t="s">
        <v>4274</v>
      </c>
      <c r="E3521">
        <v>100622</v>
      </c>
      <c r="F3521" t="s">
        <v>4281</v>
      </c>
      <c r="G3521" t="s">
        <v>2910</v>
      </c>
      <c r="H3521" t="s">
        <v>4277</v>
      </c>
      <c r="I3521" t="s">
        <v>2936</v>
      </c>
      <c r="J3521" t="s">
        <v>2901</v>
      </c>
      <c r="K3521">
        <v>0</v>
      </c>
      <c r="L3521" s="6">
        <v>0</v>
      </c>
      <c r="M3521" s="7">
        <v>0</v>
      </c>
      <c r="N3521" s="7">
        <v>0</v>
      </c>
      <c r="O3521" s="7">
        <v>0</v>
      </c>
      <c r="P3521" s="7">
        <v>0</v>
      </c>
      <c r="Q3521" s="7">
        <v>0</v>
      </c>
      <c r="R3521" s="6">
        <v>0</v>
      </c>
      <c r="S3521" s="6">
        <v>0</v>
      </c>
      <c r="T3521" t="str">
        <f t="shared" si="272"/>
        <v>Bangkirai US4 Everclad Aqua Oil Opaque Oil</v>
      </c>
    </row>
    <row r="3522" spans="1:20" x14ac:dyDescent="0.25">
      <c r="A3522" t="s">
        <v>4274</v>
      </c>
      <c r="B3522" t="s">
        <v>4280</v>
      </c>
      <c r="C3522" t="s">
        <v>2886</v>
      </c>
      <c r="D3522" t="s">
        <v>4274</v>
      </c>
      <c r="E3522">
        <v>100628</v>
      </c>
      <c r="F3522" t="s">
        <v>4281</v>
      </c>
      <c r="G3522" t="s">
        <v>2910</v>
      </c>
      <c r="H3522" t="s">
        <v>4277</v>
      </c>
      <c r="I3522" t="s">
        <v>2936</v>
      </c>
      <c r="J3522" t="s">
        <v>2892</v>
      </c>
      <c r="K3522">
        <v>0</v>
      </c>
      <c r="L3522" s="6">
        <v>0</v>
      </c>
      <c r="M3522" s="7">
        <v>0</v>
      </c>
      <c r="N3522" s="7">
        <v>0</v>
      </c>
      <c r="O3522" s="7">
        <v>0</v>
      </c>
      <c r="P3522" s="7">
        <v>0</v>
      </c>
      <c r="Q3522" s="7">
        <v>0</v>
      </c>
      <c r="R3522" s="6">
        <v>0</v>
      </c>
      <c r="S3522" s="6">
        <v>0</v>
      </c>
      <c r="T3522" t="str">
        <f t="shared" ref="T3522:T3585" si="277">F3522&amp;" "&amp;C3522</f>
        <v>Bangkirai US4 Everclad Aqua Oil Opaque Oil</v>
      </c>
    </row>
    <row r="3523" spans="1:20" x14ac:dyDescent="0.25">
      <c r="A3523" t="s">
        <v>4274</v>
      </c>
      <c r="B3523" t="s">
        <v>4275</v>
      </c>
      <c r="C3523" t="s">
        <v>2886</v>
      </c>
      <c r="D3523" t="s">
        <v>4274</v>
      </c>
      <c r="E3523">
        <v>100550</v>
      </c>
      <c r="F3523" t="s">
        <v>4282</v>
      </c>
      <c r="G3523" t="s">
        <v>2910</v>
      </c>
      <c r="H3523" t="s">
        <v>4277</v>
      </c>
      <c r="I3523" t="s">
        <v>2891</v>
      </c>
      <c r="J3523" t="s">
        <v>2898</v>
      </c>
      <c r="K3523">
        <v>0</v>
      </c>
      <c r="L3523" s="6">
        <v>0</v>
      </c>
      <c r="M3523" s="7">
        <v>0</v>
      </c>
      <c r="N3523" s="7">
        <v>0</v>
      </c>
      <c r="O3523" s="7">
        <v>0</v>
      </c>
      <c r="P3523" s="7">
        <v>0</v>
      </c>
      <c r="Q3523" s="7">
        <v>0</v>
      </c>
      <c r="R3523" s="6">
        <v>0</v>
      </c>
      <c r="S3523" s="6">
        <v>0</v>
      </c>
      <c r="T3523" t="str">
        <f t="shared" si="277"/>
        <v>Bangkirai US4 Everclad Aqua Oil Transparent Oil</v>
      </c>
    </row>
    <row r="3524" spans="1:20" x14ac:dyDescent="0.25">
      <c r="A3524" t="s">
        <v>4274</v>
      </c>
      <c r="B3524" t="s">
        <v>4278</v>
      </c>
      <c r="C3524" t="s">
        <v>2886</v>
      </c>
      <c r="D3524" t="s">
        <v>4274</v>
      </c>
      <c r="E3524">
        <v>100559</v>
      </c>
      <c r="F3524" t="s">
        <v>4282</v>
      </c>
      <c r="G3524" t="s">
        <v>2910</v>
      </c>
      <c r="H3524" t="s">
        <v>4277</v>
      </c>
      <c r="I3524" t="s">
        <v>2891</v>
      </c>
      <c r="J3524" t="s">
        <v>2895</v>
      </c>
      <c r="K3524">
        <v>0</v>
      </c>
      <c r="L3524" s="6">
        <v>0</v>
      </c>
      <c r="M3524" s="7">
        <v>0</v>
      </c>
      <c r="N3524" s="7">
        <v>0</v>
      </c>
      <c r="O3524" s="7">
        <v>0</v>
      </c>
      <c r="P3524" s="7">
        <v>0</v>
      </c>
      <c r="Q3524" s="7">
        <v>0</v>
      </c>
      <c r="R3524" s="6">
        <v>0</v>
      </c>
      <c r="S3524" s="6">
        <v>0</v>
      </c>
      <c r="T3524" t="str">
        <f t="shared" si="277"/>
        <v>Bangkirai US4 Everclad Aqua Oil Transparent Oil</v>
      </c>
    </row>
    <row r="3525" spans="1:20" x14ac:dyDescent="0.25">
      <c r="A3525" t="s">
        <v>4274</v>
      </c>
      <c r="B3525" t="s">
        <v>4279</v>
      </c>
      <c r="C3525" t="s">
        <v>2886</v>
      </c>
      <c r="D3525" t="s">
        <v>4274</v>
      </c>
      <c r="E3525">
        <v>100568</v>
      </c>
      <c r="F3525" t="s">
        <v>4282</v>
      </c>
      <c r="G3525" t="s">
        <v>2910</v>
      </c>
      <c r="H3525" t="s">
        <v>4277</v>
      </c>
      <c r="I3525" t="s">
        <v>2891</v>
      </c>
      <c r="J3525" t="s">
        <v>2901</v>
      </c>
      <c r="K3525">
        <v>0</v>
      </c>
      <c r="L3525" s="6">
        <v>0</v>
      </c>
      <c r="M3525" s="7">
        <v>0</v>
      </c>
      <c r="N3525" s="7">
        <v>0</v>
      </c>
      <c r="O3525" s="7">
        <v>0</v>
      </c>
      <c r="P3525" s="7">
        <v>0</v>
      </c>
      <c r="Q3525" s="7">
        <v>0</v>
      </c>
      <c r="R3525" s="6">
        <v>0</v>
      </c>
      <c r="S3525" s="6">
        <v>0</v>
      </c>
      <c r="T3525" t="str">
        <f t="shared" si="277"/>
        <v>Bangkirai US4 Everclad Aqua Oil Transparent Oil</v>
      </c>
    </row>
    <row r="3526" spans="1:20" x14ac:dyDescent="0.25">
      <c r="A3526" t="s">
        <v>4274</v>
      </c>
      <c r="B3526" t="s">
        <v>4280</v>
      </c>
      <c r="C3526" t="s">
        <v>2886</v>
      </c>
      <c r="D3526" t="s">
        <v>4274</v>
      </c>
      <c r="E3526">
        <v>100577</v>
      </c>
      <c r="F3526" t="s">
        <v>4282</v>
      </c>
      <c r="G3526" t="s">
        <v>2910</v>
      </c>
      <c r="H3526" t="s">
        <v>4277</v>
      </c>
      <c r="I3526" t="s">
        <v>2891</v>
      </c>
      <c r="J3526" t="s">
        <v>2892</v>
      </c>
      <c r="K3526">
        <v>0</v>
      </c>
      <c r="L3526" s="6">
        <v>0</v>
      </c>
      <c r="M3526" s="7">
        <v>0</v>
      </c>
      <c r="N3526" s="7">
        <v>0</v>
      </c>
      <c r="O3526" s="7">
        <v>0</v>
      </c>
      <c r="P3526" s="7">
        <v>0</v>
      </c>
      <c r="Q3526" s="7">
        <v>0</v>
      </c>
      <c r="R3526" s="6">
        <v>0</v>
      </c>
      <c r="S3526" s="6">
        <v>0</v>
      </c>
      <c r="T3526" t="str">
        <f t="shared" si="277"/>
        <v>Bangkirai US4 Everclad Aqua Oil Transparent Oil</v>
      </c>
    </row>
    <row r="3527" spans="1:20" x14ac:dyDescent="0.25">
      <c r="A3527" t="s">
        <v>4274</v>
      </c>
      <c r="B3527" t="s">
        <v>4275</v>
      </c>
      <c r="C3527" t="s">
        <v>2886</v>
      </c>
      <c r="D3527" t="s">
        <v>4274</v>
      </c>
      <c r="E3527">
        <v>100586</v>
      </c>
      <c r="F3527" t="s">
        <v>4283</v>
      </c>
      <c r="G3527" t="s">
        <v>2910</v>
      </c>
      <c r="H3527" t="s">
        <v>4284</v>
      </c>
      <c r="I3527" t="s">
        <v>289</v>
      </c>
      <c r="J3527" t="s">
        <v>2898</v>
      </c>
      <c r="K3527">
        <v>0</v>
      </c>
      <c r="L3527" s="6">
        <v>0</v>
      </c>
      <c r="M3527" s="7">
        <v>0</v>
      </c>
      <c r="N3527" s="7">
        <v>0</v>
      </c>
      <c r="O3527" s="7">
        <v>0</v>
      </c>
      <c r="P3527" s="7">
        <v>0</v>
      </c>
      <c r="Q3527" s="7">
        <v>0</v>
      </c>
      <c r="R3527" s="6">
        <v>0</v>
      </c>
      <c r="S3527" s="6">
        <v>0</v>
      </c>
      <c r="T3527" t="str">
        <f t="shared" si="277"/>
        <v>Bangkirai US4 Everdeck Oil Oil</v>
      </c>
    </row>
    <row r="3528" spans="1:20" x14ac:dyDescent="0.25">
      <c r="A3528" t="s">
        <v>4274</v>
      </c>
      <c r="B3528" t="s">
        <v>4278</v>
      </c>
      <c r="C3528" t="s">
        <v>2886</v>
      </c>
      <c r="D3528" t="s">
        <v>4274</v>
      </c>
      <c r="E3528">
        <v>100590</v>
      </c>
      <c r="F3528" t="s">
        <v>4283</v>
      </c>
      <c r="G3528" t="s">
        <v>2910</v>
      </c>
      <c r="H3528" t="s">
        <v>4284</v>
      </c>
      <c r="I3528" t="s">
        <v>289</v>
      </c>
      <c r="J3528" t="s">
        <v>2895</v>
      </c>
      <c r="K3528">
        <v>0</v>
      </c>
      <c r="L3528" s="6">
        <v>0</v>
      </c>
      <c r="M3528" s="7">
        <v>0</v>
      </c>
      <c r="N3528" s="7">
        <v>0</v>
      </c>
      <c r="O3528" s="7">
        <v>0</v>
      </c>
      <c r="P3528" s="7">
        <v>0</v>
      </c>
      <c r="Q3528" s="7">
        <v>0</v>
      </c>
      <c r="R3528" s="6">
        <v>0</v>
      </c>
      <c r="S3528" s="6">
        <v>0</v>
      </c>
      <c r="T3528" t="str">
        <f t="shared" si="277"/>
        <v>Bangkirai US4 Everdeck Oil Oil</v>
      </c>
    </row>
    <row r="3529" spans="1:20" x14ac:dyDescent="0.25">
      <c r="A3529" t="s">
        <v>4274</v>
      </c>
      <c r="B3529" t="s">
        <v>4279</v>
      </c>
      <c r="C3529" t="s">
        <v>2886</v>
      </c>
      <c r="D3529" t="s">
        <v>4274</v>
      </c>
      <c r="E3529">
        <v>100594</v>
      </c>
      <c r="F3529" t="s">
        <v>4283</v>
      </c>
      <c r="G3529" t="s">
        <v>2910</v>
      </c>
      <c r="H3529" t="s">
        <v>4284</v>
      </c>
      <c r="I3529" t="s">
        <v>289</v>
      </c>
      <c r="J3529" t="s">
        <v>2901</v>
      </c>
      <c r="K3529">
        <v>0</v>
      </c>
      <c r="L3529" s="6">
        <v>0</v>
      </c>
      <c r="M3529" s="7">
        <v>0</v>
      </c>
      <c r="N3529" s="7">
        <v>0</v>
      </c>
      <c r="O3529" s="7">
        <v>0</v>
      </c>
      <c r="P3529" s="7">
        <v>0</v>
      </c>
      <c r="Q3529" s="7">
        <v>0</v>
      </c>
      <c r="R3529" s="6">
        <v>0</v>
      </c>
      <c r="S3529" s="6">
        <v>0</v>
      </c>
      <c r="T3529" t="str">
        <f t="shared" si="277"/>
        <v>Bangkirai US4 Everdeck Oil Oil</v>
      </c>
    </row>
    <row r="3530" spans="1:20" x14ac:dyDescent="0.25">
      <c r="A3530" t="s">
        <v>4274</v>
      </c>
      <c r="B3530" t="s">
        <v>4280</v>
      </c>
      <c r="C3530" t="s">
        <v>2886</v>
      </c>
      <c r="D3530" t="s">
        <v>4274</v>
      </c>
      <c r="E3530">
        <v>100598</v>
      </c>
      <c r="F3530" t="s">
        <v>4283</v>
      </c>
      <c r="G3530" t="s">
        <v>2910</v>
      </c>
      <c r="H3530" t="s">
        <v>4284</v>
      </c>
      <c r="I3530" t="s">
        <v>289</v>
      </c>
      <c r="J3530" t="s">
        <v>2892</v>
      </c>
      <c r="K3530">
        <v>0</v>
      </c>
      <c r="L3530" s="6">
        <v>0</v>
      </c>
      <c r="M3530" s="7">
        <v>0</v>
      </c>
      <c r="N3530" s="7">
        <v>0</v>
      </c>
      <c r="O3530" s="7">
        <v>0</v>
      </c>
      <c r="P3530" s="7">
        <v>0</v>
      </c>
      <c r="Q3530" s="7">
        <v>0</v>
      </c>
      <c r="R3530" s="6">
        <v>0</v>
      </c>
      <c r="S3530" s="6">
        <v>0</v>
      </c>
      <c r="T3530" t="str">
        <f t="shared" si="277"/>
        <v>Bangkirai US4 Everdeck Oil Oil</v>
      </c>
    </row>
    <row r="3531" spans="1:20" x14ac:dyDescent="0.25">
      <c r="A3531" t="s">
        <v>4274</v>
      </c>
      <c r="B3531" t="s">
        <v>4275</v>
      </c>
      <c r="C3531" t="s">
        <v>2886</v>
      </c>
      <c r="D3531" t="s">
        <v>4274</v>
      </c>
      <c r="E3531">
        <v>100551</v>
      </c>
      <c r="F3531" t="s">
        <v>4285</v>
      </c>
      <c r="G3531" t="s">
        <v>2922</v>
      </c>
      <c r="H3531" t="s">
        <v>4277</v>
      </c>
      <c r="I3531" t="s">
        <v>2891</v>
      </c>
      <c r="J3531" t="s">
        <v>2898</v>
      </c>
      <c r="K3531">
        <v>0</v>
      </c>
      <c r="L3531" s="6">
        <v>0</v>
      </c>
      <c r="M3531" s="7">
        <v>0</v>
      </c>
      <c r="N3531" s="7">
        <v>0</v>
      </c>
      <c r="O3531" s="7">
        <v>0</v>
      </c>
      <c r="P3531" s="7">
        <v>0</v>
      </c>
      <c r="Q3531" s="7">
        <v>0</v>
      </c>
      <c r="R3531" s="6">
        <v>0</v>
      </c>
      <c r="S3531" s="6">
        <v>0</v>
      </c>
      <c r="T3531" t="str">
        <f t="shared" si="277"/>
        <v>Conditioner US4 Everclad Aqua Oil Transparent Oil</v>
      </c>
    </row>
    <row r="3532" spans="1:20" x14ac:dyDescent="0.25">
      <c r="A3532" t="s">
        <v>4274</v>
      </c>
      <c r="B3532" t="s">
        <v>4278</v>
      </c>
      <c r="C3532" t="s">
        <v>2886</v>
      </c>
      <c r="D3532" t="s">
        <v>4274</v>
      </c>
      <c r="E3532">
        <v>100560</v>
      </c>
      <c r="F3532" t="s">
        <v>4285</v>
      </c>
      <c r="G3532" t="s">
        <v>2922</v>
      </c>
      <c r="H3532" t="s">
        <v>4277</v>
      </c>
      <c r="I3532" t="s">
        <v>2891</v>
      </c>
      <c r="J3532" t="s">
        <v>2895</v>
      </c>
      <c r="K3532">
        <v>0</v>
      </c>
      <c r="L3532" s="6">
        <v>0</v>
      </c>
      <c r="M3532" s="7">
        <v>0</v>
      </c>
      <c r="N3532" s="7">
        <v>0</v>
      </c>
      <c r="O3532" s="7">
        <v>0</v>
      </c>
      <c r="P3532" s="7">
        <v>0</v>
      </c>
      <c r="Q3532" s="7">
        <v>0</v>
      </c>
      <c r="R3532" s="6">
        <v>0</v>
      </c>
      <c r="S3532" s="6">
        <v>0</v>
      </c>
      <c r="T3532" t="str">
        <f t="shared" si="277"/>
        <v>Conditioner US4 Everclad Aqua Oil Transparent Oil</v>
      </c>
    </row>
    <row r="3533" spans="1:20" x14ac:dyDescent="0.25">
      <c r="A3533" t="s">
        <v>4274</v>
      </c>
      <c r="B3533" t="s">
        <v>4279</v>
      </c>
      <c r="C3533" t="s">
        <v>2886</v>
      </c>
      <c r="D3533" t="s">
        <v>4274</v>
      </c>
      <c r="E3533">
        <v>100569</v>
      </c>
      <c r="F3533" t="s">
        <v>4285</v>
      </c>
      <c r="G3533" t="s">
        <v>2922</v>
      </c>
      <c r="H3533" t="s">
        <v>4277</v>
      </c>
      <c r="I3533" t="s">
        <v>2891</v>
      </c>
      <c r="J3533" t="s">
        <v>2901</v>
      </c>
      <c r="K3533">
        <v>0</v>
      </c>
      <c r="L3533" s="6">
        <v>0</v>
      </c>
      <c r="M3533" s="7">
        <v>0</v>
      </c>
      <c r="N3533" s="7">
        <v>0</v>
      </c>
      <c r="O3533" s="7">
        <v>0</v>
      </c>
      <c r="P3533" s="7">
        <v>0</v>
      </c>
      <c r="Q3533" s="7">
        <v>0</v>
      </c>
      <c r="R3533" s="6">
        <v>0</v>
      </c>
      <c r="S3533" s="6">
        <v>0</v>
      </c>
      <c r="T3533" t="str">
        <f t="shared" si="277"/>
        <v>Conditioner US4 Everclad Aqua Oil Transparent Oil</v>
      </c>
    </row>
    <row r="3534" spans="1:20" x14ac:dyDescent="0.25">
      <c r="A3534" t="s">
        <v>4274</v>
      </c>
      <c r="B3534" t="s">
        <v>4280</v>
      </c>
      <c r="C3534" t="s">
        <v>2886</v>
      </c>
      <c r="D3534" t="s">
        <v>4274</v>
      </c>
      <c r="E3534">
        <v>100578</v>
      </c>
      <c r="F3534" t="s">
        <v>4285</v>
      </c>
      <c r="G3534" t="s">
        <v>2922</v>
      </c>
      <c r="H3534" t="s">
        <v>4277</v>
      </c>
      <c r="I3534" t="s">
        <v>2891</v>
      </c>
      <c r="J3534" t="s">
        <v>2892</v>
      </c>
      <c r="K3534">
        <v>0</v>
      </c>
      <c r="L3534" s="6">
        <v>0</v>
      </c>
      <c r="M3534" s="7">
        <v>0</v>
      </c>
      <c r="N3534" s="7">
        <v>0</v>
      </c>
      <c r="O3534" s="7">
        <v>0</v>
      </c>
      <c r="P3534" s="7">
        <v>0</v>
      </c>
      <c r="Q3534" s="7">
        <v>0</v>
      </c>
      <c r="R3534" s="6">
        <v>0</v>
      </c>
      <c r="S3534" s="6">
        <v>0</v>
      </c>
      <c r="T3534" t="str">
        <f t="shared" si="277"/>
        <v>Conditioner US4 Everclad Aqua Oil Transparent Oil</v>
      </c>
    </row>
    <row r="3535" spans="1:20" x14ac:dyDescent="0.25">
      <c r="A3535" t="s">
        <v>4274</v>
      </c>
      <c r="B3535" t="s">
        <v>4275</v>
      </c>
      <c r="C3535" t="s">
        <v>2886</v>
      </c>
      <c r="D3535" t="s">
        <v>4274</v>
      </c>
      <c r="E3535">
        <v>100587</v>
      </c>
      <c r="F3535" t="s">
        <v>4286</v>
      </c>
      <c r="G3535" t="s">
        <v>2922</v>
      </c>
      <c r="H3535" t="s">
        <v>4284</v>
      </c>
      <c r="I3535" t="s">
        <v>289</v>
      </c>
      <c r="J3535" t="s">
        <v>2898</v>
      </c>
      <c r="K3535">
        <v>0</v>
      </c>
      <c r="L3535" s="6">
        <v>0</v>
      </c>
      <c r="M3535" s="7">
        <v>0</v>
      </c>
      <c r="N3535" s="7">
        <v>0</v>
      </c>
      <c r="O3535" s="7">
        <v>0</v>
      </c>
      <c r="P3535" s="7">
        <v>0</v>
      </c>
      <c r="Q3535" s="7">
        <v>0</v>
      </c>
      <c r="R3535" s="6">
        <v>0</v>
      </c>
      <c r="S3535" s="6">
        <v>0</v>
      </c>
      <c r="T3535" t="str">
        <f t="shared" si="277"/>
        <v>Conditioner US4 Everdeck Oil Oil</v>
      </c>
    </row>
    <row r="3536" spans="1:20" x14ac:dyDescent="0.25">
      <c r="A3536" t="s">
        <v>4274</v>
      </c>
      <c r="B3536" t="s">
        <v>4278</v>
      </c>
      <c r="C3536" t="s">
        <v>2886</v>
      </c>
      <c r="D3536" t="s">
        <v>4274</v>
      </c>
      <c r="E3536">
        <v>100591</v>
      </c>
      <c r="F3536" t="s">
        <v>4286</v>
      </c>
      <c r="G3536" t="s">
        <v>2922</v>
      </c>
      <c r="H3536" t="s">
        <v>4284</v>
      </c>
      <c r="I3536" t="s">
        <v>289</v>
      </c>
      <c r="J3536" t="s">
        <v>2895</v>
      </c>
      <c r="K3536">
        <v>0</v>
      </c>
      <c r="L3536" s="6">
        <v>0</v>
      </c>
      <c r="M3536" s="7">
        <v>0</v>
      </c>
      <c r="N3536" s="7">
        <v>0</v>
      </c>
      <c r="O3536" s="7">
        <v>0</v>
      </c>
      <c r="P3536" s="7">
        <v>0</v>
      </c>
      <c r="Q3536" s="7">
        <v>0</v>
      </c>
      <c r="R3536" s="6">
        <v>0</v>
      </c>
      <c r="S3536" s="6">
        <v>0</v>
      </c>
      <c r="T3536" t="str">
        <f t="shared" si="277"/>
        <v>Conditioner US4 Everdeck Oil Oil</v>
      </c>
    </row>
    <row r="3537" spans="1:20" x14ac:dyDescent="0.25">
      <c r="A3537" t="s">
        <v>4274</v>
      </c>
      <c r="B3537" t="s">
        <v>4279</v>
      </c>
      <c r="C3537" t="s">
        <v>2886</v>
      </c>
      <c r="D3537" t="s">
        <v>4274</v>
      </c>
      <c r="E3537">
        <v>100595</v>
      </c>
      <c r="F3537" t="s">
        <v>4286</v>
      </c>
      <c r="G3537" t="s">
        <v>2922</v>
      </c>
      <c r="H3537" t="s">
        <v>4284</v>
      </c>
      <c r="I3537" t="s">
        <v>289</v>
      </c>
      <c r="J3537" t="s">
        <v>2901</v>
      </c>
      <c r="K3537">
        <v>0</v>
      </c>
      <c r="L3537" s="6">
        <v>0</v>
      </c>
      <c r="M3537" s="7">
        <v>0</v>
      </c>
      <c r="N3537" s="7">
        <v>0</v>
      </c>
      <c r="O3537" s="7">
        <v>0</v>
      </c>
      <c r="P3537" s="7">
        <v>0</v>
      </c>
      <c r="Q3537" s="7">
        <v>0</v>
      </c>
      <c r="R3537" s="6">
        <v>0</v>
      </c>
      <c r="S3537" s="6">
        <v>0</v>
      </c>
      <c r="T3537" t="str">
        <f t="shared" si="277"/>
        <v>Conditioner US4 Everdeck Oil Oil</v>
      </c>
    </row>
    <row r="3538" spans="1:20" x14ac:dyDescent="0.25">
      <c r="A3538" t="s">
        <v>4274</v>
      </c>
      <c r="B3538" t="s">
        <v>4280</v>
      </c>
      <c r="C3538" t="s">
        <v>2886</v>
      </c>
      <c r="D3538" t="s">
        <v>4274</v>
      </c>
      <c r="E3538">
        <v>100599</v>
      </c>
      <c r="F3538" t="s">
        <v>4286</v>
      </c>
      <c r="G3538" t="s">
        <v>2922</v>
      </c>
      <c r="H3538" t="s">
        <v>4284</v>
      </c>
      <c r="I3538" t="s">
        <v>289</v>
      </c>
      <c r="J3538" t="s">
        <v>2892</v>
      </c>
      <c r="K3538">
        <v>0</v>
      </c>
      <c r="L3538" s="6">
        <v>0</v>
      </c>
      <c r="M3538" s="7">
        <v>0</v>
      </c>
      <c r="N3538" s="7">
        <v>0</v>
      </c>
      <c r="O3538" s="7">
        <v>0</v>
      </c>
      <c r="P3538" s="7">
        <v>0</v>
      </c>
      <c r="Q3538" s="7">
        <v>0</v>
      </c>
      <c r="R3538" s="6">
        <v>0</v>
      </c>
      <c r="S3538" s="6">
        <v>0</v>
      </c>
      <c r="T3538" t="str">
        <f t="shared" si="277"/>
        <v>Conditioner US4 Everdeck Oil Oil</v>
      </c>
    </row>
    <row r="3539" spans="1:20" x14ac:dyDescent="0.25">
      <c r="A3539" t="s">
        <v>4274</v>
      </c>
      <c r="B3539" t="s">
        <v>4275</v>
      </c>
      <c r="C3539" t="s">
        <v>2886</v>
      </c>
      <c r="D3539" t="s">
        <v>4274</v>
      </c>
      <c r="E3539">
        <v>100552</v>
      </c>
      <c r="F3539" t="s">
        <v>4287</v>
      </c>
      <c r="G3539" t="s">
        <v>2935</v>
      </c>
      <c r="H3539" t="s">
        <v>4277</v>
      </c>
      <c r="I3539" t="s">
        <v>2936</v>
      </c>
      <c r="J3539" t="s">
        <v>2898</v>
      </c>
      <c r="K3539">
        <v>0</v>
      </c>
      <c r="L3539" s="6">
        <v>0</v>
      </c>
      <c r="M3539" s="7">
        <v>0</v>
      </c>
      <c r="N3539" s="7">
        <v>0</v>
      </c>
      <c r="O3539" s="7">
        <v>0</v>
      </c>
      <c r="P3539" s="7">
        <v>0</v>
      </c>
      <c r="Q3539" s="7">
        <v>0</v>
      </c>
      <c r="R3539" s="6">
        <v>0</v>
      </c>
      <c r="S3539" s="6">
        <v>0</v>
      </c>
      <c r="T3539" t="str">
        <f t="shared" si="277"/>
        <v>Deep Black US4 Everclad Aqua Oil Opaque Oil</v>
      </c>
    </row>
    <row r="3540" spans="1:20" x14ac:dyDescent="0.25">
      <c r="A3540" t="s">
        <v>4274</v>
      </c>
      <c r="B3540" t="s">
        <v>4278</v>
      </c>
      <c r="C3540" t="s">
        <v>2886</v>
      </c>
      <c r="D3540" t="s">
        <v>4274</v>
      </c>
      <c r="E3540">
        <v>100561</v>
      </c>
      <c r="F3540" t="s">
        <v>4287</v>
      </c>
      <c r="G3540" t="s">
        <v>2935</v>
      </c>
      <c r="H3540" t="s">
        <v>4277</v>
      </c>
      <c r="I3540" t="s">
        <v>2936</v>
      </c>
      <c r="J3540" t="s">
        <v>2895</v>
      </c>
      <c r="K3540">
        <v>0</v>
      </c>
      <c r="L3540" s="6">
        <v>0</v>
      </c>
      <c r="M3540" s="7">
        <v>0</v>
      </c>
      <c r="N3540" s="7">
        <v>0</v>
      </c>
      <c r="O3540" s="7">
        <v>0</v>
      </c>
      <c r="P3540" s="7">
        <v>0</v>
      </c>
      <c r="Q3540" s="7">
        <v>0</v>
      </c>
      <c r="R3540" s="6">
        <v>0</v>
      </c>
      <c r="S3540" s="6">
        <v>0</v>
      </c>
      <c r="T3540" t="str">
        <f t="shared" si="277"/>
        <v>Deep Black US4 Everclad Aqua Oil Opaque Oil</v>
      </c>
    </row>
    <row r="3541" spans="1:20" x14ac:dyDescent="0.25">
      <c r="A3541" t="s">
        <v>4274</v>
      </c>
      <c r="B3541" t="s">
        <v>4279</v>
      </c>
      <c r="C3541" t="s">
        <v>2886</v>
      </c>
      <c r="D3541" t="s">
        <v>4274</v>
      </c>
      <c r="E3541">
        <v>100570</v>
      </c>
      <c r="F3541" t="s">
        <v>4287</v>
      </c>
      <c r="G3541" t="s">
        <v>2935</v>
      </c>
      <c r="H3541" t="s">
        <v>4277</v>
      </c>
      <c r="I3541" t="s">
        <v>2936</v>
      </c>
      <c r="J3541" t="s">
        <v>2901</v>
      </c>
      <c r="K3541">
        <v>0</v>
      </c>
      <c r="L3541" s="6">
        <v>0</v>
      </c>
      <c r="M3541" s="7">
        <v>0</v>
      </c>
      <c r="N3541" s="7">
        <v>0</v>
      </c>
      <c r="O3541" s="7">
        <v>0</v>
      </c>
      <c r="P3541" s="7">
        <v>0</v>
      </c>
      <c r="Q3541" s="7">
        <v>0</v>
      </c>
      <c r="R3541" s="6">
        <v>0</v>
      </c>
      <c r="S3541" s="6">
        <v>0</v>
      </c>
      <c r="T3541" t="str">
        <f t="shared" si="277"/>
        <v>Deep Black US4 Everclad Aqua Oil Opaque Oil</v>
      </c>
    </row>
    <row r="3542" spans="1:20" x14ac:dyDescent="0.25">
      <c r="A3542" t="s">
        <v>4274</v>
      </c>
      <c r="B3542" t="s">
        <v>4280</v>
      </c>
      <c r="C3542" t="s">
        <v>2886</v>
      </c>
      <c r="D3542" t="s">
        <v>4274</v>
      </c>
      <c r="E3542">
        <v>100579</v>
      </c>
      <c r="F3542" t="s">
        <v>4287</v>
      </c>
      <c r="G3542" t="s">
        <v>2935</v>
      </c>
      <c r="H3542" t="s">
        <v>4277</v>
      </c>
      <c r="I3542" t="s">
        <v>2936</v>
      </c>
      <c r="J3542" t="s">
        <v>2892</v>
      </c>
      <c r="K3542">
        <v>0</v>
      </c>
      <c r="L3542" s="6">
        <v>0</v>
      </c>
      <c r="M3542" s="7">
        <v>0</v>
      </c>
      <c r="N3542" s="7">
        <v>0</v>
      </c>
      <c r="O3542" s="7">
        <v>0</v>
      </c>
      <c r="P3542" s="7">
        <v>0</v>
      </c>
      <c r="Q3542" s="7">
        <v>0</v>
      </c>
      <c r="R3542" s="6">
        <v>0</v>
      </c>
      <c r="S3542" s="6">
        <v>0</v>
      </c>
      <c r="T3542" t="str">
        <f t="shared" si="277"/>
        <v>Deep Black US4 Everclad Aqua Oil Opaque Oil</v>
      </c>
    </row>
    <row r="3543" spans="1:20" x14ac:dyDescent="0.25">
      <c r="A3543" t="s">
        <v>4274</v>
      </c>
      <c r="B3543" t="s">
        <v>4275</v>
      </c>
      <c r="C3543" t="s">
        <v>2886</v>
      </c>
      <c r="D3543" t="s">
        <v>4274</v>
      </c>
      <c r="E3543">
        <v>100611</v>
      </c>
      <c r="F3543" t="s">
        <v>4288</v>
      </c>
      <c r="G3543" t="s">
        <v>2580</v>
      </c>
      <c r="H3543" t="s">
        <v>4277</v>
      </c>
      <c r="I3543" t="s">
        <v>2936</v>
      </c>
      <c r="J3543" t="s">
        <v>2898</v>
      </c>
      <c r="K3543">
        <v>0</v>
      </c>
      <c r="L3543" s="6">
        <v>0</v>
      </c>
      <c r="M3543" s="7">
        <v>0</v>
      </c>
      <c r="N3543" s="7">
        <v>0</v>
      </c>
      <c r="O3543" s="7">
        <v>0</v>
      </c>
      <c r="P3543" s="7">
        <v>0</v>
      </c>
      <c r="Q3543" s="7">
        <v>0</v>
      </c>
      <c r="R3543" s="6">
        <v>0</v>
      </c>
      <c r="S3543" s="6">
        <v>0</v>
      </c>
      <c r="T3543" t="str">
        <f t="shared" si="277"/>
        <v>Ebony US4 Everclad Aqua Oil Opaque Oil</v>
      </c>
    </row>
    <row r="3544" spans="1:20" x14ac:dyDescent="0.25">
      <c r="A3544" t="s">
        <v>4274</v>
      </c>
      <c r="B3544" t="s">
        <v>4278</v>
      </c>
      <c r="C3544" t="s">
        <v>2886</v>
      </c>
      <c r="D3544" t="s">
        <v>4274</v>
      </c>
      <c r="E3544">
        <v>100617</v>
      </c>
      <c r="F3544" t="s">
        <v>4288</v>
      </c>
      <c r="G3544" t="s">
        <v>2580</v>
      </c>
      <c r="H3544" t="s">
        <v>4277</v>
      </c>
      <c r="I3544" t="s">
        <v>2936</v>
      </c>
      <c r="J3544" t="s">
        <v>2895</v>
      </c>
      <c r="K3544">
        <v>0</v>
      </c>
      <c r="L3544" s="6">
        <v>0</v>
      </c>
      <c r="M3544" s="7">
        <v>0</v>
      </c>
      <c r="N3544" s="7">
        <v>0</v>
      </c>
      <c r="O3544" s="7">
        <v>0</v>
      </c>
      <c r="P3544" s="7">
        <v>0</v>
      </c>
      <c r="Q3544" s="7">
        <v>0</v>
      </c>
      <c r="R3544" s="6">
        <v>0</v>
      </c>
      <c r="S3544" s="6">
        <v>0</v>
      </c>
      <c r="T3544" t="str">
        <f t="shared" si="277"/>
        <v>Ebony US4 Everclad Aqua Oil Opaque Oil</v>
      </c>
    </row>
    <row r="3545" spans="1:20" x14ac:dyDescent="0.25">
      <c r="A3545" t="s">
        <v>4274</v>
      </c>
      <c r="B3545" t="s">
        <v>4279</v>
      </c>
      <c r="C3545" t="s">
        <v>2886</v>
      </c>
      <c r="D3545" t="s">
        <v>4274</v>
      </c>
      <c r="E3545">
        <v>100623</v>
      </c>
      <c r="F3545" t="s">
        <v>4288</v>
      </c>
      <c r="G3545" t="s">
        <v>2580</v>
      </c>
      <c r="H3545" t="s">
        <v>4277</v>
      </c>
      <c r="I3545" t="s">
        <v>2936</v>
      </c>
      <c r="J3545" t="s">
        <v>2901</v>
      </c>
      <c r="K3545">
        <v>0</v>
      </c>
      <c r="L3545" s="6">
        <v>0</v>
      </c>
      <c r="M3545" s="7">
        <v>0</v>
      </c>
      <c r="N3545" s="7">
        <v>0</v>
      </c>
      <c r="O3545" s="7">
        <v>0</v>
      </c>
      <c r="P3545" s="7">
        <v>0</v>
      </c>
      <c r="Q3545" s="7">
        <v>0</v>
      </c>
      <c r="R3545" s="6">
        <v>0</v>
      </c>
      <c r="S3545" s="6">
        <v>0</v>
      </c>
      <c r="T3545" t="str">
        <f t="shared" si="277"/>
        <v>Ebony US4 Everclad Aqua Oil Opaque Oil</v>
      </c>
    </row>
    <row r="3546" spans="1:20" x14ac:dyDescent="0.25">
      <c r="A3546" t="s">
        <v>4274</v>
      </c>
      <c r="B3546" t="s">
        <v>4280</v>
      </c>
      <c r="C3546" t="s">
        <v>2886</v>
      </c>
      <c r="D3546" t="s">
        <v>4274</v>
      </c>
      <c r="E3546">
        <v>100629</v>
      </c>
      <c r="F3546" t="s">
        <v>4288</v>
      </c>
      <c r="G3546" t="s">
        <v>2580</v>
      </c>
      <c r="H3546" t="s">
        <v>4277</v>
      </c>
      <c r="I3546" t="s">
        <v>2936</v>
      </c>
      <c r="J3546" t="s">
        <v>2892</v>
      </c>
      <c r="K3546">
        <v>0</v>
      </c>
      <c r="L3546" s="6">
        <v>0</v>
      </c>
      <c r="M3546" s="7">
        <v>0</v>
      </c>
      <c r="N3546" s="7">
        <v>0</v>
      </c>
      <c r="O3546" s="7">
        <v>0</v>
      </c>
      <c r="P3546" s="7">
        <v>0</v>
      </c>
      <c r="Q3546" s="7">
        <v>0</v>
      </c>
      <c r="R3546" s="6">
        <v>0</v>
      </c>
      <c r="S3546" s="6">
        <v>0</v>
      </c>
      <c r="T3546" t="str">
        <f t="shared" si="277"/>
        <v>Ebony US4 Everclad Aqua Oil Opaque Oil</v>
      </c>
    </row>
    <row r="3547" spans="1:20" x14ac:dyDescent="0.25">
      <c r="A3547" t="s">
        <v>4274</v>
      </c>
      <c r="B3547" t="s">
        <v>4275</v>
      </c>
      <c r="C3547" t="s">
        <v>2886</v>
      </c>
      <c r="D3547" t="s">
        <v>4274</v>
      </c>
      <c r="E3547">
        <v>100553</v>
      </c>
      <c r="F3547" t="s">
        <v>4289</v>
      </c>
      <c r="G3547" t="s">
        <v>2580</v>
      </c>
      <c r="H3547" t="s">
        <v>4277</v>
      </c>
      <c r="I3547" t="s">
        <v>2891</v>
      </c>
      <c r="J3547" t="s">
        <v>2898</v>
      </c>
      <c r="K3547">
        <v>0</v>
      </c>
      <c r="L3547" s="6">
        <v>0</v>
      </c>
      <c r="M3547" s="7">
        <v>0</v>
      </c>
      <c r="N3547" s="7">
        <v>0</v>
      </c>
      <c r="O3547" s="7">
        <v>0</v>
      </c>
      <c r="P3547" s="7">
        <v>0</v>
      </c>
      <c r="Q3547" s="7">
        <v>0</v>
      </c>
      <c r="R3547" s="6">
        <v>0</v>
      </c>
      <c r="S3547" s="6">
        <v>0</v>
      </c>
      <c r="T3547" t="str">
        <f t="shared" si="277"/>
        <v>Ebony US4 Everclad Aqua Oil Transparent Oil</v>
      </c>
    </row>
    <row r="3548" spans="1:20" x14ac:dyDescent="0.25">
      <c r="A3548" t="s">
        <v>4274</v>
      </c>
      <c r="B3548" t="s">
        <v>4278</v>
      </c>
      <c r="C3548" t="s">
        <v>2886</v>
      </c>
      <c r="D3548" t="s">
        <v>4274</v>
      </c>
      <c r="E3548">
        <v>100562</v>
      </c>
      <c r="F3548" t="s">
        <v>4289</v>
      </c>
      <c r="G3548" t="s">
        <v>2580</v>
      </c>
      <c r="H3548" t="s">
        <v>4277</v>
      </c>
      <c r="I3548" t="s">
        <v>2891</v>
      </c>
      <c r="J3548" t="s">
        <v>2895</v>
      </c>
      <c r="K3548">
        <v>0</v>
      </c>
      <c r="L3548" s="6">
        <v>0</v>
      </c>
      <c r="M3548" s="7">
        <v>0</v>
      </c>
      <c r="N3548" s="7">
        <v>0</v>
      </c>
      <c r="O3548" s="7">
        <v>0</v>
      </c>
      <c r="P3548" s="7">
        <v>0</v>
      </c>
      <c r="Q3548" s="7">
        <v>0</v>
      </c>
      <c r="R3548" s="6">
        <v>0</v>
      </c>
      <c r="S3548" s="6">
        <v>0</v>
      </c>
      <c r="T3548" t="str">
        <f t="shared" si="277"/>
        <v>Ebony US4 Everclad Aqua Oil Transparent Oil</v>
      </c>
    </row>
    <row r="3549" spans="1:20" x14ac:dyDescent="0.25">
      <c r="A3549" t="s">
        <v>4274</v>
      </c>
      <c r="B3549" t="s">
        <v>4279</v>
      </c>
      <c r="C3549" t="s">
        <v>2886</v>
      </c>
      <c r="D3549" t="s">
        <v>4274</v>
      </c>
      <c r="E3549">
        <v>100571</v>
      </c>
      <c r="F3549" t="s">
        <v>4289</v>
      </c>
      <c r="G3549" t="s">
        <v>2580</v>
      </c>
      <c r="H3549" t="s">
        <v>4277</v>
      </c>
      <c r="I3549" t="s">
        <v>2891</v>
      </c>
      <c r="J3549" t="s">
        <v>2901</v>
      </c>
      <c r="K3549">
        <v>0</v>
      </c>
      <c r="L3549" s="6">
        <v>0</v>
      </c>
      <c r="M3549" s="7">
        <v>0</v>
      </c>
      <c r="N3549" s="7">
        <v>0</v>
      </c>
      <c r="O3549" s="7">
        <v>0</v>
      </c>
      <c r="P3549" s="7">
        <v>0</v>
      </c>
      <c r="Q3549" s="7">
        <v>0</v>
      </c>
      <c r="R3549" s="6">
        <v>0</v>
      </c>
      <c r="S3549" s="6">
        <v>0</v>
      </c>
      <c r="T3549" t="str">
        <f t="shared" si="277"/>
        <v>Ebony US4 Everclad Aqua Oil Transparent Oil</v>
      </c>
    </row>
    <row r="3550" spans="1:20" x14ac:dyDescent="0.25">
      <c r="A3550" t="s">
        <v>4274</v>
      </c>
      <c r="B3550" t="s">
        <v>4280</v>
      </c>
      <c r="C3550" t="s">
        <v>2886</v>
      </c>
      <c r="D3550" t="s">
        <v>4274</v>
      </c>
      <c r="E3550">
        <v>100580</v>
      </c>
      <c r="F3550" t="s">
        <v>4289</v>
      </c>
      <c r="G3550" t="s">
        <v>2580</v>
      </c>
      <c r="H3550" t="s">
        <v>4277</v>
      </c>
      <c r="I3550" t="s">
        <v>2891</v>
      </c>
      <c r="J3550" t="s">
        <v>2892</v>
      </c>
      <c r="K3550">
        <v>0</v>
      </c>
      <c r="L3550" s="6">
        <v>0</v>
      </c>
      <c r="M3550" s="7">
        <v>0</v>
      </c>
      <c r="N3550" s="7">
        <v>0</v>
      </c>
      <c r="O3550" s="7">
        <v>0</v>
      </c>
      <c r="P3550" s="7">
        <v>0</v>
      </c>
      <c r="Q3550" s="7">
        <v>0</v>
      </c>
      <c r="R3550" s="6">
        <v>0</v>
      </c>
      <c r="S3550" s="6">
        <v>0</v>
      </c>
      <c r="T3550" t="str">
        <f t="shared" si="277"/>
        <v>Ebony US4 Everclad Aqua Oil Transparent Oil</v>
      </c>
    </row>
    <row r="3551" spans="1:20" x14ac:dyDescent="0.25">
      <c r="A3551" t="s">
        <v>4274</v>
      </c>
      <c r="B3551" t="s">
        <v>4275</v>
      </c>
      <c r="C3551" t="s">
        <v>2886</v>
      </c>
      <c r="D3551" t="s">
        <v>4274</v>
      </c>
      <c r="E3551">
        <v>100612</v>
      </c>
      <c r="F3551" t="s">
        <v>4290</v>
      </c>
      <c r="G3551" t="s">
        <v>2737</v>
      </c>
      <c r="H3551" t="s">
        <v>4277</v>
      </c>
      <c r="I3551" t="s">
        <v>2936</v>
      </c>
      <c r="J3551" t="s">
        <v>2898</v>
      </c>
      <c r="K3551">
        <v>0</v>
      </c>
      <c r="L3551" s="6">
        <v>0</v>
      </c>
      <c r="M3551" s="7">
        <v>0</v>
      </c>
      <c r="N3551" s="7">
        <v>0</v>
      </c>
      <c r="O3551" s="7">
        <v>0</v>
      </c>
      <c r="P3551" s="7">
        <v>0</v>
      </c>
      <c r="Q3551" s="7">
        <v>0</v>
      </c>
      <c r="R3551" s="6">
        <v>0</v>
      </c>
      <c r="S3551" s="6">
        <v>0</v>
      </c>
      <c r="T3551" t="str">
        <f t="shared" si="277"/>
        <v>Oak US4 Everclad Aqua Oil Opaque Oil</v>
      </c>
    </row>
    <row r="3552" spans="1:20" x14ac:dyDescent="0.25">
      <c r="A3552" t="s">
        <v>4274</v>
      </c>
      <c r="B3552" t="s">
        <v>4278</v>
      </c>
      <c r="C3552" t="s">
        <v>2886</v>
      </c>
      <c r="D3552" t="s">
        <v>4274</v>
      </c>
      <c r="E3552">
        <v>100618</v>
      </c>
      <c r="F3552" t="s">
        <v>4290</v>
      </c>
      <c r="G3552" t="s">
        <v>2737</v>
      </c>
      <c r="H3552" t="s">
        <v>4277</v>
      </c>
      <c r="I3552" t="s">
        <v>2936</v>
      </c>
      <c r="J3552" t="s">
        <v>2895</v>
      </c>
      <c r="K3552">
        <v>0</v>
      </c>
      <c r="L3552" s="6">
        <v>0</v>
      </c>
      <c r="M3552" s="7">
        <v>0</v>
      </c>
      <c r="N3552" s="7">
        <v>0</v>
      </c>
      <c r="O3552" s="7">
        <v>0</v>
      </c>
      <c r="P3552" s="7">
        <v>0</v>
      </c>
      <c r="Q3552" s="7">
        <v>0</v>
      </c>
      <c r="R3552" s="6">
        <v>0</v>
      </c>
      <c r="S3552" s="6">
        <v>0</v>
      </c>
      <c r="T3552" t="str">
        <f t="shared" si="277"/>
        <v>Oak US4 Everclad Aqua Oil Opaque Oil</v>
      </c>
    </row>
    <row r="3553" spans="1:20" x14ac:dyDescent="0.25">
      <c r="A3553" t="s">
        <v>4274</v>
      </c>
      <c r="B3553" t="s">
        <v>4279</v>
      </c>
      <c r="C3553" t="s">
        <v>2886</v>
      </c>
      <c r="D3553" t="s">
        <v>4274</v>
      </c>
      <c r="E3553">
        <v>100624</v>
      </c>
      <c r="F3553" t="s">
        <v>4290</v>
      </c>
      <c r="G3553" t="s">
        <v>2737</v>
      </c>
      <c r="H3553" t="s">
        <v>4277</v>
      </c>
      <c r="I3553" t="s">
        <v>2936</v>
      </c>
      <c r="J3553" t="s">
        <v>2901</v>
      </c>
      <c r="K3553">
        <v>0</v>
      </c>
      <c r="L3553" s="6">
        <v>0</v>
      </c>
      <c r="M3553" s="7">
        <v>0</v>
      </c>
      <c r="N3553" s="7">
        <v>0</v>
      </c>
      <c r="O3553" s="7">
        <v>0</v>
      </c>
      <c r="P3553" s="7">
        <v>0</v>
      </c>
      <c r="Q3553" s="7">
        <v>0</v>
      </c>
      <c r="R3553" s="6">
        <v>0</v>
      </c>
      <c r="S3553" s="6">
        <v>0</v>
      </c>
      <c r="T3553" t="str">
        <f t="shared" si="277"/>
        <v>Oak US4 Everclad Aqua Oil Opaque Oil</v>
      </c>
    </row>
    <row r="3554" spans="1:20" x14ac:dyDescent="0.25">
      <c r="A3554" t="s">
        <v>4274</v>
      </c>
      <c r="B3554" t="s">
        <v>4280</v>
      </c>
      <c r="C3554" t="s">
        <v>2886</v>
      </c>
      <c r="D3554" t="s">
        <v>4274</v>
      </c>
      <c r="E3554">
        <v>100630</v>
      </c>
      <c r="F3554" t="s">
        <v>4290</v>
      </c>
      <c r="G3554" t="s">
        <v>2737</v>
      </c>
      <c r="H3554" t="s">
        <v>4277</v>
      </c>
      <c r="I3554" t="s">
        <v>2936</v>
      </c>
      <c r="J3554" t="s">
        <v>2892</v>
      </c>
      <c r="K3554">
        <v>0</v>
      </c>
      <c r="L3554" s="6">
        <v>0</v>
      </c>
      <c r="M3554" s="7">
        <v>0</v>
      </c>
      <c r="N3554" s="7">
        <v>0</v>
      </c>
      <c r="O3554" s="7">
        <v>0</v>
      </c>
      <c r="P3554" s="7">
        <v>0</v>
      </c>
      <c r="Q3554" s="7">
        <v>0</v>
      </c>
      <c r="R3554" s="6">
        <v>0</v>
      </c>
      <c r="S3554" s="6">
        <v>0</v>
      </c>
      <c r="T3554" t="str">
        <f t="shared" si="277"/>
        <v>Oak US4 Everclad Aqua Oil Opaque Oil</v>
      </c>
    </row>
    <row r="3555" spans="1:20" x14ac:dyDescent="0.25">
      <c r="A3555" t="s">
        <v>4274</v>
      </c>
      <c r="B3555" t="s">
        <v>4275</v>
      </c>
      <c r="C3555" t="s">
        <v>2886</v>
      </c>
      <c r="D3555" t="s">
        <v>4274</v>
      </c>
      <c r="E3555">
        <v>100554</v>
      </c>
      <c r="F3555" t="s">
        <v>4291</v>
      </c>
      <c r="G3555" t="s">
        <v>2737</v>
      </c>
      <c r="H3555" t="s">
        <v>4277</v>
      </c>
      <c r="I3555" t="s">
        <v>2891</v>
      </c>
      <c r="J3555" t="s">
        <v>2898</v>
      </c>
      <c r="K3555">
        <v>0</v>
      </c>
      <c r="L3555" s="6">
        <v>0</v>
      </c>
      <c r="M3555" s="7">
        <v>0</v>
      </c>
      <c r="N3555" s="7">
        <v>0</v>
      </c>
      <c r="O3555" s="7">
        <v>0</v>
      </c>
      <c r="P3555" s="7">
        <v>0</v>
      </c>
      <c r="Q3555" s="7">
        <v>0</v>
      </c>
      <c r="R3555" s="6">
        <v>0</v>
      </c>
      <c r="S3555" s="6">
        <v>0</v>
      </c>
      <c r="T3555" t="str">
        <f t="shared" si="277"/>
        <v>Oak US4 Everclad Aqua Oil Transparent Oil</v>
      </c>
    </row>
    <row r="3556" spans="1:20" x14ac:dyDescent="0.25">
      <c r="A3556" t="s">
        <v>4274</v>
      </c>
      <c r="B3556" t="s">
        <v>4278</v>
      </c>
      <c r="C3556" t="s">
        <v>2886</v>
      </c>
      <c r="D3556" t="s">
        <v>4274</v>
      </c>
      <c r="E3556">
        <v>100563</v>
      </c>
      <c r="F3556" t="s">
        <v>4291</v>
      </c>
      <c r="G3556" t="s">
        <v>2737</v>
      </c>
      <c r="H3556" t="s">
        <v>4277</v>
      </c>
      <c r="I3556" t="s">
        <v>2891</v>
      </c>
      <c r="J3556" t="s">
        <v>2895</v>
      </c>
      <c r="K3556">
        <v>0</v>
      </c>
      <c r="L3556" s="6">
        <v>0</v>
      </c>
      <c r="M3556" s="7">
        <v>0</v>
      </c>
      <c r="N3556" s="7">
        <v>0</v>
      </c>
      <c r="O3556" s="7">
        <v>0</v>
      </c>
      <c r="P3556" s="7">
        <v>0</v>
      </c>
      <c r="Q3556" s="7">
        <v>0</v>
      </c>
      <c r="R3556" s="6">
        <v>0</v>
      </c>
      <c r="S3556" s="6">
        <v>0</v>
      </c>
      <c r="T3556" t="str">
        <f t="shared" si="277"/>
        <v>Oak US4 Everclad Aqua Oil Transparent Oil</v>
      </c>
    </row>
    <row r="3557" spans="1:20" x14ac:dyDescent="0.25">
      <c r="A3557" t="s">
        <v>4274</v>
      </c>
      <c r="B3557" t="s">
        <v>4279</v>
      </c>
      <c r="C3557" t="s">
        <v>2886</v>
      </c>
      <c r="D3557" t="s">
        <v>4274</v>
      </c>
      <c r="E3557">
        <v>100572</v>
      </c>
      <c r="F3557" t="s">
        <v>4291</v>
      </c>
      <c r="G3557" t="s">
        <v>2737</v>
      </c>
      <c r="H3557" t="s">
        <v>4277</v>
      </c>
      <c r="I3557" t="s">
        <v>2891</v>
      </c>
      <c r="J3557" t="s">
        <v>2901</v>
      </c>
      <c r="K3557">
        <v>0</v>
      </c>
      <c r="L3557" s="6">
        <v>0</v>
      </c>
      <c r="M3557" s="7">
        <v>0</v>
      </c>
      <c r="N3557" s="7">
        <v>0</v>
      </c>
      <c r="O3557" s="7">
        <v>0</v>
      </c>
      <c r="P3557" s="7">
        <v>0</v>
      </c>
      <c r="Q3557" s="7">
        <v>0</v>
      </c>
      <c r="R3557" s="6">
        <v>0</v>
      </c>
      <c r="S3557" s="6">
        <v>0</v>
      </c>
      <c r="T3557" t="str">
        <f t="shared" si="277"/>
        <v>Oak US4 Everclad Aqua Oil Transparent Oil</v>
      </c>
    </row>
    <row r="3558" spans="1:20" x14ac:dyDescent="0.25">
      <c r="A3558" t="s">
        <v>4274</v>
      </c>
      <c r="B3558" t="s">
        <v>4280</v>
      </c>
      <c r="C3558" t="s">
        <v>2886</v>
      </c>
      <c r="D3558" t="s">
        <v>4274</v>
      </c>
      <c r="E3558">
        <v>100581</v>
      </c>
      <c r="F3558" t="s">
        <v>4291</v>
      </c>
      <c r="G3558" t="s">
        <v>2737</v>
      </c>
      <c r="H3558" t="s">
        <v>4277</v>
      </c>
      <c r="I3558" t="s">
        <v>2891</v>
      </c>
      <c r="J3558" t="s">
        <v>2892</v>
      </c>
      <c r="K3558">
        <v>0</v>
      </c>
      <c r="L3558" s="6">
        <v>0</v>
      </c>
      <c r="M3558" s="7">
        <v>0</v>
      </c>
      <c r="N3558" s="7">
        <v>0</v>
      </c>
      <c r="O3558" s="7">
        <v>0</v>
      </c>
      <c r="P3558" s="7">
        <v>0</v>
      </c>
      <c r="Q3558" s="7">
        <v>0</v>
      </c>
      <c r="R3558" s="6">
        <v>0</v>
      </c>
      <c r="S3558" s="6">
        <v>0</v>
      </c>
      <c r="T3558" t="str">
        <f t="shared" si="277"/>
        <v>Oak US4 Everclad Aqua Oil Transparent Oil</v>
      </c>
    </row>
    <row r="3559" spans="1:20" x14ac:dyDescent="0.25">
      <c r="A3559" t="s">
        <v>4274</v>
      </c>
      <c r="B3559" t="s">
        <v>4278</v>
      </c>
      <c r="C3559" t="s">
        <v>2886</v>
      </c>
      <c r="D3559" t="s">
        <v>4274</v>
      </c>
      <c r="E3559">
        <v>100646</v>
      </c>
      <c r="F3559" t="s">
        <v>4292</v>
      </c>
      <c r="G3559" t="s">
        <v>2971</v>
      </c>
      <c r="H3559" t="s">
        <v>4277</v>
      </c>
      <c r="I3559" t="s">
        <v>2891</v>
      </c>
      <c r="J3559" t="s">
        <v>2895</v>
      </c>
      <c r="K3559">
        <v>0</v>
      </c>
      <c r="L3559" s="6">
        <v>0</v>
      </c>
      <c r="M3559" s="7">
        <v>0</v>
      </c>
      <c r="N3559" s="7">
        <v>0</v>
      </c>
      <c r="O3559" s="7">
        <v>0</v>
      </c>
      <c r="P3559" s="7">
        <v>0</v>
      </c>
      <c r="Q3559" s="7">
        <v>0</v>
      </c>
      <c r="R3559" s="6">
        <v>0</v>
      </c>
      <c r="S3559" s="6">
        <v>0</v>
      </c>
      <c r="T3559" t="str">
        <f t="shared" si="277"/>
        <v>Pearl White US4 Everclad Aqua Oil Transparent Oil</v>
      </c>
    </row>
    <row r="3560" spans="1:20" x14ac:dyDescent="0.25">
      <c r="A3560" t="s">
        <v>4274</v>
      </c>
      <c r="B3560" t="s">
        <v>4293</v>
      </c>
      <c r="C3560" t="s">
        <v>2768</v>
      </c>
      <c r="D3560" t="s">
        <v>4274</v>
      </c>
      <c r="E3560">
        <v>100200</v>
      </c>
      <c r="F3560" t="s">
        <v>4294</v>
      </c>
      <c r="G3560" t="s">
        <v>4295</v>
      </c>
      <c r="H3560" t="s">
        <v>4296</v>
      </c>
      <c r="I3560" t="s">
        <v>289</v>
      </c>
      <c r="J3560" t="s">
        <v>2763</v>
      </c>
      <c r="K3560">
        <v>0</v>
      </c>
      <c r="L3560" s="6">
        <v>0</v>
      </c>
      <c r="M3560" s="7">
        <v>0</v>
      </c>
      <c r="N3560" s="7">
        <v>0</v>
      </c>
      <c r="O3560" s="7">
        <v>0</v>
      </c>
      <c r="P3560" s="7">
        <v>0</v>
      </c>
      <c r="Q3560" s="7">
        <v>0</v>
      </c>
      <c r="R3560" s="6">
        <v>0</v>
      </c>
      <c r="S3560" s="6">
        <v>0</v>
      </c>
      <c r="T3560" t="str">
        <f t="shared" si="277"/>
        <v>Pro Deck Clip Kit 175 Count - US4 SS304 - Black Clip</v>
      </c>
    </row>
    <row r="3561" spans="1:20" x14ac:dyDescent="0.25">
      <c r="A3561" t="s">
        <v>4274</v>
      </c>
      <c r="B3561" t="s">
        <v>4275</v>
      </c>
      <c r="C3561" t="s">
        <v>2886</v>
      </c>
      <c r="D3561" t="s">
        <v>4274</v>
      </c>
      <c r="E3561">
        <v>100588</v>
      </c>
      <c r="F3561" t="s">
        <v>4297</v>
      </c>
      <c r="G3561" t="s">
        <v>3029</v>
      </c>
      <c r="H3561" t="s">
        <v>4284</v>
      </c>
      <c r="I3561" t="s">
        <v>289</v>
      </c>
      <c r="J3561" t="s">
        <v>2898</v>
      </c>
      <c r="K3561">
        <v>0</v>
      </c>
      <c r="L3561" s="6">
        <v>0</v>
      </c>
      <c r="M3561" s="7">
        <v>0</v>
      </c>
      <c r="N3561" s="7">
        <v>0</v>
      </c>
      <c r="O3561" s="7">
        <v>0</v>
      </c>
      <c r="P3561" s="7">
        <v>0</v>
      </c>
      <c r="Q3561" s="7">
        <v>0</v>
      </c>
      <c r="R3561" s="6">
        <v>0</v>
      </c>
      <c r="S3561" s="6">
        <v>0</v>
      </c>
      <c r="T3561" t="str">
        <f t="shared" si="277"/>
        <v>Taupe US4 Everdeck Oil Oil</v>
      </c>
    </row>
    <row r="3562" spans="1:20" x14ac:dyDescent="0.25">
      <c r="A3562" t="s">
        <v>4274</v>
      </c>
      <c r="B3562" t="s">
        <v>4279</v>
      </c>
      <c r="C3562" t="s">
        <v>2886</v>
      </c>
      <c r="D3562" t="s">
        <v>4274</v>
      </c>
      <c r="E3562">
        <v>100596</v>
      </c>
      <c r="F3562" t="s">
        <v>4297</v>
      </c>
      <c r="G3562" t="s">
        <v>3029</v>
      </c>
      <c r="H3562" t="s">
        <v>4284</v>
      </c>
      <c r="I3562" t="s">
        <v>289</v>
      </c>
      <c r="J3562" t="s">
        <v>2901</v>
      </c>
      <c r="K3562">
        <v>0</v>
      </c>
      <c r="L3562" s="6">
        <v>0</v>
      </c>
      <c r="M3562" s="7">
        <v>0</v>
      </c>
      <c r="N3562" s="7">
        <v>0</v>
      </c>
      <c r="O3562" s="7">
        <v>0</v>
      </c>
      <c r="P3562" s="7">
        <v>0</v>
      </c>
      <c r="Q3562" s="7">
        <v>0</v>
      </c>
      <c r="R3562" s="6">
        <v>0</v>
      </c>
      <c r="S3562" s="6">
        <v>0</v>
      </c>
      <c r="T3562" t="str">
        <f t="shared" si="277"/>
        <v>Taupe US4 Everdeck Oil Oil</v>
      </c>
    </row>
    <row r="3563" spans="1:20" x14ac:dyDescent="0.25">
      <c r="A3563" t="s">
        <v>4274</v>
      </c>
      <c r="B3563" t="s">
        <v>4280</v>
      </c>
      <c r="C3563" t="s">
        <v>2886</v>
      </c>
      <c r="D3563" t="s">
        <v>4274</v>
      </c>
      <c r="E3563">
        <v>100600</v>
      </c>
      <c r="F3563" t="s">
        <v>4297</v>
      </c>
      <c r="G3563" t="s">
        <v>3029</v>
      </c>
      <c r="H3563" t="s">
        <v>4284</v>
      </c>
      <c r="I3563" t="s">
        <v>289</v>
      </c>
      <c r="J3563" t="s">
        <v>2892</v>
      </c>
      <c r="K3563">
        <v>0</v>
      </c>
      <c r="L3563" s="6">
        <v>0</v>
      </c>
      <c r="M3563" s="7">
        <v>0</v>
      </c>
      <c r="N3563" s="7">
        <v>0</v>
      </c>
      <c r="O3563" s="7">
        <v>0</v>
      </c>
      <c r="P3563" s="7">
        <v>0</v>
      </c>
      <c r="Q3563" s="7">
        <v>0</v>
      </c>
      <c r="R3563" s="6">
        <v>0</v>
      </c>
      <c r="S3563" s="6">
        <v>0</v>
      </c>
      <c r="T3563" t="str">
        <f t="shared" si="277"/>
        <v>Taupe US4 Everdeck Oil Oil</v>
      </c>
    </row>
    <row r="3564" spans="1:20" x14ac:dyDescent="0.25">
      <c r="A3564" t="s">
        <v>4274</v>
      </c>
      <c r="B3564" t="s">
        <v>4275</v>
      </c>
      <c r="C3564" t="s">
        <v>2886</v>
      </c>
      <c r="D3564" t="s">
        <v>4274</v>
      </c>
      <c r="E3564">
        <v>100613</v>
      </c>
      <c r="F3564" t="s">
        <v>4298</v>
      </c>
      <c r="G3564" t="s">
        <v>2778</v>
      </c>
      <c r="H3564" t="s">
        <v>4277</v>
      </c>
      <c r="I3564" t="s">
        <v>2936</v>
      </c>
      <c r="J3564" t="s">
        <v>2898</v>
      </c>
      <c r="K3564">
        <v>0</v>
      </c>
      <c r="L3564" s="6">
        <v>0</v>
      </c>
      <c r="M3564" s="7">
        <v>0</v>
      </c>
      <c r="N3564" s="7">
        <v>0</v>
      </c>
      <c r="O3564" s="7">
        <v>0</v>
      </c>
      <c r="P3564" s="7">
        <v>0</v>
      </c>
      <c r="Q3564" s="7">
        <v>0</v>
      </c>
      <c r="R3564" s="6">
        <v>0</v>
      </c>
      <c r="S3564" s="6">
        <v>0</v>
      </c>
      <c r="T3564" t="str">
        <f t="shared" si="277"/>
        <v>Teak US4 Everclad Aqua Oil Opaque Oil</v>
      </c>
    </row>
    <row r="3565" spans="1:20" x14ac:dyDescent="0.25">
      <c r="A3565" t="s">
        <v>4274</v>
      </c>
      <c r="B3565" t="s">
        <v>4278</v>
      </c>
      <c r="C3565" t="s">
        <v>2886</v>
      </c>
      <c r="D3565" t="s">
        <v>4274</v>
      </c>
      <c r="E3565">
        <v>100619</v>
      </c>
      <c r="F3565" t="s">
        <v>4298</v>
      </c>
      <c r="G3565" t="s">
        <v>2778</v>
      </c>
      <c r="H3565" t="s">
        <v>4277</v>
      </c>
      <c r="I3565" t="s">
        <v>2936</v>
      </c>
      <c r="J3565" t="s">
        <v>2895</v>
      </c>
      <c r="K3565">
        <v>0</v>
      </c>
      <c r="L3565" s="6">
        <v>0</v>
      </c>
      <c r="M3565" s="7">
        <v>0</v>
      </c>
      <c r="N3565" s="7">
        <v>0</v>
      </c>
      <c r="O3565" s="7">
        <v>0</v>
      </c>
      <c r="P3565" s="7">
        <v>0</v>
      </c>
      <c r="Q3565" s="7">
        <v>0</v>
      </c>
      <c r="R3565" s="6">
        <v>0</v>
      </c>
      <c r="S3565" s="6">
        <v>0</v>
      </c>
      <c r="T3565" t="str">
        <f t="shared" si="277"/>
        <v>Teak US4 Everclad Aqua Oil Opaque Oil</v>
      </c>
    </row>
    <row r="3566" spans="1:20" x14ac:dyDescent="0.25">
      <c r="A3566" t="s">
        <v>4274</v>
      </c>
      <c r="B3566" t="s">
        <v>4279</v>
      </c>
      <c r="C3566" t="s">
        <v>2886</v>
      </c>
      <c r="D3566" t="s">
        <v>4274</v>
      </c>
      <c r="E3566">
        <v>100625</v>
      </c>
      <c r="F3566" t="s">
        <v>4298</v>
      </c>
      <c r="G3566" t="s">
        <v>2778</v>
      </c>
      <c r="H3566" t="s">
        <v>4277</v>
      </c>
      <c r="I3566" t="s">
        <v>2936</v>
      </c>
      <c r="J3566" t="s">
        <v>2901</v>
      </c>
      <c r="K3566">
        <v>0</v>
      </c>
      <c r="L3566" s="6">
        <v>0</v>
      </c>
      <c r="M3566" s="7">
        <v>0</v>
      </c>
      <c r="N3566" s="7">
        <v>0</v>
      </c>
      <c r="O3566" s="7">
        <v>0</v>
      </c>
      <c r="P3566" s="7">
        <v>0</v>
      </c>
      <c r="Q3566" s="7">
        <v>0</v>
      </c>
      <c r="R3566" s="6">
        <v>0</v>
      </c>
      <c r="S3566" s="6">
        <v>0</v>
      </c>
      <c r="T3566" t="str">
        <f t="shared" si="277"/>
        <v>Teak US4 Everclad Aqua Oil Opaque Oil</v>
      </c>
    </row>
    <row r="3567" spans="1:20" x14ac:dyDescent="0.25">
      <c r="A3567" t="s">
        <v>4274</v>
      </c>
      <c r="B3567" t="s">
        <v>4280</v>
      </c>
      <c r="C3567" t="s">
        <v>2886</v>
      </c>
      <c r="D3567" t="s">
        <v>4274</v>
      </c>
      <c r="E3567">
        <v>100631</v>
      </c>
      <c r="F3567" t="s">
        <v>4298</v>
      </c>
      <c r="G3567" t="s">
        <v>2778</v>
      </c>
      <c r="H3567" t="s">
        <v>4277</v>
      </c>
      <c r="I3567" t="s">
        <v>2936</v>
      </c>
      <c r="J3567" t="s">
        <v>2892</v>
      </c>
      <c r="K3567">
        <v>0</v>
      </c>
      <c r="L3567" s="6">
        <v>0</v>
      </c>
      <c r="M3567" s="7">
        <v>0</v>
      </c>
      <c r="N3567" s="7">
        <v>0</v>
      </c>
      <c r="O3567" s="7">
        <v>0</v>
      </c>
      <c r="P3567" s="7">
        <v>0</v>
      </c>
      <c r="Q3567" s="7">
        <v>0</v>
      </c>
      <c r="R3567" s="6">
        <v>0</v>
      </c>
      <c r="S3567" s="6">
        <v>0</v>
      </c>
      <c r="T3567" t="str">
        <f t="shared" si="277"/>
        <v>Teak US4 Everclad Aqua Oil Opaque Oil</v>
      </c>
    </row>
    <row r="3568" spans="1:20" x14ac:dyDescent="0.25">
      <c r="A3568" t="s">
        <v>4274</v>
      </c>
      <c r="B3568" t="s">
        <v>4275</v>
      </c>
      <c r="C3568" t="s">
        <v>2886</v>
      </c>
      <c r="D3568" t="s">
        <v>4274</v>
      </c>
      <c r="E3568">
        <v>100555</v>
      </c>
      <c r="F3568" t="s">
        <v>4299</v>
      </c>
      <c r="G3568" t="s">
        <v>2778</v>
      </c>
      <c r="H3568" t="s">
        <v>4277</v>
      </c>
      <c r="I3568" t="s">
        <v>2891</v>
      </c>
      <c r="J3568" t="s">
        <v>2898</v>
      </c>
      <c r="K3568">
        <v>0</v>
      </c>
      <c r="L3568" s="6">
        <v>0</v>
      </c>
      <c r="M3568" s="7">
        <v>0</v>
      </c>
      <c r="N3568" s="7">
        <v>0</v>
      </c>
      <c r="O3568" s="7">
        <v>0</v>
      </c>
      <c r="P3568" s="7">
        <v>0</v>
      </c>
      <c r="Q3568" s="7">
        <v>0</v>
      </c>
      <c r="R3568" s="6">
        <v>0</v>
      </c>
      <c r="S3568" s="6">
        <v>0</v>
      </c>
      <c r="T3568" t="str">
        <f t="shared" si="277"/>
        <v>Teak US4 Everclad Aqua Oil Transparent Oil</v>
      </c>
    </row>
    <row r="3569" spans="1:20" x14ac:dyDescent="0.25">
      <c r="A3569" t="s">
        <v>4274</v>
      </c>
      <c r="B3569" t="s">
        <v>4278</v>
      </c>
      <c r="C3569" t="s">
        <v>2886</v>
      </c>
      <c r="D3569" t="s">
        <v>4274</v>
      </c>
      <c r="E3569">
        <v>100564</v>
      </c>
      <c r="F3569" t="s">
        <v>4299</v>
      </c>
      <c r="G3569" t="s">
        <v>2778</v>
      </c>
      <c r="H3569" t="s">
        <v>4277</v>
      </c>
      <c r="I3569" t="s">
        <v>2891</v>
      </c>
      <c r="J3569" t="s">
        <v>2895</v>
      </c>
      <c r="K3569">
        <v>0</v>
      </c>
      <c r="L3569" s="6">
        <v>0</v>
      </c>
      <c r="M3569" s="7">
        <v>0</v>
      </c>
      <c r="N3569" s="7">
        <v>0</v>
      </c>
      <c r="O3569" s="7">
        <v>0</v>
      </c>
      <c r="P3569" s="7">
        <v>0</v>
      </c>
      <c r="Q3569" s="7">
        <v>0</v>
      </c>
      <c r="R3569" s="6">
        <v>0</v>
      </c>
      <c r="S3569" s="6">
        <v>0</v>
      </c>
      <c r="T3569" t="str">
        <f t="shared" si="277"/>
        <v>Teak US4 Everclad Aqua Oil Transparent Oil</v>
      </c>
    </row>
    <row r="3570" spans="1:20" x14ac:dyDescent="0.25">
      <c r="A3570" t="s">
        <v>4274</v>
      </c>
      <c r="B3570" t="s">
        <v>4279</v>
      </c>
      <c r="C3570" t="s">
        <v>2886</v>
      </c>
      <c r="D3570" t="s">
        <v>4274</v>
      </c>
      <c r="E3570">
        <v>100573</v>
      </c>
      <c r="F3570" t="s">
        <v>4299</v>
      </c>
      <c r="G3570" t="s">
        <v>2778</v>
      </c>
      <c r="H3570" t="s">
        <v>4277</v>
      </c>
      <c r="I3570" t="s">
        <v>2891</v>
      </c>
      <c r="J3570" t="s">
        <v>2901</v>
      </c>
      <c r="K3570">
        <v>0</v>
      </c>
      <c r="L3570" s="6">
        <v>0</v>
      </c>
      <c r="M3570" s="7">
        <v>0</v>
      </c>
      <c r="N3570" s="7">
        <v>0</v>
      </c>
      <c r="O3570" s="7">
        <v>0</v>
      </c>
      <c r="P3570" s="7">
        <v>0</v>
      </c>
      <c r="Q3570" s="7">
        <v>0</v>
      </c>
      <c r="R3570" s="6">
        <v>0</v>
      </c>
      <c r="S3570" s="6">
        <v>0</v>
      </c>
      <c r="T3570" t="str">
        <f t="shared" si="277"/>
        <v>Teak US4 Everclad Aqua Oil Transparent Oil</v>
      </c>
    </row>
    <row r="3571" spans="1:20" x14ac:dyDescent="0.25">
      <c r="A3571" t="s">
        <v>4274</v>
      </c>
      <c r="B3571" t="s">
        <v>4280</v>
      </c>
      <c r="C3571" t="s">
        <v>2886</v>
      </c>
      <c r="D3571" t="s">
        <v>4274</v>
      </c>
      <c r="E3571">
        <v>100582</v>
      </c>
      <c r="F3571" t="s">
        <v>4299</v>
      </c>
      <c r="G3571" t="s">
        <v>2778</v>
      </c>
      <c r="H3571" t="s">
        <v>4277</v>
      </c>
      <c r="I3571" t="s">
        <v>2891</v>
      </c>
      <c r="J3571" t="s">
        <v>2892</v>
      </c>
      <c r="K3571">
        <v>0</v>
      </c>
      <c r="L3571" s="6">
        <v>0</v>
      </c>
      <c r="M3571" s="7">
        <v>0</v>
      </c>
      <c r="N3571" s="7">
        <v>0</v>
      </c>
      <c r="O3571" s="7">
        <v>0</v>
      </c>
      <c r="P3571" s="7">
        <v>0</v>
      </c>
      <c r="Q3571" s="7">
        <v>0</v>
      </c>
      <c r="R3571" s="6">
        <v>0</v>
      </c>
      <c r="S3571" s="6">
        <v>0</v>
      </c>
      <c r="T3571" t="str">
        <f t="shared" si="277"/>
        <v>Teak US4 Everclad Aqua Oil Transparent Oil</v>
      </c>
    </row>
    <row r="3572" spans="1:20" x14ac:dyDescent="0.25">
      <c r="A3572" t="s">
        <v>4274</v>
      </c>
      <c r="B3572" t="s">
        <v>4275</v>
      </c>
      <c r="C3572" t="s">
        <v>2886</v>
      </c>
      <c r="D3572" t="s">
        <v>4274</v>
      </c>
      <c r="E3572">
        <v>100589</v>
      </c>
      <c r="F3572" t="s">
        <v>4300</v>
      </c>
      <c r="G3572" t="s">
        <v>2778</v>
      </c>
      <c r="H3572" t="s">
        <v>4284</v>
      </c>
      <c r="I3572" t="s">
        <v>289</v>
      </c>
      <c r="J3572" t="s">
        <v>2898</v>
      </c>
      <c r="K3572">
        <v>0</v>
      </c>
      <c r="L3572" s="6">
        <v>0</v>
      </c>
      <c r="M3572" s="7">
        <v>0</v>
      </c>
      <c r="N3572" s="7">
        <v>0</v>
      </c>
      <c r="O3572" s="7">
        <v>0</v>
      </c>
      <c r="P3572" s="7">
        <v>0</v>
      </c>
      <c r="Q3572" s="7">
        <v>0</v>
      </c>
      <c r="R3572" s="6">
        <v>0</v>
      </c>
      <c r="S3572" s="6">
        <v>0</v>
      </c>
      <c r="T3572" t="str">
        <f t="shared" si="277"/>
        <v>Teak US4 Everdeck Oil Oil</v>
      </c>
    </row>
    <row r="3573" spans="1:20" x14ac:dyDescent="0.25">
      <c r="A3573" t="s">
        <v>4274</v>
      </c>
      <c r="B3573" t="s">
        <v>4278</v>
      </c>
      <c r="C3573" t="s">
        <v>2886</v>
      </c>
      <c r="D3573" t="s">
        <v>4274</v>
      </c>
      <c r="E3573">
        <v>100593</v>
      </c>
      <c r="F3573" t="s">
        <v>4300</v>
      </c>
      <c r="G3573" t="s">
        <v>2778</v>
      </c>
      <c r="H3573" t="s">
        <v>4284</v>
      </c>
      <c r="I3573" t="s">
        <v>289</v>
      </c>
      <c r="J3573" t="s">
        <v>2895</v>
      </c>
      <c r="K3573">
        <v>0</v>
      </c>
      <c r="L3573" s="6">
        <v>0</v>
      </c>
      <c r="M3573" s="7">
        <v>0</v>
      </c>
      <c r="N3573" s="7">
        <v>0</v>
      </c>
      <c r="O3573" s="7">
        <v>0</v>
      </c>
      <c r="P3573" s="7">
        <v>0</v>
      </c>
      <c r="Q3573" s="7">
        <v>0</v>
      </c>
      <c r="R3573" s="6">
        <v>0</v>
      </c>
      <c r="S3573" s="6">
        <v>0</v>
      </c>
      <c r="T3573" t="str">
        <f t="shared" si="277"/>
        <v>Teak US4 Everdeck Oil Oil</v>
      </c>
    </row>
    <row r="3574" spans="1:20" x14ac:dyDescent="0.25">
      <c r="A3574" t="s">
        <v>4274</v>
      </c>
      <c r="B3574" t="s">
        <v>4279</v>
      </c>
      <c r="C3574" t="s">
        <v>2886</v>
      </c>
      <c r="D3574" t="s">
        <v>4274</v>
      </c>
      <c r="E3574">
        <v>100597</v>
      </c>
      <c r="F3574" t="s">
        <v>4300</v>
      </c>
      <c r="G3574" t="s">
        <v>2778</v>
      </c>
      <c r="H3574" t="s">
        <v>4284</v>
      </c>
      <c r="I3574" t="s">
        <v>289</v>
      </c>
      <c r="J3574" t="s">
        <v>2901</v>
      </c>
      <c r="K3574">
        <v>0</v>
      </c>
      <c r="L3574" s="6">
        <v>0</v>
      </c>
      <c r="M3574" s="7">
        <v>0</v>
      </c>
      <c r="N3574" s="7">
        <v>0</v>
      </c>
      <c r="O3574" s="7">
        <v>0</v>
      </c>
      <c r="P3574" s="7">
        <v>0</v>
      </c>
      <c r="Q3574" s="7">
        <v>0</v>
      </c>
      <c r="R3574" s="6">
        <v>0</v>
      </c>
      <c r="S3574" s="6">
        <v>0</v>
      </c>
      <c r="T3574" t="str">
        <f t="shared" si="277"/>
        <v>Teak US4 Everdeck Oil Oil</v>
      </c>
    </row>
    <row r="3575" spans="1:20" x14ac:dyDescent="0.25">
      <c r="A3575" t="s">
        <v>4274</v>
      </c>
      <c r="B3575" t="s">
        <v>4280</v>
      </c>
      <c r="C3575" t="s">
        <v>2886</v>
      </c>
      <c r="D3575" t="s">
        <v>4274</v>
      </c>
      <c r="E3575">
        <v>100601</v>
      </c>
      <c r="F3575" t="s">
        <v>4300</v>
      </c>
      <c r="G3575" t="s">
        <v>2778</v>
      </c>
      <c r="H3575" t="s">
        <v>4284</v>
      </c>
      <c r="I3575" t="s">
        <v>289</v>
      </c>
      <c r="J3575" t="s">
        <v>2892</v>
      </c>
      <c r="K3575">
        <v>0</v>
      </c>
      <c r="L3575" s="6">
        <v>0</v>
      </c>
      <c r="M3575" s="7">
        <v>0</v>
      </c>
      <c r="N3575" s="7">
        <v>0</v>
      </c>
      <c r="O3575" s="7">
        <v>0</v>
      </c>
      <c r="P3575" s="7">
        <v>0</v>
      </c>
      <c r="Q3575" s="7">
        <v>0</v>
      </c>
      <c r="R3575" s="6">
        <v>0</v>
      </c>
      <c r="S3575" s="6">
        <v>0</v>
      </c>
      <c r="T3575" t="str">
        <f t="shared" si="277"/>
        <v>Teak US4 Everdeck Oil Oil</v>
      </c>
    </row>
    <row r="3576" spans="1:20" x14ac:dyDescent="0.25">
      <c r="A3576" t="s">
        <v>4274</v>
      </c>
      <c r="B3576" t="s">
        <v>4278</v>
      </c>
      <c r="C3576" t="s">
        <v>2886</v>
      </c>
      <c r="D3576" t="s">
        <v>4274</v>
      </c>
      <c r="E3576">
        <v>100592</v>
      </c>
      <c r="F3576" t="s">
        <v>4301</v>
      </c>
      <c r="G3576" t="s">
        <v>3044</v>
      </c>
      <c r="H3576" t="s">
        <v>4284</v>
      </c>
      <c r="I3576" t="s">
        <v>289</v>
      </c>
      <c r="J3576" t="s">
        <v>2895</v>
      </c>
      <c r="K3576">
        <v>0</v>
      </c>
      <c r="L3576" s="6">
        <v>0</v>
      </c>
      <c r="M3576" s="7">
        <v>0</v>
      </c>
      <c r="N3576" s="7">
        <v>0</v>
      </c>
      <c r="O3576" s="7">
        <v>0</v>
      </c>
      <c r="P3576" s="7">
        <v>0</v>
      </c>
      <c r="Q3576" s="7">
        <v>0</v>
      </c>
      <c r="R3576" s="6">
        <v>0</v>
      </c>
      <c r="S3576" s="6">
        <v>0</v>
      </c>
      <c r="T3576" t="str">
        <f t="shared" si="277"/>
        <v>Thermowood US4 Everdeck Oil Oil</v>
      </c>
    </row>
    <row r="3577" spans="1:20" x14ac:dyDescent="0.25">
      <c r="A3577" t="s">
        <v>4274</v>
      </c>
      <c r="B3577" t="s">
        <v>4275</v>
      </c>
      <c r="C3577" t="s">
        <v>2886</v>
      </c>
      <c r="D3577" t="s">
        <v>4274</v>
      </c>
      <c r="E3577">
        <v>100614</v>
      </c>
      <c r="F3577" t="s">
        <v>4302</v>
      </c>
      <c r="G3577" t="s">
        <v>3047</v>
      </c>
      <c r="H3577" t="s">
        <v>4277</v>
      </c>
      <c r="I3577" t="s">
        <v>2936</v>
      </c>
      <c r="J3577" t="s">
        <v>2898</v>
      </c>
      <c r="K3577">
        <v>0</v>
      </c>
      <c r="L3577" s="6">
        <v>0</v>
      </c>
      <c r="M3577" s="7">
        <v>0</v>
      </c>
      <c r="N3577" s="7">
        <v>0</v>
      </c>
      <c r="O3577" s="7">
        <v>0</v>
      </c>
      <c r="P3577" s="7">
        <v>0</v>
      </c>
      <c r="Q3577" s="7">
        <v>0</v>
      </c>
      <c r="R3577" s="6">
        <v>0</v>
      </c>
      <c r="S3577" s="6">
        <v>0</v>
      </c>
      <c r="T3577" t="str">
        <f t="shared" si="277"/>
        <v>Walnut US4 Everclad Aqua Oil Opaque Oil</v>
      </c>
    </row>
    <row r="3578" spans="1:20" x14ac:dyDescent="0.25">
      <c r="A3578" t="s">
        <v>4274</v>
      </c>
      <c r="B3578" t="s">
        <v>4278</v>
      </c>
      <c r="C3578" t="s">
        <v>2886</v>
      </c>
      <c r="D3578" t="s">
        <v>4274</v>
      </c>
      <c r="E3578">
        <v>100620</v>
      </c>
      <c r="F3578" t="s">
        <v>4302</v>
      </c>
      <c r="G3578" t="s">
        <v>3047</v>
      </c>
      <c r="H3578" t="s">
        <v>4277</v>
      </c>
      <c r="I3578" t="s">
        <v>2936</v>
      </c>
      <c r="J3578" t="s">
        <v>2895</v>
      </c>
      <c r="K3578">
        <v>0</v>
      </c>
      <c r="L3578" s="6">
        <v>0</v>
      </c>
      <c r="M3578" s="7">
        <v>0</v>
      </c>
      <c r="N3578" s="7">
        <v>0</v>
      </c>
      <c r="O3578" s="7">
        <v>0</v>
      </c>
      <c r="P3578" s="7">
        <v>0</v>
      </c>
      <c r="Q3578" s="7">
        <v>0</v>
      </c>
      <c r="R3578" s="6">
        <v>0</v>
      </c>
      <c r="S3578" s="6">
        <v>0</v>
      </c>
      <c r="T3578" t="str">
        <f t="shared" si="277"/>
        <v>Walnut US4 Everclad Aqua Oil Opaque Oil</v>
      </c>
    </row>
    <row r="3579" spans="1:20" x14ac:dyDescent="0.25">
      <c r="A3579" t="s">
        <v>4274</v>
      </c>
      <c r="B3579" t="s">
        <v>4279</v>
      </c>
      <c r="C3579" t="s">
        <v>2886</v>
      </c>
      <c r="D3579" t="s">
        <v>4274</v>
      </c>
      <c r="E3579">
        <v>100626</v>
      </c>
      <c r="F3579" t="s">
        <v>4302</v>
      </c>
      <c r="G3579" t="s">
        <v>3047</v>
      </c>
      <c r="H3579" t="s">
        <v>4277</v>
      </c>
      <c r="I3579" t="s">
        <v>2936</v>
      </c>
      <c r="J3579" t="s">
        <v>2901</v>
      </c>
      <c r="K3579">
        <v>0</v>
      </c>
      <c r="L3579" s="6">
        <v>0</v>
      </c>
      <c r="M3579" s="7">
        <v>0</v>
      </c>
      <c r="N3579" s="7">
        <v>0</v>
      </c>
      <c r="O3579" s="7">
        <v>0</v>
      </c>
      <c r="P3579" s="7">
        <v>0</v>
      </c>
      <c r="Q3579" s="7">
        <v>0</v>
      </c>
      <c r="R3579" s="6">
        <v>0</v>
      </c>
      <c r="S3579" s="6">
        <v>0</v>
      </c>
      <c r="T3579" t="str">
        <f t="shared" si="277"/>
        <v>Walnut US4 Everclad Aqua Oil Opaque Oil</v>
      </c>
    </row>
    <row r="3580" spans="1:20" x14ac:dyDescent="0.25">
      <c r="A3580" t="s">
        <v>4274</v>
      </c>
      <c r="B3580" t="s">
        <v>4280</v>
      </c>
      <c r="C3580" t="s">
        <v>2886</v>
      </c>
      <c r="D3580" t="s">
        <v>4274</v>
      </c>
      <c r="E3580">
        <v>100632</v>
      </c>
      <c r="F3580" t="s">
        <v>4302</v>
      </c>
      <c r="G3580" t="s">
        <v>3047</v>
      </c>
      <c r="H3580" t="s">
        <v>4277</v>
      </c>
      <c r="I3580" t="s">
        <v>2936</v>
      </c>
      <c r="J3580" t="s">
        <v>2892</v>
      </c>
      <c r="K3580">
        <v>0</v>
      </c>
      <c r="L3580" s="6">
        <v>0</v>
      </c>
      <c r="M3580" s="7">
        <v>0</v>
      </c>
      <c r="N3580" s="7">
        <v>0</v>
      </c>
      <c r="O3580" s="7">
        <v>0</v>
      </c>
      <c r="P3580" s="7">
        <v>0</v>
      </c>
      <c r="Q3580" s="7">
        <v>0</v>
      </c>
      <c r="R3580" s="6">
        <v>0</v>
      </c>
      <c r="S3580" s="6">
        <v>0</v>
      </c>
      <c r="T3580" t="str">
        <f t="shared" si="277"/>
        <v>Walnut US4 Everclad Aqua Oil Opaque Oil</v>
      </c>
    </row>
    <row r="3581" spans="1:20" x14ac:dyDescent="0.25">
      <c r="A3581" t="s">
        <v>4274</v>
      </c>
      <c r="B3581" t="s">
        <v>4275</v>
      </c>
      <c r="C3581" t="s">
        <v>2886</v>
      </c>
      <c r="D3581" t="s">
        <v>4274</v>
      </c>
      <c r="E3581">
        <v>100556</v>
      </c>
      <c r="F3581" t="s">
        <v>4303</v>
      </c>
      <c r="G3581" t="s">
        <v>3047</v>
      </c>
      <c r="H3581" t="s">
        <v>4277</v>
      </c>
      <c r="I3581" t="s">
        <v>2891</v>
      </c>
      <c r="J3581" t="s">
        <v>2898</v>
      </c>
      <c r="K3581">
        <v>0</v>
      </c>
      <c r="L3581" s="6">
        <v>0</v>
      </c>
      <c r="M3581" s="7">
        <v>0</v>
      </c>
      <c r="N3581" s="7">
        <v>0</v>
      </c>
      <c r="O3581" s="7">
        <v>0</v>
      </c>
      <c r="P3581" s="7">
        <v>0</v>
      </c>
      <c r="Q3581" s="7">
        <v>0</v>
      </c>
      <c r="R3581" s="6">
        <v>0</v>
      </c>
      <c r="S3581" s="6">
        <v>0</v>
      </c>
      <c r="T3581" t="str">
        <f t="shared" si="277"/>
        <v>Walnut US4 Everclad Aqua Oil Transparent Oil</v>
      </c>
    </row>
    <row r="3582" spans="1:20" x14ac:dyDescent="0.25">
      <c r="A3582" t="s">
        <v>4274</v>
      </c>
      <c r="B3582" t="s">
        <v>4278</v>
      </c>
      <c r="C3582" t="s">
        <v>2886</v>
      </c>
      <c r="D3582" t="s">
        <v>4274</v>
      </c>
      <c r="E3582">
        <v>100565</v>
      </c>
      <c r="F3582" t="s">
        <v>4303</v>
      </c>
      <c r="G3582" t="s">
        <v>3047</v>
      </c>
      <c r="H3582" t="s">
        <v>4277</v>
      </c>
      <c r="I3582" t="s">
        <v>2891</v>
      </c>
      <c r="J3582" t="s">
        <v>2895</v>
      </c>
      <c r="K3582">
        <v>0</v>
      </c>
      <c r="L3582" s="6">
        <v>0</v>
      </c>
      <c r="M3582" s="7">
        <v>0</v>
      </c>
      <c r="N3582" s="7">
        <v>0</v>
      </c>
      <c r="O3582" s="7">
        <v>0</v>
      </c>
      <c r="P3582" s="7">
        <v>0</v>
      </c>
      <c r="Q3582" s="7">
        <v>0</v>
      </c>
      <c r="R3582" s="6">
        <v>0</v>
      </c>
      <c r="S3582" s="6">
        <v>0</v>
      </c>
      <c r="T3582" t="str">
        <f t="shared" si="277"/>
        <v>Walnut US4 Everclad Aqua Oil Transparent Oil</v>
      </c>
    </row>
    <row r="3583" spans="1:20" x14ac:dyDescent="0.25">
      <c r="A3583" t="s">
        <v>4274</v>
      </c>
      <c r="B3583" t="s">
        <v>4279</v>
      </c>
      <c r="C3583" t="s">
        <v>2886</v>
      </c>
      <c r="D3583" t="s">
        <v>4274</v>
      </c>
      <c r="E3583">
        <v>100574</v>
      </c>
      <c r="F3583" t="s">
        <v>4303</v>
      </c>
      <c r="G3583" t="s">
        <v>3047</v>
      </c>
      <c r="H3583" t="s">
        <v>4277</v>
      </c>
      <c r="I3583" t="s">
        <v>2891</v>
      </c>
      <c r="J3583" t="s">
        <v>2901</v>
      </c>
      <c r="K3583">
        <v>0</v>
      </c>
      <c r="L3583" s="6">
        <v>0</v>
      </c>
      <c r="M3583" s="7">
        <v>0</v>
      </c>
      <c r="N3583" s="7">
        <v>0</v>
      </c>
      <c r="O3583" s="7">
        <v>0</v>
      </c>
      <c r="P3583" s="7">
        <v>0</v>
      </c>
      <c r="Q3583" s="7">
        <v>0</v>
      </c>
      <c r="R3583" s="6">
        <v>0</v>
      </c>
      <c r="S3583" s="6">
        <v>0</v>
      </c>
      <c r="T3583" t="str">
        <f t="shared" si="277"/>
        <v>Walnut US4 Everclad Aqua Oil Transparent Oil</v>
      </c>
    </row>
    <row r="3584" spans="1:20" x14ac:dyDescent="0.25">
      <c r="A3584" t="s">
        <v>4274</v>
      </c>
      <c r="B3584" t="s">
        <v>4280</v>
      </c>
      <c r="C3584" t="s">
        <v>2886</v>
      </c>
      <c r="D3584" t="s">
        <v>4274</v>
      </c>
      <c r="E3584">
        <v>100583</v>
      </c>
      <c r="F3584" t="s">
        <v>4303</v>
      </c>
      <c r="G3584" t="s">
        <v>3047</v>
      </c>
      <c r="H3584" t="s">
        <v>4277</v>
      </c>
      <c r="I3584" t="s">
        <v>2891</v>
      </c>
      <c r="J3584" t="s">
        <v>2892</v>
      </c>
      <c r="K3584">
        <v>0</v>
      </c>
      <c r="L3584" s="6">
        <v>0</v>
      </c>
      <c r="M3584" s="7">
        <v>0</v>
      </c>
      <c r="N3584" s="7">
        <v>0</v>
      </c>
      <c r="O3584" s="7">
        <v>0</v>
      </c>
      <c r="P3584" s="7">
        <v>0</v>
      </c>
      <c r="Q3584" s="7">
        <v>0</v>
      </c>
      <c r="R3584" s="6">
        <v>0</v>
      </c>
      <c r="S3584" s="6">
        <v>0</v>
      </c>
      <c r="T3584" t="str">
        <f t="shared" si="277"/>
        <v>Walnut US4 Everclad Aqua Oil Transparent Oil</v>
      </c>
    </row>
    <row r="3585" spans="1:20" x14ac:dyDescent="0.25">
      <c r="A3585" t="s">
        <v>4274</v>
      </c>
      <c r="B3585" t="s">
        <v>4275</v>
      </c>
      <c r="C3585" t="s">
        <v>2886</v>
      </c>
      <c r="D3585" t="s">
        <v>4274</v>
      </c>
      <c r="E3585">
        <v>100615</v>
      </c>
      <c r="F3585" t="s">
        <v>4304</v>
      </c>
      <c r="G3585" t="s">
        <v>3053</v>
      </c>
      <c r="H3585" t="s">
        <v>4277</v>
      </c>
      <c r="I3585" t="s">
        <v>2936</v>
      </c>
      <c r="J3585" t="s">
        <v>2898</v>
      </c>
      <c r="K3585">
        <v>0</v>
      </c>
      <c r="L3585" s="6">
        <v>0</v>
      </c>
      <c r="M3585" s="7">
        <v>0</v>
      </c>
      <c r="N3585" s="7">
        <v>0</v>
      </c>
      <c r="O3585" s="7">
        <v>0</v>
      </c>
      <c r="P3585" s="7">
        <v>0</v>
      </c>
      <c r="Q3585" s="7">
        <v>0</v>
      </c>
      <c r="R3585" s="6">
        <v>0</v>
      </c>
      <c r="S3585" s="6">
        <v>0</v>
      </c>
      <c r="T3585" t="str">
        <f t="shared" si="277"/>
        <v>White Oak US4 Everclad Aqua Oil Opaque Oil</v>
      </c>
    </row>
    <row r="3586" spans="1:20" x14ac:dyDescent="0.25">
      <c r="A3586" t="s">
        <v>4274</v>
      </c>
      <c r="B3586" t="s">
        <v>4278</v>
      </c>
      <c r="C3586" t="s">
        <v>2886</v>
      </c>
      <c r="D3586" t="s">
        <v>4274</v>
      </c>
      <c r="E3586">
        <v>100621</v>
      </c>
      <c r="F3586" t="s">
        <v>4304</v>
      </c>
      <c r="G3586" t="s">
        <v>3053</v>
      </c>
      <c r="H3586" t="s">
        <v>4277</v>
      </c>
      <c r="I3586" t="s">
        <v>2936</v>
      </c>
      <c r="J3586" t="s">
        <v>2895</v>
      </c>
      <c r="K3586">
        <v>0</v>
      </c>
      <c r="L3586" s="6">
        <v>0</v>
      </c>
      <c r="M3586" s="7">
        <v>0</v>
      </c>
      <c r="N3586" s="7">
        <v>0</v>
      </c>
      <c r="O3586" s="7">
        <v>0</v>
      </c>
      <c r="P3586" s="7">
        <v>0</v>
      </c>
      <c r="Q3586" s="7">
        <v>0</v>
      </c>
      <c r="R3586" s="6">
        <v>0</v>
      </c>
      <c r="S3586" s="6">
        <v>0</v>
      </c>
      <c r="T3586" t="str">
        <f t="shared" ref="T3586:T3649" si="278">F3586&amp;" "&amp;C3586</f>
        <v>White Oak US4 Everclad Aqua Oil Opaque Oil</v>
      </c>
    </row>
    <row r="3587" spans="1:20" x14ac:dyDescent="0.25">
      <c r="A3587" t="s">
        <v>4274</v>
      </c>
      <c r="B3587" t="s">
        <v>4279</v>
      </c>
      <c r="C3587" t="s">
        <v>2886</v>
      </c>
      <c r="D3587" t="s">
        <v>4274</v>
      </c>
      <c r="E3587">
        <v>100627</v>
      </c>
      <c r="F3587" t="s">
        <v>4304</v>
      </c>
      <c r="G3587" t="s">
        <v>3053</v>
      </c>
      <c r="H3587" t="s">
        <v>4277</v>
      </c>
      <c r="I3587" t="s">
        <v>2936</v>
      </c>
      <c r="J3587" t="s">
        <v>2901</v>
      </c>
      <c r="K3587">
        <v>0</v>
      </c>
      <c r="L3587" s="6">
        <v>0</v>
      </c>
      <c r="M3587" s="7">
        <v>0</v>
      </c>
      <c r="N3587" s="7">
        <v>0</v>
      </c>
      <c r="O3587" s="7">
        <v>0</v>
      </c>
      <c r="P3587" s="7">
        <v>0</v>
      </c>
      <c r="Q3587" s="7">
        <v>0</v>
      </c>
      <c r="R3587" s="6">
        <v>0</v>
      </c>
      <c r="S3587" s="6">
        <v>0</v>
      </c>
      <c r="T3587" t="str">
        <f t="shared" si="278"/>
        <v>White Oak US4 Everclad Aqua Oil Opaque Oil</v>
      </c>
    </row>
    <row r="3588" spans="1:20" x14ac:dyDescent="0.25">
      <c r="A3588" t="s">
        <v>4274</v>
      </c>
      <c r="B3588" t="s">
        <v>4280</v>
      </c>
      <c r="C3588" t="s">
        <v>2886</v>
      </c>
      <c r="D3588" t="s">
        <v>4274</v>
      </c>
      <c r="E3588">
        <v>100633</v>
      </c>
      <c r="F3588" t="s">
        <v>4304</v>
      </c>
      <c r="G3588" t="s">
        <v>3053</v>
      </c>
      <c r="H3588" t="s">
        <v>4277</v>
      </c>
      <c r="I3588" t="s">
        <v>2936</v>
      </c>
      <c r="J3588" t="s">
        <v>2892</v>
      </c>
      <c r="K3588">
        <v>0</v>
      </c>
      <c r="L3588" s="6">
        <v>0</v>
      </c>
      <c r="M3588" s="7">
        <v>0</v>
      </c>
      <c r="N3588" s="7">
        <v>0</v>
      </c>
      <c r="O3588" s="7">
        <v>0</v>
      </c>
      <c r="P3588" s="7">
        <v>0</v>
      </c>
      <c r="Q3588" s="7">
        <v>0</v>
      </c>
      <c r="R3588" s="6">
        <v>0</v>
      </c>
      <c r="S3588" s="6">
        <v>0</v>
      </c>
      <c r="T3588" t="str">
        <f t="shared" si="278"/>
        <v>White Oak US4 Everclad Aqua Oil Opaque Oil</v>
      </c>
    </row>
    <row r="3589" spans="1:20" x14ac:dyDescent="0.25">
      <c r="A3589" t="s">
        <v>4274</v>
      </c>
      <c r="B3589" t="s">
        <v>4275</v>
      </c>
      <c r="C3589" t="s">
        <v>2886</v>
      </c>
      <c r="D3589" t="s">
        <v>4274</v>
      </c>
      <c r="E3589">
        <v>100557</v>
      </c>
      <c r="F3589" t="s">
        <v>4305</v>
      </c>
      <c r="G3589" t="s">
        <v>3053</v>
      </c>
      <c r="H3589" t="s">
        <v>4277</v>
      </c>
      <c r="I3589" t="s">
        <v>2891</v>
      </c>
      <c r="J3589" t="s">
        <v>2898</v>
      </c>
      <c r="K3589">
        <v>0</v>
      </c>
      <c r="L3589" s="6">
        <v>0</v>
      </c>
      <c r="M3589" s="7">
        <v>0</v>
      </c>
      <c r="N3589" s="7">
        <v>0</v>
      </c>
      <c r="O3589" s="7">
        <v>0</v>
      </c>
      <c r="P3589" s="7">
        <v>0</v>
      </c>
      <c r="Q3589" s="7">
        <v>0</v>
      </c>
      <c r="R3589" s="6">
        <v>0</v>
      </c>
      <c r="S3589" s="6">
        <v>0</v>
      </c>
      <c r="T3589" t="str">
        <f t="shared" si="278"/>
        <v>White Oak US4 Everclad Aqua Oil Transparent Oil</v>
      </c>
    </row>
    <row r="3590" spans="1:20" x14ac:dyDescent="0.25">
      <c r="A3590" t="s">
        <v>4274</v>
      </c>
      <c r="B3590" t="s">
        <v>4278</v>
      </c>
      <c r="C3590" t="s">
        <v>2886</v>
      </c>
      <c r="D3590" t="s">
        <v>4274</v>
      </c>
      <c r="E3590">
        <v>100566</v>
      </c>
      <c r="F3590" t="s">
        <v>4305</v>
      </c>
      <c r="G3590" t="s">
        <v>3053</v>
      </c>
      <c r="H3590" t="s">
        <v>4277</v>
      </c>
      <c r="I3590" t="s">
        <v>2891</v>
      </c>
      <c r="J3590" t="s">
        <v>2895</v>
      </c>
      <c r="K3590">
        <v>0</v>
      </c>
      <c r="L3590" s="6">
        <v>0</v>
      </c>
      <c r="M3590" s="7">
        <v>0</v>
      </c>
      <c r="N3590" s="7">
        <v>0</v>
      </c>
      <c r="O3590" s="7">
        <v>0</v>
      </c>
      <c r="P3590" s="7">
        <v>0</v>
      </c>
      <c r="Q3590" s="7">
        <v>0</v>
      </c>
      <c r="R3590" s="6">
        <v>0</v>
      </c>
      <c r="S3590" s="6">
        <v>0</v>
      </c>
      <c r="T3590" t="str">
        <f t="shared" si="278"/>
        <v>White Oak US4 Everclad Aqua Oil Transparent Oil</v>
      </c>
    </row>
    <row r="3591" spans="1:20" x14ac:dyDescent="0.25">
      <c r="A3591" t="s">
        <v>4274</v>
      </c>
      <c r="B3591" t="s">
        <v>4279</v>
      </c>
      <c r="C3591" t="s">
        <v>2886</v>
      </c>
      <c r="D3591" t="s">
        <v>4274</v>
      </c>
      <c r="E3591">
        <v>100575</v>
      </c>
      <c r="F3591" t="s">
        <v>4305</v>
      </c>
      <c r="G3591" t="s">
        <v>3053</v>
      </c>
      <c r="H3591" t="s">
        <v>4277</v>
      </c>
      <c r="I3591" t="s">
        <v>2891</v>
      </c>
      <c r="J3591" t="s">
        <v>2901</v>
      </c>
      <c r="K3591">
        <v>0</v>
      </c>
      <c r="L3591" s="6">
        <v>0</v>
      </c>
      <c r="M3591" s="7">
        <v>0</v>
      </c>
      <c r="N3591" s="7">
        <v>0</v>
      </c>
      <c r="O3591" s="7">
        <v>0</v>
      </c>
      <c r="P3591" s="7">
        <v>0</v>
      </c>
      <c r="Q3591" s="7">
        <v>0</v>
      </c>
      <c r="R3591" s="6">
        <v>0</v>
      </c>
      <c r="S3591" s="6">
        <v>0</v>
      </c>
      <c r="T3591" t="str">
        <f t="shared" si="278"/>
        <v>White Oak US4 Everclad Aqua Oil Transparent Oil</v>
      </c>
    </row>
    <row r="3592" spans="1:20" x14ac:dyDescent="0.25">
      <c r="A3592" t="s">
        <v>4274</v>
      </c>
      <c r="B3592" t="s">
        <v>4280</v>
      </c>
      <c r="C3592" t="s">
        <v>2886</v>
      </c>
      <c r="D3592" t="s">
        <v>4274</v>
      </c>
      <c r="E3592">
        <v>100584</v>
      </c>
      <c r="F3592" t="s">
        <v>4305</v>
      </c>
      <c r="G3592" t="s">
        <v>3053</v>
      </c>
      <c r="H3592" t="s">
        <v>4277</v>
      </c>
      <c r="I3592" t="s">
        <v>2891</v>
      </c>
      <c r="J3592" t="s">
        <v>2892</v>
      </c>
      <c r="K3592">
        <v>0</v>
      </c>
      <c r="L3592" s="6">
        <v>0</v>
      </c>
      <c r="M3592" s="7">
        <v>0</v>
      </c>
      <c r="N3592" s="7">
        <v>0</v>
      </c>
      <c r="O3592" s="7">
        <v>0</v>
      </c>
      <c r="P3592" s="7">
        <v>0</v>
      </c>
      <c r="Q3592" s="7">
        <v>0</v>
      </c>
      <c r="R3592" s="6">
        <v>0</v>
      </c>
      <c r="S3592" s="6">
        <v>0</v>
      </c>
      <c r="T3592" t="str">
        <f t="shared" si="278"/>
        <v>White Oak US4 Everclad Aqua Oil Transparent Oil</v>
      </c>
    </row>
    <row r="3593" spans="1:20" x14ac:dyDescent="0.25">
      <c r="A3593" t="s">
        <v>4306</v>
      </c>
      <c r="B3593" t="s">
        <v>4307</v>
      </c>
      <c r="C3593" t="s">
        <v>2886</v>
      </c>
      <c r="D3593" t="s">
        <v>4306</v>
      </c>
      <c r="E3593" t="s">
        <v>4308</v>
      </c>
      <c r="F3593" t="s">
        <v>4309</v>
      </c>
      <c r="G3593" t="s">
        <v>4310</v>
      </c>
      <c r="H3593" t="s">
        <v>4311</v>
      </c>
      <c r="I3593" t="s">
        <v>289</v>
      </c>
      <c r="J3593" t="s">
        <v>4312</v>
      </c>
      <c r="K3593">
        <v>0</v>
      </c>
      <c r="L3593" s="6">
        <v>0</v>
      </c>
      <c r="M3593" s="7">
        <v>0</v>
      </c>
      <c r="N3593" s="7">
        <v>0</v>
      </c>
      <c r="O3593" s="7">
        <v>0</v>
      </c>
      <c r="P3593" s="7">
        <v>0</v>
      </c>
      <c r="Q3593" s="7">
        <v>0</v>
      </c>
      <c r="R3593" s="6">
        <v>0</v>
      </c>
      <c r="S3593" s="6">
        <v>0</v>
      </c>
      <c r="T3593" t="str">
        <f t="shared" si="278"/>
        <v>Brown Ipe 18L Woca Denmark Industrial Exterior Oil Sp Natural Oil</v>
      </c>
    </row>
    <row r="3594" spans="1:20" x14ac:dyDescent="0.25">
      <c r="A3594" t="s">
        <v>4306</v>
      </c>
      <c r="B3594" t="s">
        <v>4307</v>
      </c>
      <c r="C3594" t="s">
        <v>2886</v>
      </c>
      <c r="D3594" t="s">
        <v>4306</v>
      </c>
      <c r="E3594" t="s">
        <v>4313</v>
      </c>
      <c r="F3594" t="s">
        <v>4314</v>
      </c>
      <c r="G3594" t="s">
        <v>4315</v>
      </c>
      <c r="H3594" t="s">
        <v>4316</v>
      </c>
      <c r="I3594" t="s">
        <v>289</v>
      </c>
      <c r="J3594" t="s">
        <v>4312</v>
      </c>
      <c r="K3594">
        <v>0</v>
      </c>
      <c r="L3594" s="6">
        <v>0</v>
      </c>
      <c r="M3594" s="7">
        <v>0</v>
      </c>
      <c r="N3594" s="7">
        <v>0</v>
      </c>
      <c r="O3594" s="7">
        <v>0</v>
      </c>
      <c r="P3594" s="7">
        <v>0</v>
      </c>
      <c r="Q3594" s="7">
        <v>0</v>
      </c>
      <c r="R3594" s="6">
        <v>0</v>
      </c>
      <c r="S3594" s="6">
        <v>0</v>
      </c>
      <c r="T3594" t="str">
        <f t="shared" si="278"/>
        <v>Tropical Conditioning 18L Industrial Exterior Oil Sp Natural Oil</v>
      </c>
    </row>
    <row r="3595" spans="1:20" x14ac:dyDescent="0.25">
      <c r="A3595" t="s">
        <v>4317</v>
      </c>
      <c r="B3595" t="s">
        <v>4318</v>
      </c>
      <c r="C3595" t="s">
        <v>4319</v>
      </c>
      <c r="D3595" t="s">
        <v>4317</v>
      </c>
      <c r="E3595" t="s">
        <v>4320</v>
      </c>
      <c r="F3595" t="s">
        <v>4321</v>
      </c>
      <c r="G3595" t="s">
        <v>4318</v>
      </c>
      <c r="H3595" t="s">
        <v>4317</v>
      </c>
      <c r="I3595" t="s">
        <v>289</v>
      </c>
      <c r="J3595">
        <v>0</v>
      </c>
      <c r="K3595">
        <v>0</v>
      </c>
      <c r="L3595" s="6">
        <v>0</v>
      </c>
      <c r="M3595" s="7">
        <v>0</v>
      </c>
      <c r="N3595" s="7">
        <v>0</v>
      </c>
      <c r="O3595" s="7">
        <v>0</v>
      </c>
      <c r="P3595" s="7">
        <v>0</v>
      </c>
      <c r="Q3595" s="7">
        <v>0</v>
      </c>
      <c r="R3595" s="6">
        <v>0</v>
      </c>
      <c r="S3595" s="6">
        <v>0</v>
      </c>
      <c r="T3595" t="str">
        <f t="shared" si="278"/>
        <v>Cascade Wood Table Regular</v>
      </c>
    </row>
    <row r="3596" spans="1:20" x14ac:dyDescent="0.25">
      <c r="A3596" t="s">
        <v>4317</v>
      </c>
      <c r="B3596" t="s">
        <v>4318</v>
      </c>
      <c r="C3596" t="s">
        <v>4322</v>
      </c>
      <c r="D3596" t="s">
        <v>4317</v>
      </c>
      <c r="E3596" t="s">
        <v>4323</v>
      </c>
      <c r="F3596" t="s">
        <v>4324</v>
      </c>
      <c r="G3596" t="s">
        <v>4325</v>
      </c>
      <c r="H3596" t="s">
        <v>4317</v>
      </c>
      <c r="I3596" t="s">
        <v>289</v>
      </c>
      <c r="J3596">
        <v>0</v>
      </c>
      <c r="K3596">
        <v>0</v>
      </c>
      <c r="L3596" s="6">
        <v>0</v>
      </c>
      <c r="M3596" s="7">
        <v>0</v>
      </c>
      <c r="N3596" s="7">
        <v>0</v>
      </c>
      <c r="O3596" s="7">
        <v>0</v>
      </c>
      <c r="P3596" s="7">
        <v>0</v>
      </c>
      <c r="Q3596" s="7">
        <v>0</v>
      </c>
      <c r="R3596" s="6">
        <v>0</v>
      </c>
      <c r="S3596" s="6">
        <v>0</v>
      </c>
      <c r="T3596" t="str">
        <f t="shared" si="278"/>
        <v>Double Cascade Wood Table Double</v>
      </c>
    </row>
    <row r="3597" spans="1:20" x14ac:dyDescent="0.25">
      <c r="A3597" t="s">
        <v>4317</v>
      </c>
      <c r="B3597" t="s">
        <v>4318</v>
      </c>
      <c r="C3597" t="s">
        <v>4322</v>
      </c>
      <c r="D3597" t="s">
        <v>4317</v>
      </c>
      <c r="E3597" t="s">
        <v>4326</v>
      </c>
      <c r="F3597" t="s">
        <v>4327</v>
      </c>
      <c r="G3597" t="s">
        <v>4325</v>
      </c>
      <c r="H3597" t="s">
        <v>4328</v>
      </c>
      <c r="I3597" t="s">
        <v>289</v>
      </c>
      <c r="J3597">
        <v>0</v>
      </c>
      <c r="K3597">
        <v>0</v>
      </c>
      <c r="L3597" s="6">
        <v>0</v>
      </c>
      <c r="M3597" s="7">
        <v>0</v>
      </c>
      <c r="N3597" s="7">
        <v>0</v>
      </c>
      <c r="O3597" s="7">
        <v>0</v>
      </c>
      <c r="P3597" s="7">
        <v>0</v>
      </c>
      <c r="Q3597" s="7">
        <v>0</v>
      </c>
      <c r="R3597" s="6">
        <v>0</v>
      </c>
      <c r="S3597" s="6">
        <v>0</v>
      </c>
      <c r="T3597" t="str">
        <f t="shared" si="278"/>
        <v>Double Cascade Wood Table with Glass Double</v>
      </c>
    </row>
    <row r="3598" spans="1:20" x14ac:dyDescent="0.25">
      <c r="A3598" t="s">
        <v>4317</v>
      </c>
      <c r="B3598" t="s">
        <v>4329</v>
      </c>
      <c r="C3598" t="s">
        <v>4319</v>
      </c>
      <c r="D3598" t="s">
        <v>4317</v>
      </c>
      <c r="E3598" t="s">
        <v>4330</v>
      </c>
      <c r="F3598" t="s">
        <v>4331</v>
      </c>
      <c r="G3598" t="s">
        <v>4332</v>
      </c>
      <c r="H3598" t="s">
        <v>4333</v>
      </c>
      <c r="I3598" t="s">
        <v>289</v>
      </c>
      <c r="J3598">
        <v>0</v>
      </c>
      <c r="K3598">
        <v>0</v>
      </c>
      <c r="L3598" s="6">
        <v>0</v>
      </c>
      <c r="M3598" s="7">
        <v>0</v>
      </c>
      <c r="N3598" s="7">
        <v>0</v>
      </c>
      <c r="O3598" s="7">
        <v>0</v>
      </c>
      <c r="P3598" s="7">
        <v>0</v>
      </c>
      <c r="Q3598" s="7">
        <v>0</v>
      </c>
      <c r="R3598" s="6">
        <v>0</v>
      </c>
      <c r="S3598" s="6">
        <v>0</v>
      </c>
      <c r="T3598" t="str">
        <f t="shared" si="278"/>
        <v>Round Wood Table Slab Regular</v>
      </c>
    </row>
    <row r="3599" spans="1:20" x14ac:dyDescent="0.25">
      <c r="A3599" t="s">
        <v>4317</v>
      </c>
      <c r="B3599" t="s">
        <v>4317</v>
      </c>
      <c r="C3599" t="s">
        <v>4319</v>
      </c>
      <c r="D3599" t="s">
        <v>4317</v>
      </c>
      <c r="E3599" t="s">
        <v>4334</v>
      </c>
      <c r="F3599" t="s">
        <v>4335</v>
      </c>
      <c r="G3599" t="s">
        <v>4336</v>
      </c>
      <c r="H3599" t="s">
        <v>4317</v>
      </c>
      <c r="I3599" t="s">
        <v>289</v>
      </c>
      <c r="J3599">
        <v>0</v>
      </c>
      <c r="K3599">
        <v>0</v>
      </c>
      <c r="L3599" s="6">
        <v>0</v>
      </c>
      <c r="M3599" s="7">
        <v>0</v>
      </c>
      <c r="N3599" s="7">
        <v>0</v>
      </c>
      <c r="O3599" s="7">
        <v>0</v>
      </c>
      <c r="P3599" s="7">
        <v>0</v>
      </c>
      <c r="Q3599" s="7">
        <v>0</v>
      </c>
      <c r="R3599" s="6">
        <v>0</v>
      </c>
      <c r="S3599" s="6">
        <v>0</v>
      </c>
      <c r="T3599" t="str">
        <f t="shared" si="278"/>
        <v>Saman Wood Table Regular</v>
      </c>
    </row>
    <row r="3600" spans="1:20" x14ac:dyDescent="0.25">
      <c r="A3600" t="s">
        <v>4317</v>
      </c>
      <c r="B3600" t="s">
        <v>1343</v>
      </c>
      <c r="C3600" t="s">
        <v>4337</v>
      </c>
      <c r="D3600" t="s">
        <v>4317</v>
      </c>
      <c r="E3600" t="s">
        <v>4338</v>
      </c>
      <c r="F3600" t="s">
        <v>4339</v>
      </c>
      <c r="G3600" t="s">
        <v>4337</v>
      </c>
      <c r="H3600" t="s">
        <v>4340</v>
      </c>
      <c r="I3600" t="s">
        <v>289</v>
      </c>
      <c r="J3600">
        <v>0</v>
      </c>
      <c r="K3600">
        <v>0</v>
      </c>
      <c r="L3600" s="6">
        <v>0</v>
      </c>
      <c r="M3600" s="7">
        <v>0</v>
      </c>
      <c r="N3600" s="7">
        <v>0</v>
      </c>
      <c r="O3600" s="7">
        <v>0</v>
      </c>
      <c r="P3600" s="7">
        <v>0</v>
      </c>
      <c r="Q3600" s="7">
        <v>0</v>
      </c>
      <c r="R3600" s="6">
        <v>0</v>
      </c>
      <c r="S3600" s="6">
        <v>0</v>
      </c>
      <c r="T3600" t="str">
        <f t="shared" si="278"/>
        <v>Wood Furniture Armchair Dama Armchair</v>
      </c>
    </row>
    <row r="3601" spans="1:20" x14ac:dyDescent="0.25">
      <c r="A3601" t="s">
        <v>4317</v>
      </c>
      <c r="B3601" t="s">
        <v>1343</v>
      </c>
      <c r="C3601" t="s">
        <v>4337</v>
      </c>
      <c r="D3601" t="s">
        <v>4317</v>
      </c>
      <c r="E3601" t="s">
        <v>4341</v>
      </c>
      <c r="F3601" t="s">
        <v>4339</v>
      </c>
      <c r="G3601" t="s">
        <v>4337</v>
      </c>
      <c r="H3601" t="s">
        <v>4340</v>
      </c>
      <c r="I3601" t="s">
        <v>289</v>
      </c>
      <c r="J3601">
        <v>0</v>
      </c>
      <c r="K3601">
        <v>0</v>
      </c>
      <c r="L3601" s="6">
        <v>0</v>
      </c>
      <c r="M3601" s="7">
        <v>0</v>
      </c>
      <c r="N3601" s="7">
        <v>0</v>
      </c>
      <c r="O3601" s="7">
        <v>0</v>
      </c>
      <c r="P3601" s="7">
        <v>0</v>
      </c>
      <c r="Q3601" s="7">
        <v>0</v>
      </c>
      <c r="R3601" s="6">
        <v>0</v>
      </c>
      <c r="S3601" s="6">
        <v>0</v>
      </c>
      <c r="T3601" t="str">
        <f t="shared" si="278"/>
        <v>Wood Furniture Armchair Dama Armchair</v>
      </c>
    </row>
    <row r="3602" spans="1:20" x14ac:dyDescent="0.25">
      <c r="A3602" t="s">
        <v>4317</v>
      </c>
      <c r="B3602" t="s">
        <v>1343</v>
      </c>
      <c r="C3602" t="s">
        <v>4342</v>
      </c>
      <c r="D3602" t="s">
        <v>4317</v>
      </c>
      <c r="E3602" t="s">
        <v>4343</v>
      </c>
      <c r="F3602" t="s">
        <v>4344</v>
      </c>
      <c r="G3602" t="s">
        <v>4342</v>
      </c>
      <c r="H3602" t="s">
        <v>4340</v>
      </c>
      <c r="I3602" t="s">
        <v>289</v>
      </c>
      <c r="J3602">
        <v>0</v>
      </c>
      <c r="K3602">
        <v>0</v>
      </c>
      <c r="L3602" s="6">
        <v>0</v>
      </c>
      <c r="M3602" s="7">
        <v>0</v>
      </c>
      <c r="N3602" s="7">
        <v>0</v>
      </c>
      <c r="O3602" s="7">
        <v>0</v>
      </c>
      <c r="P3602" s="7">
        <v>0</v>
      </c>
      <c r="Q3602" s="7">
        <v>0</v>
      </c>
      <c r="R3602" s="6">
        <v>0</v>
      </c>
      <c r="S3602" s="6">
        <v>0</v>
      </c>
      <c r="T3602" t="str">
        <f t="shared" si="278"/>
        <v>Wood Furniture Table Dama Table</v>
      </c>
    </row>
    <row r="3603" spans="1:20" x14ac:dyDescent="0.25">
      <c r="A3603" t="s">
        <v>4317</v>
      </c>
      <c r="B3603" t="s">
        <v>4317</v>
      </c>
      <c r="C3603" t="s">
        <v>4319</v>
      </c>
      <c r="D3603" t="s">
        <v>4317</v>
      </c>
      <c r="E3603" t="s">
        <v>4345</v>
      </c>
      <c r="F3603" t="s">
        <v>4346</v>
      </c>
      <c r="G3603" t="s">
        <v>4317</v>
      </c>
      <c r="H3603">
        <v>1</v>
      </c>
      <c r="I3603" t="s">
        <v>289</v>
      </c>
      <c r="J3603">
        <v>0</v>
      </c>
      <c r="K3603">
        <v>0</v>
      </c>
      <c r="L3603" s="6">
        <v>0</v>
      </c>
      <c r="M3603" s="7">
        <v>0</v>
      </c>
      <c r="N3603" s="7">
        <v>0</v>
      </c>
      <c r="O3603" s="7">
        <v>0</v>
      </c>
      <c r="P3603" s="7">
        <v>0</v>
      </c>
      <c r="Q3603" s="7">
        <v>0</v>
      </c>
      <c r="R3603" s="6">
        <v>0</v>
      </c>
      <c r="S3603" s="6">
        <v>0</v>
      </c>
      <c r="T3603" t="str">
        <f t="shared" si="278"/>
        <v>Wood Table 1 Regular</v>
      </c>
    </row>
    <row r="3604" spans="1:20" x14ac:dyDescent="0.25">
      <c r="A3604" t="s">
        <v>4317</v>
      </c>
      <c r="B3604" t="s">
        <v>4317</v>
      </c>
      <c r="C3604" t="s">
        <v>4319</v>
      </c>
      <c r="D3604" t="s">
        <v>4317</v>
      </c>
      <c r="E3604" t="s">
        <v>4347</v>
      </c>
      <c r="F3604" t="s">
        <v>4348</v>
      </c>
      <c r="G3604" t="s">
        <v>4317</v>
      </c>
      <c r="H3604">
        <v>2</v>
      </c>
      <c r="I3604" t="s">
        <v>289</v>
      </c>
      <c r="J3604">
        <v>0</v>
      </c>
      <c r="K3604">
        <v>0</v>
      </c>
      <c r="L3604" s="6">
        <v>0</v>
      </c>
      <c r="M3604" s="7">
        <v>0</v>
      </c>
      <c r="N3604" s="7">
        <v>0</v>
      </c>
      <c r="O3604" s="7">
        <v>0</v>
      </c>
      <c r="P3604" s="7">
        <v>0</v>
      </c>
      <c r="Q3604" s="7">
        <v>0</v>
      </c>
      <c r="R3604" s="6">
        <v>0</v>
      </c>
      <c r="S3604" s="6">
        <v>0</v>
      </c>
      <c r="T3604" t="str">
        <f t="shared" si="278"/>
        <v>Wood Table 2 Regular</v>
      </c>
    </row>
    <row r="3605" spans="1:20" x14ac:dyDescent="0.25">
      <c r="A3605" t="s">
        <v>4154</v>
      </c>
      <c r="B3605" t="s">
        <v>4217</v>
      </c>
      <c r="C3605" t="s">
        <v>283</v>
      </c>
      <c r="D3605" t="s">
        <v>3044</v>
      </c>
      <c r="E3605" t="s">
        <v>4349</v>
      </c>
      <c r="F3605" t="s">
        <v>4350</v>
      </c>
      <c r="G3605" t="s">
        <v>4158</v>
      </c>
      <c r="H3605" t="s">
        <v>3638</v>
      </c>
      <c r="I3605" t="s">
        <v>289</v>
      </c>
      <c r="J3605" t="s">
        <v>4220</v>
      </c>
      <c r="K3605">
        <v>10</v>
      </c>
      <c r="L3605" s="6">
        <v>3</v>
      </c>
      <c r="M3605" s="7">
        <v>15</v>
      </c>
      <c r="N3605" s="7">
        <v>92</v>
      </c>
      <c r="O3605" s="7">
        <f t="shared" ref="O3605:O3635" si="279">L3605/0.0254</f>
        <v>118.11023622047244</v>
      </c>
      <c r="P3605" s="7">
        <f t="shared" ref="P3605:Q3620" si="280">M3605/25.4</f>
        <v>0.59055118110236227</v>
      </c>
      <c r="Q3605" s="7">
        <f t="shared" si="280"/>
        <v>3.6220472440944884</v>
      </c>
      <c r="R3605" s="6">
        <f t="shared" ref="R3605:R3635" si="281">ROUND(IFERROR(1/((M3605*N3605*0.3048)/1000000),0),3)</f>
        <v>2377.42</v>
      </c>
      <c r="S3605" s="6">
        <f t="shared" ref="S3605:S3635" si="282">L3605*M3605/1000*N3605/1000</f>
        <v>4.1399999999999996E-3</v>
      </c>
      <c r="T3605" t="str">
        <f t="shared" si="278"/>
        <v>Maximo Thermo Scandinavian Pine VJoint - Nickel Gap 5/8x4 Long</v>
      </c>
    </row>
    <row r="3606" spans="1:20" x14ac:dyDescent="0.25">
      <c r="A3606" t="s">
        <v>4154</v>
      </c>
      <c r="B3606" t="s">
        <v>4217</v>
      </c>
      <c r="C3606" t="s">
        <v>283</v>
      </c>
      <c r="D3606" t="s">
        <v>3044</v>
      </c>
      <c r="E3606" t="s">
        <v>4351</v>
      </c>
      <c r="F3606" t="s">
        <v>4350</v>
      </c>
      <c r="G3606" t="s">
        <v>4158</v>
      </c>
      <c r="H3606" t="s">
        <v>3638</v>
      </c>
      <c r="I3606" t="s">
        <v>289</v>
      </c>
      <c r="J3606" t="s">
        <v>4220</v>
      </c>
      <c r="K3606">
        <v>11</v>
      </c>
      <c r="L3606" s="6">
        <v>3.3</v>
      </c>
      <c r="M3606" s="7">
        <v>15</v>
      </c>
      <c r="N3606" s="7">
        <v>92</v>
      </c>
      <c r="O3606" s="7">
        <f t="shared" si="279"/>
        <v>129.92125984251967</v>
      </c>
      <c r="P3606" s="7">
        <f t="shared" si="280"/>
        <v>0.59055118110236227</v>
      </c>
      <c r="Q3606" s="7">
        <f t="shared" si="280"/>
        <v>3.6220472440944884</v>
      </c>
      <c r="R3606" s="6">
        <f t="shared" si="281"/>
        <v>2377.42</v>
      </c>
      <c r="S3606" s="6">
        <f t="shared" si="282"/>
        <v>4.5539999999999999E-3</v>
      </c>
      <c r="T3606" t="str">
        <f t="shared" si="278"/>
        <v>Maximo Thermo Scandinavian Pine VJoint - Nickel Gap 5/8x4 Long</v>
      </c>
    </row>
    <row r="3607" spans="1:20" x14ac:dyDescent="0.25">
      <c r="A3607" t="s">
        <v>4154</v>
      </c>
      <c r="B3607" t="s">
        <v>4217</v>
      </c>
      <c r="C3607" t="s">
        <v>283</v>
      </c>
      <c r="D3607" t="s">
        <v>3044</v>
      </c>
      <c r="E3607" t="s">
        <v>4352</v>
      </c>
      <c r="F3607" t="s">
        <v>4350</v>
      </c>
      <c r="G3607" t="s">
        <v>4158</v>
      </c>
      <c r="H3607" t="s">
        <v>3638</v>
      </c>
      <c r="I3607" t="s">
        <v>289</v>
      </c>
      <c r="J3607" t="s">
        <v>4220</v>
      </c>
      <c r="K3607">
        <v>12</v>
      </c>
      <c r="L3607" s="6">
        <v>3.6</v>
      </c>
      <c r="M3607" s="7">
        <v>15</v>
      </c>
      <c r="N3607" s="7">
        <v>92</v>
      </c>
      <c r="O3607" s="7">
        <f t="shared" si="279"/>
        <v>141.73228346456693</v>
      </c>
      <c r="P3607" s="7">
        <f t="shared" si="280"/>
        <v>0.59055118110236227</v>
      </c>
      <c r="Q3607" s="7">
        <f t="shared" si="280"/>
        <v>3.6220472440944884</v>
      </c>
      <c r="R3607" s="6">
        <f t="shared" si="281"/>
        <v>2377.42</v>
      </c>
      <c r="S3607" s="6">
        <f t="shared" si="282"/>
        <v>4.9680000000000002E-3</v>
      </c>
      <c r="T3607" t="str">
        <f t="shared" si="278"/>
        <v>Maximo Thermo Scandinavian Pine VJoint - Nickel Gap 5/8x4 Long</v>
      </c>
    </row>
    <row r="3608" spans="1:20" x14ac:dyDescent="0.25">
      <c r="A3608" t="s">
        <v>4154</v>
      </c>
      <c r="B3608" t="s">
        <v>4217</v>
      </c>
      <c r="C3608" t="s">
        <v>283</v>
      </c>
      <c r="D3608" t="s">
        <v>3044</v>
      </c>
      <c r="E3608" t="s">
        <v>4353</v>
      </c>
      <c r="F3608" t="s">
        <v>4350</v>
      </c>
      <c r="G3608" t="s">
        <v>4158</v>
      </c>
      <c r="H3608" t="s">
        <v>3638</v>
      </c>
      <c r="I3608" t="s">
        <v>289</v>
      </c>
      <c r="J3608" t="s">
        <v>4220</v>
      </c>
      <c r="K3608">
        <v>13</v>
      </c>
      <c r="L3608" s="6">
        <v>3.9</v>
      </c>
      <c r="M3608" s="7">
        <v>15</v>
      </c>
      <c r="N3608" s="7">
        <v>92</v>
      </c>
      <c r="O3608" s="7">
        <f t="shared" si="279"/>
        <v>153.54330708661416</v>
      </c>
      <c r="P3608" s="7">
        <f t="shared" si="280"/>
        <v>0.59055118110236227</v>
      </c>
      <c r="Q3608" s="7">
        <f t="shared" si="280"/>
        <v>3.6220472440944884</v>
      </c>
      <c r="R3608" s="6">
        <f t="shared" si="281"/>
        <v>2377.42</v>
      </c>
      <c r="S3608" s="6">
        <f t="shared" si="282"/>
        <v>5.3820000000000005E-3</v>
      </c>
      <c r="T3608" t="str">
        <f t="shared" si="278"/>
        <v>Maximo Thermo Scandinavian Pine VJoint - Nickel Gap 5/8x4 Long</v>
      </c>
    </row>
    <row r="3609" spans="1:20" x14ac:dyDescent="0.25">
      <c r="A3609" t="s">
        <v>4154</v>
      </c>
      <c r="B3609" t="s">
        <v>4217</v>
      </c>
      <c r="C3609" t="s">
        <v>283</v>
      </c>
      <c r="D3609" t="s">
        <v>3044</v>
      </c>
      <c r="E3609" t="s">
        <v>4354</v>
      </c>
      <c r="F3609" t="s">
        <v>4350</v>
      </c>
      <c r="G3609" t="s">
        <v>4158</v>
      </c>
      <c r="H3609" t="s">
        <v>3638</v>
      </c>
      <c r="I3609" t="s">
        <v>289</v>
      </c>
      <c r="J3609" t="s">
        <v>4220</v>
      </c>
      <c r="K3609">
        <v>14</v>
      </c>
      <c r="L3609" s="6">
        <v>4.2</v>
      </c>
      <c r="M3609" s="7">
        <v>15</v>
      </c>
      <c r="N3609" s="7">
        <v>92</v>
      </c>
      <c r="O3609" s="7">
        <f t="shared" si="279"/>
        <v>165.35433070866142</v>
      </c>
      <c r="P3609" s="7">
        <f t="shared" si="280"/>
        <v>0.59055118110236227</v>
      </c>
      <c r="Q3609" s="7">
        <f t="shared" si="280"/>
        <v>3.6220472440944884</v>
      </c>
      <c r="R3609" s="6">
        <f t="shared" si="281"/>
        <v>2377.42</v>
      </c>
      <c r="S3609" s="6">
        <f t="shared" si="282"/>
        <v>5.7959999999999999E-3</v>
      </c>
      <c r="T3609" t="str">
        <f t="shared" si="278"/>
        <v>Maximo Thermo Scandinavian Pine VJoint - Nickel Gap 5/8x4 Long</v>
      </c>
    </row>
    <row r="3610" spans="1:20" x14ac:dyDescent="0.25">
      <c r="A3610" t="s">
        <v>4154</v>
      </c>
      <c r="B3610" t="s">
        <v>4217</v>
      </c>
      <c r="C3610" t="s">
        <v>283</v>
      </c>
      <c r="D3610" t="s">
        <v>3044</v>
      </c>
      <c r="E3610" t="s">
        <v>4355</v>
      </c>
      <c r="F3610" t="s">
        <v>4350</v>
      </c>
      <c r="G3610" t="s">
        <v>4158</v>
      </c>
      <c r="H3610" t="s">
        <v>3638</v>
      </c>
      <c r="I3610" t="s">
        <v>289</v>
      </c>
      <c r="J3610" t="s">
        <v>4220</v>
      </c>
      <c r="K3610">
        <v>15</v>
      </c>
      <c r="L3610" s="6">
        <v>4.5</v>
      </c>
      <c r="M3610" s="7">
        <v>15</v>
      </c>
      <c r="N3610" s="7">
        <v>92</v>
      </c>
      <c r="O3610" s="7">
        <f t="shared" si="279"/>
        <v>177.16535433070868</v>
      </c>
      <c r="P3610" s="7">
        <f t="shared" si="280"/>
        <v>0.59055118110236227</v>
      </c>
      <c r="Q3610" s="7">
        <f t="shared" si="280"/>
        <v>3.6220472440944884</v>
      </c>
      <c r="R3610" s="6">
        <f t="shared" si="281"/>
        <v>2377.42</v>
      </c>
      <c r="S3610" s="6">
        <f t="shared" si="282"/>
        <v>6.2100000000000011E-3</v>
      </c>
      <c r="T3610" t="str">
        <f t="shared" si="278"/>
        <v>Maximo Thermo Scandinavian Pine VJoint - Nickel Gap 5/8x4 Long</v>
      </c>
    </row>
    <row r="3611" spans="1:20" x14ac:dyDescent="0.25">
      <c r="A3611" t="s">
        <v>4154</v>
      </c>
      <c r="B3611" t="s">
        <v>4217</v>
      </c>
      <c r="C3611" t="s">
        <v>283</v>
      </c>
      <c r="D3611" t="s">
        <v>3044</v>
      </c>
      <c r="E3611" t="s">
        <v>4356</v>
      </c>
      <c r="F3611" t="s">
        <v>4350</v>
      </c>
      <c r="G3611" t="s">
        <v>4158</v>
      </c>
      <c r="H3611" t="s">
        <v>3638</v>
      </c>
      <c r="I3611" t="s">
        <v>289</v>
      </c>
      <c r="J3611" t="s">
        <v>4220</v>
      </c>
      <c r="K3611">
        <v>16</v>
      </c>
      <c r="L3611" s="6">
        <v>4.8</v>
      </c>
      <c r="M3611" s="7">
        <v>15</v>
      </c>
      <c r="N3611" s="7">
        <v>92</v>
      </c>
      <c r="O3611" s="7">
        <f t="shared" si="279"/>
        <v>188.97637795275591</v>
      </c>
      <c r="P3611" s="7">
        <f t="shared" si="280"/>
        <v>0.59055118110236227</v>
      </c>
      <c r="Q3611" s="7">
        <f t="shared" si="280"/>
        <v>3.6220472440944884</v>
      </c>
      <c r="R3611" s="6">
        <f t="shared" si="281"/>
        <v>2377.42</v>
      </c>
      <c r="S3611" s="6">
        <f t="shared" si="282"/>
        <v>6.6239999999999997E-3</v>
      </c>
      <c r="T3611" t="str">
        <f t="shared" si="278"/>
        <v>Maximo Thermo Scandinavian Pine VJoint - Nickel Gap 5/8x4 Long</v>
      </c>
    </row>
    <row r="3612" spans="1:20" x14ac:dyDescent="0.25">
      <c r="A3612" t="s">
        <v>4154</v>
      </c>
      <c r="B3612" t="s">
        <v>4217</v>
      </c>
      <c r="C3612" t="s">
        <v>283</v>
      </c>
      <c r="D3612" t="s">
        <v>3044</v>
      </c>
      <c r="E3612" t="s">
        <v>4357</v>
      </c>
      <c r="F3612" t="s">
        <v>4350</v>
      </c>
      <c r="G3612" t="s">
        <v>4158</v>
      </c>
      <c r="H3612" t="s">
        <v>3638</v>
      </c>
      <c r="I3612" t="s">
        <v>289</v>
      </c>
      <c r="J3612" t="s">
        <v>4220</v>
      </c>
      <c r="K3612">
        <v>17</v>
      </c>
      <c r="L3612" s="6">
        <v>5.0999999999999996</v>
      </c>
      <c r="M3612" s="7">
        <v>15</v>
      </c>
      <c r="N3612" s="7">
        <v>92</v>
      </c>
      <c r="O3612" s="7">
        <f t="shared" si="279"/>
        <v>200.78740157480314</v>
      </c>
      <c r="P3612" s="7">
        <f t="shared" si="280"/>
        <v>0.59055118110236227</v>
      </c>
      <c r="Q3612" s="7">
        <f t="shared" si="280"/>
        <v>3.6220472440944884</v>
      </c>
      <c r="R3612" s="6">
        <f t="shared" si="281"/>
        <v>2377.42</v>
      </c>
      <c r="S3612" s="6">
        <f t="shared" si="282"/>
        <v>7.038E-3</v>
      </c>
      <c r="T3612" t="str">
        <f t="shared" si="278"/>
        <v>Maximo Thermo Scandinavian Pine VJoint - Nickel Gap 5/8x4 Long</v>
      </c>
    </row>
    <row r="3613" spans="1:20" x14ac:dyDescent="0.25">
      <c r="A3613" t="s">
        <v>4154</v>
      </c>
      <c r="B3613" t="s">
        <v>4217</v>
      </c>
      <c r="C3613" t="s">
        <v>283</v>
      </c>
      <c r="D3613" t="s">
        <v>3044</v>
      </c>
      <c r="E3613" t="s">
        <v>4358</v>
      </c>
      <c r="F3613" t="s">
        <v>4350</v>
      </c>
      <c r="G3613" t="s">
        <v>4158</v>
      </c>
      <c r="H3613" t="s">
        <v>3638</v>
      </c>
      <c r="I3613" t="s">
        <v>289</v>
      </c>
      <c r="J3613" t="s">
        <v>4220</v>
      </c>
      <c r="K3613">
        <v>18</v>
      </c>
      <c r="L3613" s="6">
        <v>5.4</v>
      </c>
      <c r="M3613" s="7">
        <v>15</v>
      </c>
      <c r="N3613" s="7">
        <v>92</v>
      </c>
      <c r="O3613" s="7">
        <f t="shared" si="279"/>
        <v>212.59842519685043</v>
      </c>
      <c r="P3613" s="7">
        <f t="shared" si="280"/>
        <v>0.59055118110236227</v>
      </c>
      <c r="Q3613" s="7">
        <f t="shared" si="280"/>
        <v>3.6220472440944884</v>
      </c>
      <c r="R3613" s="6">
        <f t="shared" si="281"/>
        <v>2377.42</v>
      </c>
      <c r="S3613" s="6">
        <f t="shared" si="282"/>
        <v>7.4520000000000003E-3</v>
      </c>
      <c r="T3613" t="str">
        <f t="shared" si="278"/>
        <v>Maximo Thermo Scandinavian Pine VJoint - Nickel Gap 5/8x4 Long</v>
      </c>
    </row>
    <row r="3614" spans="1:20" x14ac:dyDescent="0.25">
      <c r="A3614" t="s">
        <v>4154</v>
      </c>
      <c r="B3614" t="s">
        <v>4217</v>
      </c>
      <c r="C3614" t="s">
        <v>524</v>
      </c>
      <c r="D3614" t="s">
        <v>3044</v>
      </c>
      <c r="E3614" t="s">
        <v>4359</v>
      </c>
      <c r="F3614" t="s">
        <v>4350</v>
      </c>
      <c r="G3614" t="s">
        <v>4158</v>
      </c>
      <c r="H3614" t="s">
        <v>3638</v>
      </c>
      <c r="I3614" t="s">
        <v>289</v>
      </c>
      <c r="J3614" t="s">
        <v>4220</v>
      </c>
      <c r="K3614">
        <v>4</v>
      </c>
      <c r="L3614" s="6">
        <v>1.2</v>
      </c>
      <c r="M3614" s="7">
        <v>15</v>
      </c>
      <c r="N3614" s="7">
        <v>92</v>
      </c>
      <c r="O3614" s="7">
        <f t="shared" si="279"/>
        <v>47.244094488188978</v>
      </c>
      <c r="P3614" s="7">
        <f t="shared" si="280"/>
        <v>0.59055118110236227</v>
      </c>
      <c r="Q3614" s="7">
        <f t="shared" si="280"/>
        <v>3.6220472440944884</v>
      </c>
      <c r="R3614" s="6">
        <f t="shared" si="281"/>
        <v>2377.42</v>
      </c>
      <c r="S3614" s="6">
        <f t="shared" si="282"/>
        <v>1.6559999999999999E-3</v>
      </c>
      <c r="T3614" t="str">
        <f t="shared" si="278"/>
        <v>Maximo Thermo Scandinavian Pine VJoint - Nickel Gap 5/8x4 Short</v>
      </c>
    </row>
    <row r="3615" spans="1:20" x14ac:dyDescent="0.25">
      <c r="A3615" t="s">
        <v>4154</v>
      </c>
      <c r="B3615" t="s">
        <v>4217</v>
      </c>
      <c r="C3615" t="s">
        <v>524</v>
      </c>
      <c r="D3615" t="s">
        <v>3044</v>
      </c>
      <c r="E3615" t="s">
        <v>4360</v>
      </c>
      <c r="F3615" t="s">
        <v>4350</v>
      </c>
      <c r="G3615" t="s">
        <v>4158</v>
      </c>
      <c r="H3615" t="s">
        <v>3638</v>
      </c>
      <c r="I3615" t="s">
        <v>289</v>
      </c>
      <c r="J3615" t="s">
        <v>4220</v>
      </c>
      <c r="K3615">
        <v>5</v>
      </c>
      <c r="L3615" s="6">
        <v>1.5</v>
      </c>
      <c r="M3615" s="7">
        <v>15</v>
      </c>
      <c r="N3615" s="7">
        <v>92</v>
      </c>
      <c r="O3615" s="7">
        <f t="shared" si="279"/>
        <v>59.055118110236222</v>
      </c>
      <c r="P3615" s="7">
        <f t="shared" si="280"/>
        <v>0.59055118110236227</v>
      </c>
      <c r="Q3615" s="7">
        <f t="shared" si="280"/>
        <v>3.6220472440944884</v>
      </c>
      <c r="R3615" s="6">
        <f t="shared" si="281"/>
        <v>2377.42</v>
      </c>
      <c r="S3615" s="6">
        <f t="shared" si="282"/>
        <v>2.0699999999999998E-3</v>
      </c>
      <c r="T3615" t="str">
        <f t="shared" si="278"/>
        <v>Maximo Thermo Scandinavian Pine VJoint - Nickel Gap 5/8x4 Short</v>
      </c>
    </row>
    <row r="3616" spans="1:20" x14ac:dyDescent="0.25">
      <c r="A3616" t="s">
        <v>4154</v>
      </c>
      <c r="B3616" t="s">
        <v>4217</v>
      </c>
      <c r="C3616" t="s">
        <v>524</v>
      </c>
      <c r="D3616" t="s">
        <v>3044</v>
      </c>
      <c r="E3616" t="s">
        <v>4361</v>
      </c>
      <c r="F3616" t="s">
        <v>4350</v>
      </c>
      <c r="G3616" t="s">
        <v>4158</v>
      </c>
      <c r="H3616" t="s">
        <v>3638</v>
      </c>
      <c r="I3616" t="s">
        <v>289</v>
      </c>
      <c r="J3616" t="s">
        <v>4220</v>
      </c>
      <c r="K3616">
        <v>6</v>
      </c>
      <c r="L3616" s="6">
        <v>1.8</v>
      </c>
      <c r="M3616" s="7">
        <v>15</v>
      </c>
      <c r="N3616" s="7">
        <v>92</v>
      </c>
      <c r="O3616" s="7">
        <f t="shared" si="279"/>
        <v>70.866141732283467</v>
      </c>
      <c r="P3616" s="7">
        <f t="shared" si="280"/>
        <v>0.59055118110236227</v>
      </c>
      <c r="Q3616" s="7">
        <f t="shared" si="280"/>
        <v>3.6220472440944884</v>
      </c>
      <c r="R3616" s="6">
        <f t="shared" si="281"/>
        <v>2377.42</v>
      </c>
      <c r="S3616" s="6">
        <f t="shared" si="282"/>
        <v>2.4840000000000001E-3</v>
      </c>
      <c r="T3616" t="str">
        <f t="shared" si="278"/>
        <v>Maximo Thermo Scandinavian Pine VJoint - Nickel Gap 5/8x4 Short</v>
      </c>
    </row>
    <row r="3617" spans="1:20" x14ac:dyDescent="0.25">
      <c r="A3617" t="s">
        <v>4154</v>
      </c>
      <c r="B3617" t="s">
        <v>4217</v>
      </c>
      <c r="C3617" t="s">
        <v>524</v>
      </c>
      <c r="D3617" t="s">
        <v>3044</v>
      </c>
      <c r="E3617" t="s">
        <v>4362</v>
      </c>
      <c r="F3617" t="s">
        <v>4350</v>
      </c>
      <c r="G3617" t="s">
        <v>4158</v>
      </c>
      <c r="H3617" t="s">
        <v>3638</v>
      </c>
      <c r="I3617" t="s">
        <v>289</v>
      </c>
      <c r="J3617" t="s">
        <v>4220</v>
      </c>
      <c r="K3617">
        <v>7</v>
      </c>
      <c r="L3617" s="6">
        <v>2.1</v>
      </c>
      <c r="M3617" s="7">
        <v>15</v>
      </c>
      <c r="N3617" s="7">
        <v>92</v>
      </c>
      <c r="O3617" s="7">
        <f t="shared" si="279"/>
        <v>82.677165354330711</v>
      </c>
      <c r="P3617" s="7">
        <f t="shared" si="280"/>
        <v>0.59055118110236227</v>
      </c>
      <c r="Q3617" s="7">
        <f t="shared" si="280"/>
        <v>3.6220472440944884</v>
      </c>
      <c r="R3617" s="6">
        <f t="shared" si="281"/>
        <v>2377.42</v>
      </c>
      <c r="S3617" s="6">
        <f t="shared" si="282"/>
        <v>2.898E-3</v>
      </c>
      <c r="T3617" t="str">
        <f t="shared" si="278"/>
        <v>Maximo Thermo Scandinavian Pine VJoint - Nickel Gap 5/8x4 Short</v>
      </c>
    </row>
    <row r="3618" spans="1:20" x14ac:dyDescent="0.25">
      <c r="A3618" t="s">
        <v>4154</v>
      </c>
      <c r="B3618" t="s">
        <v>4217</v>
      </c>
      <c r="C3618" t="s">
        <v>283</v>
      </c>
      <c r="D3618" t="s">
        <v>3044</v>
      </c>
      <c r="E3618" t="s">
        <v>4363</v>
      </c>
      <c r="F3618" t="s">
        <v>4350</v>
      </c>
      <c r="G3618" t="s">
        <v>4158</v>
      </c>
      <c r="H3618" t="s">
        <v>3638</v>
      </c>
      <c r="I3618" t="s">
        <v>289</v>
      </c>
      <c r="J3618" t="s">
        <v>4220</v>
      </c>
      <c r="K3618">
        <v>8</v>
      </c>
      <c r="L3618" s="6">
        <v>2.4</v>
      </c>
      <c r="M3618" s="7">
        <v>15</v>
      </c>
      <c r="N3618" s="7">
        <v>92</v>
      </c>
      <c r="O3618" s="7">
        <f t="shared" si="279"/>
        <v>94.488188976377955</v>
      </c>
      <c r="P3618" s="7">
        <f t="shared" si="280"/>
        <v>0.59055118110236227</v>
      </c>
      <c r="Q3618" s="7">
        <f t="shared" si="280"/>
        <v>3.6220472440944884</v>
      </c>
      <c r="R3618" s="6">
        <f t="shared" si="281"/>
        <v>2377.42</v>
      </c>
      <c r="S3618" s="6">
        <f t="shared" si="282"/>
        <v>3.3119999999999998E-3</v>
      </c>
      <c r="T3618" t="str">
        <f t="shared" si="278"/>
        <v>Maximo Thermo Scandinavian Pine VJoint - Nickel Gap 5/8x4 Long</v>
      </c>
    </row>
    <row r="3619" spans="1:20" x14ac:dyDescent="0.25">
      <c r="A3619" t="s">
        <v>4154</v>
      </c>
      <c r="B3619" t="s">
        <v>4217</v>
      </c>
      <c r="C3619" t="s">
        <v>283</v>
      </c>
      <c r="D3619" t="s">
        <v>3044</v>
      </c>
      <c r="E3619" t="s">
        <v>4364</v>
      </c>
      <c r="F3619" t="s">
        <v>4350</v>
      </c>
      <c r="G3619" t="s">
        <v>4158</v>
      </c>
      <c r="H3619" t="s">
        <v>3638</v>
      </c>
      <c r="I3619" t="s">
        <v>289</v>
      </c>
      <c r="J3619" t="s">
        <v>4220</v>
      </c>
      <c r="K3619">
        <v>9</v>
      </c>
      <c r="L3619" s="6">
        <v>2.7</v>
      </c>
      <c r="M3619" s="7">
        <v>15</v>
      </c>
      <c r="N3619" s="7">
        <v>92</v>
      </c>
      <c r="O3619" s="7">
        <f t="shared" si="279"/>
        <v>106.29921259842521</v>
      </c>
      <c r="P3619" s="7">
        <f t="shared" si="280"/>
        <v>0.59055118110236227</v>
      </c>
      <c r="Q3619" s="7">
        <f t="shared" si="280"/>
        <v>3.6220472440944884</v>
      </c>
      <c r="R3619" s="6">
        <f t="shared" si="281"/>
        <v>2377.42</v>
      </c>
      <c r="S3619" s="6">
        <f t="shared" si="282"/>
        <v>3.7260000000000001E-3</v>
      </c>
      <c r="T3619" t="str">
        <f t="shared" si="278"/>
        <v>Maximo Thermo Scandinavian Pine VJoint - Nickel Gap 5/8x4 Long</v>
      </c>
    </row>
    <row r="3620" spans="1:20" x14ac:dyDescent="0.25">
      <c r="A3620" t="s">
        <v>3414</v>
      </c>
      <c r="B3620" t="s">
        <v>3619</v>
      </c>
      <c r="C3620" t="s">
        <v>283</v>
      </c>
      <c r="D3620" t="s">
        <v>3044</v>
      </c>
      <c r="E3620" t="s">
        <v>4365</v>
      </c>
      <c r="F3620" t="s">
        <v>4366</v>
      </c>
      <c r="G3620" t="s">
        <v>3418</v>
      </c>
      <c r="H3620" t="s">
        <v>288</v>
      </c>
      <c r="I3620" t="s">
        <v>289</v>
      </c>
      <c r="J3620" t="s">
        <v>301</v>
      </c>
      <c r="K3620">
        <v>10</v>
      </c>
      <c r="L3620" s="6">
        <v>3.05</v>
      </c>
      <c r="M3620" s="7">
        <v>25</v>
      </c>
      <c r="N3620" s="7">
        <v>150</v>
      </c>
      <c r="O3620" s="7">
        <f t="shared" si="279"/>
        <v>120.07874015748031</v>
      </c>
      <c r="P3620" s="7">
        <f t="shared" si="280"/>
        <v>0.98425196850393704</v>
      </c>
      <c r="Q3620" s="7">
        <f t="shared" si="280"/>
        <v>5.9055118110236222</v>
      </c>
      <c r="R3620" s="6">
        <f t="shared" si="281"/>
        <v>874.89099999999996</v>
      </c>
      <c r="S3620" s="6">
        <f t="shared" si="282"/>
        <v>1.14375E-2</v>
      </c>
      <c r="T3620" t="str">
        <f t="shared" si="278"/>
        <v>Maximo Thermo Ayous JPL Rough Sawn 5/4x6 Long</v>
      </c>
    </row>
    <row r="3621" spans="1:20" x14ac:dyDescent="0.25">
      <c r="A3621" t="s">
        <v>3414</v>
      </c>
      <c r="B3621" t="s">
        <v>3619</v>
      </c>
      <c r="C3621" t="s">
        <v>283</v>
      </c>
      <c r="D3621" t="s">
        <v>3044</v>
      </c>
      <c r="E3621" t="s">
        <v>4367</v>
      </c>
      <c r="F3621" t="s">
        <v>4366</v>
      </c>
      <c r="G3621" t="s">
        <v>3418</v>
      </c>
      <c r="H3621" t="s">
        <v>288</v>
      </c>
      <c r="I3621" t="s">
        <v>289</v>
      </c>
      <c r="J3621" t="s">
        <v>301</v>
      </c>
      <c r="K3621">
        <v>11</v>
      </c>
      <c r="L3621" s="6">
        <v>3.35</v>
      </c>
      <c r="M3621" s="7">
        <v>25</v>
      </c>
      <c r="N3621" s="7">
        <v>150</v>
      </c>
      <c r="O3621" s="7">
        <f t="shared" si="279"/>
        <v>131.88976377952756</v>
      </c>
      <c r="P3621" s="7">
        <f t="shared" ref="P3621:Q3635" si="283">M3621/25.4</f>
        <v>0.98425196850393704</v>
      </c>
      <c r="Q3621" s="7">
        <f t="shared" si="283"/>
        <v>5.9055118110236222</v>
      </c>
      <c r="R3621" s="6">
        <f t="shared" si="281"/>
        <v>874.89099999999996</v>
      </c>
      <c r="S3621" s="6">
        <f t="shared" si="282"/>
        <v>1.2562500000000001E-2</v>
      </c>
      <c r="T3621" t="str">
        <f t="shared" si="278"/>
        <v>Maximo Thermo Ayous JPL Rough Sawn 5/4x6 Long</v>
      </c>
    </row>
    <row r="3622" spans="1:20" x14ac:dyDescent="0.25">
      <c r="A3622" t="s">
        <v>3414</v>
      </c>
      <c r="B3622" t="s">
        <v>3619</v>
      </c>
      <c r="C3622" t="s">
        <v>283</v>
      </c>
      <c r="D3622" t="s">
        <v>3044</v>
      </c>
      <c r="E3622" t="s">
        <v>4368</v>
      </c>
      <c r="F3622" t="s">
        <v>4366</v>
      </c>
      <c r="G3622" t="s">
        <v>3418</v>
      </c>
      <c r="H3622" t="s">
        <v>288</v>
      </c>
      <c r="I3622" t="s">
        <v>289</v>
      </c>
      <c r="J3622" t="s">
        <v>301</v>
      </c>
      <c r="K3622">
        <v>12</v>
      </c>
      <c r="L3622" s="6">
        <v>3.66</v>
      </c>
      <c r="M3622" s="7">
        <v>25</v>
      </c>
      <c r="N3622" s="7">
        <v>150</v>
      </c>
      <c r="O3622" s="7">
        <f t="shared" si="279"/>
        <v>144.09448818897638</v>
      </c>
      <c r="P3622" s="7">
        <f t="shared" si="283"/>
        <v>0.98425196850393704</v>
      </c>
      <c r="Q3622" s="7">
        <f t="shared" si="283"/>
        <v>5.9055118110236222</v>
      </c>
      <c r="R3622" s="6">
        <f t="shared" si="281"/>
        <v>874.89099999999996</v>
      </c>
      <c r="S3622" s="6">
        <f t="shared" si="282"/>
        <v>1.3724999999999999E-2</v>
      </c>
      <c r="T3622" t="str">
        <f t="shared" si="278"/>
        <v>Maximo Thermo Ayous JPL Rough Sawn 5/4x6 Long</v>
      </c>
    </row>
    <row r="3623" spans="1:20" x14ac:dyDescent="0.25">
      <c r="A3623" t="s">
        <v>3414</v>
      </c>
      <c r="B3623" t="s">
        <v>3619</v>
      </c>
      <c r="C3623" t="s">
        <v>283</v>
      </c>
      <c r="D3623" t="s">
        <v>3044</v>
      </c>
      <c r="E3623" t="s">
        <v>4369</v>
      </c>
      <c r="F3623" t="s">
        <v>4366</v>
      </c>
      <c r="G3623" t="s">
        <v>3418</v>
      </c>
      <c r="H3623" t="s">
        <v>288</v>
      </c>
      <c r="I3623" t="s">
        <v>289</v>
      </c>
      <c r="J3623" t="s">
        <v>301</v>
      </c>
      <c r="K3623">
        <v>13</v>
      </c>
      <c r="L3623" s="6">
        <v>3.9649999999999999</v>
      </c>
      <c r="M3623" s="7">
        <v>25</v>
      </c>
      <c r="N3623" s="7">
        <v>150</v>
      </c>
      <c r="O3623" s="7">
        <f t="shared" si="279"/>
        <v>156.10236220472441</v>
      </c>
      <c r="P3623" s="7">
        <f t="shared" si="283"/>
        <v>0.98425196850393704</v>
      </c>
      <c r="Q3623" s="7">
        <f t="shared" si="283"/>
        <v>5.9055118110236222</v>
      </c>
      <c r="R3623" s="6">
        <f t="shared" si="281"/>
        <v>874.89099999999996</v>
      </c>
      <c r="S3623" s="6">
        <f t="shared" si="282"/>
        <v>1.486875E-2</v>
      </c>
      <c r="T3623" t="str">
        <f t="shared" si="278"/>
        <v>Maximo Thermo Ayous JPL Rough Sawn 5/4x6 Long</v>
      </c>
    </row>
    <row r="3624" spans="1:20" x14ac:dyDescent="0.25">
      <c r="A3624" t="s">
        <v>3414</v>
      </c>
      <c r="B3624" t="s">
        <v>3619</v>
      </c>
      <c r="C3624" t="s">
        <v>283</v>
      </c>
      <c r="D3624" t="s">
        <v>3044</v>
      </c>
      <c r="E3624" t="s">
        <v>4370</v>
      </c>
      <c r="F3624" t="s">
        <v>4366</v>
      </c>
      <c r="G3624" t="s">
        <v>3418</v>
      </c>
      <c r="H3624" t="s">
        <v>288</v>
      </c>
      <c r="I3624" t="s">
        <v>289</v>
      </c>
      <c r="J3624" t="s">
        <v>301</v>
      </c>
      <c r="K3624">
        <v>14</v>
      </c>
      <c r="L3624" s="6">
        <v>4.2649999999999997</v>
      </c>
      <c r="M3624" s="7">
        <v>25</v>
      </c>
      <c r="N3624" s="7">
        <v>150</v>
      </c>
      <c r="O3624" s="7">
        <f t="shared" si="279"/>
        <v>167.91338582677164</v>
      </c>
      <c r="P3624" s="7">
        <f t="shared" si="283"/>
        <v>0.98425196850393704</v>
      </c>
      <c r="Q3624" s="7">
        <f t="shared" si="283"/>
        <v>5.9055118110236222</v>
      </c>
      <c r="R3624" s="6">
        <f t="shared" si="281"/>
        <v>874.89099999999996</v>
      </c>
      <c r="S3624" s="6">
        <f t="shared" si="282"/>
        <v>1.5993749999999998E-2</v>
      </c>
      <c r="T3624" t="str">
        <f t="shared" si="278"/>
        <v>Maximo Thermo Ayous JPL Rough Sawn 5/4x6 Long</v>
      </c>
    </row>
    <row r="3625" spans="1:20" x14ac:dyDescent="0.25">
      <c r="A3625" t="s">
        <v>3414</v>
      </c>
      <c r="B3625" t="s">
        <v>3619</v>
      </c>
      <c r="C3625" t="s">
        <v>283</v>
      </c>
      <c r="D3625" t="s">
        <v>3044</v>
      </c>
      <c r="E3625" t="s">
        <v>4371</v>
      </c>
      <c r="F3625" t="s">
        <v>4366</v>
      </c>
      <c r="G3625" t="s">
        <v>3418</v>
      </c>
      <c r="H3625" t="s">
        <v>288</v>
      </c>
      <c r="I3625" t="s">
        <v>289</v>
      </c>
      <c r="J3625" t="s">
        <v>301</v>
      </c>
      <c r="K3625">
        <v>15</v>
      </c>
      <c r="L3625" s="6">
        <v>4.5650000000000004</v>
      </c>
      <c r="M3625" s="7">
        <v>25</v>
      </c>
      <c r="N3625" s="7">
        <v>150</v>
      </c>
      <c r="O3625" s="7">
        <f t="shared" si="279"/>
        <v>179.72440944881893</v>
      </c>
      <c r="P3625" s="7">
        <f t="shared" si="283"/>
        <v>0.98425196850393704</v>
      </c>
      <c r="Q3625" s="7">
        <f t="shared" si="283"/>
        <v>5.9055118110236222</v>
      </c>
      <c r="R3625" s="6">
        <f t="shared" si="281"/>
        <v>874.89099999999996</v>
      </c>
      <c r="S3625" s="6">
        <f t="shared" si="282"/>
        <v>1.7118750000000002E-2</v>
      </c>
      <c r="T3625" t="str">
        <f t="shared" si="278"/>
        <v>Maximo Thermo Ayous JPL Rough Sawn 5/4x6 Long</v>
      </c>
    </row>
    <row r="3626" spans="1:20" x14ac:dyDescent="0.25">
      <c r="A3626" t="s">
        <v>3414</v>
      </c>
      <c r="B3626" t="s">
        <v>3619</v>
      </c>
      <c r="C3626" t="s">
        <v>283</v>
      </c>
      <c r="D3626" t="s">
        <v>3044</v>
      </c>
      <c r="E3626" t="s">
        <v>4372</v>
      </c>
      <c r="F3626" t="s">
        <v>4366</v>
      </c>
      <c r="G3626" t="s">
        <v>3418</v>
      </c>
      <c r="H3626" t="s">
        <v>288</v>
      </c>
      <c r="I3626" t="s">
        <v>289</v>
      </c>
      <c r="J3626" t="s">
        <v>301</v>
      </c>
      <c r="K3626">
        <v>16</v>
      </c>
      <c r="L3626" s="6">
        <v>4.88</v>
      </c>
      <c r="M3626" s="7">
        <v>25</v>
      </c>
      <c r="N3626" s="7">
        <v>150</v>
      </c>
      <c r="O3626" s="7">
        <f t="shared" si="279"/>
        <v>192.1259842519685</v>
      </c>
      <c r="P3626" s="7">
        <f t="shared" si="283"/>
        <v>0.98425196850393704</v>
      </c>
      <c r="Q3626" s="7">
        <f t="shared" si="283"/>
        <v>5.9055118110236222</v>
      </c>
      <c r="R3626" s="6">
        <f t="shared" si="281"/>
        <v>874.89099999999996</v>
      </c>
      <c r="S3626" s="6">
        <f t="shared" si="282"/>
        <v>1.83E-2</v>
      </c>
      <c r="T3626" t="str">
        <f t="shared" si="278"/>
        <v>Maximo Thermo Ayous JPL Rough Sawn 5/4x6 Long</v>
      </c>
    </row>
    <row r="3627" spans="1:20" x14ac:dyDescent="0.25">
      <c r="A3627" t="s">
        <v>3414</v>
      </c>
      <c r="B3627" t="s">
        <v>3619</v>
      </c>
      <c r="C3627" t="s">
        <v>283</v>
      </c>
      <c r="D3627" t="s">
        <v>3044</v>
      </c>
      <c r="E3627" t="s">
        <v>4373</v>
      </c>
      <c r="F3627" t="s">
        <v>4366</v>
      </c>
      <c r="G3627" t="s">
        <v>3418</v>
      </c>
      <c r="H3627" t="s">
        <v>288</v>
      </c>
      <c r="I3627" t="s">
        <v>289</v>
      </c>
      <c r="J3627" t="s">
        <v>301</v>
      </c>
      <c r="K3627">
        <v>17</v>
      </c>
      <c r="L3627" s="6">
        <v>5.18</v>
      </c>
      <c r="M3627" s="7">
        <v>25</v>
      </c>
      <c r="N3627" s="7">
        <v>150</v>
      </c>
      <c r="O3627" s="7">
        <f t="shared" si="279"/>
        <v>203.93700787401573</v>
      </c>
      <c r="P3627" s="7">
        <f t="shared" si="283"/>
        <v>0.98425196850393704</v>
      </c>
      <c r="Q3627" s="7">
        <f t="shared" si="283"/>
        <v>5.9055118110236222</v>
      </c>
      <c r="R3627" s="6">
        <f t="shared" si="281"/>
        <v>874.89099999999996</v>
      </c>
      <c r="S3627" s="6">
        <f t="shared" si="282"/>
        <v>1.9425000000000001E-2</v>
      </c>
      <c r="T3627" t="str">
        <f t="shared" si="278"/>
        <v>Maximo Thermo Ayous JPL Rough Sawn 5/4x6 Long</v>
      </c>
    </row>
    <row r="3628" spans="1:20" x14ac:dyDescent="0.25">
      <c r="A3628" t="s">
        <v>3414</v>
      </c>
      <c r="B3628" t="s">
        <v>3619</v>
      </c>
      <c r="C3628" t="s">
        <v>283</v>
      </c>
      <c r="D3628" t="s">
        <v>3044</v>
      </c>
      <c r="E3628" t="s">
        <v>4374</v>
      </c>
      <c r="F3628" t="s">
        <v>4366</v>
      </c>
      <c r="G3628" t="s">
        <v>3418</v>
      </c>
      <c r="H3628" t="s">
        <v>288</v>
      </c>
      <c r="I3628" t="s">
        <v>289</v>
      </c>
      <c r="J3628" t="s">
        <v>301</v>
      </c>
      <c r="K3628">
        <v>18</v>
      </c>
      <c r="L3628" s="6">
        <v>5.49</v>
      </c>
      <c r="M3628" s="7">
        <v>25</v>
      </c>
      <c r="N3628" s="7">
        <v>150</v>
      </c>
      <c r="O3628" s="7">
        <f t="shared" si="279"/>
        <v>216.14173228346459</v>
      </c>
      <c r="P3628" s="7">
        <f t="shared" si="283"/>
        <v>0.98425196850393704</v>
      </c>
      <c r="Q3628" s="7">
        <f t="shared" si="283"/>
        <v>5.9055118110236222</v>
      </c>
      <c r="R3628" s="6">
        <f t="shared" si="281"/>
        <v>874.89099999999996</v>
      </c>
      <c r="S3628" s="6">
        <f t="shared" si="282"/>
        <v>2.0587500000000002E-2</v>
      </c>
      <c r="T3628" t="str">
        <f t="shared" si="278"/>
        <v>Maximo Thermo Ayous JPL Rough Sawn 5/4x6 Long</v>
      </c>
    </row>
    <row r="3629" spans="1:20" x14ac:dyDescent="0.25">
      <c r="A3629" t="s">
        <v>3414</v>
      </c>
      <c r="B3629" t="s">
        <v>3619</v>
      </c>
      <c r="C3629" t="s">
        <v>524</v>
      </c>
      <c r="D3629" t="s">
        <v>3044</v>
      </c>
      <c r="E3629" t="s">
        <v>4375</v>
      </c>
      <c r="F3629" t="s">
        <v>4366</v>
      </c>
      <c r="G3629" t="s">
        <v>3418</v>
      </c>
      <c r="H3629" t="s">
        <v>288</v>
      </c>
      <c r="I3629" t="s">
        <v>289</v>
      </c>
      <c r="J3629" t="s">
        <v>301</v>
      </c>
      <c r="K3629">
        <v>4</v>
      </c>
      <c r="L3629" s="6">
        <v>1.22</v>
      </c>
      <c r="M3629" s="7">
        <v>25</v>
      </c>
      <c r="N3629" s="7">
        <v>150</v>
      </c>
      <c r="O3629" s="7">
        <f t="shared" si="279"/>
        <v>48.031496062992126</v>
      </c>
      <c r="P3629" s="7">
        <f t="shared" si="283"/>
        <v>0.98425196850393704</v>
      </c>
      <c r="Q3629" s="7">
        <f t="shared" si="283"/>
        <v>5.9055118110236222</v>
      </c>
      <c r="R3629" s="6">
        <f t="shared" si="281"/>
        <v>874.89099999999996</v>
      </c>
      <c r="S3629" s="6">
        <f t="shared" si="282"/>
        <v>4.5750000000000001E-3</v>
      </c>
      <c r="T3629" t="str">
        <f t="shared" si="278"/>
        <v>Maximo Thermo Ayous JPL Rough Sawn 5/4x6 Short</v>
      </c>
    </row>
    <row r="3630" spans="1:20" x14ac:dyDescent="0.25">
      <c r="A3630" t="s">
        <v>3414</v>
      </c>
      <c r="B3630" t="s">
        <v>3619</v>
      </c>
      <c r="C3630" t="s">
        <v>524</v>
      </c>
      <c r="D3630" t="s">
        <v>3044</v>
      </c>
      <c r="E3630" t="s">
        <v>4376</v>
      </c>
      <c r="F3630" t="s">
        <v>4366</v>
      </c>
      <c r="G3630" t="s">
        <v>3418</v>
      </c>
      <c r="H3630" t="s">
        <v>288</v>
      </c>
      <c r="I3630" t="s">
        <v>289</v>
      </c>
      <c r="J3630" t="s">
        <v>301</v>
      </c>
      <c r="K3630">
        <v>5</v>
      </c>
      <c r="L3630" s="6">
        <v>1.52</v>
      </c>
      <c r="M3630" s="7">
        <v>25</v>
      </c>
      <c r="N3630" s="7">
        <v>150</v>
      </c>
      <c r="O3630" s="7">
        <f t="shared" si="279"/>
        <v>59.84251968503937</v>
      </c>
      <c r="P3630" s="7">
        <f t="shared" si="283"/>
        <v>0.98425196850393704</v>
      </c>
      <c r="Q3630" s="7">
        <f t="shared" si="283"/>
        <v>5.9055118110236222</v>
      </c>
      <c r="R3630" s="6">
        <f t="shared" si="281"/>
        <v>874.89099999999996</v>
      </c>
      <c r="S3630" s="6">
        <f t="shared" si="282"/>
        <v>5.7000000000000002E-3</v>
      </c>
      <c r="T3630" t="str">
        <f t="shared" si="278"/>
        <v>Maximo Thermo Ayous JPL Rough Sawn 5/4x6 Short</v>
      </c>
    </row>
    <row r="3631" spans="1:20" x14ac:dyDescent="0.25">
      <c r="A3631" t="s">
        <v>3414</v>
      </c>
      <c r="B3631" t="s">
        <v>3619</v>
      </c>
      <c r="C3631" t="s">
        <v>524</v>
      </c>
      <c r="D3631" t="s">
        <v>3044</v>
      </c>
      <c r="E3631" t="s">
        <v>4377</v>
      </c>
      <c r="F3631" t="s">
        <v>4366</v>
      </c>
      <c r="G3631" t="s">
        <v>3418</v>
      </c>
      <c r="H3631" t="s">
        <v>288</v>
      </c>
      <c r="I3631" t="s">
        <v>289</v>
      </c>
      <c r="J3631" t="s">
        <v>301</v>
      </c>
      <c r="K3631">
        <v>6</v>
      </c>
      <c r="L3631" s="6">
        <v>1.83</v>
      </c>
      <c r="M3631" s="7">
        <v>25</v>
      </c>
      <c r="N3631" s="7">
        <v>150</v>
      </c>
      <c r="O3631" s="7">
        <f t="shared" si="279"/>
        <v>72.047244094488192</v>
      </c>
      <c r="P3631" s="7">
        <f t="shared" si="283"/>
        <v>0.98425196850393704</v>
      </c>
      <c r="Q3631" s="7">
        <f t="shared" si="283"/>
        <v>5.9055118110236222</v>
      </c>
      <c r="R3631" s="6">
        <f t="shared" si="281"/>
        <v>874.89099999999996</v>
      </c>
      <c r="S3631" s="6">
        <f t="shared" si="282"/>
        <v>6.8624999999999997E-3</v>
      </c>
      <c r="T3631" t="str">
        <f t="shared" si="278"/>
        <v>Maximo Thermo Ayous JPL Rough Sawn 5/4x6 Short</v>
      </c>
    </row>
    <row r="3632" spans="1:20" x14ac:dyDescent="0.25">
      <c r="A3632" t="s">
        <v>3414</v>
      </c>
      <c r="B3632" t="s">
        <v>3619</v>
      </c>
      <c r="C3632" t="s">
        <v>524</v>
      </c>
      <c r="D3632" t="s">
        <v>3044</v>
      </c>
      <c r="E3632" t="s">
        <v>4378</v>
      </c>
      <c r="F3632" t="s">
        <v>4366</v>
      </c>
      <c r="G3632" t="s">
        <v>3418</v>
      </c>
      <c r="H3632" t="s">
        <v>288</v>
      </c>
      <c r="I3632" t="s">
        <v>289</v>
      </c>
      <c r="J3632" t="s">
        <v>301</v>
      </c>
      <c r="K3632">
        <v>7</v>
      </c>
      <c r="L3632" s="6">
        <v>2.13</v>
      </c>
      <c r="M3632" s="7">
        <v>25</v>
      </c>
      <c r="N3632" s="7">
        <v>150</v>
      </c>
      <c r="O3632" s="7">
        <f t="shared" si="279"/>
        <v>83.858267716535437</v>
      </c>
      <c r="P3632" s="7">
        <f t="shared" si="283"/>
        <v>0.98425196850393704</v>
      </c>
      <c r="Q3632" s="7">
        <f t="shared" si="283"/>
        <v>5.9055118110236222</v>
      </c>
      <c r="R3632" s="6">
        <f t="shared" si="281"/>
        <v>874.89099999999996</v>
      </c>
      <c r="S3632" s="6">
        <f t="shared" si="282"/>
        <v>7.9874999999999998E-3</v>
      </c>
      <c r="T3632" t="str">
        <f t="shared" si="278"/>
        <v>Maximo Thermo Ayous JPL Rough Sawn 5/4x6 Short</v>
      </c>
    </row>
    <row r="3633" spans="1:20" x14ac:dyDescent="0.25">
      <c r="A3633" t="s">
        <v>3414</v>
      </c>
      <c r="B3633" t="s">
        <v>3619</v>
      </c>
      <c r="C3633" t="s">
        <v>283</v>
      </c>
      <c r="D3633" t="s">
        <v>3044</v>
      </c>
      <c r="E3633" t="s">
        <v>4379</v>
      </c>
      <c r="F3633" t="s">
        <v>4366</v>
      </c>
      <c r="G3633" t="s">
        <v>3418</v>
      </c>
      <c r="H3633" t="s">
        <v>288</v>
      </c>
      <c r="I3633" t="s">
        <v>289</v>
      </c>
      <c r="J3633" t="s">
        <v>301</v>
      </c>
      <c r="K3633">
        <v>8</v>
      </c>
      <c r="L3633" s="6">
        <v>2.44</v>
      </c>
      <c r="M3633" s="7">
        <v>25</v>
      </c>
      <c r="N3633" s="7">
        <v>150</v>
      </c>
      <c r="O3633" s="7">
        <f t="shared" si="279"/>
        <v>96.062992125984252</v>
      </c>
      <c r="P3633" s="7">
        <f t="shared" si="283"/>
        <v>0.98425196850393704</v>
      </c>
      <c r="Q3633" s="7">
        <f t="shared" si="283"/>
        <v>5.9055118110236222</v>
      </c>
      <c r="R3633" s="6">
        <f t="shared" si="281"/>
        <v>874.89099999999996</v>
      </c>
      <c r="S3633" s="6">
        <f t="shared" si="282"/>
        <v>9.1500000000000001E-3</v>
      </c>
      <c r="T3633" t="str">
        <f t="shared" si="278"/>
        <v>Maximo Thermo Ayous JPL Rough Sawn 5/4x6 Long</v>
      </c>
    </row>
    <row r="3634" spans="1:20" x14ac:dyDescent="0.25">
      <c r="A3634" t="s">
        <v>3414</v>
      </c>
      <c r="B3634" t="s">
        <v>3619</v>
      </c>
      <c r="C3634" t="s">
        <v>283</v>
      </c>
      <c r="D3634" t="s">
        <v>3044</v>
      </c>
      <c r="E3634" t="s">
        <v>4380</v>
      </c>
      <c r="F3634" t="s">
        <v>4366</v>
      </c>
      <c r="G3634" t="s">
        <v>3418</v>
      </c>
      <c r="H3634" t="s">
        <v>288</v>
      </c>
      <c r="I3634" t="s">
        <v>289</v>
      </c>
      <c r="J3634" t="s">
        <v>301</v>
      </c>
      <c r="K3634">
        <v>9</v>
      </c>
      <c r="L3634" s="6">
        <v>2.7450000000000001</v>
      </c>
      <c r="M3634" s="7">
        <v>25</v>
      </c>
      <c r="N3634" s="7">
        <v>150</v>
      </c>
      <c r="O3634" s="7">
        <f t="shared" si="279"/>
        <v>108.0708661417323</v>
      </c>
      <c r="P3634" s="7">
        <f t="shared" si="283"/>
        <v>0.98425196850393704</v>
      </c>
      <c r="Q3634" s="7">
        <f t="shared" si="283"/>
        <v>5.9055118110236222</v>
      </c>
      <c r="R3634" s="6">
        <f t="shared" si="281"/>
        <v>874.89099999999996</v>
      </c>
      <c r="S3634" s="6">
        <f t="shared" si="282"/>
        <v>1.0293750000000001E-2</v>
      </c>
      <c r="T3634" t="str">
        <f t="shared" si="278"/>
        <v>Maximo Thermo Ayous JPL Rough Sawn 5/4x6 Long</v>
      </c>
    </row>
    <row r="3635" spans="1:20" x14ac:dyDescent="0.25">
      <c r="A3635" t="s">
        <v>3414</v>
      </c>
      <c r="B3635" t="s">
        <v>3619</v>
      </c>
      <c r="C3635" t="s">
        <v>283</v>
      </c>
      <c r="D3635" t="s">
        <v>3044</v>
      </c>
      <c r="E3635" t="s">
        <v>4381</v>
      </c>
      <c r="F3635" t="s">
        <v>4366</v>
      </c>
      <c r="G3635" t="s">
        <v>3418</v>
      </c>
      <c r="H3635" t="s">
        <v>288</v>
      </c>
      <c r="I3635" t="s">
        <v>289</v>
      </c>
      <c r="J3635" t="s">
        <v>301</v>
      </c>
      <c r="K3635">
        <v>19</v>
      </c>
      <c r="L3635" s="6">
        <v>5.7949999999999999</v>
      </c>
      <c r="M3635" s="7">
        <v>25</v>
      </c>
      <c r="N3635" s="7">
        <v>150</v>
      </c>
      <c r="O3635" s="7">
        <f t="shared" si="279"/>
        <v>228.14960629921259</v>
      </c>
      <c r="P3635" s="7">
        <f t="shared" si="283"/>
        <v>0.98425196850393704</v>
      </c>
      <c r="Q3635" s="7">
        <f t="shared" si="283"/>
        <v>5.9055118110236222</v>
      </c>
      <c r="R3635" s="6">
        <f t="shared" si="281"/>
        <v>874.89099999999996</v>
      </c>
      <c r="S3635" s="6">
        <f t="shared" si="282"/>
        <v>2.1731250000000001E-2</v>
      </c>
      <c r="T3635" t="str">
        <f t="shared" si="278"/>
        <v>Maximo Thermo Ayous JPL Rough Sawn 5/4x6 Long</v>
      </c>
    </row>
    <row r="3636" spans="1:20" x14ac:dyDescent="0.25">
      <c r="A3636" t="s">
        <v>4382</v>
      </c>
      <c r="B3636" t="s">
        <v>4383</v>
      </c>
      <c r="C3636" t="s">
        <v>283</v>
      </c>
      <c r="D3636" t="s">
        <v>438</v>
      </c>
      <c r="E3636" t="s">
        <v>4384</v>
      </c>
      <c r="F3636" t="s">
        <v>4385</v>
      </c>
      <c r="G3636" t="s">
        <v>4382</v>
      </c>
      <c r="H3636" t="s">
        <v>373</v>
      </c>
      <c r="I3636" t="s">
        <v>289</v>
      </c>
      <c r="J3636" t="s">
        <v>301</v>
      </c>
      <c r="K3636">
        <v>10</v>
      </c>
      <c r="L3636" s="6">
        <v>3.048</v>
      </c>
      <c r="M3636" s="7">
        <v>25.4</v>
      </c>
      <c r="N3636" s="7">
        <v>139.69999999999999</v>
      </c>
      <c r="O3636" s="7">
        <v>120</v>
      </c>
      <c r="P3636" s="7">
        <v>1</v>
      </c>
      <c r="Q3636" s="7">
        <v>5.5</v>
      </c>
      <c r="R3636" s="6">
        <v>924.60199999999998</v>
      </c>
      <c r="S3636" s="6">
        <v>1.081546224E-2</v>
      </c>
      <c r="T3636" t="str">
        <f t="shared" si="278"/>
        <v>Jatoba S4S E4E 5/4x6 Long</v>
      </c>
    </row>
    <row r="3637" spans="1:20" x14ac:dyDescent="0.25">
      <c r="A3637" t="s">
        <v>4382</v>
      </c>
      <c r="B3637" t="s">
        <v>4383</v>
      </c>
      <c r="C3637" t="s">
        <v>283</v>
      </c>
      <c r="D3637" t="s">
        <v>438</v>
      </c>
      <c r="E3637" t="s">
        <v>4386</v>
      </c>
      <c r="F3637" t="s">
        <v>4385</v>
      </c>
      <c r="G3637" t="s">
        <v>4382</v>
      </c>
      <c r="H3637" t="s">
        <v>373</v>
      </c>
      <c r="I3637" t="s">
        <v>289</v>
      </c>
      <c r="J3637" t="s">
        <v>301</v>
      </c>
      <c r="K3637">
        <v>11</v>
      </c>
      <c r="L3637" s="6">
        <v>3.3527999999999998</v>
      </c>
      <c r="M3637" s="7">
        <v>25.4</v>
      </c>
      <c r="N3637" s="7">
        <v>139.69999999999999</v>
      </c>
      <c r="O3637" s="7">
        <v>132</v>
      </c>
      <c r="P3637" s="7">
        <v>1</v>
      </c>
      <c r="Q3637" s="7">
        <v>5.5</v>
      </c>
      <c r="R3637" s="6">
        <v>924.60199999999998</v>
      </c>
      <c r="S3637" s="6">
        <v>1.1897008463999995E-2</v>
      </c>
      <c r="T3637" t="str">
        <f t="shared" si="278"/>
        <v>Jatoba S4S E4E 5/4x6 Long</v>
      </c>
    </row>
    <row r="3638" spans="1:20" x14ac:dyDescent="0.25">
      <c r="A3638" t="s">
        <v>4382</v>
      </c>
      <c r="B3638" t="s">
        <v>4383</v>
      </c>
      <c r="C3638" t="s">
        <v>283</v>
      </c>
      <c r="D3638" t="s">
        <v>438</v>
      </c>
      <c r="E3638" t="s">
        <v>4387</v>
      </c>
      <c r="F3638" t="s">
        <v>4385</v>
      </c>
      <c r="G3638" t="s">
        <v>4382</v>
      </c>
      <c r="H3638" t="s">
        <v>373</v>
      </c>
      <c r="I3638" t="s">
        <v>289</v>
      </c>
      <c r="J3638" t="s">
        <v>301</v>
      </c>
      <c r="K3638">
        <v>12</v>
      </c>
      <c r="L3638" s="6">
        <v>3.6576</v>
      </c>
      <c r="M3638" s="7">
        <v>25.4</v>
      </c>
      <c r="N3638" s="7">
        <v>139.69999999999999</v>
      </c>
      <c r="O3638" s="7">
        <v>144</v>
      </c>
      <c r="P3638" s="7">
        <v>1</v>
      </c>
      <c r="Q3638" s="7">
        <v>5.5</v>
      </c>
      <c r="R3638" s="6">
        <v>924.60199999999998</v>
      </c>
      <c r="S3638" s="6">
        <v>1.2978554687999997E-2</v>
      </c>
      <c r="T3638" t="str">
        <f t="shared" si="278"/>
        <v>Jatoba S4S E4E 5/4x6 Long</v>
      </c>
    </row>
    <row r="3639" spans="1:20" x14ac:dyDescent="0.25">
      <c r="A3639" t="s">
        <v>4382</v>
      </c>
      <c r="B3639" t="s">
        <v>4383</v>
      </c>
      <c r="C3639" t="s">
        <v>283</v>
      </c>
      <c r="D3639" t="s">
        <v>438</v>
      </c>
      <c r="E3639" t="s">
        <v>4388</v>
      </c>
      <c r="F3639" t="s">
        <v>4385</v>
      </c>
      <c r="G3639" t="s">
        <v>4382</v>
      </c>
      <c r="H3639" t="s">
        <v>373</v>
      </c>
      <c r="I3639" t="s">
        <v>289</v>
      </c>
      <c r="J3639" t="s">
        <v>301</v>
      </c>
      <c r="K3639">
        <v>13</v>
      </c>
      <c r="L3639" s="6">
        <v>3.9624000000000001</v>
      </c>
      <c r="M3639" s="7">
        <v>25.4</v>
      </c>
      <c r="N3639" s="7">
        <v>139.69999999999999</v>
      </c>
      <c r="O3639" s="7">
        <v>156</v>
      </c>
      <c r="P3639" s="7">
        <v>1</v>
      </c>
      <c r="Q3639" s="7">
        <v>5.5</v>
      </c>
      <c r="R3639" s="6">
        <v>924.60199999999998</v>
      </c>
      <c r="S3639" s="6">
        <v>1.4060100911999997E-2</v>
      </c>
      <c r="T3639" t="str">
        <f t="shared" si="278"/>
        <v>Jatoba S4S E4E 5/4x6 Long</v>
      </c>
    </row>
    <row r="3640" spans="1:20" x14ac:dyDescent="0.25">
      <c r="A3640" t="s">
        <v>4382</v>
      </c>
      <c r="B3640" t="s">
        <v>4383</v>
      </c>
      <c r="C3640" t="s">
        <v>283</v>
      </c>
      <c r="D3640" t="s">
        <v>438</v>
      </c>
      <c r="E3640" t="s">
        <v>4389</v>
      </c>
      <c r="F3640" t="s">
        <v>4385</v>
      </c>
      <c r="G3640" t="s">
        <v>4382</v>
      </c>
      <c r="H3640" t="s">
        <v>373</v>
      </c>
      <c r="I3640" t="s">
        <v>289</v>
      </c>
      <c r="J3640" t="s">
        <v>301</v>
      </c>
      <c r="K3640">
        <v>14</v>
      </c>
      <c r="L3640" s="6">
        <v>4.2671999999999999</v>
      </c>
      <c r="M3640" s="7">
        <v>25.4</v>
      </c>
      <c r="N3640" s="7">
        <v>139.69999999999999</v>
      </c>
      <c r="O3640" s="7">
        <v>168</v>
      </c>
      <c r="P3640" s="7">
        <v>1</v>
      </c>
      <c r="Q3640" s="7">
        <v>5.5</v>
      </c>
      <c r="R3640" s="6">
        <v>924.60199999999998</v>
      </c>
      <c r="S3640" s="6">
        <v>1.5141647135999997E-2</v>
      </c>
      <c r="T3640" t="str">
        <f t="shared" si="278"/>
        <v>Jatoba S4S E4E 5/4x6 Long</v>
      </c>
    </row>
    <row r="3641" spans="1:20" x14ac:dyDescent="0.25">
      <c r="A3641" t="s">
        <v>4382</v>
      </c>
      <c r="B3641" t="s">
        <v>4383</v>
      </c>
      <c r="C3641" t="s">
        <v>283</v>
      </c>
      <c r="D3641" t="s">
        <v>438</v>
      </c>
      <c r="E3641" t="s">
        <v>4390</v>
      </c>
      <c r="F3641" t="s">
        <v>4385</v>
      </c>
      <c r="G3641" t="s">
        <v>4382</v>
      </c>
      <c r="H3641" t="s">
        <v>373</v>
      </c>
      <c r="I3641" t="s">
        <v>289</v>
      </c>
      <c r="J3641" t="s">
        <v>301</v>
      </c>
      <c r="K3641">
        <v>15</v>
      </c>
      <c r="L3641" s="6">
        <v>4.5720000000000001</v>
      </c>
      <c r="M3641" s="7">
        <v>25.4</v>
      </c>
      <c r="N3641" s="7">
        <v>139.69999999999999</v>
      </c>
      <c r="O3641" s="7">
        <v>180</v>
      </c>
      <c r="P3641" s="7">
        <v>1</v>
      </c>
      <c r="Q3641" s="7">
        <v>5.5</v>
      </c>
      <c r="R3641" s="6">
        <v>924.60199999999998</v>
      </c>
      <c r="S3641" s="6">
        <v>1.6223193359999999E-2</v>
      </c>
      <c r="T3641" t="str">
        <f t="shared" si="278"/>
        <v>Jatoba S4S E4E 5/4x6 Long</v>
      </c>
    </row>
    <row r="3642" spans="1:20" x14ac:dyDescent="0.25">
      <c r="A3642" t="s">
        <v>4382</v>
      </c>
      <c r="B3642" t="s">
        <v>4383</v>
      </c>
      <c r="C3642" t="s">
        <v>283</v>
      </c>
      <c r="D3642" t="s">
        <v>438</v>
      </c>
      <c r="E3642" t="s">
        <v>4391</v>
      </c>
      <c r="F3642" t="s">
        <v>4385</v>
      </c>
      <c r="G3642" t="s">
        <v>4382</v>
      </c>
      <c r="H3642" t="s">
        <v>373</v>
      </c>
      <c r="I3642" t="s">
        <v>289</v>
      </c>
      <c r="J3642" t="s">
        <v>301</v>
      </c>
      <c r="K3642">
        <v>16</v>
      </c>
      <c r="L3642" s="6">
        <v>4.8768000000000002</v>
      </c>
      <c r="M3642" s="7">
        <v>25.4</v>
      </c>
      <c r="N3642" s="7">
        <v>139.69999999999999</v>
      </c>
      <c r="O3642" s="7">
        <v>192.00000000000003</v>
      </c>
      <c r="P3642" s="7">
        <v>1</v>
      </c>
      <c r="Q3642" s="7">
        <v>5.5</v>
      </c>
      <c r="R3642" s="6">
        <v>924.60199999999998</v>
      </c>
      <c r="S3642" s="6">
        <v>1.7304739584000001E-2</v>
      </c>
      <c r="T3642" t="str">
        <f t="shared" si="278"/>
        <v>Jatoba S4S E4E 5/4x6 Long</v>
      </c>
    </row>
    <row r="3643" spans="1:20" x14ac:dyDescent="0.25">
      <c r="A3643" t="s">
        <v>4382</v>
      </c>
      <c r="B3643" t="s">
        <v>4383</v>
      </c>
      <c r="C3643" t="s">
        <v>283</v>
      </c>
      <c r="D3643" t="s">
        <v>438</v>
      </c>
      <c r="E3643" t="s">
        <v>4392</v>
      </c>
      <c r="F3643" t="s">
        <v>4385</v>
      </c>
      <c r="G3643" t="s">
        <v>4382</v>
      </c>
      <c r="H3643" t="s">
        <v>373</v>
      </c>
      <c r="I3643" t="s">
        <v>289</v>
      </c>
      <c r="J3643" t="s">
        <v>301</v>
      </c>
      <c r="K3643">
        <v>17</v>
      </c>
      <c r="L3643" s="6">
        <v>5.1816000000000004</v>
      </c>
      <c r="M3643" s="7">
        <v>25.4</v>
      </c>
      <c r="N3643" s="7">
        <v>139.69999999999999</v>
      </c>
      <c r="O3643" s="7">
        <v>204.00000000000003</v>
      </c>
      <c r="P3643" s="7">
        <v>1</v>
      </c>
      <c r="Q3643" s="7">
        <v>5.5</v>
      </c>
      <c r="R3643" s="6">
        <v>924.60199999999998</v>
      </c>
      <c r="S3643" s="6">
        <v>1.8386285807999999E-2</v>
      </c>
      <c r="T3643" t="str">
        <f t="shared" si="278"/>
        <v>Jatoba S4S E4E 5/4x6 Long</v>
      </c>
    </row>
    <row r="3644" spans="1:20" x14ac:dyDescent="0.25">
      <c r="A3644" t="s">
        <v>4382</v>
      </c>
      <c r="B3644" t="s">
        <v>4383</v>
      </c>
      <c r="C3644" t="s">
        <v>283</v>
      </c>
      <c r="D3644" t="s">
        <v>438</v>
      </c>
      <c r="E3644" t="s">
        <v>4393</v>
      </c>
      <c r="F3644" t="s">
        <v>4385</v>
      </c>
      <c r="G3644" t="s">
        <v>4382</v>
      </c>
      <c r="H3644" t="s">
        <v>373</v>
      </c>
      <c r="I3644" t="s">
        <v>289</v>
      </c>
      <c r="J3644" t="s">
        <v>301</v>
      </c>
      <c r="K3644">
        <v>18</v>
      </c>
      <c r="L3644" s="6">
        <v>5.4863999999999997</v>
      </c>
      <c r="M3644" s="7">
        <v>25.4</v>
      </c>
      <c r="N3644" s="7">
        <v>139.69999999999999</v>
      </c>
      <c r="O3644" s="7">
        <v>216</v>
      </c>
      <c r="P3644" s="7">
        <v>1</v>
      </c>
      <c r="Q3644" s="7">
        <v>5.5</v>
      </c>
      <c r="R3644" s="6">
        <v>924.60199999999998</v>
      </c>
      <c r="S3644" s="6">
        <v>1.9467832031999997E-2</v>
      </c>
      <c r="T3644" t="str">
        <f t="shared" si="278"/>
        <v>Jatoba S4S E4E 5/4x6 Long</v>
      </c>
    </row>
    <row r="3645" spans="1:20" x14ac:dyDescent="0.25">
      <c r="A3645" t="s">
        <v>4382</v>
      </c>
      <c r="B3645" t="s">
        <v>4383</v>
      </c>
      <c r="C3645" t="s">
        <v>283</v>
      </c>
      <c r="D3645" t="s">
        <v>438</v>
      </c>
      <c r="E3645" t="s">
        <v>4394</v>
      </c>
      <c r="F3645" t="s">
        <v>4385</v>
      </c>
      <c r="G3645" t="s">
        <v>4382</v>
      </c>
      <c r="H3645" t="s">
        <v>373</v>
      </c>
      <c r="I3645" t="s">
        <v>289</v>
      </c>
      <c r="J3645" t="s">
        <v>301</v>
      </c>
      <c r="K3645">
        <v>19</v>
      </c>
      <c r="L3645" s="6">
        <v>5.7911999999999999</v>
      </c>
      <c r="M3645" s="7">
        <v>25.4</v>
      </c>
      <c r="N3645" s="7">
        <v>139.69999999999999</v>
      </c>
      <c r="O3645" s="7">
        <v>228</v>
      </c>
      <c r="P3645" s="7">
        <v>1</v>
      </c>
      <c r="Q3645" s="7">
        <v>5.5</v>
      </c>
      <c r="R3645" s="6">
        <v>924.60199999999998</v>
      </c>
      <c r="S3645" s="6">
        <v>2.0549378255999992E-2</v>
      </c>
      <c r="T3645" t="str">
        <f t="shared" si="278"/>
        <v>Jatoba S4S E4E 5/4x6 Long</v>
      </c>
    </row>
    <row r="3646" spans="1:20" x14ac:dyDescent="0.25">
      <c r="A3646" t="s">
        <v>4382</v>
      </c>
      <c r="B3646" t="s">
        <v>4383</v>
      </c>
      <c r="C3646" t="s">
        <v>283</v>
      </c>
      <c r="D3646" t="s">
        <v>438</v>
      </c>
      <c r="E3646" t="s">
        <v>4395</v>
      </c>
      <c r="F3646" t="s">
        <v>4385</v>
      </c>
      <c r="G3646" t="s">
        <v>4382</v>
      </c>
      <c r="H3646" t="s">
        <v>373</v>
      </c>
      <c r="I3646" t="s">
        <v>289</v>
      </c>
      <c r="J3646" t="s">
        <v>301</v>
      </c>
      <c r="K3646">
        <v>20</v>
      </c>
      <c r="L3646" s="6">
        <v>6.0960000000000001</v>
      </c>
      <c r="M3646" s="7">
        <v>25.4</v>
      </c>
      <c r="N3646" s="7">
        <v>139.69999999999999</v>
      </c>
      <c r="O3646" s="7">
        <v>240</v>
      </c>
      <c r="P3646" s="7">
        <v>1</v>
      </c>
      <c r="Q3646" s="7">
        <v>5.5</v>
      </c>
      <c r="R3646" s="6">
        <v>924.60199999999998</v>
      </c>
      <c r="S3646" s="6">
        <v>2.1630924480000001E-2</v>
      </c>
      <c r="T3646" t="str">
        <f t="shared" si="278"/>
        <v>Jatoba S4S E4E 5/4x6 Long</v>
      </c>
    </row>
    <row r="3647" spans="1:20" x14ac:dyDescent="0.25">
      <c r="A3647" t="s">
        <v>4382</v>
      </c>
      <c r="B3647" t="s">
        <v>4383</v>
      </c>
      <c r="C3647" t="s">
        <v>283</v>
      </c>
      <c r="D3647" t="s">
        <v>438</v>
      </c>
      <c r="E3647" t="s">
        <v>4396</v>
      </c>
      <c r="F3647" t="s">
        <v>4385</v>
      </c>
      <c r="G3647" t="s">
        <v>4382</v>
      </c>
      <c r="H3647" t="s">
        <v>373</v>
      </c>
      <c r="I3647" t="s">
        <v>289</v>
      </c>
      <c r="J3647" t="s">
        <v>301</v>
      </c>
      <c r="K3647">
        <v>21</v>
      </c>
      <c r="L3647" s="6">
        <v>6.4008000000000003</v>
      </c>
      <c r="M3647" s="7">
        <v>25.4</v>
      </c>
      <c r="N3647" s="7">
        <v>139.69999999999999</v>
      </c>
      <c r="O3647" s="7">
        <v>252.00000000000003</v>
      </c>
      <c r="P3647" s="7">
        <v>1</v>
      </c>
      <c r="Q3647" s="7">
        <v>5.5</v>
      </c>
      <c r="R3647" s="6">
        <v>924.60199999999998</v>
      </c>
      <c r="S3647" s="6">
        <v>2.2712470703999999E-2</v>
      </c>
      <c r="T3647" t="str">
        <f t="shared" si="278"/>
        <v>Jatoba S4S E4E 5/4x6 Long</v>
      </c>
    </row>
    <row r="3648" spans="1:20" x14ac:dyDescent="0.25">
      <c r="A3648" t="s">
        <v>4382</v>
      </c>
      <c r="B3648" t="s">
        <v>4383</v>
      </c>
      <c r="C3648" t="s">
        <v>283</v>
      </c>
      <c r="D3648" t="s">
        <v>438</v>
      </c>
      <c r="E3648" t="s">
        <v>4397</v>
      </c>
      <c r="F3648" t="s">
        <v>4385</v>
      </c>
      <c r="G3648" t="s">
        <v>4382</v>
      </c>
      <c r="H3648" t="s">
        <v>373</v>
      </c>
      <c r="I3648" t="s">
        <v>289</v>
      </c>
      <c r="J3648" t="s">
        <v>301</v>
      </c>
      <c r="K3648">
        <v>22</v>
      </c>
      <c r="L3648" s="6">
        <v>6.7055999999999996</v>
      </c>
      <c r="M3648" s="7">
        <v>25.4</v>
      </c>
      <c r="N3648" s="7">
        <v>139.69999999999999</v>
      </c>
      <c r="O3648" s="7">
        <v>264</v>
      </c>
      <c r="P3648" s="7">
        <v>1</v>
      </c>
      <c r="Q3648" s="7">
        <v>5.5</v>
      </c>
      <c r="R3648" s="6">
        <v>924.60199999999998</v>
      </c>
      <c r="S3648" s="6">
        <v>2.3794016927999991E-2</v>
      </c>
      <c r="T3648" t="str">
        <f t="shared" si="278"/>
        <v>Jatoba S4S E4E 5/4x6 Long</v>
      </c>
    </row>
    <row r="3649" spans="1:20" x14ac:dyDescent="0.25">
      <c r="A3649" t="s">
        <v>4382</v>
      </c>
      <c r="B3649" t="s">
        <v>4383</v>
      </c>
      <c r="C3649" t="s">
        <v>524</v>
      </c>
      <c r="D3649" t="s">
        <v>438</v>
      </c>
      <c r="E3649" t="s">
        <v>4398</v>
      </c>
      <c r="F3649" t="s">
        <v>4385</v>
      </c>
      <c r="G3649" t="s">
        <v>4382</v>
      </c>
      <c r="H3649" t="s">
        <v>373</v>
      </c>
      <c r="I3649" t="s">
        <v>289</v>
      </c>
      <c r="J3649" t="s">
        <v>301</v>
      </c>
      <c r="K3649">
        <v>3</v>
      </c>
      <c r="L3649" s="6">
        <v>0.91439999999999999</v>
      </c>
      <c r="M3649" s="7">
        <v>25.4</v>
      </c>
      <c r="N3649" s="7">
        <v>139.69999999999999</v>
      </c>
      <c r="O3649" s="7">
        <v>36</v>
      </c>
      <c r="P3649" s="7">
        <v>1</v>
      </c>
      <c r="Q3649" s="7">
        <v>5.5</v>
      </c>
      <c r="R3649" s="6">
        <v>924.60199999999998</v>
      </c>
      <c r="S3649" s="6">
        <v>3.2446386719999993E-3</v>
      </c>
      <c r="T3649" t="str">
        <f t="shared" si="278"/>
        <v>Jatoba S4S E4E 5/4x6 Short</v>
      </c>
    </row>
    <row r="3650" spans="1:20" x14ac:dyDescent="0.25">
      <c r="A3650" t="s">
        <v>4382</v>
      </c>
      <c r="B3650" t="s">
        <v>4383</v>
      </c>
      <c r="C3650" t="s">
        <v>524</v>
      </c>
      <c r="D3650" t="s">
        <v>438</v>
      </c>
      <c r="E3650" t="s">
        <v>4399</v>
      </c>
      <c r="F3650" t="s">
        <v>4385</v>
      </c>
      <c r="G3650" t="s">
        <v>4382</v>
      </c>
      <c r="H3650" t="s">
        <v>373</v>
      </c>
      <c r="I3650" t="s">
        <v>289</v>
      </c>
      <c r="J3650" t="s">
        <v>301</v>
      </c>
      <c r="K3650">
        <v>4</v>
      </c>
      <c r="L3650" s="6">
        <v>1.2192000000000001</v>
      </c>
      <c r="M3650" s="7">
        <v>25.4</v>
      </c>
      <c r="N3650" s="7">
        <v>139.69999999999999</v>
      </c>
      <c r="O3650" s="7">
        <v>48.000000000000007</v>
      </c>
      <c r="P3650" s="7">
        <v>1</v>
      </c>
      <c r="Q3650" s="7">
        <v>5.5</v>
      </c>
      <c r="R3650" s="6">
        <v>924.60199999999998</v>
      </c>
      <c r="S3650" s="6">
        <v>4.3261848960000002E-3</v>
      </c>
      <c r="T3650" t="str">
        <f t="shared" ref="T3650:T3713" si="284">F3650&amp;" "&amp;C3650</f>
        <v>Jatoba S4S E4E 5/4x6 Short</v>
      </c>
    </row>
    <row r="3651" spans="1:20" x14ac:dyDescent="0.25">
      <c r="A3651" t="s">
        <v>4382</v>
      </c>
      <c r="B3651" t="s">
        <v>4383</v>
      </c>
      <c r="C3651" t="s">
        <v>524</v>
      </c>
      <c r="D3651" t="s">
        <v>438</v>
      </c>
      <c r="E3651" t="s">
        <v>4400</v>
      </c>
      <c r="F3651" t="s">
        <v>4385</v>
      </c>
      <c r="G3651" t="s">
        <v>4382</v>
      </c>
      <c r="H3651" t="s">
        <v>373</v>
      </c>
      <c r="I3651" t="s">
        <v>289</v>
      </c>
      <c r="J3651" t="s">
        <v>301</v>
      </c>
      <c r="K3651">
        <v>5</v>
      </c>
      <c r="L3651" s="6">
        <v>1.524</v>
      </c>
      <c r="M3651" s="7">
        <v>25.4</v>
      </c>
      <c r="N3651" s="7">
        <v>139.69999999999999</v>
      </c>
      <c r="O3651" s="7">
        <v>60</v>
      </c>
      <c r="P3651" s="7">
        <v>1</v>
      </c>
      <c r="Q3651" s="7">
        <v>5.5</v>
      </c>
      <c r="R3651" s="6">
        <v>924.60199999999998</v>
      </c>
      <c r="S3651" s="6">
        <v>5.4077311200000002E-3</v>
      </c>
      <c r="T3651" t="str">
        <f t="shared" si="284"/>
        <v>Jatoba S4S E4E 5/4x6 Short</v>
      </c>
    </row>
    <row r="3652" spans="1:20" x14ac:dyDescent="0.25">
      <c r="A3652" t="s">
        <v>4382</v>
      </c>
      <c r="B3652" t="s">
        <v>4383</v>
      </c>
      <c r="C3652" t="s">
        <v>524</v>
      </c>
      <c r="D3652" t="s">
        <v>438</v>
      </c>
      <c r="E3652" t="s">
        <v>4401</v>
      </c>
      <c r="F3652" t="s">
        <v>4385</v>
      </c>
      <c r="G3652" t="s">
        <v>4382</v>
      </c>
      <c r="H3652" t="s">
        <v>373</v>
      </c>
      <c r="I3652" t="s">
        <v>289</v>
      </c>
      <c r="J3652" t="s">
        <v>301</v>
      </c>
      <c r="K3652">
        <v>6</v>
      </c>
      <c r="L3652" s="6">
        <v>1.8288</v>
      </c>
      <c r="M3652" s="7">
        <v>25.4</v>
      </c>
      <c r="N3652" s="7">
        <v>139.69999999999999</v>
      </c>
      <c r="O3652" s="7">
        <v>72</v>
      </c>
      <c r="P3652" s="7">
        <v>1</v>
      </c>
      <c r="Q3652" s="7">
        <v>5.5</v>
      </c>
      <c r="R3652" s="6">
        <v>924.60199999999998</v>
      </c>
      <c r="S3652" s="6">
        <v>6.4892773439999985E-3</v>
      </c>
      <c r="T3652" t="str">
        <f t="shared" si="284"/>
        <v>Jatoba S4S E4E 5/4x6 Short</v>
      </c>
    </row>
    <row r="3653" spans="1:20" x14ac:dyDescent="0.25">
      <c r="A3653" t="s">
        <v>4382</v>
      </c>
      <c r="B3653" t="s">
        <v>4383</v>
      </c>
      <c r="C3653" t="s">
        <v>524</v>
      </c>
      <c r="D3653" t="s">
        <v>438</v>
      </c>
      <c r="E3653" t="s">
        <v>4402</v>
      </c>
      <c r="F3653" t="s">
        <v>4385</v>
      </c>
      <c r="G3653" t="s">
        <v>4382</v>
      </c>
      <c r="H3653" t="s">
        <v>373</v>
      </c>
      <c r="I3653" t="s">
        <v>289</v>
      </c>
      <c r="J3653" t="s">
        <v>301</v>
      </c>
      <c r="K3653">
        <v>7</v>
      </c>
      <c r="L3653" s="6">
        <v>2.1335999999999999</v>
      </c>
      <c r="M3653" s="7">
        <v>25.4</v>
      </c>
      <c r="N3653" s="7">
        <v>139.69999999999999</v>
      </c>
      <c r="O3653" s="7">
        <v>84</v>
      </c>
      <c r="P3653" s="7">
        <v>1</v>
      </c>
      <c r="Q3653" s="7">
        <v>5.5</v>
      </c>
      <c r="R3653" s="6">
        <v>924.60199999999998</v>
      </c>
      <c r="S3653" s="6">
        <v>7.5708235679999986E-3</v>
      </c>
      <c r="T3653" t="str">
        <f t="shared" si="284"/>
        <v>Jatoba S4S E4E 5/4x6 Short</v>
      </c>
    </row>
    <row r="3654" spans="1:20" x14ac:dyDescent="0.25">
      <c r="A3654" t="s">
        <v>4382</v>
      </c>
      <c r="B3654" t="s">
        <v>4383</v>
      </c>
      <c r="C3654" t="s">
        <v>283</v>
      </c>
      <c r="D3654" t="s">
        <v>438</v>
      </c>
      <c r="E3654" t="s">
        <v>4403</v>
      </c>
      <c r="F3654" t="s">
        <v>4385</v>
      </c>
      <c r="G3654" t="s">
        <v>4382</v>
      </c>
      <c r="H3654" t="s">
        <v>373</v>
      </c>
      <c r="I3654" t="s">
        <v>289</v>
      </c>
      <c r="J3654" t="s">
        <v>301</v>
      </c>
      <c r="K3654">
        <v>8</v>
      </c>
      <c r="L3654" s="6">
        <v>2.4384000000000001</v>
      </c>
      <c r="M3654" s="7">
        <v>25.4</v>
      </c>
      <c r="N3654" s="7">
        <v>139.69999999999999</v>
      </c>
      <c r="O3654" s="7">
        <v>96.000000000000014</v>
      </c>
      <c r="P3654" s="7">
        <v>1</v>
      </c>
      <c r="Q3654" s="7">
        <v>5.5</v>
      </c>
      <c r="R3654" s="6">
        <v>924.60199999999998</v>
      </c>
      <c r="S3654" s="6">
        <v>8.6523697920000003E-3</v>
      </c>
      <c r="T3654" t="str">
        <f t="shared" si="284"/>
        <v>Jatoba S4S E4E 5/4x6 Long</v>
      </c>
    </row>
    <row r="3655" spans="1:20" x14ac:dyDescent="0.25">
      <c r="A3655" t="s">
        <v>4382</v>
      </c>
      <c r="B3655" t="s">
        <v>4383</v>
      </c>
      <c r="C3655" t="s">
        <v>283</v>
      </c>
      <c r="D3655" t="s">
        <v>438</v>
      </c>
      <c r="E3655" t="s">
        <v>4404</v>
      </c>
      <c r="F3655" t="s">
        <v>4385</v>
      </c>
      <c r="G3655" t="s">
        <v>4382</v>
      </c>
      <c r="H3655" t="s">
        <v>373</v>
      </c>
      <c r="I3655" t="s">
        <v>289</v>
      </c>
      <c r="J3655" t="s">
        <v>301</v>
      </c>
      <c r="K3655">
        <v>9</v>
      </c>
      <c r="L3655" s="6">
        <v>2.7431999999999999</v>
      </c>
      <c r="M3655" s="7">
        <v>25.4</v>
      </c>
      <c r="N3655" s="7">
        <v>139.69999999999999</v>
      </c>
      <c r="O3655" s="7">
        <v>108</v>
      </c>
      <c r="P3655" s="7">
        <v>1</v>
      </c>
      <c r="Q3655" s="7">
        <v>5.5</v>
      </c>
      <c r="R3655" s="6">
        <v>924.60199999999998</v>
      </c>
      <c r="S3655" s="6">
        <v>9.7339160159999986E-3</v>
      </c>
      <c r="T3655" t="str">
        <f t="shared" si="284"/>
        <v>Jatoba S4S E4E 5/4x6 Long</v>
      </c>
    </row>
    <row r="3656" spans="1:20" x14ac:dyDescent="0.25">
      <c r="A3656" t="s">
        <v>4382</v>
      </c>
      <c r="B3656" t="s">
        <v>4405</v>
      </c>
      <c r="C3656" t="s">
        <v>283</v>
      </c>
      <c r="D3656" t="s">
        <v>438</v>
      </c>
      <c r="E3656" t="s">
        <v>4406</v>
      </c>
      <c r="F3656" t="s">
        <v>4407</v>
      </c>
      <c r="G3656" t="s">
        <v>4382</v>
      </c>
      <c r="H3656" t="s">
        <v>373</v>
      </c>
      <c r="I3656" t="s">
        <v>289</v>
      </c>
      <c r="J3656" t="s">
        <v>1968</v>
      </c>
      <c r="K3656">
        <v>10</v>
      </c>
      <c r="L3656" s="6">
        <v>3.048</v>
      </c>
      <c r="M3656" s="7">
        <v>25.4</v>
      </c>
      <c r="N3656" s="7">
        <v>88.9</v>
      </c>
      <c r="O3656" s="7">
        <v>120</v>
      </c>
      <c r="P3656" s="7">
        <v>1</v>
      </c>
      <c r="Q3656" s="7">
        <v>3.5000000000000004</v>
      </c>
      <c r="R3656" s="6">
        <v>1452.9459999999999</v>
      </c>
      <c r="S3656" s="6">
        <v>6.8825668800000014E-3</v>
      </c>
      <c r="T3656" t="str">
        <f t="shared" si="284"/>
        <v>Jatoba S4S E4E 5/4x4 Long</v>
      </c>
    </row>
    <row r="3657" spans="1:20" x14ac:dyDescent="0.25">
      <c r="A3657" t="s">
        <v>4382</v>
      </c>
      <c r="B3657" t="s">
        <v>4405</v>
      </c>
      <c r="C3657" t="s">
        <v>283</v>
      </c>
      <c r="D3657" t="s">
        <v>438</v>
      </c>
      <c r="E3657" t="s">
        <v>4408</v>
      </c>
      <c r="F3657" t="s">
        <v>4407</v>
      </c>
      <c r="G3657" t="s">
        <v>4382</v>
      </c>
      <c r="H3657" t="s">
        <v>373</v>
      </c>
      <c r="I3657" t="s">
        <v>289</v>
      </c>
      <c r="J3657" t="s">
        <v>1968</v>
      </c>
      <c r="K3657">
        <v>11</v>
      </c>
      <c r="L3657" s="6">
        <v>3.3527999999999998</v>
      </c>
      <c r="M3657" s="7">
        <v>25.4</v>
      </c>
      <c r="N3657" s="7">
        <v>88.9</v>
      </c>
      <c r="O3657" s="7">
        <v>132</v>
      </c>
      <c r="P3657" s="7">
        <v>1</v>
      </c>
      <c r="Q3657" s="7">
        <v>3.5000000000000004</v>
      </c>
      <c r="R3657" s="6">
        <v>1452.9459999999999</v>
      </c>
      <c r="S3657" s="6">
        <v>7.5708235679999986E-3</v>
      </c>
      <c r="T3657" t="str">
        <f t="shared" si="284"/>
        <v>Jatoba S4S E4E 5/4x4 Long</v>
      </c>
    </row>
    <row r="3658" spans="1:20" x14ac:dyDescent="0.25">
      <c r="A3658" t="s">
        <v>4382</v>
      </c>
      <c r="B3658" t="s">
        <v>4405</v>
      </c>
      <c r="C3658" t="s">
        <v>283</v>
      </c>
      <c r="D3658" t="s">
        <v>438</v>
      </c>
      <c r="E3658" t="s">
        <v>4409</v>
      </c>
      <c r="F3658" t="s">
        <v>4407</v>
      </c>
      <c r="G3658" t="s">
        <v>4382</v>
      </c>
      <c r="H3658" t="s">
        <v>373</v>
      </c>
      <c r="I3658" t="s">
        <v>289</v>
      </c>
      <c r="J3658" t="s">
        <v>1968</v>
      </c>
      <c r="K3658">
        <v>12</v>
      </c>
      <c r="L3658" s="6">
        <v>3.6576</v>
      </c>
      <c r="M3658" s="7">
        <v>25.4</v>
      </c>
      <c r="N3658" s="7">
        <v>88.9</v>
      </c>
      <c r="O3658" s="7">
        <v>144</v>
      </c>
      <c r="P3658" s="7">
        <v>1</v>
      </c>
      <c r="Q3658" s="7">
        <v>3.5000000000000004</v>
      </c>
      <c r="R3658" s="6">
        <v>1452.9459999999999</v>
      </c>
      <c r="S3658" s="6">
        <v>8.259080256000001E-3</v>
      </c>
      <c r="T3658" t="str">
        <f t="shared" si="284"/>
        <v>Jatoba S4S E4E 5/4x4 Long</v>
      </c>
    </row>
    <row r="3659" spans="1:20" x14ac:dyDescent="0.25">
      <c r="A3659" t="s">
        <v>4382</v>
      </c>
      <c r="B3659" t="s">
        <v>4405</v>
      </c>
      <c r="C3659" t="s">
        <v>283</v>
      </c>
      <c r="D3659" t="s">
        <v>438</v>
      </c>
      <c r="E3659" t="s">
        <v>4410</v>
      </c>
      <c r="F3659" t="s">
        <v>4407</v>
      </c>
      <c r="G3659" t="s">
        <v>4382</v>
      </c>
      <c r="H3659" t="s">
        <v>373</v>
      </c>
      <c r="I3659" t="s">
        <v>289</v>
      </c>
      <c r="J3659" t="s">
        <v>1968</v>
      </c>
      <c r="K3659">
        <v>13</v>
      </c>
      <c r="L3659" s="6">
        <v>3.9624000000000001</v>
      </c>
      <c r="M3659" s="7">
        <v>25.4</v>
      </c>
      <c r="N3659" s="7">
        <v>88.9</v>
      </c>
      <c r="O3659" s="7">
        <v>156</v>
      </c>
      <c r="P3659" s="7">
        <v>1</v>
      </c>
      <c r="Q3659" s="7">
        <v>3.5000000000000004</v>
      </c>
      <c r="R3659" s="6">
        <v>1452.9459999999999</v>
      </c>
      <c r="S3659" s="6">
        <v>8.9473369439999999E-3</v>
      </c>
      <c r="T3659" t="str">
        <f t="shared" si="284"/>
        <v>Jatoba S4S E4E 5/4x4 Long</v>
      </c>
    </row>
    <row r="3660" spans="1:20" x14ac:dyDescent="0.25">
      <c r="A3660" t="s">
        <v>4382</v>
      </c>
      <c r="B3660" t="s">
        <v>4405</v>
      </c>
      <c r="C3660" t="s">
        <v>283</v>
      </c>
      <c r="D3660" t="s">
        <v>438</v>
      </c>
      <c r="E3660" t="s">
        <v>4411</v>
      </c>
      <c r="F3660" t="s">
        <v>4407</v>
      </c>
      <c r="G3660" t="s">
        <v>4382</v>
      </c>
      <c r="H3660" t="s">
        <v>373</v>
      </c>
      <c r="I3660" t="s">
        <v>289</v>
      </c>
      <c r="J3660" t="s">
        <v>1968</v>
      </c>
      <c r="K3660">
        <v>14</v>
      </c>
      <c r="L3660" s="6">
        <v>4.2671999999999999</v>
      </c>
      <c r="M3660" s="7">
        <v>25.4</v>
      </c>
      <c r="N3660" s="7">
        <v>88.9</v>
      </c>
      <c r="O3660" s="7">
        <v>168</v>
      </c>
      <c r="P3660" s="7">
        <v>1</v>
      </c>
      <c r="Q3660" s="7">
        <v>3.5000000000000004</v>
      </c>
      <c r="R3660" s="6">
        <v>1452.9459999999999</v>
      </c>
      <c r="S3660" s="6">
        <v>9.6355936319999988E-3</v>
      </c>
      <c r="T3660" t="str">
        <f t="shared" si="284"/>
        <v>Jatoba S4S E4E 5/4x4 Long</v>
      </c>
    </row>
    <row r="3661" spans="1:20" x14ac:dyDescent="0.25">
      <c r="A3661" t="s">
        <v>4382</v>
      </c>
      <c r="B3661" t="s">
        <v>4405</v>
      </c>
      <c r="C3661" t="s">
        <v>283</v>
      </c>
      <c r="D3661" t="s">
        <v>438</v>
      </c>
      <c r="E3661" t="s">
        <v>4412</v>
      </c>
      <c r="F3661" t="s">
        <v>4407</v>
      </c>
      <c r="G3661" t="s">
        <v>4382</v>
      </c>
      <c r="H3661" t="s">
        <v>373</v>
      </c>
      <c r="I3661" t="s">
        <v>289</v>
      </c>
      <c r="J3661" t="s">
        <v>1968</v>
      </c>
      <c r="K3661">
        <v>15</v>
      </c>
      <c r="L3661" s="6">
        <v>4.5720000000000001</v>
      </c>
      <c r="M3661" s="7">
        <v>25.4</v>
      </c>
      <c r="N3661" s="7">
        <v>88.9</v>
      </c>
      <c r="O3661" s="7">
        <v>180</v>
      </c>
      <c r="P3661" s="7">
        <v>1</v>
      </c>
      <c r="Q3661" s="7">
        <v>3.5000000000000004</v>
      </c>
      <c r="R3661" s="6">
        <v>1452.9459999999999</v>
      </c>
      <c r="S3661" s="6">
        <v>1.0323850320000001E-2</v>
      </c>
      <c r="T3661" t="str">
        <f t="shared" si="284"/>
        <v>Jatoba S4S E4E 5/4x4 Long</v>
      </c>
    </row>
    <row r="3662" spans="1:20" x14ac:dyDescent="0.25">
      <c r="A3662" t="s">
        <v>4382</v>
      </c>
      <c r="B3662" t="s">
        <v>4405</v>
      </c>
      <c r="C3662" t="s">
        <v>283</v>
      </c>
      <c r="D3662" t="s">
        <v>438</v>
      </c>
      <c r="E3662" t="s">
        <v>4413</v>
      </c>
      <c r="F3662" t="s">
        <v>4407</v>
      </c>
      <c r="G3662" t="s">
        <v>4382</v>
      </c>
      <c r="H3662" t="s">
        <v>373</v>
      </c>
      <c r="I3662" t="s">
        <v>289</v>
      </c>
      <c r="J3662" t="s">
        <v>1968</v>
      </c>
      <c r="K3662">
        <v>16</v>
      </c>
      <c r="L3662" s="6">
        <v>4.8768000000000002</v>
      </c>
      <c r="M3662" s="7">
        <v>25.4</v>
      </c>
      <c r="N3662" s="7">
        <v>88.9</v>
      </c>
      <c r="O3662" s="7">
        <v>192.00000000000003</v>
      </c>
      <c r="P3662" s="7">
        <v>1</v>
      </c>
      <c r="Q3662" s="7">
        <v>3.5000000000000004</v>
      </c>
      <c r="R3662" s="6">
        <v>1452.9459999999999</v>
      </c>
      <c r="S3662" s="6">
        <v>1.1012107008E-2</v>
      </c>
      <c r="T3662" t="str">
        <f t="shared" si="284"/>
        <v>Jatoba S4S E4E 5/4x4 Long</v>
      </c>
    </row>
    <row r="3663" spans="1:20" x14ac:dyDescent="0.25">
      <c r="A3663" t="s">
        <v>4382</v>
      </c>
      <c r="B3663" t="s">
        <v>4405</v>
      </c>
      <c r="C3663" t="s">
        <v>283</v>
      </c>
      <c r="D3663" t="s">
        <v>438</v>
      </c>
      <c r="E3663" t="s">
        <v>4414</v>
      </c>
      <c r="F3663" t="s">
        <v>4407</v>
      </c>
      <c r="G3663" t="s">
        <v>4382</v>
      </c>
      <c r="H3663" t="s">
        <v>373</v>
      </c>
      <c r="I3663" t="s">
        <v>289</v>
      </c>
      <c r="J3663" t="s">
        <v>1968</v>
      </c>
      <c r="K3663">
        <v>17</v>
      </c>
      <c r="L3663" s="6">
        <v>5.1816000000000004</v>
      </c>
      <c r="M3663" s="7">
        <v>25.4</v>
      </c>
      <c r="N3663" s="7">
        <v>88.9</v>
      </c>
      <c r="O3663" s="7">
        <v>204.00000000000003</v>
      </c>
      <c r="P3663" s="7">
        <v>1</v>
      </c>
      <c r="Q3663" s="7">
        <v>3.5000000000000004</v>
      </c>
      <c r="R3663" s="6">
        <v>1452.9459999999999</v>
      </c>
      <c r="S3663" s="6">
        <v>1.1700363696000001E-2</v>
      </c>
      <c r="T3663" t="str">
        <f t="shared" si="284"/>
        <v>Jatoba S4S E4E 5/4x4 Long</v>
      </c>
    </row>
    <row r="3664" spans="1:20" x14ac:dyDescent="0.25">
      <c r="A3664" t="s">
        <v>4382</v>
      </c>
      <c r="B3664" t="s">
        <v>4405</v>
      </c>
      <c r="C3664" t="s">
        <v>283</v>
      </c>
      <c r="D3664" t="s">
        <v>438</v>
      </c>
      <c r="E3664" t="s">
        <v>4415</v>
      </c>
      <c r="F3664" t="s">
        <v>4407</v>
      </c>
      <c r="G3664" t="s">
        <v>4382</v>
      </c>
      <c r="H3664" t="s">
        <v>373</v>
      </c>
      <c r="I3664" t="s">
        <v>289</v>
      </c>
      <c r="J3664" t="s">
        <v>1968</v>
      </c>
      <c r="K3664">
        <v>18</v>
      </c>
      <c r="L3664" s="6">
        <v>5.4863999999999997</v>
      </c>
      <c r="M3664" s="7">
        <v>25.4</v>
      </c>
      <c r="N3664" s="7">
        <v>88.9</v>
      </c>
      <c r="O3664" s="7">
        <v>216</v>
      </c>
      <c r="P3664" s="7">
        <v>1</v>
      </c>
      <c r="Q3664" s="7">
        <v>3.5000000000000004</v>
      </c>
      <c r="R3664" s="6">
        <v>1452.9459999999999</v>
      </c>
      <c r="S3664" s="6">
        <v>1.2388620384E-2</v>
      </c>
      <c r="T3664" t="str">
        <f t="shared" si="284"/>
        <v>Jatoba S4S E4E 5/4x4 Long</v>
      </c>
    </row>
    <row r="3665" spans="1:20" x14ac:dyDescent="0.25">
      <c r="A3665" t="s">
        <v>4382</v>
      </c>
      <c r="B3665" t="s">
        <v>4405</v>
      </c>
      <c r="C3665" t="s">
        <v>283</v>
      </c>
      <c r="D3665" t="s">
        <v>438</v>
      </c>
      <c r="E3665" t="s">
        <v>4416</v>
      </c>
      <c r="F3665" t="s">
        <v>4407</v>
      </c>
      <c r="G3665" t="s">
        <v>4382</v>
      </c>
      <c r="H3665" t="s">
        <v>373</v>
      </c>
      <c r="I3665" t="s">
        <v>289</v>
      </c>
      <c r="J3665" t="s">
        <v>1968</v>
      </c>
      <c r="K3665">
        <v>19</v>
      </c>
      <c r="L3665" s="6">
        <v>5.7911999999999999</v>
      </c>
      <c r="M3665" s="7">
        <v>25.4</v>
      </c>
      <c r="N3665" s="7">
        <v>88.9</v>
      </c>
      <c r="O3665" s="7">
        <v>228</v>
      </c>
      <c r="P3665" s="7">
        <v>1</v>
      </c>
      <c r="Q3665" s="7">
        <v>3.5000000000000004</v>
      </c>
      <c r="R3665" s="6">
        <v>1452.9459999999999</v>
      </c>
      <c r="S3665" s="6">
        <v>1.3076877071999999E-2</v>
      </c>
      <c r="T3665" t="str">
        <f t="shared" si="284"/>
        <v>Jatoba S4S E4E 5/4x4 Long</v>
      </c>
    </row>
    <row r="3666" spans="1:20" x14ac:dyDescent="0.25">
      <c r="A3666" t="s">
        <v>4382</v>
      </c>
      <c r="B3666" t="s">
        <v>4405</v>
      </c>
      <c r="C3666" t="s">
        <v>283</v>
      </c>
      <c r="D3666" t="s">
        <v>438</v>
      </c>
      <c r="E3666" t="s">
        <v>4417</v>
      </c>
      <c r="F3666" t="s">
        <v>4407</v>
      </c>
      <c r="G3666" t="s">
        <v>4382</v>
      </c>
      <c r="H3666" t="s">
        <v>373</v>
      </c>
      <c r="I3666" t="s">
        <v>289</v>
      </c>
      <c r="J3666" t="s">
        <v>1968</v>
      </c>
      <c r="K3666">
        <v>20</v>
      </c>
      <c r="L3666" s="6">
        <v>6.0960000000000001</v>
      </c>
      <c r="M3666" s="7">
        <v>25.4</v>
      </c>
      <c r="N3666" s="7">
        <v>88.9</v>
      </c>
      <c r="O3666" s="7">
        <v>240</v>
      </c>
      <c r="P3666" s="7">
        <v>1</v>
      </c>
      <c r="Q3666" s="7">
        <v>3.5000000000000004</v>
      </c>
      <c r="R3666" s="6">
        <v>1452.9459999999999</v>
      </c>
      <c r="S3666" s="6">
        <v>1.3765133760000003E-2</v>
      </c>
      <c r="T3666" t="str">
        <f t="shared" si="284"/>
        <v>Jatoba S4S E4E 5/4x4 Long</v>
      </c>
    </row>
    <row r="3667" spans="1:20" x14ac:dyDescent="0.25">
      <c r="A3667" t="s">
        <v>4382</v>
      </c>
      <c r="B3667" t="s">
        <v>4405</v>
      </c>
      <c r="C3667" t="s">
        <v>283</v>
      </c>
      <c r="D3667" t="s">
        <v>438</v>
      </c>
      <c r="E3667" t="s">
        <v>4418</v>
      </c>
      <c r="F3667" t="s">
        <v>4407</v>
      </c>
      <c r="G3667" t="s">
        <v>4382</v>
      </c>
      <c r="H3667" t="s">
        <v>373</v>
      </c>
      <c r="I3667" t="s">
        <v>289</v>
      </c>
      <c r="J3667" t="s">
        <v>1968</v>
      </c>
      <c r="K3667">
        <v>21</v>
      </c>
      <c r="L3667" s="6">
        <v>6.4008000000000003</v>
      </c>
      <c r="M3667" s="7">
        <v>25.4</v>
      </c>
      <c r="N3667" s="7">
        <v>88.9</v>
      </c>
      <c r="O3667" s="7">
        <v>252.00000000000003</v>
      </c>
      <c r="P3667" s="7">
        <v>1</v>
      </c>
      <c r="Q3667" s="7">
        <v>3.5000000000000004</v>
      </c>
      <c r="R3667" s="6">
        <v>1452.9459999999999</v>
      </c>
      <c r="S3667" s="6">
        <v>1.4453390448E-2</v>
      </c>
      <c r="T3667" t="str">
        <f t="shared" si="284"/>
        <v>Jatoba S4S E4E 5/4x4 Long</v>
      </c>
    </row>
    <row r="3668" spans="1:20" x14ac:dyDescent="0.25">
      <c r="A3668" t="s">
        <v>4382</v>
      </c>
      <c r="B3668" t="s">
        <v>4405</v>
      </c>
      <c r="C3668" t="s">
        <v>283</v>
      </c>
      <c r="D3668" t="s">
        <v>438</v>
      </c>
      <c r="E3668" t="s">
        <v>4419</v>
      </c>
      <c r="F3668" t="s">
        <v>4407</v>
      </c>
      <c r="G3668" t="s">
        <v>4382</v>
      </c>
      <c r="H3668" t="s">
        <v>373</v>
      </c>
      <c r="I3668" t="s">
        <v>289</v>
      </c>
      <c r="J3668" t="s">
        <v>1968</v>
      </c>
      <c r="K3668">
        <v>22</v>
      </c>
      <c r="L3668" s="6">
        <v>6.7055999999999996</v>
      </c>
      <c r="M3668" s="7">
        <v>25.4</v>
      </c>
      <c r="N3668" s="7">
        <v>88.9</v>
      </c>
      <c r="O3668" s="7">
        <v>264</v>
      </c>
      <c r="P3668" s="7">
        <v>1</v>
      </c>
      <c r="Q3668" s="7">
        <v>3.5000000000000004</v>
      </c>
      <c r="R3668" s="6">
        <v>1452.9459999999999</v>
      </c>
      <c r="S3668" s="6">
        <v>1.5141647135999997E-2</v>
      </c>
      <c r="T3668" t="str">
        <f t="shared" si="284"/>
        <v>Jatoba S4S E4E 5/4x4 Long</v>
      </c>
    </row>
    <row r="3669" spans="1:20" x14ac:dyDescent="0.25">
      <c r="A3669" t="s">
        <v>4382</v>
      </c>
      <c r="B3669" t="s">
        <v>4405</v>
      </c>
      <c r="C3669" t="s">
        <v>524</v>
      </c>
      <c r="D3669" t="s">
        <v>438</v>
      </c>
      <c r="E3669" t="s">
        <v>4420</v>
      </c>
      <c r="F3669" t="s">
        <v>4407</v>
      </c>
      <c r="G3669" t="s">
        <v>4382</v>
      </c>
      <c r="H3669" t="s">
        <v>373</v>
      </c>
      <c r="I3669" t="s">
        <v>289</v>
      </c>
      <c r="J3669" t="s">
        <v>1968</v>
      </c>
      <c r="K3669">
        <v>3</v>
      </c>
      <c r="L3669" s="6">
        <v>0.91439999999999999</v>
      </c>
      <c r="M3669" s="7">
        <v>25.4</v>
      </c>
      <c r="N3669" s="7">
        <v>88.9</v>
      </c>
      <c r="O3669" s="7">
        <v>36</v>
      </c>
      <c r="P3669" s="7">
        <v>1</v>
      </c>
      <c r="Q3669" s="7">
        <v>3.5000000000000004</v>
      </c>
      <c r="R3669" s="6">
        <v>1452.9459999999999</v>
      </c>
      <c r="S3669" s="6">
        <v>2.0647700640000002E-3</v>
      </c>
      <c r="T3669" t="str">
        <f t="shared" si="284"/>
        <v>Jatoba S4S E4E 5/4x4 Short</v>
      </c>
    </row>
    <row r="3670" spans="1:20" x14ac:dyDescent="0.25">
      <c r="A3670" t="s">
        <v>4382</v>
      </c>
      <c r="B3670" t="s">
        <v>4405</v>
      </c>
      <c r="C3670" t="s">
        <v>524</v>
      </c>
      <c r="D3670" t="s">
        <v>438</v>
      </c>
      <c r="E3670" t="s">
        <v>4421</v>
      </c>
      <c r="F3670" t="s">
        <v>4407</v>
      </c>
      <c r="G3670" t="s">
        <v>4382</v>
      </c>
      <c r="H3670" t="s">
        <v>373</v>
      </c>
      <c r="I3670" t="s">
        <v>289</v>
      </c>
      <c r="J3670" t="s">
        <v>1968</v>
      </c>
      <c r="K3670">
        <v>4</v>
      </c>
      <c r="L3670" s="6">
        <v>1.2192000000000001</v>
      </c>
      <c r="M3670" s="7">
        <v>25.4</v>
      </c>
      <c r="N3670" s="7">
        <v>88.9</v>
      </c>
      <c r="O3670" s="7">
        <v>48.000000000000007</v>
      </c>
      <c r="P3670" s="7">
        <v>1</v>
      </c>
      <c r="Q3670" s="7">
        <v>3.5000000000000004</v>
      </c>
      <c r="R3670" s="6">
        <v>1452.9459999999999</v>
      </c>
      <c r="S3670" s="6">
        <v>2.753026752E-3</v>
      </c>
      <c r="T3670" t="str">
        <f t="shared" si="284"/>
        <v>Jatoba S4S E4E 5/4x4 Short</v>
      </c>
    </row>
    <row r="3671" spans="1:20" x14ac:dyDescent="0.25">
      <c r="A3671" t="s">
        <v>4382</v>
      </c>
      <c r="B3671" t="s">
        <v>4405</v>
      </c>
      <c r="C3671" t="s">
        <v>524</v>
      </c>
      <c r="D3671" t="s">
        <v>438</v>
      </c>
      <c r="E3671" t="s">
        <v>4422</v>
      </c>
      <c r="F3671" t="s">
        <v>4407</v>
      </c>
      <c r="G3671" t="s">
        <v>4382</v>
      </c>
      <c r="H3671" t="s">
        <v>373</v>
      </c>
      <c r="I3671" t="s">
        <v>289</v>
      </c>
      <c r="J3671" t="s">
        <v>1968</v>
      </c>
      <c r="K3671">
        <v>5</v>
      </c>
      <c r="L3671" s="6">
        <v>1.524</v>
      </c>
      <c r="M3671" s="7">
        <v>25.4</v>
      </c>
      <c r="N3671" s="7">
        <v>88.9</v>
      </c>
      <c r="O3671" s="7">
        <v>60</v>
      </c>
      <c r="P3671" s="7">
        <v>1</v>
      </c>
      <c r="Q3671" s="7">
        <v>3.5000000000000004</v>
      </c>
      <c r="R3671" s="6">
        <v>1452.9459999999999</v>
      </c>
      <c r="S3671" s="6">
        <v>3.4412834400000007E-3</v>
      </c>
      <c r="T3671" t="str">
        <f t="shared" si="284"/>
        <v>Jatoba S4S E4E 5/4x4 Short</v>
      </c>
    </row>
    <row r="3672" spans="1:20" x14ac:dyDescent="0.25">
      <c r="A3672" t="s">
        <v>4382</v>
      </c>
      <c r="B3672" t="s">
        <v>4405</v>
      </c>
      <c r="C3672" t="s">
        <v>524</v>
      </c>
      <c r="D3672" t="s">
        <v>438</v>
      </c>
      <c r="E3672" t="s">
        <v>4423</v>
      </c>
      <c r="F3672" t="s">
        <v>4407</v>
      </c>
      <c r="G3672" t="s">
        <v>4382</v>
      </c>
      <c r="H3672" t="s">
        <v>373</v>
      </c>
      <c r="I3672" t="s">
        <v>289</v>
      </c>
      <c r="J3672" t="s">
        <v>1968</v>
      </c>
      <c r="K3672">
        <v>6</v>
      </c>
      <c r="L3672" s="6">
        <v>1.8288</v>
      </c>
      <c r="M3672" s="7">
        <v>25.4</v>
      </c>
      <c r="N3672" s="7">
        <v>88.9</v>
      </c>
      <c r="O3672" s="7">
        <v>72</v>
      </c>
      <c r="P3672" s="7">
        <v>1</v>
      </c>
      <c r="Q3672" s="7">
        <v>3.5000000000000004</v>
      </c>
      <c r="R3672" s="6">
        <v>1452.9459999999999</v>
      </c>
      <c r="S3672" s="6">
        <v>4.1295401280000005E-3</v>
      </c>
      <c r="T3672" t="str">
        <f t="shared" si="284"/>
        <v>Jatoba S4S E4E 5/4x4 Short</v>
      </c>
    </row>
    <row r="3673" spans="1:20" x14ac:dyDescent="0.25">
      <c r="A3673" t="s">
        <v>4382</v>
      </c>
      <c r="B3673" t="s">
        <v>4405</v>
      </c>
      <c r="C3673" t="s">
        <v>524</v>
      </c>
      <c r="D3673" t="s">
        <v>438</v>
      </c>
      <c r="E3673" t="s">
        <v>4424</v>
      </c>
      <c r="F3673" t="s">
        <v>4407</v>
      </c>
      <c r="G3673" t="s">
        <v>4382</v>
      </c>
      <c r="H3673" t="s">
        <v>373</v>
      </c>
      <c r="I3673" t="s">
        <v>289</v>
      </c>
      <c r="J3673" t="s">
        <v>1968</v>
      </c>
      <c r="K3673">
        <v>7</v>
      </c>
      <c r="L3673" s="6">
        <v>2.1335999999999999</v>
      </c>
      <c r="M3673" s="7">
        <v>25.4</v>
      </c>
      <c r="N3673" s="7">
        <v>88.9</v>
      </c>
      <c r="O3673" s="7">
        <v>84</v>
      </c>
      <c r="P3673" s="7">
        <v>1</v>
      </c>
      <c r="Q3673" s="7">
        <v>3.5000000000000004</v>
      </c>
      <c r="R3673" s="6">
        <v>1452.9459999999999</v>
      </c>
      <c r="S3673" s="6">
        <v>4.8177968159999994E-3</v>
      </c>
      <c r="T3673" t="str">
        <f t="shared" si="284"/>
        <v>Jatoba S4S E4E 5/4x4 Short</v>
      </c>
    </row>
    <row r="3674" spans="1:20" x14ac:dyDescent="0.25">
      <c r="A3674" t="s">
        <v>4382</v>
      </c>
      <c r="B3674" t="s">
        <v>4405</v>
      </c>
      <c r="C3674" t="s">
        <v>283</v>
      </c>
      <c r="D3674" t="s">
        <v>438</v>
      </c>
      <c r="E3674" t="s">
        <v>4425</v>
      </c>
      <c r="F3674" t="s">
        <v>4407</v>
      </c>
      <c r="G3674" t="s">
        <v>4382</v>
      </c>
      <c r="H3674" t="s">
        <v>373</v>
      </c>
      <c r="I3674" t="s">
        <v>289</v>
      </c>
      <c r="J3674" t="s">
        <v>1968</v>
      </c>
      <c r="K3674">
        <v>8</v>
      </c>
      <c r="L3674" s="6">
        <v>2.4384000000000001</v>
      </c>
      <c r="M3674" s="7">
        <v>25.4</v>
      </c>
      <c r="N3674" s="7">
        <v>88.9</v>
      </c>
      <c r="O3674" s="7">
        <v>96.000000000000014</v>
      </c>
      <c r="P3674" s="7">
        <v>1</v>
      </c>
      <c r="Q3674" s="7">
        <v>3.5000000000000004</v>
      </c>
      <c r="R3674" s="6">
        <v>1452.9459999999999</v>
      </c>
      <c r="S3674" s="6">
        <v>5.5060535040000001E-3</v>
      </c>
      <c r="T3674" t="str">
        <f t="shared" si="284"/>
        <v>Jatoba S4S E4E 5/4x4 Long</v>
      </c>
    </row>
    <row r="3675" spans="1:20" x14ac:dyDescent="0.25">
      <c r="A3675" t="s">
        <v>4382</v>
      </c>
      <c r="B3675" t="s">
        <v>4405</v>
      </c>
      <c r="C3675" t="s">
        <v>283</v>
      </c>
      <c r="D3675" t="s">
        <v>438</v>
      </c>
      <c r="E3675" t="s">
        <v>4426</v>
      </c>
      <c r="F3675" t="s">
        <v>4407</v>
      </c>
      <c r="G3675" t="s">
        <v>4382</v>
      </c>
      <c r="H3675" t="s">
        <v>373</v>
      </c>
      <c r="I3675" t="s">
        <v>289</v>
      </c>
      <c r="J3675" t="s">
        <v>1968</v>
      </c>
      <c r="K3675">
        <v>9</v>
      </c>
      <c r="L3675" s="6">
        <v>2.7431999999999999</v>
      </c>
      <c r="M3675" s="7">
        <v>25.4</v>
      </c>
      <c r="N3675" s="7">
        <v>88.9</v>
      </c>
      <c r="O3675" s="7">
        <v>108</v>
      </c>
      <c r="P3675" s="7">
        <v>1</v>
      </c>
      <c r="Q3675" s="7">
        <v>3.5000000000000004</v>
      </c>
      <c r="R3675" s="6">
        <v>1452.9459999999999</v>
      </c>
      <c r="S3675" s="6">
        <v>6.1943101919999998E-3</v>
      </c>
      <c r="T3675" t="str">
        <f t="shared" si="284"/>
        <v>Jatoba S4S E4E 5/4x4 Long</v>
      </c>
    </row>
    <row r="3676" spans="1:20" x14ac:dyDescent="0.25">
      <c r="A3676" t="s">
        <v>2824</v>
      </c>
      <c r="B3676" t="s">
        <v>2825</v>
      </c>
      <c r="C3676" t="s">
        <v>2824</v>
      </c>
      <c r="D3676" t="s">
        <v>2826</v>
      </c>
      <c r="E3676" t="s">
        <v>4427</v>
      </c>
      <c r="F3676" t="s">
        <v>2825</v>
      </c>
      <c r="G3676" t="s">
        <v>2825</v>
      </c>
      <c r="H3676" t="s">
        <v>289</v>
      </c>
      <c r="I3676" t="s">
        <v>289</v>
      </c>
      <c r="J3676">
        <v>0</v>
      </c>
      <c r="K3676">
        <v>0</v>
      </c>
      <c r="L3676" s="6">
        <v>0</v>
      </c>
      <c r="M3676" s="7">
        <v>0</v>
      </c>
      <c r="N3676" s="7">
        <v>0</v>
      </c>
      <c r="O3676" s="7">
        <v>0</v>
      </c>
      <c r="P3676" s="7">
        <v>0</v>
      </c>
      <c r="Q3676" s="7">
        <v>0</v>
      </c>
      <c r="R3676" s="6">
        <v>0</v>
      </c>
      <c r="S3676" s="6">
        <v>0</v>
      </c>
      <c r="T3676" t="str">
        <f t="shared" si="284"/>
        <v>Expense Recovery Services</v>
      </c>
    </row>
    <row r="3677" spans="1:20" x14ac:dyDescent="0.25">
      <c r="A3677" t="s">
        <v>2262</v>
      </c>
      <c r="B3677" t="s">
        <v>4428</v>
      </c>
      <c r="C3677" t="s">
        <v>1256</v>
      </c>
      <c r="D3677" t="s">
        <v>438</v>
      </c>
      <c r="E3677" t="s">
        <v>4429</v>
      </c>
      <c r="F3677" t="s">
        <v>4430</v>
      </c>
      <c r="G3677" t="s">
        <v>2266</v>
      </c>
      <c r="H3677" t="s">
        <v>1256</v>
      </c>
      <c r="I3677" t="s">
        <v>289</v>
      </c>
      <c r="J3677" t="s">
        <v>1258</v>
      </c>
      <c r="K3677">
        <v>24</v>
      </c>
      <c r="L3677" s="6">
        <v>0.60640000000000005</v>
      </c>
      <c r="M3677" s="7">
        <v>19</v>
      </c>
      <c r="N3677" s="7">
        <v>71</v>
      </c>
      <c r="O3677" s="7">
        <f t="shared" ref="O3677" si="285">L3677/0.0254</f>
        <v>23.8740157480315</v>
      </c>
      <c r="P3677" s="7">
        <f t="shared" ref="P3677:Q3677" si="286">M3677/25.4</f>
        <v>0.74803149606299213</v>
      </c>
      <c r="Q3677" s="7">
        <f t="shared" si="286"/>
        <v>2.7952755905511815</v>
      </c>
      <c r="R3677" s="6">
        <f t="shared" ref="R3677" si="287">ROUND(IFERROR(1/((M3677*N3677*0.3048)/1000000),0),3)</f>
        <v>2432.0529999999999</v>
      </c>
      <c r="S3677" s="6">
        <f t="shared" ref="S3677" si="288">L3677*M3677/1000*N3677/1000</f>
        <v>8.1803360000000012E-4</v>
      </c>
      <c r="T3677" t="str">
        <f t="shared" si="284"/>
        <v>Massaranduba Bullet Wood Tiles 24x24 Tiles</v>
      </c>
    </row>
    <row r="3678" spans="1:20" x14ac:dyDescent="0.25">
      <c r="A3678" t="s">
        <v>2824</v>
      </c>
      <c r="B3678" t="s">
        <v>2871</v>
      </c>
      <c r="C3678" t="s">
        <v>2824</v>
      </c>
      <c r="D3678" t="s">
        <v>2826</v>
      </c>
      <c r="E3678" t="s">
        <v>4431</v>
      </c>
      <c r="F3678" t="s">
        <v>2871</v>
      </c>
      <c r="G3678" t="s">
        <v>289</v>
      </c>
      <c r="H3678" t="s">
        <v>289</v>
      </c>
      <c r="I3678" t="s">
        <v>289</v>
      </c>
      <c r="J3678">
        <v>0</v>
      </c>
      <c r="K3678">
        <v>0</v>
      </c>
      <c r="L3678" s="6">
        <v>0</v>
      </c>
      <c r="M3678" s="7">
        <v>0</v>
      </c>
      <c r="N3678" s="7">
        <v>0</v>
      </c>
      <c r="O3678" s="7">
        <v>0</v>
      </c>
      <c r="P3678" s="7">
        <v>0</v>
      </c>
      <c r="Q3678" s="7">
        <v>0</v>
      </c>
      <c r="R3678" s="6">
        <v>0</v>
      </c>
      <c r="S3678" s="6">
        <v>0</v>
      </c>
      <c r="T3678" t="str">
        <f t="shared" si="284"/>
        <v>Painting Services</v>
      </c>
    </row>
    <row r="3679" spans="1:20" x14ac:dyDescent="0.25">
      <c r="A3679" t="s">
        <v>2824</v>
      </c>
      <c r="B3679" t="s">
        <v>2825</v>
      </c>
      <c r="C3679" t="s">
        <v>2824</v>
      </c>
      <c r="D3679" t="s">
        <v>2826</v>
      </c>
      <c r="E3679" t="s">
        <v>4432</v>
      </c>
      <c r="F3679" t="s">
        <v>2825</v>
      </c>
      <c r="G3679" t="s">
        <v>2825</v>
      </c>
      <c r="H3679" t="s">
        <v>289</v>
      </c>
      <c r="I3679" t="s">
        <v>289</v>
      </c>
      <c r="J3679">
        <v>0</v>
      </c>
      <c r="K3679">
        <v>0</v>
      </c>
      <c r="L3679" s="6">
        <v>0</v>
      </c>
      <c r="M3679" s="7">
        <v>0</v>
      </c>
      <c r="N3679" s="7">
        <v>0</v>
      </c>
      <c r="O3679" s="7">
        <v>0</v>
      </c>
      <c r="P3679" s="7">
        <v>0</v>
      </c>
      <c r="Q3679" s="7">
        <v>0</v>
      </c>
      <c r="R3679" s="6">
        <v>0</v>
      </c>
      <c r="S3679" s="6">
        <v>0</v>
      </c>
      <c r="T3679" t="str">
        <f t="shared" si="284"/>
        <v>Expense Recovery Services</v>
      </c>
    </row>
    <row r="3680" spans="1:20" x14ac:dyDescent="0.25">
      <c r="A3680" t="s">
        <v>4154</v>
      </c>
      <c r="B3680" t="s">
        <v>4155</v>
      </c>
      <c r="C3680" t="s">
        <v>283</v>
      </c>
      <c r="D3680" t="s">
        <v>3044</v>
      </c>
      <c r="E3680" t="s">
        <v>4433</v>
      </c>
      <c r="F3680" t="s">
        <v>4434</v>
      </c>
      <c r="G3680" t="s">
        <v>4158</v>
      </c>
      <c r="H3680" t="s">
        <v>3638</v>
      </c>
      <c r="I3680" t="s">
        <v>4013</v>
      </c>
      <c r="J3680" t="s">
        <v>344</v>
      </c>
      <c r="K3680">
        <v>11</v>
      </c>
      <c r="L3680" s="6">
        <v>3.3</v>
      </c>
      <c r="M3680" s="7">
        <v>19</v>
      </c>
      <c r="N3680" s="7">
        <v>140</v>
      </c>
      <c r="O3680" s="7">
        <f t="shared" ref="O3680:O3684" si="289">L3680/0.0254</f>
        <v>129.92125984251967</v>
      </c>
      <c r="P3680" s="7">
        <f t="shared" ref="P3680:Q3684" si="290">M3680/25.4</f>
        <v>0.74803149606299213</v>
      </c>
      <c r="Q3680" s="7">
        <f t="shared" si="290"/>
        <v>5.5118110236220472</v>
      </c>
      <c r="R3680" s="6">
        <f t="shared" ref="R3680:R3684" si="291">ROUND(IFERROR(1/((M3680*N3680*0.3048)/1000000),0),3)</f>
        <v>1233.3979999999999</v>
      </c>
      <c r="S3680" s="6">
        <f t="shared" ref="S3680:S3684" si="292">L3680*M3680/1000*N3680/1000</f>
        <v>8.7779999999999993E-3</v>
      </c>
      <c r="T3680" t="str">
        <f t="shared" si="284"/>
        <v>Maximo Thermo Scandinavian Pine VJoint - Nickel Gap Wire Brush 1x6 Long</v>
      </c>
    </row>
    <row r="3681" spans="1:20" x14ac:dyDescent="0.25">
      <c r="A3681" t="s">
        <v>4154</v>
      </c>
      <c r="B3681" t="s">
        <v>4155</v>
      </c>
      <c r="C3681" t="s">
        <v>283</v>
      </c>
      <c r="D3681" t="s">
        <v>3044</v>
      </c>
      <c r="E3681" t="s">
        <v>4435</v>
      </c>
      <c r="F3681" t="s">
        <v>4434</v>
      </c>
      <c r="G3681" t="s">
        <v>4158</v>
      </c>
      <c r="H3681" t="s">
        <v>3638</v>
      </c>
      <c r="I3681" t="s">
        <v>4013</v>
      </c>
      <c r="J3681" t="s">
        <v>344</v>
      </c>
      <c r="K3681">
        <v>12</v>
      </c>
      <c r="L3681" s="6">
        <v>3.6</v>
      </c>
      <c r="M3681" s="7">
        <v>19</v>
      </c>
      <c r="N3681" s="7">
        <v>140</v>
      </c>
      <c r="O3681" s="7">
        <f t="shared" si="289"/>
        <v>141.73228346456693</v>
      </c>
      <c r="P3681" s="7">
        <f t="shared" si="290"/>
        <v>0.74803149606299213</v>
      </c>
      <c r="Q3681" s="7">
        <f t="shared" si="290"/>
        <v>5.5118110236220472</v>
      </c>
      <c r="R3681" s="6">
        <f t="shared" si="291"/>
        <v>1233.3979999999999</v>
      </c>
      <c r="S3681" s="6">
        <f t="shared" si="292"/>
        <v>9.5760000000000012E-3</v>
      </c>
      <c r="T3681" t="str">
        <f t="shared" si="284"/>
        <v>Maximo Thermo Scandinavian Pine VJoint - Nickel Gap Wire Brush 1x6 Long</v>
      </c>
    </row>
    <row r="3682" spans="1:20" x14ac:dyDescent="0.25">
      <c r="A3682" t="s">
        <v>4154</v>
      </c>
      <c r="B3682" t="s">
        <v>4155</v>
      </c>
      <c r="C3682" t="s">
        <v>283</v>
      </c>
      <c r="D3682" t="s">
        <v>3044</v>
      </c>
      <c r="E3682" t="s">
        <v>4436</v>
      </c>
      <c r="F3682" t="s">
        <v>4434</v>
      </c>
      <c r="G3682" t="s">
        <v>4158</v>
      </c>
      <c r="H3682" t="s">
        <v>3638</v>
      </c>
      <c r="I3682" t="s">
        <v>4013</v>
      </c>
      <c r="J3682" t="s">
        <v>344</v>
      </c>
      <c r="K3682">
        <v>13</v>
      </c>
      <c r="L3682" s="6">
        <v>3.9</v>
      </c>
      <c r="M3682" s="7">
        <v>19</v>
      </c>
      <c r="N3682" s="7">
        <v>140</v>
      </c>
      <c r="O3682" s="7">
        <f t="shared" si="289"/>
        <v>153.54330708661416</v>
      </c>
      <c r="P3682" s="7">
        <f t="shared" si="290"/>
        <v>0.74803149606299213</v>
      </c>
      <c r="Q3682" s="7">
        <f t="shared" si="290"/>
        <v>5.5118110236220472</v>
      </c>
      <c r="R3682" s="6">
        <f t="shared" si="291"/>
        <v>1233.3979999999999</v>
      </c>
      <c r="S3682" s="6">
        <f t="shared" si="292"/>
        <v>1.0374000000000001E-2</v>
      </c>
      <c r="T3682" t="str">
        <f t="shared" si="284"/>
        <v>Maximo Thermo Scandinavian Pine VJoint - Nickel Gap Wire Brush 1x6 Long</v>
      </c>
    </row>
    <row r="3683" spans="1:20" x14ac:dyDescent="0.25">
      <c r="A3683" t="s">
        <v>4154</v>
      </c>
      <c r="B3683" t="s">
        <v>4155</v>
      </c>
      <c r="C3683" t="s">
        <v>283</v>
      </c>
      <c r="D3683" t="s">
        <v>3044</v>
      </c>
      <c r="E3683" t="s">
        <v>4437</v>
      </c>
      <c r="F3683" t="s">
        <v>4434</v>
      </c>
      <c r="G3683" t="s">
        <v>4158</v>
      </c>
      <c r="H3683" t="s">
        <v>3638</v>
      </c>
      <c r="I3683" t="s">
        <v>4013</v>
      </c>
      <c r="J3683" t="s">
        <v>344</v>
      </c>
      <c r="K3683">
        <v>15</v>
      </c>
      <c r="L3683" s="6">
        <v>4.5</v>
      </c>
      <c r="M3683" s="7">
        <v>19</v>
      </c>
      <c r="N3683" s="7">
        <v>140</v>
      </c>
      <c r="O3683" s="7">
        <f t="shared" si="289"/>
        <v>177.16535433070868</v>
      </c>
      <c r="P3683" s="7">
        <f t="shared" si="290"/>
        <v>0.74803149606299213</v>
      </c>
      <c r="Q3683" s="7">
        <f t="shared" si="290"/>
        <v>5.5118110236220472</v>
      </c>
      <c r="R3683" s="6">
        <f t="shared" si="291"/>
        <v>1233.3979999999999</v>
      </c>
      <c r="S3683" s="6">
        <f t="shared" si="292"/>
        <v>1.1970000000000001E-2</v>
      </c>
      <c r="T3683" t="str">
        <f t="shared" si="284"/>
        <v>Maximo Thermo Scandinavian Pine VJoint - Nickel Gap Wire Brush 1x6 Long</v>
      </c>
    </row>
    <row r="3684" spans="1:20" x14ac:dyDescent="0.25">
      <c r="A3684" t="s">
        <v>4154</v>
      </c>
      <c r="B3684" t="s">
        <v>4155</v>
      </c>
      <c r="C3684" t="s">
        <v>283</v>
      </c>
      <c r="D3684" t="s">
        <v>3044</v>
      </c>
      <c r="E3684" t="s">
        <v>4438</v>
      </c>
      <c r="F3684" t="s">
        <v>4434</v>
      </c>
      <c r="G3684" t="s">
        <v>4158</v>
      </c>
      <c r="H3684" t="s">
        <v>3638</v>
      </c>
      <c r="I3684" t="s">
        <v>4013</v>
      </c>
      <c r="J3684" t="s">
        <v>344</v>
      </c>
      <c r="K3684">
        <v>16</v>
      </c>
      <c r="L3684" s="6">
        <v>4.8</v>
      </c>
      <c r="M3684" s="7">
        <v>19</v>
      </c>
      <c r="N3684" s="7">
        <v>140</v>
      </c>
      <c r="O3684" s="7">
        <f t="shared" si="289"/>
        <v>188.97637795275591</v>
      </c>
      <c r="P3684" s="7">
        <f t="shared" si="290"/>
        <v>0.74803149606299213</v>
      </c>
      <c r="Q3684" s="7">
        <f t="shared" si="290"/>
        <v>5.5118110236220472</v>
      </c>
      <c r="R3684" s="6">
        <f t="shared" si="291"/>
        <v>1233.3979999999999</v>
      </c>
      <c r="S3684" s="6">
        <f t="shared" si="292"/>
        <v>1.2768E-2</v>
      </c>
      <c r="T3684" t="str">
        <f t="shared" si="284"/>
        <v>Maximo Thermo Scandinavian Pine VJoint - Nickel Gap Wire Brush 1x6 Long</v>
      </c>
    </row>
    <row r="3685" spans="1:20" x14ac:dyDescent="0.25">
      <c r="A3685" t="s">
        <v>2824</v>
      </c>
      <c r="B3685" t="s">
        <v>2825</v>
      </c>
      <c r="C3685" t="s">
        <v>2824</v>
      </c>
      <c r="D3685" t="s">
        <v>2826</v>
      </c>
      <c r="E3685" t="s">
        <v>4439</v>
      </c>
      <c r="F3685" t="s">
        <v>2825</v>
      </c>
      <c r="G3685" t="s">
        <v>2825</v>
      </c>
      <c r="H3685" t="s">
        <v>289</v>
      </c>
      <c r="I3685" t="s">
        <v>289</v>
      </c>
      <c r="J3685">
        <v>0</v>
      </c>
      <c r="K3685">
        <v>0</v>
      </c>
      <c r="L3685" s="6">
        <v>0</v>
      </c>
      <c r="M3685" s="7">
        <v>0</v>
      </c>
      <c r="N3685" s="7">
        <v>0</v>
      </c>
      <c r="O3685" s="7">
        <v>0</v>
      </c>
      <c r="P3685" s="7">
        <v>0</v>
      </c>
      <c r="Q3685" s="7">
        <v>0</v>
      </c>
      <c r="R3685" s="6">
        <v>0</v>
      </c>
      <c r="S3685" s="6">
        <v>0</v>
      </c>
      <c r="T3685" t="str">
        <f t="shared" si="284"/>
        <v>Expense Recovery Services</v>
      </c>
    </row>
    <row r="3686" spans="1:20" x14ac:dyDescent="0.25">
      <c r="A3686" t="s">
        <v>531</v>
      </c>
      <c r="B3686" t="s">
        <v>1007</v>
      </c>
      <c r="C3686" t="s">
        <v>283</v>
      </c>
      <c r="D3686" t="s">
        <v>438</v>
      </c>
      <c r="E3686" t="s">
        <v>4440</v>
      </c>
      <c r="F3686" t="s">
        <v>1009</v>
      </c>
      <c r="G3686" t="s">
        <v>531</v>
      </c>
      <c r="H3686" t="s">
        <v>373</v>
      </c>
      <c r="I3686" t="s">
        <v>289</v>
      </c>
      <c r="J3686" t="s">
        <v>1010</v>
      </c>
      <c r="K3686">
        <v>10</v>
      </c>
      <c r="L3686" s="6">
        <v>3.048</v>
      </c>
      <c r="M3686" s="7">
        <v>88.9</v>
      </c>
      <c r="N3686" s="7">
        <v>88.9</v>
      </c>
      <c r="O3686" s="7">
        <f t="shared" ref="O3686:O3705" si="293">L3686/0.0254</f>
        <v>120</v>
      </c>
      <c r="P3686" s="7">
        <f t="shared" ref="P3686:Q3705" si="294">M3686/25.4</f>
        <v>3.5000000000000004</v>
      </c>
      <c r="Q3686" s="7">
        <f t="shared" si="294"/>
        <v>3.5000000000000004</v>
      </c>
      <c r="R3686" s="6">
        <f t="shared" ref="R3686:R3705" si="295">ROUND(IFERROR(1/((M3686*N3686*0.3048)/1000000),0),3)</f>
        <v>415.12799999999999</v>
      </c>
      <c r="S3686" s="6">
        <f t="shared" ref="S3686:S3705" si="296">L3686*M3686/1000*N3686/1000</f>
        <v>2.4088984080000007E-2</v>
      </c>
      <c r="T3686" t="str">
        <f t="shared" si="284"/>
        <v>Cumaru S4S E4E 4x4 Long</v>
      </c>
    </row>
    <row r="3687" spans="1:20" x14ac:dyDescent="0.25">
      <c r="A3687" t="s">
        <v>531</v>
      </c>
      <c r="B3687" t="s">
        <v>1007</v>
      </c>
      <c r="C3687" t="s">
        <v>283</v>
      </c>
      <c r="D3687" t="s">
        <v>438</v>
      </c>
      <c r="E3687" t="s">
        <v>4441</v>
      </c>
      <c r="F3687" t="s">
        <v>1009</v>
      </c>
      <c r="G3687" t="s">
        <v>531</v>
      </c>
      <c r="H3687" t="s">
        <v>373</v>
      </c>
      <c r="I3687" t="s">
        <v>289</v>
      </c>
      <c r="J3687" t="s">
        <v>1010</v>
      </c>
      <c r="K3687">
        <v>11</v>
      </c>
      <c r="L3687" s="6">
        <v>3.3527999999999998</v>
      </c>
      <c r="M3687" s="7">
        <v>88.9</v>
      </c>
      <c r="N3687" s="7">
        <v>88.9</v>
      </c>
      <c r="O3687" s="7">
        <f t="shared" si="293"/>
        <v>132</v>
      </c>
      <c r="P3687" s="7">
        <f t="shared" si="294"/>
        <v>3.5000000000000004</v>
      </c>
      <c r="Q3687" s="7">
        <f t="shared" si="294"/>
        <v>3.5000000000000004</v>
      </c>
      <c r="R3687" s="6">
        <f t="shared" si="295"/>
        <v>415.12799999999999</v>
      </c>
      <c r="S3687" s="6">
        <f t="shared" si="296"/>
        <v>2.6497882487999998E-2</v>
      </c>
      <c r="T3687" t="str">
        <f t="shared" si="284"/>
        <v>Cumaru S4S E4E 4x4 Long</v>
      </c>
    </row>
    <row r="3688" spans="1:20" x14ac:dyDescent="0.25">
      <c r="A3688" t="s">
        <v>531</v>
      </c>
      <c r="B3688" t="s">
        <v>1007</v>
      </c>
      <c r="C3688" t="s">
        <v>283</v>
      </c>
      <c r="D3688" t="s">
        <v>438</v>
      </c>
      <c r="E3688" t="s">
        <v>4442</v>
      </c>
      <c r="F3688" t="s">
        <v>1009</v>
      </c>
      <c r="G3688" t="s">
        <v>531</v>
      </c>
      <c r="H3688" t="s">
        <v>373</v>
      </c>
      <c r="I3688" t="s">
        <v>289</v>
      </c>
      <c r="J3688" t="s">
        <v>1010</v>
      </c>
      <c r="K3688">
        <v>12</v>
      </c>
      <c r="L3688" s="6">
        <v>3.6576</v>
      </c>
      <c r="M3688" s="7">
        <v>88.9</v>
      </c>
      <c r="N3688" s="7">
        <v>88.9</v>
      </c>
      <c r="O3688" s="7">
        <f t="shared" si="293"/>
        <v>144</v>
      </c>
      <c r="P3688" s="7">
        <f t="shared" si="294"/>
        <v>3.5000000000000004</v>
      </c>
      <c r="Q3688" s="7">
        <f t="shared" si="294"/>
        <v>3.5000000000000004</v>
      </c>
      <c r="R3688" s="6">
        <f t="shared" si="295"/>
        <v>415.12799999999999</v>
      </c>
      <c r="S3688" s="6">
        <f t="shared" si="296"/>
        <v>2.8906780896E-2</v>
      </c>
      <c r="T3688" t="str">
        <f t="shared" si="284"/>
        <v>Cumaru S4S E4E 4x4 Long</v>
      </c>
    </row>
    <row r="3689" spans="1:20" x14ac:dyDescent="0.25">
      <c r="A3689" t="s">
        <v>531</v>
      </c>
      <c r="B3689" t="s">
        <v>1007</v>
      </c>
      <c r="C3689" t="s">
        <v>283</v>
      </c>
      <c r="D3689" t="s">
        <v>438</v>
      </c>
      <c r="E3689" t="s">
        <v>4443</v>
      </c>
      <c r="F3689" t="s">
        <v>1009</v>
      </c>
      <c r="G3689" t="s">
        <v>531</v>
      </c>
      <c r="H3689" t="s">
        <v>373</v>
      </c>
      <c r="I3689" t="s">
        <v>289</v>
      </c>
      <c r="J3689" t="s">
        <v>1010</v>
      </c>
      <c r="K3689">
        <v>13</v>
      </c>
      <c r="L3689" s="6">
        <v>3.9624000000000001</v>
      </c>
      <c r="M3689" s="7">
        <v>88.9</v>
      </c>
      <c r="N3689" s="7">
        <v>88.9</v>
      </c>
      <c r="O3689" s="7">
        <f t="shared" si="293"/>
        <v>156</v>
      </c>
      <c r="P3689" s="7">
        <f t="shared" si="294"/>
        <v>3.5000000000000004</v>
      </c>
      <c r="Q3689" s="7">
        <f t="shared" si="294"/>
        <v>3.5000000000000004</v>
      </c>
      <c r="R3689" s="6">
        <f t="shared" si="295"/>
        <v>415.12799999999999</v>
      </c>
      <c r="S3689" s="6">
        <f t="shared" si="296"/>
        <v>3.1315679304000012E-2</v>
      </c>
      <c r="T3689" t="str">
        <f t="shared" si="284"/>
        <v>Cumaru S4S E4E 4x4 Long</v>
      </c>
    </row>
    <row r="3690" spans="1:20" x14ac:dyDescent="0.25">
      <c r="A3690" t="s">
        <v>531</v>
      </c>
      <c r="B3690" t="s">
        <v>1007</v>
      </c>
      <c r="C3690" t="s">
        <v>283</v>
      </c>
      <c r="D3690" t="s">
        <v>438</v>
      </c>
      <c r="E3690" t="s">
        <v>4444</v>
      </c>
      <c r="F3690" t="s">
        <v>1009</v>
      </c>
      <c r="G3690" t="s">
        <v>531</v>
      </c>
      <c r="H3690" t="s">
        <v>373</v>
      </c>
      <c r="I3690" t="s">
        <v>289</v>
      </c>
      <c r="J3690" t="s">
        <v>1010</v>
      </c>
      <c r="K3690">
        <v>14</v>
      </c>
      <c r="L3690" s="6">
        <v>4.2671999999999999</v>
      </c>
      <c r="M3690" s="7">
        <v>88.9</v>
      </c>
      <c r="N3690" s="7">
        <v>88.9</v>
      </c>
      <c r="O3690" s="7">
        <f t="shared" si="293"/>
        <v>168</v>
      </c>
      <c r="P3690" s="7">
        <f t="shared" si="294"/>
        <v>3.5000000000000004</v>
      </c>
      <c r="Q3690" s="7">
        <f t="shared" si="294"/>
        <v>3.5000000000000004</v>
      </c>
      <c r="R3690" s="6">
        <f t="shared" si="295"/>
        <v>415.12799999999999</v>
      </c>
      <c r="S3690" s="6">
        <f t="shared" si="296"/>
        <v>3.3724577712000006E-2</v>
      </c>
      <c r="T3690" t="str">
        <f t="shared" si="284"/>
        <v>Cumaru S4S E4E 4x4 Long</v>
      </c>
    </row>
    <row r="3691" spans="1:20" x14ac:dyDescent="0.25">
      <c r="A3691" t="s">
        <v>531</v>
      </c>
      <c r="B3691" t="s">
        <v>1007</v>
      </c>
      <c r="C3691" t="s">
        <v>283</v>
      </c>
      <c r="D3691" t="s">
        <v>438</v>
      </c>
      <c r="E3691" t="s">
        <v>4445</v>
      </c>
      <c r="F3691" t="s">
        <v>1009</v>
      </c>
      <c r="G3691" t="s">
        <v>531</v>
      </c>
      <c r="H3691" t="s">
        <v>373</v>
      </c>
      <c r="I3691" t="s">
        <v>289</v>
      </c>
      <c r="J3691" t="s">
        <v>1010</v>
      </c>
      <c r="K3691">
        <v>15</v>
      </c>
      <c r="L3691" s="6">
        <v>4.5720000000000001</v>
      </c>
      <c r="M3691" s="7">
        <v>88.9</v>
      </c>
      <c r="N3691" s="7">
        <v>88.9</v>
      </c>
      <c r="O3691" s="7">
        <f t="shared" si="293"/>
        <v>180</v>
      </c>
      <c r="P3691" s="7">
        <f t="shared" si="294"/>
        <v>3.5000000000000004</v>
      </c>
      <c r="Q3691" s="7">
        <f t="shared" si="294"/>
        <v>3.5000000000000004</v>
      </c>
      <c r="R3691" s="6">
        <f t="shared" si="295"/>
        <v>415.12799999999999</v>
      </c>
      <c r="S3691" s="6">
        <f t="shared" si="296"/>
        <v>3.6133476120000008E-2</v>
      </c>
      <c r="T3691" t="str">
        <f t="shared" si="284"/>
        <v>Cumaru S4S E4E 4x4 Long</v>
      </c>
    </row>
    <row r="3692" spans="1:20" x14ac:dyDescent="0.25">
      <c r="A3692" t="s">
        <v>531</v>
      </c>
      <c r="B3692" t="s">
        <v>1007</v>
      </c>
      <c r="C3692" t="s">
        <v>283</v>
      </c>
      <c r="D3692" t="s">
        <v>438</v>
      </c>
      <c r="E3692" t="s">
        <v>4446</v>
      </c>
      <c r="F3692" t="s">
        <v>1009</v>
      </c>
      <c r="G3692" t="s">
        <v>531</v>
      </c>
      <c r="H3692" t="s">
        <v>373</v>
      </c>
      <c r="I3692" t="s">
        <v>289</v>
      </c>
      <c r="J3692" t="s">
        <v>1010</v>
      </c>
      <c r="K3692">
        <v>16</v>
      </c>
      <c r="L3692" s="6">
        <v>4.8768000000000002</v>
      </c>
      <c r="M3692" s="7">
        <v>88.9</v>
      </c>
      <c r="N3692" s="7">
        <v>88.9</v>
      </c>
      <c r="O3692" s="7">
        <f t="shared" si="293"/>
        <v>192.00000000000003</v>
      </c>
      <c r="P3692" s="7">
        <f t="shared" si="294"/>
        <v>3.5000000000000004</v>
      </c>
      <c r="Q3692" s="7">
        <f t="shared" si="294"/>
        <v>3.5000000000000004</v>
      </c>
      <c r="R3692" s="6">
        <f t="shared" si="295"/>
        <v>415.12799999999999</v>
      </c>
      <c r="S3692" s="6">
        <f t="shared" si="296"/>
        <v>3.8542374528000009E-2</v>
      </c>
      <c r="T3692" t="str">
        <f t="shared" si="284"/>
        <v>Cumaru S4S E4E 4x4 Long</v>
      </c>
    </row>
    <row r="3693" spans="1:20" x14ac:dyDescent="0.25">
      <c r="A3693" t="s">
        <v>531</v>
      </c>
      <c r="B3693" t="s">
        <v>1007</v>
      </c>
      <c r="C3693" t="s">
        <v>283</v>
      </c>
      <c r="D3693" t="s">
        <v>438</v>
      </c>
      <c r="E3693" t="s">
        <v>4447</v>
      </c>
      <c r="F3693" t="s">
        <v>1009</v>
      </c>
      <c r="G3693" t="s">
        <v>531</v>
      </c>
      <c r="H3693" t="s">
        <v>373</v>
      </c>
      <c r="I3693" t="s">
        <v>289</v>
      </c>
      <c r="J3693" t="s">
        <v>1010</v>
      </c>
      <c r="K3693">
        <v>17</v>
      </c>
      <c r="L3693" s="6">
        <v>5.1816000000000004</v>
      </c>
      <c r="M3693" s="7">
        <v>88.9</v>
      </c>
      <c r="N3693" s="7">
        <v>88.9</v>
      </c>
      <c r="O3693" s="7">
        <f t="shared" si="293"/>
        <v>204.00000000000003</v>
      </c>
      <c r="P3693" s="7">
        <f t="shared" si="294"/>
        <v>3.5000000000000004</v>
      </c>
      <c r="Q3693" s="7">
        <f t="shared" si="294"/>
        <v>3.5000000000000004</v>
      </c>
      <c r="R3693" s="6">
        <f t="shared" si="295"/>
        <v>415.12799999999999</v>
      </c>
      <c r="S3693" s="6">
        <f t="shared" si="296"/>
        <v>4.0951272936000011E-2</v>
      </c>
      <c r="T3693" t="str">
        <f t="shared" si="284"/>
        <v>Cumaru S4S E4E 4x4 Long</v>
      </c>
    </row>
    <row r="3694" spans="1:20" x14ac:dyDescent="0.25">
      <c r="A3694" t="s">
        <v>531</v>
      </c>
      <c r="B3694" t="s">
        <v>1007</v>
      </c>
      <c r="C3694" t="s">
        <v>283</v>
      </c>
      <c r="D3694" t="s">
        <v>438</v>
      </c>
      <c r="E3694" t="s">
        <v>4448</v>
      </c>
      <c r="F3694" t="s">
        <v>1009</v>
      </c>
      <c r="G3694" t="s">
        <v>531</v>
      </c>
      <c r="H3694" t="s">
        <v>373</v>
      </c>
      <c r="I3694" t="s">
        <v>289</v>
      </c>
      <c r="J3694" t="s">
        <v>1010</v>
      </c>
      <c r="K3694">
        <v>18</v>
      </c>
      <c r="L3694" s="6">
        <v>5.4863999999999997</v>
      </c>
      <c r="M3694" s="7">
        <v>88.9</v>
      </c>
      <c r="N3694" s="7">
        <v>88.9</v>
      </c>
      <c r="O3694" s="7">
        <f t="shared" si="293"/>
        <v>216</v>
      </c>
      <c r="P3694" s="7">
        <f t="shared" si="294"/>
        <v>3.5000000000000004</v>
      </c>
      <c r="Q3694" s="7">
        <f t="shared" si="294"/>
        <v>3.5000000000000004</v>
      </c>
      <c r="R3694" s="6">
        <f t="shared" si="295"/>
        <v>415.12799999999999</v>
      </c>
      <c r="S3694" s="6">
        <f t="shared" si="296"/>
        <v>4.3360171344000005E-2</v>
      </c>
      <c r="T3694" t="str">
        <f t="shared" si="284"/>
        <v>Cumaru S4S E4E 4x4 Long</v>
      </c>
    </row>
    <row r="3695" spans="1:20" x14ac:dyDescent="0.25">
      <c r="A3695" t="s">
        <v>531</v>
      </c>
      <c r="B3695" t="s">
        <v>1007</v>
      </c>
      <c r="C3695" t="s">
        <v>283</v>
      </c>
      <c r="D3695" t="s">
        <v>438</v>
      </c>
      <c r="E3695" t="s">
        <v>4449</v>
      </c>
      <c r="F3695" t="s">
        <v>1009</v>
      </c>
      <c r="G3695" t="s">
        <v>531</v>
      </c>
      <c r="H3695" t="s">
        <v>373</v>
      </c>
      <c r="I3695" t="s">
        <v>289</v>
      </c>
      <c r="J3695" t="s">
        <v>1010</v>
      </c>
      <c r="K3695">
        <v>19</v>
      </c>
      <c r="L3695" s="6">
        <v>5.7911999999999999</v>
      </c>
      <c r="M3695" s="7">
        <v>88.9</v>
      </c>
      <c r="N3695" s="7">
        <v>88.9</v>
      </c>
      <c r="O3695" s="7">
        <f t="shared" si="293"/>
        <v>228</v>
      </c>
      <c r="P3695" s="7">
        <f t="shared" si="294"/>
        <v>3.5000000000000004</v>
      </c>
      <c r="Q3695" s="7">
        <f t="shared" si="294"/>
        <v>3.5000000000000004</v>
      </c>
      <c r="R3695" s="6">
        <f t="shared" si="295"/>
        <v>415.12799999999999</v>
      </c>
      <c r="S3695" s="6">
        <f t="shared" si="296"/>
        <v>4.5769069751999999E-2</v>
      </c>
      <c r="T3695" t="str">
        <f t="shared" si="284"/>
        <v>Cumaru S4S E4E 4x4 Long</v>
      </c>
    </row>
    <row r="3696" spans="1:20" x14ac:dyDescent="0.25">
      <c r="A3696" t="s">
        <v>531</v>
      </c>
      <c r="B3696" t="s">
        <v>1007</v>
      </c>
      <c r="C3696" t="s">
        <v>283</v>
      </c>
      <c r="D3696" t="s">
        <v>438</v>
      </c>
      <c r="E3696" t="s">
        <v>4450</v>
      </c>
      <c r="F3696" t="s">
        <v>1009</v>
      </c>
      <c r="G3696" t="s">
        <v>531</v>
      </c>
      <c r="H3696" t="s">
        <v>373</v>
      </c>
      <c r="I3696" t="s">
        <v>289</v>
      </c>
      <c r="J3696" t="s">
        <v>1010</v>
      </c>
      <c r="K3696">
        <v>20</v>
      </c>
      <c r="L3696" s="6">
        <v>6.0960000000000001</v>
      </c>
      <c r="M3696" s="7">
        <v>88.9</v>
      </c>
      <c r="N3696" s="7">
        <v>88.9</v>
      </c>
      <c r="O3696" s="7">
        <f t="shared" si="293"/>
        <v>240</v>
      </c>
      <c r="P3696" s="7">
        <f t="shared" si="294"/>
        <v>3.5000000000000004</v>
      </c>
      <c r="Q3696" s="7">
        <f t="shared" si="294"/>
        <v>3.5000000000000004</v>
      </c>
      <c r="R3696" s="6">
        <f t="shared" si="295"/>
        <v>415.12799999999999</v>
      </c>
      <c r="S3696" s="6">
        <f t="shared" si="296"/>
        <v>4.8177968160000015E-2</v>
      </c>
      <c r="T3696" t="str">
        <f t="shared" si="284"/>
        <v>Cumaru S4S E4E 4x4 Long</v>
      </c>
    </row>
    <row r="3697" spans="1:20" x14ac:dyDescent="0.25">
      <c r="A3697" t="s">
        <v>531</v>
      </c>
      <c r="B3697" t="s">
        <v>1007</v>
      </c>
      <c r="C3697" t="s">
        <v>283</v>
      </c>
      <c r="D3697" t="s">
        <v>438</v>
      </c>
      <c r="E3697" t="s">
        <v>4451</v>
      </c>
      <c r="F3697" t="s">
        <v>1009</v>
      </c>
      <c r="G3697" t="s">
        <v>531</v>
      </c>
      <c r="H3697" t="s">
        <v>373</v>
      </c>
      <c r="I3697" t="s">
        <v>289</v>
      </c>
      <c r="J3697" t="s">
        <v>1010</v>
      </c>
      <c r="K3697">
        <v>21</v>
      </c>
      <c r="L3697" s="6">
        <v>6.4008000000000003</v>
      </c>
      <c r="M3697" s="7">
        <v>88.9</v>
      </c>
      <c r="N3697" s="7">
        <v>88.9</v>
      </c>
      <c r="O3697" s="7">
        <f t="shared" si="293"/>
        <v>252.00000000000003</v>
      </c>
      <c r="P3697" s="7">
        <f t="shared" si="294"/>
        <v>3.5000000000000004</v>
      </c>
      <c r="Q3697" s="7">
        <f t="shared" si="294"/>
        <v>3.5000000000000004</v>
      </c>
      <c r="R3697" s="6">
        <f t="shared" si="295"/>
        <v>415.12799999999999</v>
      </c>
      <c r="S3697" s="6">
        <f t="shared" si="296"/>
        <v>5.0586866568000009E-2</v>
      </c>
      <c r="T3697" t="str">
        <f t="shared" si="284"/>
        <v>Cumaru S4S E4E 4x4 Long</v>
      </c>
    </row>
    <row r="3698" spans="1:20" x14ac:dyDescent="0.25">
      <c r="A3698" t="s">
        <v>531</v>
      </c>
      <c r="B3698" t="s">
        <v>1007</v>
      </c>
      <c r="C3698" t="s">
        <v>283</v>
      </c>
      <c r="D3698" t="s">
        <v>438</v>
      </c>
      <c r="E3698" t="s">
        <v>4452</v>
      </c>
      <c r="F3698" t="s">
        <v>1009</v>
      </c>
      <c r="G3698" t="s">
        <v>531</v>
      </c>
      <c r="H3698" t="s">
        <v>373</v>
      </c>
      <c r="I3698" t="s">
        <v>289</v>
      </c>
      <c r="J3698" t="s">
        <v>1010</v>
      </c>
      <c r="K3698">
        <v>22</v>
      </c>
      <c r="L3698" s="6">
        <v>6.7055999999999996</v>
      </c>
      <c r="M3698" s="7">
        <v>88.9</v>
      </c>
      <c r="N3698" s="7">
        <v>88.9</v>
      </c>
      <c r="O3698" s="7">
        <f t="shared" si="293"/>
        <v>264</v>
      </c>
      <c r="P3698" s="7">
        <f t="shared" si="294"/>
        <v>3.5000000000000004</v>
      </c>
      <c r="Q3698" s="7">
        <f t="shared" si="294"/>
        <v>3.5000000000000004</v>
      </c>
      <c r="R3698" s="6">
        <f t="shared" si="295"/>
        <v>415.12799999999999</v>
      </c>
      <c r="S3698" s="6">
        <f t="shared" si="296"/>
        <v>5.2995764975999997E-2</v>
      </c>
      <c r="T3698" t="str">
        <f t="shared" si="284"/>
        <v>Cumaru S4S E4E 4x4 Long</v>
      </c>
    </row>
    <row r="3699" spans="1:20" x14ac:dyDescent="0.25">
      <c r="A3699" t="s">
        <v>531</v>
      </c>
      <c r="B3699" t="s">
        <v>1007</v>
      </c>
      <c r="C3699" t="s">
        <v>524</v>
      </c>
      <c r="D3699" t="s">
        <v>438</v>
      </c>
      <c r="E3699" t="s">
        <v>4453</v>
      </c>
      <c r="F3699" t="s">
        <v>1009</v>
      </c>
      <c r="G3699" t="s">
        <v>531</v>
      </c>
      <c r="H3699" t="s">
        <v>373</v>
      </c>
      <c r="I3699" t="s">
        <v>289</v>
      </c>
      <c r="J3699" t="s">
        <v>1010</v>
      </c>
      <c r="K3699">
        <v>3</v>
      </c>
      <c r="L3699" s="6">
        <v>0.91439999999999999</v>
      </c>
      <c r="M3699" s="7">
        <v>88.9</v>
      </c>
      <c r="N3699" s="7">
        <v>88.9</v>
      </c>
      <c r="O3699" s="7">
        <f t="shared" si="293"/>
        <v>36</v>
      </c>
      <c r="P3699" s="7">
        <f t="shared" si="294"/>
        <v>3.5000000000000004</v>
      </c>
      <c r="Q3699" s="7">
        <f t="shared" si="294"/>
        <v>3.5000000000000004</v>
      </c>
      <c r="R3699" s="6">
        <f t="shared" si="295"/>
        <v>415.12799999999999</v>
      </c>
      <c r="S3699" s="6">
        <f t="shared" si="296"/>
        <v>7.226695224E-3</v>
      </c>
      <c r="T3699" t="str">
        <f t="shared" si="284"/>
        <v>Cumaru S4S E4E 4x4 Short</v>
      </c>
    </row>
    <row r="3700" spans="1:20" x14ac:dyDescent="0.25">
      <c r="A3700" t="s">
        <v>531</v>
      </c>
      <c r="B3700" t="s">
        <v>1007</v>
      </c>
      <c r="C3700" t="s">
        <v>524</v>
      </c>
      <c r="D3700" t="s">
        <v>438</v>
      </c>
      <c r="E3700" t="s">
        <v>4454</v>
      </c>
      <c r="F3700" t="s">
        <v>1009</v>
      </c>
      <c r="G3700" t="s">
        <v>531</v>
      </c>
      <c r="H3700" t="s">
        <v>373</v>
      </c>
      <c r="I3700" t="s">
        <v>289</v>
      </c>
      <c r="J3700" t="s">
        <v>1010</v>
      </c>
      <c r="K3700">
        <v>4</v>
      </c>
      <c r="L3700" s="6">
        <v>1.2192000000000001</v>
      </c>
      <c r="M3700" s="7">
        <v>88.9</v>
      </c>
      <c r="N3700" s="7">
        <v>88.9</v>
      </c>
      <c r="O3700" s="7">
        <f t="shared" si="293"/>
        <v>48.000000000000007</v>
      </c>
      <c r="P3700" s="7">
        <f t="shared" si="294"/>
        <v>3.5000000000000004</v>
      </c>
      <c r="Q3700" s="7">
        <f t="shared" si="294"/>
        <v>3.5000000000000004</v>
      </c>
      <c r="R3700" s="6">
        <f t="shared" si="295"/>
        <v>415.12799999999999</v>
      </c>
      <c r="S3700" s="6">
        <f t="shared" si="296"/>
        <v>9.6355936320000023E-3</v>
      </c>
      <c r="T3700" t="str">
        <f t="shared" si="284"/>
        <v>Cumaru S4S E4E 4x4 Short</v>
      </c>
    </row>
    <row r="3701" spans="1:20" x14ac:dyDescent="0.25">
      <c r="A3701" t="s">
        <v>531</v>
      </c>
      <c r="B3701" t="s">
        <v>1007</v>
      </c>
      <c r="C3701" t="s">
        <v>524</v>
      </c>
      <c r="D3701" t="s">
        <v>438</v>
      </c>
      <c r="E3701" t="s">
        <v>4455</v>
      </c>
      <c r="F3701" t="s">
        <v>1009</v>
      </c>
      <c r="G3701" t="s">
        <v>531</v>
      </c>
      <c r="H3701" t="s">
        <v>373</v>
      </c>
      <c r="I3701" t="s">
        <v>289</v>
      </c>
      <c r="J3701" t="s">
        <v>1010</v>
      </c>
      <c r="K3701">
        <v>5</v>
      </c>
      <c r="L3701" s="6">
        <v>1.524</v>
      </c>
      <c r="M3701" s="7">
        <v>88.9</v>
      </c>
      <c r="N3701" s="7">
        <v>88.9</v>
      </c>
      <c r="O3701" s="7">
        <f t="shared" si="293"/>
        <v>60</v>
      </c>
      <c r="P3701" s="7">
        <f t="shared" si="294"/>
        <v>3.5000000000000004</v>
      </c>
      <c r="Q3701" s="7">
        <f t="shared" si="294"/>
        <v>3.5000000000000004</v>
      </c>
      <c r="R3701" s="6">
        <f t="shared" si="295"/>
        <v>415.12799999999999</v>
      </c>
      <c r="S3701" s="6">
        <f t="shared" si="296"/>
        <v>1.2044492040000004E-2</v>
      </c>
      <c r="T3701" t="str">
        <f t="shared" si="284"/>
        <v>Cumaru S4S E4E 4x4 Short</v>
      </c>
    </row>
    <row r="3702" spans="1:20" x14ac:dyDescent="0.25">
      <c r="A3702" t="s">
        <v>531</v>
      </c>
      <c r="B3702" t="s">
        <v>1007</v>
      </c>
      <c r="C3702" t="s">
        <v>524</v>
      </c>
      <c r="D3702" t="s">
        <v>438</v>
      </c>
      <c r="E3702" t="s">
        <v>4456</v>
      </c>
      <c r="F3702" t="s">
        <v>1009</v>
      </c>
      <c r="G3702" t="s">
        <v>531</v>
      </c>
      <c r="H3702" t="s">
        <v>373</v>
      </c>
      <c r="I3702" t="s">
        <v>289</v>
      </c>
      <c r="J3702" t="s">
        <v>1010</v>
      </c>
      <c r="K3702">
        <v>6</v>
      </c>
      <c r="L3702" s="6">
        <v>1.8288</v>
      </c>
      <c r="M3702" s="7">
        <v>88.9</v>
      </c>
      <c r="N3702" s="7">
        <v>88.9</v>
      </c>
      <c r="O3702" s="7">
        <f t="shared" si="293"/>
        <v>72</v>
      </c>
      <c r="P3702" s="7">
        <f t="shared" si="294"/>
        <v>3.5000000000000004</v>
      </c>
      <c r="Q3702" s="7">
        <f t="shared" si="294"/>
        <v>3.5000000000000004</v>
      </c>
      <c r="R3702" s="6">
        <f t="shared" si="295"/>
        <v>415.12799999999999</v>
      </c>
      <c r="S3702" s="6">
        <f t="shared" si="296"/>
        <v>1.4453390448E-2</v>
      </c>
      <c r="T3702" t="str">
        <f t="shared" si="284"/>
        <v>Cumaru S4S E4E 4x4 Short</v>
      </c>
    </row>
    <row r="3703" spans="1:20" x14ac:dyDescent="0.25">
      <c r="A3703" t="s">
        <v>531</v>
      </c>
      <c r="B3703" t="s">
        <v>1007</v>
      </c>
      <c r="C3703" t="s">
        <v>524</v>
      </c>
      <c r="D3703" t="s">
        <v>438</v>
      </c>
      <c r="E3703" t="s">
        <v>4457</v>
      </c>
      <c r="F3703" t="s">
        <v>1009</v>
      </c>
      <c r="G3703" t="s">
        <v>531</v>
      </c>
      <c r="H3703" t="s">
        <v>373</v>
      </c>
      <c r="I3703" t="s">
        <v>289</v>
      </c>
      <c r="J3703" t="s">
        <v>1010</v>
      </c>
      <c r="K3703">
        <v>7</v>
      </c>
      <c r="L3703" s="6">
        <v>2.1335999999999999</v>
      </c>
      <c r="M3703" s="7">
        <v>88.9</v>
      </c>
      <c r="N3703" s="7">
        <v>88.9</v>
      </c>
      <c r="O3703" s="7">
        <f t="shared" si="293"/>
        <v>84</v>
      </c>
      <c r="P3703" s="7">
        <f t="shared" si="294"/>
        <v>3.5000000000000004</v>
      </c>
      <c r="Q3703" s="7">
        <f t="shared" si="294"/>
        <v>3.5000000000000004</v>
      </c>
      <c r="R3703" s="6">
        <f t="shared" si="295"/>
        <v>415.12799999999999</v>
      </c>
      <c r="S3703" s="6">
        <f t="shared" si="296"/>
        <v>1.6862288856000003E-2</v>
      </c>
      <c r="T3703" t="str">
        <f t="shared" si="284"/>
        <v>Cumaru S4S E4E 4x4 Short</v>
      </c>
    </row>
    <row r="3704" spans="1:20" x14ac:dyDescent="0.25">
      <c r="A3704" t="s">
        <v>531</v>
      </c>
      <c r="B3704" t="s">
        <v>1007</v>
      </c>
      <c r="C3704" t="s">
        <v>283</v>
      </c>
      <c r="D3704" t="s">
        <v>438</v>
      </c>
      <c r="E3704" t="s">
        <v>4458</v>
      </c>
      <c r="F3704" t="s">
        <v>1009</v>
      </c>
      <c r="G3704" t="s">
        <v>531</v>
      </c>
      <c r="H3704" t="s">
        <v>373</v>
      </c>
      <c r="I3704" t="s">
        <v>289</v>
      </c>
      <c r="J3704" t="s">
        <v>1010</v>
      </c>
      <c r="K3704">
        <v>8</v>
      </c>
      <c r="L3704" s="6">
        <v>2.4384000000000001</v>
      </c>
      <c r="M3704" s="7">
        <v>88.9</v>
      </c>
      <c r="N3704" s="7">
        <v>88.9</v>
      </c>
      <c r="O3704" s="7">
        <f t="shared" si="293"/>
        <v>96.000000000000014</v>
      </c>
      <c r="P3704" s="7">
        <f t="shared" si="294"/>
        <v>3.5000000000000004</v>
      </c>
      <c r="Q3704" s="7">
        <f t="shared" si="294"/>
        <v>3.5000000000000004</v>
      </c>
      <c r="R3704" s="6">
        <f t="shared" si="295"/>
        <v>415.12799999999999</v>
      </c>
      <c r="S3704" s="6">
        <f t="shared" si="296"/>
        <v>1.9271187264000005E-2</v>
      </c>
      <c r="T3704" t="str">
        <f t="shared" si="284"/>
        <v>Cumaru S4S E4E 4x4 Long</v>
      </c>
    </row>
    <row r="3705" spans="1:20" x14ac:dyDescent="0.25">
      <c r="A3705" t="s">
        <v>531</v>
      </c>
      <c r="B3705" t="s">
        <v>1007</v>
      </c>
      <c r="C3705" t="s">
        <v>283</v>
      </c>
      <c r="D3705" t="s">
        <v>438</v>
      </c>
      <c r="E3705" t="s">
        <v>4459</v>
      </c>
      <c r="F3705" t="s">
        <v>1009</v>
      </c>
      <c r="G3705" t="s">
        <v>531</v>
      </c>
      <c r="H3705" t="s">
        <v>373</v>
      </c>
      <c r="I3705" t="s">
        <v>289</v>
      </c>
      <c r="J3705" t="s">
        <v>1010</v>
      </c>
      <c r="K3705">
        <v>9</v>
      </c>
      <c r="L3705" s="6">
        <v>2.7431999999999999</v>
      </c>
      <c r="M3705" s="7">
        <v>88.9</v>
      </c>
      <c r="N3705" s="7">
        <v>88.9</v>
      </c>
      <c r="O3705" s="7">
        <f t="shared" si="293"/>
        <v>108</v>
      </c>
      <c r="P3705" s="7">
        <f t="shared" si="294"/>
        <v>3.5000000000000004</v>
      </c>
      <c r="Q3705" s="7">
        <f t="shared" si="294"/>
        <v>3.5000000000000004</v>
      </c>
      <c r="R3705" s="6">
        <f t="shared" si="295"/>
        <v>415.12799999999999</v>
      </c>
      <c r="S3705" s="6">
        <f t="shared" si="296"/>
        <v>2.1680085672000003E-2</v>
      </c>
      <c r="T3705" t="str">
        <f t="shared" si="284"/>
        <v>Cumaru S4S E4E 4x4 Long</v>
      </c>
    </row>
    <row r="3706" spans="1:20" x14ac:dyDescent="0.25">
      <c r="A3706" t="s">
        <v>2824</v>
      </c>
      <c r="B3706" t="s">
        <v>2825</v>
      </c>
      <c r="C3706" t="s">
        <v>2824</v>
      </c>
      <c r="D3706" t="s">
        <v>2826</v>
      </c>
      <c r="E3706" t="s">
        <v>4460</v>
      </c>
      <c r="F3706" t="s">
        <v>2825</v>
      </c>
      <c r="G3706" t="s">
        <v>2825</v>
      </c>
      <c r="H3706" t="s">
        <v>289</v>
      </c>
      <c r="I3706" t="s">
        <v>289</v>
      </c>
      <c r="J3706">
        <v>0</v>
      </c>
      <c r="K3706">
        <v>0</v>
      </c>
      <c r="L3706" s="6">
        <v>0</v>
      </c>
      <c r="M3706" s="7">
        <v>0</v>
      </c>
      <c r="N3706" s="7">
        <v>0</v>
      </c>
      <c r="O3706" s="7">
        <v>0</v>
      </c>
      <c r="P3706" s="7">
        <v>0</v>
      </c>
      <c r="Q3706" s="7">
        <v>0</v>
      </c>
      <c r="R3706" s="6">
        <v>0</v>
      </c>
      <c r="S3706" s="6">
        <v>0</v>
      </c>
      <c r="T3706" t="str">
        <f t="shared" si="284"/>
        <v>Expense Recovery Services</v>
      </c>
    </row>
    <row r="3707" spans="1:20" x14ac:dyDescent="0.25">
      <c r="A3707" t="s">
        <v>2824</v>
      </c>
      <c r="B3707" t="s">
        <v>2825</v>
      </c>
      <c r="C3707" t="s">
        <v>2824</v>
      </c>
      <c r="D3707" t="s">
        <v>2826</v>
      </c>
      <c r="E3707" t="s">
        <v>4461</v>
      </c>
      <c r="F3707" t="s">
        <v>2825</v>
      </c>
      <c r="G3707" t="s">
        <v>2825</v>
      </c>
      <c r="H3707" t="s">
        <v>289</v>
      </c>
      <c r="I3707" t="s">
        <v>289</v>
      </c>
      <c r="J3707">
        <v>0</v>
      </c>
      <c r="K3707">
        <v>0</v>
      </c>
      <c r="L3707" s="6">
        <v>0</v>
      </c>
      <c r="M3707" s="7">
        <v>0</v>
      </c>
      <c r="N3707" s="7">
        <v>0</v>
      </c>
      <c r="O3707" s="7">
        <v>0</v>
      </c>
      <c r="P3707" s="7">
        <v>0</v>
      </c>
      <c r="Q3707" s="7">
        <v>0</v>
      </c>
      <c r="R3707" s="6">
        <v>0</v>
      </c>
      <c r="S3707" s="6">
        <v>0</v>
      </c>
      <c r="T3707" t="str">
        <f t="shared" si="284"/>
        <v>Expense Recovery Services</v>
      </c>
    </row>
    <row r="3708" spans="1:20" x14ac:dyDescent="0.25">
      <c r="A3708" t="s">
        <v>2824</v>
      </c>
      <c r="B3708" t="s">
        <v>2871</v>
      </c>
      <c r="C3708" t="s">
        <v>2824</v>
      </c>
      <c r="D3708" t="s">
        <v>2826</v>
      </c>
      <c r="E3708" t="s">
        <v>4462</v>
      </c>
      <c r="F3708" t="s">
        <v>2871</v>
      </c>
      <c r="G3708" t="s">
        <v>289</v>
      </c>
      <c r="H3708" t="s">
        <v>289</v>
      </c>
      <c r="I3708" t="s">
        <v>289</v>
      </c>
      <c r="J3708">
        <v>0</v>
      </c>
      <c r="K3708">
        <v>0</v>
      </c>
      <c r="L3708" s="6">
        <v>0</v>
      </c>
      <c r="M3708" s="7">
        <v>0</v>
      </c>
      <c r="N3708" s="7">
        <v>0</v>
      </c>
      <c r="O3708" s="7">
        <v>0</v>
      </c>
      <c r="P3708" s="7">
        <v>0</v>
      </c>
      <c r="Q3708" s="7">
        <v>0</v>
      </c>
      <c r="R3708" s="6">
        <v>0</v>
      </c>
      <c r="S3708" s="6">
        <v>0</v>
      </c>
      <c r="T3708" t="str">
        <f t="shared" si="284"/>
        <v>Painting Services</v>
      </c>
    </row>
    <row r="3709" spans="1:20" x14ac:dyDescent="0.25">
      <c r="A3709" t="s">
        <v>4154</v>
      </c>
      <c r="B3709" t="s">
        <v>4155</v>
      </c>
      <c r="C3709" t="s">
        <v>283</v>
      </c>
      <c r="D3709" t="s">
        <v>3044</v>
      </c>
      <c r="E3709" t="s">
        <v>4463</v>
      </c>
      <c r="F3709" t="s">
        <v>4464</v>
      </c>
      <c r="G3709" t="s">
        <v>4158</v>
      </c>
      <c r="H3709" t="s">
        <v>3638</v>
      </c>
      <c r="I3709" t="s">
        <v>4465</v>
      </c>
      <c r="J3709" t="s">
        <v>344</v>
      </c>
      <c r="K3709">
        <v>9</v>
      </c>
      <c r="L3709" s="6">
        <v>2.7</v>
      </c>
      <c r="M3709" s="7">
        <v>19</v>
      </c>
      <c r="N3709" s="7">
        <v>140</v>
      </c>
      <c r="O3709" s="7">
        <f t="shared" ref="O3709:O3719" si="297">L3709/0.0254</f>
        <v>106.29921259842521</v>
      </c>
      <c r="P3709" s="7">
        <f t="shared" ref="P3709:Q3719" si="298">M3709/25.4</f>
        <v>0.74803149606299213</v>
      </c>
      <c r="Q3709" s="7">
        <f t="shared" si="298"/>
        <v>5.5118110236220472</v>
      </c>
      <c r="R3709" s="6">
        <f t="shared" ref="R3709:R3719" si="299">ROUND(IFERROR(1/((M3709*N3709*0.3048)/1000000),0),3)</f>
        <v>1233.3979999999999</v>
      </c>
      <c r="S3709" s="6">
        <f t="shared" ref="S3709:S3719" si="300">L3709*M3709/1000*N3709/1000</f>
        <v>7.182E-3</v>
      </c>
      <c r="T3709" t="str">
        <f t="shared" si="284"/>
        <v>Maximo Thermo Scandinavian Pine VJoint - Nickel Gap Wire Brush Walnut Color 1x6 Long</v>
      </c>
    </row>
    <row r="3710" spans="1:20" x14ac:dyDescent="0.25">
      <c r="A3710" t="s">
        <v>4154</v>
      </c>
      <c r="B3710" t="s">
        <v>4155</v>
      </c>
      <c r="C3710" t="s">
        <v>283</v>
      </c>
      <c r="D3710" t="s">
        <v>3044</v>
      </c>
      <c r="E3710" t="s">
        <v>4466</v>
      </c>
      <c r="F3710" t="s">
        <v>4464</v>
      </c>
      <c r="G3710" t="s">
        <v>4158</v>
      </c>
      <c r="H3710" t="s">
        <v>3638</v>
      </c>
      <c r="I3710" t="s">
        <v>4465</v>
      </c>
      <c r="J3710" t="s">
        <v>344</v>
      </c>
      <c r="K3710">
        <v>10</v>
      </c>
      <c r="L3710" s="6">
        <v>3</v>
      </c>
      <c r="M3710" s="7">
        <v>19</v>
      </c>
      <c r="N3710" s="7">
        <v>140</v>
      </c>
      <c r="O3710" s="7">
        <f t="shared" si="297"/>
        <v>118.11023622047244</v>
      </c>
      <c r="P3710" s="7">
        <f t="shared" si="298"/>
        <v>0.74803149606299213</v>
      </c>
      <c r="Q3710" s="7">
        <f t="shared" si="298"/>
        <v>5.5118110236220472</v>
      </c>
      <c r="R3710" s="6">
        <f t="shared" si="299"/>
        <v>1233.3979999999999</v>
      </c>
      <c r="S3710" s="6">
        <f t="shared" si="300"/>
        <v>7.980000000000001E-3</v>
      </c>
      <c r="T3710" t="str">
        <f t="shared" si="284"/>
        <v>Maximo Thermo Scandinavian Pine VJoint - Nickel Gap Wire Brush Walnut Color 1x6 Long</v>
      </c>
    </row>
    <row r="3711" spans="1:20" x14ac:dyDescent="0.25">
      <c r="A3711" t="s">
        <v>4154</v>
      </c>
      <c r="B3711" t="s">
        <v>4155</v>
      </c>
      <c r="C3711" t="s">
        <v>283</v>
      </c>
      <c r="D3711" t="s">
        <v>3044</v>
      </c>
      <c r="E3711" t="s">
        <v>4467</v>
      </c>
      <c r="F3711" t="s">
        <v>4464</v>
      </c>
      <c r="G3711" t="s">
        <v>4158</v>
      </c>
      <c r="H3711" t="s">
        <v>3638</v>
      </c>
      <c r="I3711" t="s">
        <v>4465</v>
      </c>
      <c r="J3711" t="s">
        <v>344</v>
      </c>
      <c r="K3711">
        <v>11</v>
      </c>
      <c r="L3711" s="6">
        <v>3.3</v>
      </c>
      <c r="M3711" s="7">
        <v>19</v>
      </c>
      <c r="N3711" s="7">
        <v>140</v>
      </c>
      <c r="O3711" s="7">
        <f t="shared" si="297"/>
        <v>129.92125984251967</v>
      </c>
      <c r="P3711" s="7">
        <f t="shared" si="298"/>
        <v>0.74803149606299213</v>
      </c>
      <c r="Q3711" s="7">
        <f t="shared" si="298"/>
        <v>5.5118110236220472</v>
      </c>
      <c r="R3711" s="6">
        <f t="shared" si="299"/>
        <v>1233.3979999999999</v>
      </c>
      <c r="S3711" s="6">
        <f t="shared" si="300"/>
        <v>8.7779999999999993E-3</v>
      </c>
      <c r="T3711" t="str">
        <f t="shared" si="284"/>
        <v>Maximo Thermo Scandinavian Pine VJoint - Nickel Gap Wire Brush Walnut Color 1x6 Long</v>
      </c>
    </row>
    <row r="3712" spans="1:20" x14ac:dyDescent="0.25">
      <c r="A3712" t="s">
        <v>4154</v>
      </c>
      <c r="B3712" t="s">
        <v>4155</v>
      </c>
      <c r="C3712" t="s">
        <v>283</v>
      </c>
      <c r="D3712" t="s">
        <v>3044</v>
      </c>
      <c r="E3712" t="s">
        <v>4468</v>
      </c>
      <c r="F3712" t="s">
        <v>4464</v>
      </c>
      <c r="G3712" t="s">
        <v>4158</v>
      </c>
      <c r="H3712" t="s">
        <v>3638</v>
      </c>
      <c r="I3712" t="s">
        <v>4465</v>
      </c>
      <c r="J3712" t="s">
        <v>344</v>
      </c>
      <c r="K3712">
        <v>12</v>
      </c>
      <c r="L3712" s="6">
        <v>3.6</v>
      </c>
      <c r="M3712" s="7">
        <v>19</v>
      </c>
      <c r="N3712" s="7">
        <v>140</v>
      </c>
      <c r="O3712" s="7">
        <f t="shared" si="297"/>
        <v>141.73228346456693</v>
      </c>
      <c r="P3712" s="7">
        <f t="shared" si="298"/>
        <v>0.74803149606299213</v>
      </c>
      <c r="Q3712" s="7">
        <f t="shared" si="298"/>
        <v>5.5118110236220472</v>
      </c>
      <c r="R3712" s="6">
        <f t="shared" si="299"/>
        <v>1233.3979999999999</v>
      </c>
      <c r="S3712" s="6">
        <f t="shared" si="300"/>
        <v>9.5760000000000012E-3</v>
      </c>
      <c r="T3712" t="str">
        <f t="shared" si="284"/>
        <v>Maximo Thermo Scandinavian Pine VJoint - Nickel Gap Wire Brush Walnut Color 1x6 Long</v>
      </c>
    </row>
    <row r="3713" spans="1:20" x14ac:dyDescent="0.25">
      <c r="A3713" t="s">
        <v>4154</v>
      </c>
      <c r="B3713" t="s">
        <v>4155</v>
      </c>
      <c r="C3713" t="s">
        <v>283</v>
      </c>
      <c r="D3713" t="s">
        <v>3044</v>
      </c>
      <c r="E3713" t="s">
        <v>4469</v>
      </c>
      <c r="F3713" t="s">
        <v>4464</v>
      </c>
      <c r="G3713" t="s">
        <v>4158</v>
      </c>
      <c r="H3713" t="s">
        <v>3638</v>
      </c>
      <c r="I3713" t="s">
        <v>4465</v>
      </c>
      <c r="J3713" t="s">
        <v>344</v>
      </c>
      <c r="K3713">
        <v>13</v>
      </c>
      <c r="L3713" s="6">
        <v>3.9</v>
      </c>
      <c r="M3713" s="7">
        <v>19</v>
      </c>
      <c r="N3713" s="7">
        <v>140</v>
      </c>
      <c r="O3713" s="7">
        <f t="shared" si="297"/>
        <v>153.54330708661416</v>
      </c>
      <c r="P3713" s="7">
        <f t="shared" si="298"/>
        <v>0.74803149606299213</v>
      </c>
      <c r="Q3713" s="7">
        <f t="shared" si="298"/>
        <v>5.5118110236220472</v>
      </c>
      <c r="R3713" s="6">
        <f t="shared" si="299"/>
        <v>1233.3979999999999</v>
      </c>
      <c r="S3713" s="6">
        <f t="shared" si="300"/>
        <v>1.0374000000000001E-2</v>
      </c>
      <c r="T3713" t="str">
        <f t="shared" si="284"/>
        <v>Maximo Thermo Scandinavian Pine VJoint - Nickel Gap Wire Brush Walnut Color 1x6 Long</v>
      </c>
    </row>
    <row r="3714" spans="1:20" x14ac:dyDescent="0.25">
      <c r="A3714" t="s">
        <v>4154</v>
      </c>
      <c r="B3714" t="s">
        <v>4155</v>
      </c>
      <c r="C3714" t="s">
        <v>283</v>
      </c>
      <c r="D3714" t="s">
        <v>3044</v>
      </c>
      <c r="E3714" t="s">
        <v>4470</v>
      </c>
      <c r="F3714" t="s">
        <v>4464</v>
      </c>
      <c r="G3714" t="s">
        <v>4158</v>
      </c>
      <c r="H3714" t="s">
        <v>3638</v>
      </c>
      <c r="I3714" t="s">
        <v>4465</v>
      </c>
      <c r="J3714" t="s">
        <v>344</v>
      </c>
      <c r="K3714">
        <v>15</v>
      </c>
      <c r="L3714" s="6">
        <v>4.5</v>
      </c>
      <c r="M3714" s="7">
        <v>19</v>
      </c>
      <c r="N3714" s="7">
        <v>140</v>
      </c>
      <c r="O3714" s="7">
        <f t="shared" si="297"/>
        <v>177.16535433070868</v>
      </c>
      <c r="P3714" s="7">
        <f t="shared" si="298"/>
        <v>0.74803149606299213</v>
      </c>
      <c r="Q3714" s="7">
        <f t="shared" si="298"/>
        <v>5.5118110236220472</v>
      </c>
      <c r="R3714" s="6">
        <f t="shared" si="299"/>
        <v>1233.3979999999999</v>
      </c>
      <c r="S3714" s="6">
        <f t="shared" si="300"/>
        <v>1.1970000000000001E-2</v>
      </c>
      <c r="T3714" t="str">
        <f t="shared" ref="T3714:T3777" si="301">F3714&amp;" "&amp;C3714</f>
        <v>Maximo Thermo Scandinavian Pine VJoint - Nickel Gap Wire Brush Walnut Color 1x6 Long</v>
      </c>
    </row>
    <row r="3715" spans="1:20" x14ac:dyDescent="0.25">
      <c r="A3715" t="s">
        <v>4154</v>
      </c>
      <c r="B3715" t="s">
        <v>4155</v>
      </c>
      <c r="C3715" t="s">
        <v>283</v>
      </c>
      <c r="D3715" t="s">
        <v>3044</v>
      </c>
      <c r="E3715" t="s">
        <v>4471</v>
      </c>
      <c r="F3715" t="s">
        <v>4464</v>
      </c>
      <c r="G3715" t="s">
        <v>4158</v>
      </c>
      <c r="H3715" t="s">
        <v>3638</v>
      </c>
      <c r="I3715" t="s">
        <v>4465</v>
      </c>
      <c r="J3715" t="s">
        <v>344</v>
      </c>
      <c r="K3715">
        <v>16</v>
      </c>
      <c r="L3715" s="6">
        <v>4.8</v>
      </c>
      <c r="M3715" s="7">
        <v>19</v>
      </c>
      <c r="N3715" s="7">
        <v>140</v>
      </c>
      <c r="O3715" s="7">
        <f t="shared" si="297"/>
        <v>188.97637795275591</v>
      </c>
      <c r="P3715" s="7">
        <f t="shared" si="298"/>
        <v>0.74803149606299213</v>
      </c>
      <c r="Q3715" s="7">
        <f t="shared" si="298"/>
        <v>5.5118110236220472</v>
      </c>
      <c r="R3715" s="6">
        <f t="shared" si="299"/>
        <v>1233.3979999999999</v>
      </c>
      <c r="S3715" s="6">
        <f t="shared" si="300"/>
        <v>1.2768E-2</v>
      </c>
      <c r="T3715" t="str">
        <f t="shared" si="301"/>
        <v>Maximo Thermo Scandinavian Pine VJoint - Nickel Gap Wire Brush Walnut Color 1x6 Long</v>
      </c>
    </row>
    <row r="3716" spans="1:20" x14ac:dyDescent="0.25">
      <c r="A3716" t="s">
        <v>4154</v>
      </c>
      <c r="B3716" t="s">
        <v>4155</v>
      </c>
      <c r="C3716" t="s">
        <v>283</v>
      </c>
      <c r="D3716" t="s">
        <v>3044</v>
      </c>
      <c r="E3716" t="s">
        <v>4472</v>
      </c>
      <c r="F3716" t="s">
        <v>4464</v>
      </c>
      <c r="G3716" t="s">
        <v>4158</v>
      </c>
      <c r="H3716" t="s">
        <v>3638</v>
      </c>
      <c r="I3716" t="s">
        <v>4465</v>
      </c>
      <c r="J3716" t="s">
        <v>344</v>
      </c>
      <c r="K3716">
        <v>14</v>
      </c>
      <c r="L3716" s="6">
        <v>4.2</v>
      </c>
      <c r="M3716" s="7">
        <v>19</v>
      </c>
      <c r="N3716" s="7">
        <v>140</v>
      </c>
      <c r="O3716" s="7">
        <f t="shared" si="297"/>
        <v>165.35433070866142</v>
      </c>
      <c r="P3716" s="7">
        <f t="shared" si="298"/>
        <v>0.74803149606299213</v>
      </c>
      <c r="Q3716" s="7">
        <f t="shared" si="298"/>
        <v>5.5118110236220472</v>
      </c>
      <c r="R3716" s="6">
        <f t="shared" si="299"/>
        <v>1233.3979999999999</v>
      </c>
      <c r="S3716" s="6">
        <f t="shared" si="300"/>
        <v>1.1172E-2</v>
      </c>
      <c r="T3716" t="str">
        <f t="shared" si="301"/>
        <v>Maximo Thermo Scandinavian Pine VJoint - Nickel Gap Wire Brush Walnut Color 1x6 Long</v>
      </c>
    </row>
    <row r="3717" spans="1:20" x14ac:dyDescent="0.25">
      <c r="A3717" t="s">
        <v>4154</v>
      </c>
      <c r="B3717" t="s">
        <v>4155</v>
      </c>
      <c r="C3717" t="s">
        <v>524</v>
      </c>
      <c r="D3717" t="s">
        <v>3044</v>
      </c>
      <c r="E3717" t="s">
        <v>4473</v>
      </c>
      <c r="F3717" t="s">
        <v>4464</v>
      </c>
      <c r="G3717" t="s">
        <v>4158</v>
      </c>
      <c r="H3717" t="s">
        <v>3638</v>
      </c>
      <c r="I3717" t="s">
        <v>4465</v>
      </c>
      <c r="J3717" t="s">
        <v>344</v>
      </c>
      <c r="K3717">
        <v>6</v>
      </c>
      <c r="L3717" s="6">
        <v>1.8</v>
      </c>
      <c r="M3717" s="7">
        <v>19</v>
      </c>
      <c r="N3717" s="7">
        <v>140</v>
      </c>
      <c r="O3717" s="7">
        <f t="shared" si="297"/>
        <v>70.866141732283467</v>
      </c>
      <c r="P3717" s="7">
        <f t="shared" si="298"/>
        <v>0.74803149606299213</v>
      </c>
      <c r="Q3717" s="7">
        <f t="shared" si="298"/>
        <v>5.5118110236220472</v>
      </c>
      <c r="R3717" s="6">
        <f t="shared" si="299"/>
        <v>1233.3979999999999</v>
      </c>
      <c r="S3717" s="6">
        <f t="shared" si="300"/>
        <v>4.7880000000000006E-3</v>
      </c>
      <c r="T3717" t="str">
        <f t="shared" si="301"/>
        <v>Maximo Thermo Scandinavian Pine VJoint - Nickel Gap Wire Brush Walnut Color 1x6 Short</v>
      </c>
    </row>
    <row r="3718" spans="1:20" x14ac:dyDescent="0.25">
      <c r="A3718" t="s">
        <v>4154</v>
      </c>
      <c r="B3718" t="s">
        <v>4155</v>
      </c>
      <c r="C3718" t="s">
        <v>524</v>
      </c>
      <c r="D3718" t="s">
        <v>3044</v>
      </c>
      <c r="E3718" t="s">
        <v>4474</v>
      </c>
      <c r="F3718" t="s">
        <v>4464</v>
      </c>
      <c r="G3718" t="s">
        <v>4158</v>
      </c>
      <c r="H3718" t="s">
        <v>3638</v>
      </c>
      <c r="I3718" t="s">
        <v>4465</v>
      </c>
      <c r="J3718" t="s">
        <v>344</v>
      </c>
      <c r="K3718">
        <v>7</v>
      </c>
      <c r="L3718" s="6">
        <v>2.1</v>
      </c>
      <c r="M3718" s="7">
        <v>19</v>
      </c>
      <c r="N3718" s="7">
        <v>140</v>
      </c>
      <c r="O3718" s="7">
        <f t="shared" si="297"/>
        <v>82.677165354330711</v>
      </c>
      <c r="P3718" s="7">
        <f t="shared" si="298"/>
        <v>0.74803149606299213</v>
      </c>
      <c r="Q3718" s="7">
        <f t="shared" si="298"/>
        <v>5.5118110236220472</v>
      </c>
      <c r="R3718" s="6">
        <f t="shared" si="299"/>
        <v>1233.3979999999999</v>
      </c>
      <c r="S3718" s="6">
        <f t="shared" si="300"/>
        <v>5.5859999999999998E-3</v>
      </c>
      <c r="T3718" t="str">
        <f t="shared" si="301"/>
        <v>Maximo Thermo Scandinavian Pine VJoint - Nickel Gap Wire Brush Walnut Color 1x6 Short</v>
      </c>
    </row>
    <row r="3719" spans="1:20" x14ac:dyDescent="0.25">
      <c r="A3719" t="s">
        <v>4154</v>
      </c>
      <c r="B3719" t="s">
        <v>4155</v>
      </c>
      <c r="C3719" t="s">
        <v>283</v>
      </c>
      <c r="D3719" t="s">
        <v>3044</v>
      </c>
      <c r="E3719" t="s">
        <v>4475</v>
      </c>
      <c r="F3719" t="s">
        <v>4464</v>
      </c>
      <c r="G3719" t="s">
        <v>4158</v>
      </c>
      <c r="H3719" t="s">
        <v>3638</v>
      </c>
      <c r="I3719" t="s">
        <v>4465</v>
      </c>
      <c r="J3719" t="s">
        <v>344</v>
      </c>
      <c r="K3719">
        <v>8</v>
      </c>
      <c r="L3719" s="6">
        <v>2.4</v>
      </c>
      <c r="M3719" s="7">
        <v>19</v>
      </c>
      <c r="N3719" s="7">
        <v>140</v>
      </c>
      <c r="O3719" s="7">
        <f t="shared" si="297"/>
        <v>94.488188976377955</v>
      </c>
      <c r="P3719" s="7">
        <f t="shared" si="298"/>
        <v>0.74803149606299213</v>
      </c>
      <c r="Q3719" s="7">
        <f t="shared" si="298"/>
        <v>5.5118110236220472</v>
      </c>
      <c r="R3719" s="6">
        <f t="shared" si="299"/>
        <v>1233.3979999999999</v>
      </c>
      <c r="S3719" s="6">
        <f t="shared" si="300"/>
        <v>6.3839999999999999E-3</v>
      </c>
      <c r="T3719" t="str">
        <f t="shared" si="301"/>
        <v>Maximo Thermo Scandinavian Pine VJoint - Nickel Gap Wire Brush Walnut Color 1x6 Long</v>
      </c>
    </row>
    <row r="3720" spans="1:20" x14ac:dyDescent="0.25">
      <c r="A3720" t="s">
        <v>2824</v>
      </c>
      <c r="B3720" t="s">
        <v>2871</v>
      </c>
      <c r="C3720" t="s">
        <v>2824</v>
      </c>
      <c r="D3720" t="s">
        <v>2826</v>
      </c>
      <c r="E3720" t="s">
        <v>4476</v>
      </c>
      <c r="F3720" t="s">
        <v>2871</v>
      </c>
      <c r="G3720" t="s">
        <v>289</v>
      </c>
      <c r="H3720" t="s">
        <v>289</v>
      </c>
      <c r="I3720" t="s">
        <v>289</v>
      </c>
      <c r="J3720">
        <v>0</v>
      </c>
      <c r="K3720">
        <v>0</v>
      </c>
      <c r="L3720" s="6">
        <v>0</v>
      </c>
      <c r="M3720" s="7">
        <v>0</v>
      </c>
      <c r="N3720" s="7">
        <v>0</v>
      </c>
      <c r="O3720" s="7">
        <v>0</v>
      </c>
      <c r="P3720" s="7">
        <v>0</v>
      </c>
      <c r="Q3720" s="7">
        <v>0</v>
      </c>
      <c r="R3720" s="6">
        <v>0</v>
      </c>
      <c r="S3720" s="6">
        <v>0</v>
      </c>
      <c r="T3720" t="str">
        <f t="shared" si="301"/>
        <v>Painting Services</v>
      </c>
    </row>
    <row r="3721" spans="1:20" x14ac:dyDescent="0.25">
      <c r="A3721" t="s">
        <v>2824</v>
      </c>
      <c r="B3721" t="s">
        <v>2866</v>
      </c>
      <c r="C3721" t="s">
        <v>2824</v>
      </c>
      <c r="D3721" t="s">
        <v>2826</v>
      </c>
      <c r="E3721" t="s">
        <v>4477</v>
      </c>
      <c r="F3721" t="s">
        <v>2866</v>
      </c>
      <c r="G3721" t="s">
        <v>289</v>
      </c>
      <c r="H3721" t="s">
        <v>289</v>
      </c>
      <c r="I3721" t="s">
        <v>289</v>
      </c>
      <c r="J3721">
        <v>0</v>
      </c>
      <c r="K3721">
        <v>0</v>
      </c>
      <c r="L3721" s="6">
        <v>0</v>
      </c>
      <c r="M3721" s="7">
        <v>0</v>
      </c>
      <c r="N3721" s="7">
        <v>0</v>
      </c>
      <c r="O3721" s="7">
        <v>0</v>
      </c>
      <c r="P3721" s="7">
        <v>0</v>
      </c>
      <c r="Q3721" s="7">
        <v>0</v>
      </c>
      <c r="R3721" s="6">
        <v>0</v>
      </c>
      <c r="S3721" s="6">
        <v>0</v>
      </c>
      <c r="T3721" t="str">
        <f t="shared" si="301"/>
        <v>Milling Services</v>
      </c>
    </row>
    <row r="3722" spans="1:20" x14ac:dyDescent="0.25">
      <c r="A3722" t="s">
        <v>1263</v>
      </c>
      <c r="B3722" t="s">
        <v>4478</v>
      </c>
      <c r="C3722" t="s">
        <v>524</v>
      </c>
      <c r="D3722" t="s">
        <v>438</v>
      </c>
      <c r="E3722" t="s">
        <v>4479</v>
      </c>
      <c r="F3722" t="s">
        <v>4480</v>
      </c>
      <c r="G3722" t="s">
        <v>1263</v>
      </c>
      <c r="H3722" t="s">
        <v>4481</v>
      </c>
      <c r="I3722" t="s">
        <v>289</v>
      </c>
      <c r="J3722" t="s">
        <v>4482</v>
      </c>
      <c r="K3722">
        <v>7</v>
      </c>
      <c r="L3722" s="6">
        <v>2.1335999999999999</v>
      </c>
      <c r="M3722" s="7">
        <v>25</v>
      </c>
      <c r="N3722" s="7">
        <v>145</v>
      </c>
      <c r="O3722" s="7">
        <f t="shared" ref="O3722:O3731" si="302">L3722/0.0254</f>
        <v>84</v>
      </c>
      <c r="P3722" s="7">
        <f t="shared" ref="P3722:Q3731" si="303">M3722/25.4</f>
        <v>0.98425196850393704</v>
      </c>
      <c r="Q3722" s="7">
        <f t="shared" si="303"/>
        <v>5.7086614173228352</v>
      </c>
      <c r="R3722" s="6">
        <f t="shared" ref="R3722:R3731" si="304">ROUND(IFERROR(1/((M3722*N3722*0.3048)/1000000),0),3)</f>
        <v>905.05899999999997</v>
      </c>
      <c r="S3722" s="6">
        <f t="shared" ref="S3722:S3731" si="305">L3722*M3722/1000*N3722/1000</f>
        <v>7.7343000000000004E-3</v>
      </c>
      <c r="T3722" t="str">
        <f t="shared" si="301"/>
        <v>Garapa Gentle Smooth 25x145 Short</v>
      </c>
    </row>
    <row r="3723" spans="1:20" x14ac:dyDescent="0.25">
      <c r="A3723" t="s">
        <v>1263</v>
      </c>
      <c r="B3723" t="s">
        <v>4478</v>
      </c>
      <c r="C3723" t="s">
        <v>283</v>
      </c>
      <c r="D3723" t="s">
        <v>438</v>
      </c>
      <c r="E3723" t="s">
        <v>4483</v>
      </c>
      <c r="F3723" t="s">
        <v>4480</v>
      </c>
      <c r="G3723" t="s">
        <v>1263</v>
      </c>
      <c r="H3723" t="s">
        <v>4481</v>
      </c>
      <c r="I3723" t="s">
        <v>289</v>
      </c>
      <c r="J3723" t="s">
        <v>4482</v>
      </c>
      <c r="K3723">
        <v>8</v>
      </c>
      <c r="L3723" s="6">
        <v>2.4384000000000001</v>
      </c>
      <c r="M3723" s="7">
        <v>25</v>
      </c>
      <c r="N3723" s="7">
        <v>145</v>
      </c>
      <c r="O3723" s="7">
        <f t="shared" si="302"/>
        <v>96.000000000000014</v>
      </c>
      <c r="P3723" s="7">
        <f t="shared" si="303"/>
        <v>0.98425196850393704</v>
      </c>
      <c r="Q3723" s="7">
        <f t="shared" si="303"/>
        <v>5.7086614173228352</v>
      </c>
      <c r="R3723" s="6">
        <f t="shared" si="304"/>
        <v>905.05899999999997</v>
      </c>
      <c r="S3723" s="6">
        <f t="shared" si="305"/>
        <v>8.8392000000000002E-3</v>
      </c>
      <c r="T3723" t="str">
        <f t="shared" si="301"/>
        <v>Garapa Gentle Smooth 25x145 Long</v>
      </c>
    </row>
    <row r="3724" spans="1:20" x14ac:dyDescent="0.25">
      <c r="A3724" t="s">
        <v>1263</v>
      </c>
      <c r="B3724" t="s">
        <v>4478</v>
      </c>
      <c r="C3724" t="s">
        <v>283</v>
      </c>
      <c r="D3724" t="s">
        <v>438</v>
      </c>
      <c r="E3724" t="s">
        <v>4484</v>
      </c>
      <c r="F3724" t="s">
        <v>4480</v>
      </c>
      <c r="G3724" t="s">
        <v>1263</v>
      </c>
      <c r="H3724" t="s">
        <v>4481</v>
      </c>
      <c r="I3724" t="s">
        <v>289</v>
      </c>
      <c r="J3724" t="s">
        <v>4482</v>
      </c>
      <c r="K3724">
        <v>9</v>
      </c>
      <c r="L3724" s="6">
        <v>2.7431999999999999</v>
      </c>
      <c r="M3724" s="7">
        <v>25</v>
      </c>
      <c r="N3724" s="7">
        <v>145</v>
      </c>
      <c r="O3724" s="7">
        <f t="shared" si="302"/>
        <v>108</v>
      </c>
      <c r="P3724" s="7">
        <f t="shared" si="303"/>
        <v>0.98425196850393704</v>
      </c>
      <c r="Q3724" s="7">
        <f t="shared" si="303"/>
        <v>5.7086614173228352</v>
      </c>
      <c r="R3724" s="6">
        <f t="shared" si="304"/>
        <v>905.05899999999997</v>
      </c>
      <c r="S3724" s="6">
        <f t="shared" si="305"/>
        <v>9.9441000000000009E-3</v>
      </c>
      <c r="T3724" t="str">
        <f t="shared" si="301"/>
        <v>Garapa Gentle Smooth 25x145 Long</v>
      </c>
    </row>
    <row r="3725" spans="1:20" x14ac:dyDescent="0.25">
      <c r="A3725" t="s">
        <v>1263</v>
      </c>
      <c r="B3725" t="s">
        <v>4478</v>
      </c>
      <c r="C3725" t="s">
        <v>283</v>
      </c>
      <c r="D3725" t="s">
        <v>438</v>
      </c>
      <c r="E3725" t="s">
        <v>4485</v>
      </c>
      <c r="F3725" t="s">
        <v>4480</v>
      </c>
      <c r="G3725" t="s">
        <v>1263</v>
      </c>
      <c r="H3725" t="s">
        <v>4481</v>
      </c>
      <c r="I3725" t="s">
        <v>289</v>
      </c>
      <c r="J3725" t="s">
        <v>4482</v>
      </c>
      <c r="K3725">
        <v>10</v>
      </c>
      <c r="L3725" s="6">
        <v>3.048</v>
      </c>
      <c r="M3725" s="7">
        <v>25</v>
      </c>
      <c r="N3725" s="7">
        <v>145</v>
      </c>
      <c r="O3725" s="7">
        <f t="shared" si="302"/>
        <v>120</v>
      </c>
      <c r="P3725" s="7">
        <f t="shared" si="303"/>
        <v>0.98425196850393704</v>
      </c>
      <c r="Q3725" s="7">
        <f t="shared" si="303"/>
        <v>5.7086614173228352</v>
      </c>
      <c r="R3725" s="6">
        <f t="shared" si="304"/>
        <v>905.05899999999997</v>
      </c>
      <c r="S3725" s="6">
        <f t="shared" si="305"/>
        <v>1.1049000000000002E-2</v>
      </c>
      <c r="T3725" t="str">
        <f t="shared" si="301"/>
        <v>Garapa Gentle Smooth 25x145 Long</v>
      </c>
    </row>
    <row r="3726" spans="1:20" x14ac:dyDescent="0.25">
      <c r="A3726" t="s">
        <v>1263</v>
      </c>
      <c r="B3726" t="s">
        <v>4478</v>
      </c>
      <c r="C3726" t="s">
        <v>283</v>
      </c>
      <c r="D3726" t="s">
        <v>438</v>
      </c>
      <c r="E3726" t="s">
        <v>4486</v>
      </c>
      <c r="F3726" t="s">
        <v>4480</v>
      </c>
      <c r="G3726" t="s">
        <v>1263</v>
      </c>
      <c r="H3726" t="s">
        <v>4481</v>
      </c>
      <c r="I3726" t="s">
        <v>289</v>
      </c>
      <c r="J3726" t="s">
        <v>4482</v>
      </c>
      <c r="K3726">
        <v>11</v>
      </c>
      <c r="L3726" s="6">
        <v>3.3527999999999998</v>
      </c>
      <c r="M3726" s="7">
        <v>25</v>
      </c>
      <c r="N3726" s="7">
        <v>145</v>
      </c>
      <c r="O3726" s="7">
        <f t="shared" si="302"/>
        <v>132</v>
      </c>
      <c r="P3726" s="7">
        <f t="shared" si="303"/>
        <v>0.98425196850393704</v>
      </c>
      <c r="Q3726" s="7">
        <f t="shared" si="303"/>
        <v>5.7086614173228352</v>
      </c>
      <c r="R3726" s="6">
        <f t="shared" si="304"/>
        <v>905.05899999999997</v>
      </c>
      <c r="S3726" s="6">
        <f t="shared" si="305"/>
        <v>1.2153899999999999E-2</v>
      </c>
      <c r="T3726" t="str">
        <f t="shared" si="301"/>
        <v>Garapa Gentle Smooth 25x145 Long</v>
      </c>
    </row>
    <row r="3727" spans="1:20" x14ac:dyDescent="0.25">
      <c r="A3727" t="s">
        <v>1263</v>
      </c>
      <c r="B3727" t="s">
        <v>4478</v>
      </c>
      <c r="C3727" t="s">
        <v>283</v>
      </c>
      <c r="D3727" t="s">
        <v>438</v>
      </c>
      <c r="E3727" t="s">
        <v>4487</v>
      </c>
      <c r="F3727" t="s">
        <v>4480</v>
      </c>
      <c r="G3727" t="s">
        <v>1263</v>
      </c>
      <c r="H3727" t="s">
        <v>4481</v>
      </c>
      <c r="I3727" t="s">
        <v>289</v>
      </c>
      <c r="J3727" t="s">
        <v>4482</v>
      </c>
      <c r="K3727">
        <v>12</v>
      </c>
      <c r="L3727" s="6">
        <v>3.6576</v>
      </c>
      <c r="M3727" s="7">
        <v>25</v>
      </c>
      <c r="N3727" s="7">
        <v>145</v>
      </c>
      <c r="O3727" s="7">
        <f t="shared" si="302"/>
        <v>144</v>
      </c>
      <c r="P3727" s="7">
        <f t="shared" si="303"/>
        <v>0.98425196850393704</v>
      </c>
      <c r="Q3727" s="7">
        <f t="shared" si="303"/>
        <v>5.7086614173228352</v>
      </c>
      <c r="R3727" s="6">
        <f t="shared" si="304"/>
        <v>905.05899999999997</v>
      </c>
      <c r="S3727" s="6">
        <f t="shared" si="305"/>
        <v>1.3258799999999999E-2</v>
      </c>
      <c r="T3727" t="str">
        <f t="shared" si="301"/>
        <v>Garapa Gentle Smooth 25x145 Long</v>
      </c>
    </row>
    <row r="3728" spans="1:20" x14ac:dyDescent="0.25">
      <c r="A3728" t="s">
        <v>1263</v>
      </c>
      <c r="B3728" t="s">
        <v>4478</v>
      </c>
      <c r="C3728" t="s">
        <v>283</v>
      </c>
      <c r="D3728" t="s">
        <v>438</v>
      </c>
      <c r="E3728" t="s">
        <v>4488</v>
      </c>
      <c r="F3728" t="s">
        <v>4480</v>
      </c>
      <c r="G3728" t="s">
        <v>1263</v>
      </c>
      <c r="H3728" t="s">
        <v>4481</v>
      </c>
      <c r="I3728" t="s">
        <v>289</v>
      </c>
      <c r="J3728" t="s">
        <v>4482</v>
      </c>
      <c r="K3728">
        <v>13</v>
      </c>
      <c r="L3728" s="6">
        <v>3.9624000000000001</v>
      </c>
      <c r="M3728" s="7">
        <v>25</v>
      </c>
      <c r="N3728" s="7">
        <v>145</v>
      </c>
      <c r="O3728" s="7">
        <f t="shared" si="302"/>
        <v>156</v>
      </c>
      <c r="P3728" s="7">
        <f t="shared" si="303"/>
        <v>0.98425196850393704</v>
      </c>
      <c r="Q3728" s="7">
        <f t="shared" si="303"/>
        <v>5.7086614173228352</v>
      </c>
      <c r="R3728" s="6">
        <f t="shared" si="304"/>
        <v>905.05899999999997</v>
      </c>
      <c r="S3728" s="6">
        <f t="shared" si="305"/>
        <v>1.4363700000000002E-2</v>
      </c>
      <c r="T3728" t="str">
        <f t="shared" si="301"/>
        <v>Garapa Gentle Smooth 25x145 Long</v>
      </c>
    </row>
    <row r="3729" spans="1:20" x14ac:dyDescent="0.25">
      <c r="A3729" t="s">
        <v>1263</v>
      </c>
      <c r="B3729" t="s">
        <v>4478</v>
      </c>
      <c r="C3729" t="s">
        <v>283</v>
      </c>
      <c r="D3729" t="s">
        <v>438</v>
      </c>
      <c r="E3729" t="s">
        <v>4489</v>
      </c>
      <c r="F3729" t="s">
        <v>4480</v>
      </c>
      <c r="G3729" t="s">
        <v>1263</v>
      </c>
      <c r="H3729" t="s">
        <v>4481</v>
      </c>
      <c r="I3729" t="s">
        <v>289</v>
      </c>
      <c r="J3729" t="s">
        <v>4482</v>
      </c>
      <c r="K3729">
        <v>14</v>
      </c>
      <c r="L3729" s="6">
        <v>4.2671999999999999</v>
      </c>
      <c r="M3729" s="7">
        <v>25</v>
      </c>
      <c r="N3729" s="7">
        <v>145</v>
      </c>
      <c r="O3729" s="7">
        <f t="shared" si="302"/>
        <v>168</v>
      </c>
      <c r="P3729" s="7">
        <f t="shared" si="303"/>
        <v>0.98425196850393704</v>
      </c>
      <c r="Q3729" s="7">
        <f t="shared" si="303"/>
        <v>5.7086614173228352</v>
      </c>
      <c r="R3729" s="6">
        <f t="shared" si="304"/>
        <v>905.05899999999997</v>
      </c>
      <c r="S3729" s="6">
        <f t="shared" si="305"/>
        <v>1.5468600000000001E-2</v>
      </c>
      <c r="T3729" t="str">
        <f t="shared" si="301"/>
        <v>Garapa Gentle Smooth 25x145 Long</v>
      </c>
    </row>
    <row r="3730" spans="1:20" x14ac:dyDescent="0.25">
      <c r="A3730" t="s">
        <v>1263</v>
      </c>
      <c r="B3730" t="s">
        <v>4478</v>
      </c>
      <c r="C3730" t="s">
        <v>283</v>
      </c>
      <c r="D3730" t="s">
        <v>438</v>
      </c>
      <c r="E3730" t="s">
        <v>4490</v>
      </c>
      <c r="F3730" t="s">
        <v>4480</v>
      </c>
      <c r="G3730" t="s">
        <v>1263</v>
      </c>
      <c r="H3730" t="s">
        <v>4481</v>
      </c>
      <c r="I3730" t="s">
        <v>289</v>
      </c>
      <c r="J3730" t="s">
        <v>4482</v>
      </c>
      <c r="K3730">
        <v>15</v>
      </c>
      <c r="L3730" s="6">
        <v>4.5720000000000001</v>
      </c>
      <c r="M3730" s="7">
        <v>25</v>
      </c>
      <c r="N3730" s="7">
        <v>145</v>
      </c>
      <c r="O3730" s="7">
        <f t="shared" si="302"/>
        <v>180</v>
      </c>
      <c r="P3730" s="7">
        <f t="shared" si="303"/>
        <v>0.98425196850393704</v>
      </c>
      <c r="Q3730" s="7">
        <f t="shared" si="303"/>
        <v>5.7086614173228352</v>
      </c>
      <c r="R3730" s="6">
        <f t="shared" si="304"/>
        <v>905.05899999999997</v>
      </c>
      <c r="S3730" s="6">
        <f t="shared" si="305"/>
        <v>1.6573499999999998E-2</v>
      </c>
      <c r="T3730" t="str">
        <f t="shared" si="301"/>
        <v>Garapa Gentle Smooth 25x145 Long</v>
      </c>
    </row>
    <row r="3731" spans="1:20" x14ac:dyDescent="0.25">
      <c r="A3731" t="s">
        <v>1351</v>
      </c>
      <c r="B3731" t="s">
        <v>4491</v>
      </c>
      <c r="C3731" t="s">
        <v>283</v>
      </c>
      <c r="D3731" t="s">
        <v>438</v>
      </c>
      <c r="E3731" t="s">
        <v>4492</v>
      </c>
      <c r="F3731" t="s">
        <v>4493</v>
      </c>
      <c r="G3731" t="s">
        <v>1351</v>
      </c>
      <c r="H3731" t="s">
        <v>373</v>
      </c>
      <c r="I3731" t="s">
        <v>289</v>
      </c>
      <c r="J3731" t="s">
        <v>4494</v>
      </c>
      <c r="K3731">
        <v>10</v>
      </c>
      <c r="L3731" s="6">
        <v>3.048</v>
      </c>
      <c r="M3731" s="7">
        <v>19.05</v>
      </c>
      <c r="N3731" s="7">
        <v>82.55</v>
      </c>
      <c r="O3731" s="7">
        <f t="shared" si="302"/>
        <v>120</v>
      </c>
      <c r="P3731" s="7">
        <f t="shared" si="303"/>
        <v>0.75000000000000011</v>
      </c>
      <c r="Q3731" s="7">
        <f t="shared" si="303"/>
        <v>3.25</v>
      </c>
      <c r="R3731" s="6">
        <f t="shared" si="304"/>
        <v>2086.2820000000002</v>
      </c>
      <c r="S3731" s="6">
        <f t="shared" si="305"/>
        <v>4.7932162200000003E-3</v>
      </c>
      <c r="T3731" t="str">
        <f t="shared" si="301"/>
        <v>Ipe S4S E4E 1x3.5 Long</v>
      </c>
    </row>
    <row r="3732" spans="1:20" x14ac:dyDescent="0.25">
      <c r="A3732" t="s">
        <v>4274</v>
      </c>
      <c r="B3732" t="s">
        <v>4293</v>
      </c>
      <c r="C3732" t="s">
        <v>2768</v>
      </c>
      <c r="D3732" t="s">
        <v>4274</v>
      </c>
      <c r="E3732">
        <v>100201</v>
      </c>
      <c r="F3732" t="s">
        <v>4495</v>
      </c>
      <c r="G3732" t="s">
        <v>4496</v>
      </c>
      <c r="H3732" t="s">
        <v>4296</v>
      </c>
      <c r="I3732" t="s">
        <v>289</v>
      </c>
      <c r="J3732" t="s">
        <v>2763</v>
      </c>
      <c r="K3732">
        <v>0</v>
      </c>
      <c r="L3732" s="6">
        <v>0</v>
      </c>
      <c r="M3732" s="7">
        <v>0</v>
      </c>
      <c r="N3732" s="7">
        <v>0</v>
      </c>
      <c r="O3732" s="7">
        <v>0</v>
      </c>
      <c r="P3732" s="7">
        <v>0</v>
      </c>
      <c r="Q3732" s="7">
        <v>0</v>
      </c>
      <c r="R3732" s="6">
        <v>0</v>
      </c>
      <c r="S3732" s="6">
        <v>0</v>
      </c>
      <c r="T3732" t="str">
        <f t="shared" si="301"/>
        <v>Pro Deck Clip Kit 875 Count - us4 SS304 - Black Clip</v>
      </c>
    </row>
    <row r="3733" spans="1:20" x14ac:dyDescent="0.25">
      <c r="A3733" t="s">
        <v>4154</v>
      </c>
      <c r="B3733" t="s">
        <v>4155</v>
      </c>
      <c r="C3733" t="s">
        <v>283</v>
      </c>
      <c r="D3733" t="s">
        <v>3044</v>
      </c>
      <c r="E3733" t="s">
        <v>4497</v>
      </c>
      <c r="F3733" t="s">
        <v>4208</v>
      </c>
      <c r="G3733" t="s">
        <v>4158</v>
      </c>
      <c r="H3733" t="s">
        <v>3638</v>
      </c>
      <c r="I3733" t="s">
        <v>289</v>
      </c>
      <c r="J3733" t="s">
        <v>344</v>
      </c>
      <c r="K3733">
        <v>19</v>
      </c>
      <c r="L3733" s="6">
        <v>5.7</v>
      </c>
      <c r="M3733" s="7">
        <v>19</v>
      </c>
      <c r="N3733" s="7">
        <v>140</v>
      </c>
      <c r="O3733" s="7">
        <f t="shared" ref="O3733" si="306">L3733/0.0254</f>
        <v>224.40944881889766</v>
      </c>
      <c r="P3733" s="7">
        <f t="shared" ref="P3733:Q3733" si="307">M3733/25.4</f>
        <v>0.74803149606299213</v>
      </c>
      <c r="Q3733" s="7">
        <f t="shared" si="307"/>
        <v>5.5118110236220472</v>
      </c>
      <c r="R3733" s="6">
        <f t="shared" ref="R3733" si="308">ROUND(IFERROR(1/((M3733*N3733*0.3048)/1000000),0),3)</f>
        <v>1233.3979999999999</v>
      </c>
      <c r="S3733" s="6">
        <f t="shared" ref="S3733" si="309">L3733*M3733/1000*N3733/1000</f>
        <v>1.5161999999999998E-2</v>
      </c>
      <c r="T3733" t="str">
        <f t="shared" si="301"/>
        <v>Maximo Thermo Scandinavian Pine VJoint - Nickel Gap 1x6 Long</v>
      </c>
    </row>
    <row r="3734" spans="1:20" x14ac:dyDescent="0.25">
      <c r="A3734" t="s">
        <v>2824</v>
      </c>
      <c r="B3734" t="s">
        <v>2825</v>
      </c>
      <c r="C3734" t="s">
        <v>2824</v>
      </c>
      <c r="D3734" t="s">
        <v>2826</v>
      </c>
      <c r="E3734" t="s">
        <v>4498</v>
      </c>
      <c r="F3734" t="s">
        <v>2825</v>
      </c>
      <c r="G3734" t="s">
        <v>2825</v>
      </c>
      <c r="H3734" t="s">
        <v>289</v>
      </c>
      <c r="I3734" t="s">
        <v>289</v>
      </c>
      <c r="J3734">
        <v>0</v>
      </c>
      <c r="K3734">
        <v>0</v>
      </c>
      <c r="L3734" s="6">
        <v>0</v>
      </c>
      <c r="M3734" s="7">
        <v>0</v>
      </c>
      <c r="N3734" s="7">
        <v>0</v>
      </c>
      <c r="O3734" s="7">
        <v>0</v>
      </c>
      <c r="P3734" s="7">
        <v>0</v>
      </c>
      <c r="Q3734" s="7">
        <v>0</v>
      </c>
      <c r="R3734" s="6">
        <v>0</v>
      </c>
      <c r="S3734" s="6">
        <v>0</v>
      </c>
      <c r="T3734" t="str">
        <f t="shared" si="301"/>
        <v>Expense Recovery Services</v>
      </c>
    </row>
    <row r="3735" spans="1:20" x14ac:dyDescent="0.25">
      <c r="A3735" t="s">
        <v>2824</v>
      </c>
      <c r="B3735" t="s">
        <v>2871</v>
      </c>
      <c r="C3735" t="s">
        <v>2824</v>
      </c>
      <c r="D3735" t="s">
        <v>2826</v>
      </c>
      <c r="E3735" t="s">
        <v>4499</v>
      </c>
      <c r="F3735" t="s">
        <v>2871</v>
      </c>
      <c r="G3735" t="s">
        <v>289</v>
      </c>
      <c r="H3735" t="s">
        <v>289</v>
      </c>
      <c r="I3735" t="s">
        <v>289</v>
      </c>
      <c r="J3735">
        <v>0</v>
      </c>
      <c r="K3735">
        <v>0</v>
      </c>
      <c r="L3735" s="6">
        <v>0</v>
      </c>
      <c r="M3735" s="7">
        <v>0</v>
      </c>
      <c r="N3735" s="7">
        <v>0</v>
      </c>
      <c r="O3735" s="7">
        <v>0</v>
      </c>
      <c r="P3735" s="7">
        <v>0</v>
      </c>
      <c r="Q3735" s="7">
        <v>0</v>
      </c>
      <c r="R3735" s="6">
        <v>0</v>
      </c>
      <c r="S3735" s="6">
        <v>0</v>
      </c>
      <c r="T3735" t="str">
        <f t="shared" si="301"/>
        <v>Painting Services</v>
      </c>
    </row>
    <row r="3736" spans="1:20" x14ac:dyDescent="0.25">
      <c r="A3736" t="s">
        <v>2824</v>
      </c>
      <c r="B3736" t="s">
        <v>2866</v>
      </c>
      <c r="C3736" t="s">
        <v>2824</v>
      </c>
      <c r="D3736" t="s">
        <v>2826</v>
      </c>
      <c r="E3736" t="s">
        <v>4500</v>
      </c>
      <c r="F3736" t="s">
        <v>2866</v>
      </c>
      <c r="G3736" t="s">
        <v>289</v>
      </c>
      <c r="H3736" t="s">
        <v>289</v>
      </c>
      <c r="I3736" t="s">
        <v>289</v>
      </c>
      <c r="J3736">
        <v>0</v>
      </c>
      <c r="K3736">
        <v>0</v>
      </c>
      <c r="L3736" s="6">
        <v>0</v>
      </c>
      <c r="M3736" s="7">
        <v>0</v>
      </c>
      <c r="N3736" s="7">
        <v>0</v>
      </c>
      <c r="O3736" s="7">
        <v>0</v>
      </c>
      <c r="P3736" s="7">
        <v>0</v>
      </c>
      <c r="Q3736" s="7">
        <v>0</v>
      </c>
      <c r="R3736" s="6">
        <v>0</v>
      </c>
      <c r="S3736" s="6">
        <v>0</v>
      </c>
      <c r="T3736" t="str">
        <f t="shared" si="301"/>
        <v>Milling Services</v>
      </c>
    </row>
    <row r="3737" spans="1:20" x14ac:dyDescent="0.25">
      <c r="A3737" t="s">
        <v>2824</v>
      </c>
      <c r="B3737" t="s">
        <v>2871</v>
      </c>
      <c r="C3737" t="s">
        <v>2824</v>
      </c>
      <c r="D3737" t="s">
        <v>2826</v>
      </c>
      <c r="E3737" t="s">
        <v>4501</v>
      </c>
      <c r="F3737" t="s">
        <v>2871</v>
      </c>
      <c r="G3737" t="s">
        <v>289</v>
      </c>
      <c r="H3737" t="s">
        <v>289</v>
      </c>
      <c r="I3737" t="s">
        <v>289</v>
      </c>
      <c r="J3737">
        <v>0</v>
      </c>
      <c r="K3737">
        <v>0</v>
      </c>
      <c r="L3737" s="6">
        <v>0</v>
      </c>
      <c r="M3737" s="7">
        <v>0</v>
      </c>
      <c r="N3737" s="7">
        <v>0</v>
      </c>
      <c r="O3737" s="7">
        <v>0</v>
      </c>
      <c r="P3737" s="7">
        <v>0</v>
      </c>
      <c r="Q3737" s="7">
        <v>0</v>
      </c>
      <c r="R3737" s="6">
        <v>0</v>
      </c>
      <c r="S3737" s="6">
        <v>0</v>
      </c>
      <c r="T3737" t="str">
        <f t="shared" si="301"/>
        <v>Painting Services</v>
      </c>
    </row>
    <row r="3738" spans="1:20" x14ac:dyDescent="0.25">
      <c r="A3738" t="s">
        <v>2824</v>
      </c>
      <c r="B3738" t="s">
        <v>2866</v>
      </c>
      <c r="C3738" t="s">
        <v>2824</v>
      </c>
      <c r="D3738" t="s">
        <v>2826</v>
      </c>
      <c r="E3738" t="s">
        <v>4502</v>
      </c>
      <c r="F3738" t="s">
        <v>2866</v>
      </c>
      <c r="G3738" t="s">
        <v>289</v>
      </c>
      <c r="H3738" t="s">
        <v>289</v>
      </c>
      <c r="I3738" t="s">
        <v>289</v>
      </c>
      <c r="J3738">
        <v>0</v>
      </c>
      <c r="K3738">
        <v>0</v>
      </c>
      <c r="L3738" s="6">
        <v>0</v>
      </c>
      <c r="M3738" s="7">
        <v>0</v>
      </c>
      <c r="N3738" s="7">
        <v>0</v>
      </c>
      <c r="O3738" s="7">
        <v>0</v>
      </c>
      <c r="P3738" s="7">
        <v>0</v>
      </c>
      <c r="Q3738" s="7">
        <v>0</v>
      </c>
      <c r="R3738" s="6">
        <v>0</v>
      </c>
      <c r="S3738" s="6">
        <v>0</v>
      </c>
      <c r="T3738" t="str">
        <f t="shared" si="301"/>
        <v>Milling Services</v>
      </c>
    </row>
    <row r="3739" spans="1:20" x14ac:dyDescent="0.25">
      <c r="A3739" t="s">
        <v>2824</v>
      </c>
      <c r="B3739" t="s">
        <v>2825</v>
      </c>
      <c r="C3739" t="s">
        <v>2824</v>
      </c>
      <c r="D3739" t="s">
        <v>2826</v>
      </c>
      <c r="E3739" t="s">
        <v>4503</v>
      </c>
      <c r="F3739" t="s">
        <v>2825</v>
      </c>
      <c r="G3739" t="s">
        <v>2825</v>
      </c>
      <c r="H3739" t="s">
        <v>289</v>
      </c>
      <c r="I3739" t="s">
        <v>289</v>
      </c>
      <c r="J3739">
        <v>0</v>
      </c>
      <c r="K3739">
        <v>0</v>
      </c>
      <c r="L3739" s="6">
        <v>0</v>
      </c>
      <c r="M3739" s="7">
        <v>0</v>
      </c>
      <c r="N3739" s="7">
        <v>0</v>
      </c>
      <c r="O3739" s="7">
        <v>0</v>
      </c>
      <c r="P3739" s="7">
        <v>0</v>
      </c>
      <c r="Q3739" s="7">
        <v>0</v>
      </c>
      <c r="R3739" s="6">
        <v>0</v>
      </c>
      <c r="S3739" s="6">
        <v>0</v>
      </c>
      <c r="T3739" t="str">
        <f t="shared" si="301"/>
        <v>Expense Recovery Services</v>
      </c>
    </row>
    <row r="3740" spans="1:20" x14ac:dyDescent="0.25">
      <c r="A3740" t="s">
        <v>2824</v>
      </c>
      <c r="B3740" t="s">
        <v>2825</v>
      </c>
      <c r="C3740" t="s">
        <v>2824</v>
      </c>
      <c r="D3740" t="s">
        <v>2826</v>
      </c>
      <c r="E3740" t="s">
        <v>4504</v>
      </c>
      <c r="F3740" t="s">
        <v>2825</v>
      </c>
      <c r="G3740" t="s">
        <v>2825</v>
      </c>
      <c r="H3740" t="s">
        <v>289</v>
      </c>
      <c r="I3740" t="s">
        <v>289</v>
      </c>
      <c r="J3740">
        <v>0</v>
      </c>
      <c r="K3740">
        <v>0</v>
      </c>
      <c r="L3740" s="6">
        <v>0</v>
      </c>
      <c r="M3740" s="7">
        <v>0</v>
      </c>
      <c r="N3740" s="7">
        <v>0</v>
      </c>
      <c r="O3740" s="7">
        <v>0</v>
      </c>
      <c r="P3740" s="7">
        <v>0</v>
      </c>
      <c r="Q3740" s="7">
        <v>0</v>
      </c>
      <c r="R3740" s="6">
        <v>0</v>
      </c>
      <c r="S3740" s="6">
        <v>0</v>
      </c>
      <c r="T3740" t="str">
        <f t="shared" si="301"/>
        <v>Expense Recovery Services</v>
      </c>
    </row>
    <row r="3741" spans="1:20" x14ac:dyDescent="0.25">
      <c r="A3741" t="s">
        <v>2824</v>
      </c>
      <c r="B3741" t="s">
        <v>2825</v>
      </c>
      <c r="C3741" t="s">
        <v>2824</v>
      </c>
      <c r="D3741" t="s">
        <v>2826</v>
      </c>
      <c r="E3741" t="s">
        <v>4505</v>
      </c>
      <c r="F3741" t="s">
        <v>2825</v>
      </c>
      <c r="G3741" t="s">
        <v>2825</v>
      </c>
      <c r="H3741" t="s">
        <v>289</v>
      </c>
      <c r="I3741" t="s">
        <v>289</v>
      </c>
      <c r="J3741">
        <v>0</v>
      </c>
      <c r="K3741">
        <v>0</v>
      </c>
      <c r="L3741" s="6">
        <v>0</v>
      </c>
      <c r="M3741" s="7">
        <v>0</v>
      </c>
      <c r="N3741" s="7">
        <v>0</v>
      </c>
      <c r="O3741" s="7">
        <v>0</v>
      </c>
      <c r="P3741" s="7">
        <v>0</v>
      </c>
      <c r="Q3741" s="7">
        <v>0</v>
      </c>
      <c r="R3741" s="6">
        <v>0</v>
      </c>
      <c r="S3741" s="6">
        <v>0</v>
      </c>
      <c r="T3741" t="str">
        <f t="shared" si="301"/>
        <v>Expense Recovery Services</v>
      </c>
    </row>
    <row r="3742" spans="1:20" x14ac:dyDescent="0.25">
      <c r="A3742" t="s">
        <v>2824</v>
      </c>
      <c r="B3742" t="s">
        <v>2871</v>
      </c>
      <c r="C3742" t="s">
        <v>2824</v>
      </c>
      <c r="D3742" t="s">
        <v>2826</v>
      </c>
      <c r="E3742" t="s">
        <v>4506</v>
      </c>
      <c r="F3742" t="s">
        <v>2871</v>
      </c>
      <c r="G3742" t="s">
        <v>289</v>
      </c>
      <c r="H3742" t="s">
        <v>289</v>
      </c>
      <c r="I3742" t="s">
        <v>289</v>
      </c>
      <c r="J3742">
        <v>0</v>
      </c>
      <c r="K3742">
        <v>0</v>
      </c>
      <c r="L3742" s="6">
        <v>0</v>
      </c>
      <c r="M3742" s="7">
        <v>0</v>
      </c>
      <c r="N3742" s="7">
        <v>0</v>
      </c>
      <c r="O3742" s="7">
        <v>0</v>
      </c>
      <c r="P3742" s="7">
        <v>0</v>
      </c>
      <c r="Q3742" s="7">
        <v>0</v>
      </c>
      <c r="R3742" s="6">
        <v>0</v>
      </c>
      <c r="S3742" s="6">
        <v>0</v>
      </c>
      <c r="T3742" t="str">
        <f t="shared" si="301"/>
        <v>Painting Services</v>
      </c>
    </row>
    <row r="3743" spans="1:20" x14ac:dyDescent="0.25">
      <c r="A3743" t="s">
        <v>2824</v>
      </c>
      <c r="B3743" t="s">
        <v>2866</v>
      </c>
      <c r="C3743" t="s">
        <v>2824</v>
      </c>
      <c r="D3743" t="s">
        <v>2826</v>
      </c>
      <c r="E3743" t="s">
        <v>4507</v>
      </c>
      <c r="F3743" t="s">
        <v>2866</v>
      </c>
      <c r="G3743" t="s">
        <v>289</v>
      </c>
      <c r="H3743" t="s">
        <v>289</v>
      </c>
      <c r="I3743" t="s">
        <v>289</v>
      </c>
      <c r="J3743">
        <v>0</v>
      </c>
      <c r="K3743">
        <v>0</v>
      </c>
      <c r="L3743" s="6">
        <v>0</v>
      </c>
      <c r="M3743" s="7">
        <v>0</v>
      </c>
      <c r="N3743" s="7">
        <v>0</v>
      </c>
      <c r="O3743" s="7">
        <v>0</v>
      </c>
      <c r="P3743" s="7">
        <v>0</v>
      </c>
      <c r="Q3743" s="7">
        <v>0</v>
      </c>
      <c r="R3743" s="6">
        <v>0</v>
      </c>
      <c r="S3743" s="6">
        <v>0</v>
      </c>
      <c r="T3743" t="str">
        <f t="shared" si="301"/>
        <v>Milling Services</v>
      </c>
    </row>
    <row r="3744" spans="1:20" x14ac:dyDescent="0.25">
      <c r="A3744" t="s">
        <v>2824</v>
      </c>
      <c r="B3744" t="s">
        <v>2866</v>
      </c>
      <c r="C3744" t="s">
        <v>2824</v>
      </c>
      <c r="D3744" t="s">
        <v>2826</v>
      </c>
      <c r="E3744" t="s">
        <v>4508</v>
      </c>
      <c r="F3744" t="s">
        <v>2866</v>
      </c>
      <c r="G3744" t="s">
        <v>289</v>
      </c>
      <c r="H3744" t="s">
        <v>289</v>
      </c>
      <c r="I3744" t="s">
        <v>289</v>
      </c>
      <c r="J3744">
        <v>0</v>
      </c>
      <c r="K3744">
        <v>0</v>
      </c>
      <c r="L3744" s="6">
        <v>0</v>
      </c>
      <c r="M3744" s="7">
        <v>0</v>
      </c>
      <c r="N3744" s="7">
        <v>0</v>
      </c>
      <c r="O3744" s="7">
        <v>0</v>
      </c>
      <c r="P3744" s="7">
        <v>0</v>
      </c>
      <c r="Q3744" s="7">
        <v>0</v>
      </c>
      <c r="R3744" s="6">
        <v>0</v>
      </c>
      <c r="S3744" s="6">
        <v>0</v>
      </c>
      <c r="T3744" t="str">
        <f t="shared" si="301"/>
        <v>Milling Services</v>
      </c>
    </row>
    <row r="3745" spans="1:20" x14ac:dyDescent="0.25">
      <c r="A3745" t="s">
        <v>2824</v>
      </c>
      <c r="B3745" t="s">
        <v>2825</v>
      </c>
      <c r="C3745" t="s">
        <v>2824</v>
      </c>
      <c r="D3745" t="s">
        <v>2826</v>
      </c>
      <c r="E3745" t="s">
        <v>4509</v>
      </c>
      <c r="F3745" t="s">
        <v>2825</v>
      </c>
      <c r="G3745" t="s">
        <v>2825</v>
      </c>
      <c r="H3745" t="s">
        <v>289</v>
      </c>
      <c r="I3745" t="s">
        <v>289</v>
      </c>
      <c r="J3745">
        <v>0</v>
      </c>
      <c r="K3745">
        <v>0</v>
      </c>
      <c r="L3745" s="6">
        <v>0</v>
      </c>
      <c r="M3745" s="7">
        <v>0</v>
      </c>
      <c r="N3745" s="7">
        <v>0</v>
      </c>
      <c r="O3745" s="7">
        <v>0</v>
      </c>
      <c r="P3745" s="7">
        <v>0</v>
      </c>
      <c r="Q3745" s="7">
        <v>0</v>
      </c>
      <c r="R3745" s="6">
        <v>0</v>
      </c>
      <c r="S3745" s="6">
        <v>0</v>
      </c>
      <c r="T3745" t="str">
        <f t="shared" si="301"/>
        <v>Expense Recovery Services</v>
      </c>
    </row>
    <row r="3746" spans="1:20" x14ac:dyDescent="0.25">
      <c r="A3746" t="s">
        <v>436</v>
      </c>
      <c r="B3746" t="s">
        <v>489</v>
      </c>
      <c r="C3746" t="s">
        <v>283</v>
      </c>
      <c r="D3746" t="s">
        <v>438</v>
      </c>
      <c r="E3746" t="s">
        <v>4510</v>
      </c>
      <c r="F3746" t="s">
        <v>491</v>
      </c>
      <c r="G3746" t="s">
        <v>441</v>
      </c>
      <c r="H3746" t="s">
        <v>288</v>
      </c>
      <c r="I3746" t="s">
        <v>289</v>
      </c>
      <c r="J3746" t="s">
        <v>492</v>
      </c>
      <c r="K3746">
        <v>20</v>
      </c>
      <c r="L3746" s="6">
        <v>6.0960000000000001</v>
      </c>
      <c r="M3746" s="7">
        <v>50.8</v>
      </c>
      <c r="N3746" s="7">
        <v>203.2</v>
      </c>
      <c r="O3746" s="7">
        <f t="shared" ref="O3746" si="310">L3746/0.0254</f>
        <v>240</v>
      </c>
      <c r="P3746" s="7">
        <f t="shared" ref="P3746:Q3746" si="311">M3746/25.4</f>
        <v>2</v>
      </c>
      <c r="Q3746" s="7">
        <f t="shared" si="311"/>
        <v>8</v>
      </c>
      <c r="R3746" s="6">
        <f t="shared" ref="R3746" si="312">ROUND(IFERROR(1/((M3746*N3746*0.3048)/1000000),0),3)</f>
        <v>317.83199999999999</v>
      </c>
      <c r="S3746" s="6">
        <f t="shared" ref="S3746" si="313">L3746*M3746/1000*N3746/1000</f>
        <v>6.2926325759999999E-2</v>
      </c>
      <c r="T3746" t="str">
        <f t="shared" si="301"/>
        <v>Angelim Pedra Rough Sawn 2x8 A Long</v>
      </c>
    </row>
    <row r="3747" spans="1:20" x14ac:dyDescent="0.25">
      <c r="A3747" t="s">
        <v>2824</v>
      </c>
      <c r="B3747" t="s">
        <v>2825</v>
      </c>
      <c r="C3747" t="s">
        <v>2824</v>
      </c>
      <c r="D3747" t="s">
        <v>2826</v>
      </c>
      <c r="E3747" t="s">
        <v>4511</v>
      </c>
      <c r="F3747" t="s">
        <v>2825</v>
      </c>
      <c r="G3747" t="s">
        <v>2825</v>
      </c>
      <c r="H3747" t="s">
        <v>289</v>
      </c>
      <c r="I3747" t="s">
        <v>289</v>
      </c>
      <c r="J3747">
        <v>0</v>
      </c>
      <c r="K3747">
        <v>0</v>
      </c>
      <c r="L3747" s="6">
        <v>0</v>
      </c>
      <c r="M3747" s="7">
        <v>0</v>
      </c>
      <c r="N3747" s="7">
        <v>0</v>
      </c>
      <c r="O3747" s="7">
        <v>0</v>
      </c>
      <c r="P3747" s="7">
        <v>0</v>
      </c>
      <c r="Q3747" s="7">
        <v>0</v>
      </c>
      <c r="R3747" s="6">
        <v>0</v>
      </c>
      <c r="S3747" s="6">
        <v>0</v>
      </c>
      <c r="T3747" t="str">
        <f t="shared" si="301"/>
        <v>Expense Recovery Services</v>
      </c>
    </row>
    <row r="3748" spans="1:20" x14ac:dyDescent="0.25">
      <c r="A3748" t="s">
        <v>2824</v>
      </c>
      <c r="B3748" t="s">
        <v>2866</v>
      </c>
      <c r="C3748" t="s">
        <v>2824</v>
      </c>
      <c r="D3748" t="s">
        <v>2826</v>
      </c>
      <c r="E3748" t="s">
        <v>4512</v>
      </c>
      <c r="F3748" t="s">
        <v>2866</v>
      </c>
      <c r="G3748" t="s">
        <v>289</v>
      </c>
      <c r="H3748" t="s">
        <v>289</v>
      </c>
      <c r="I3748" t="s">
        <v>289</v>
      </c>
      <c r="J3748">
        <v>0</v>
      </c>
      <c r="K3748">
        <v>0</v>
      </c>
      <c r="L3748" s="6">
        <v>0</v>
      </c>
      <c r="M3748" s="7">
        <v>0</v>
      </c>
      <c r="N3748" s="7">
        <v>0</v>
      </c>
      <c r="O3748" s="7">
        <v>0</v>
      </c>
      <c r="P3748" s="7">
        <v>0</v>
      </c>
      <c r="Q3748" s="7">
        <v>0</v>
      </c>
      <c r="R3748" s="6">
        <v>0</v>
      </c>
      <c r="S3748" s="6">
        <v>0</v>
      </c>
      <c r="T3748" t="str">
        <f t="shared" si="301"/>
        <v>Milling Services</v>
      </c>
    </row>
    <row r="3749" spans="1:20" x14ac:dyDescent="0.25">
      <c r="A3749" t="s">
        <v>2824</v>
      </c>
      <c r="B3749" t="s">
        <v>2871</v>
      </c>
      <c r="C3749" t="s">
        <v>2824</v>
      </c>
      <c r="D3749" t="s">
        <v>2826</v>
      </c>
      <c r="E3749" t="s">
        <v>4513</v>
      </c>
      <c r="F3749" t="s">
        <v>2871</v>
      </c>
      <c r="G3749" t="s">
        <v>289</v>
      </c>
      <c r="H3749" t="s">
        <v>289</v>
      </c>
      <c r="I3749" t="s">
        <v>289</v>
      </c>
      <c r="J3749">
        <v>0</v>
      </c>
      <c r="K3749">
        <v>0</v>
      </c>
      <c r="L3749" s="6">
        <v>0</v>
      </c>
      <c r="M3749" s="7">
        <v>0</v>
      </c>
      <c r="N3749" s="7">
        <v>0</v>
      </c>
      <c r="O3749" s="7">
        <v>0</v>
      </c>
      <c r="P3749" s="7">
        <v>0</v>
      </c>
      <c r="Q3749" s="7">
        <v>0</v>
      </c>
      <c r="R3749" s="6">
        <v>0</v>
      </c>
      <c r="S3749" s="6">
        <v>0</v>
      </c>
      <c r="T3749" t="str">
        <f t="shared" si="301"/>
        <v>Painting Services</v>
      </c>
    </row>
    <row r="3750" spans="1:20" x14ac:dyDescent="0.25">
      <c r="A3750" t="s">
        <v>1351</v>
      </c>
      <c r="B3750" t="s">
        <v>1490</v>
      </c>
      <c r="C3750" t="s">
        <v>283</v>
      </c>
      <c r="D3750" t="s">
        <v>438</v>
      </c>
      <c r="E3750" t="s">
        <v>4514</v>
      </c>
      <c r="F3750" t="s">
        <v>4515</v>
      </c>
      <c r="G3750" t="s">
        <v>1351</v>
      </c>
      <c r="H3750" t="s">
        <v>3955</v>
      </c>
      <c r="I3750" t="s">
        <v>289</v>
      </c>
      <c r="J3750" t="s">
        <v>344</v>
      </c>
      <c r="K3750">
        <v>8</v>
      </c>
      <c r="L3750" s="6">
        <v>2.4384000000000001</v>
      </c>
      <c r="M3750" s="7">
        <v>19.05</v>
      </c>
      <c r="N3750" s="7">
        <v>139.69999999999999</v>
      </c>
      <c r="O3750" s="7">
        <f t="shared" ref="O3750:O3813" si="314">L3750/0.0254</f>
        <v>96.000000000000014</v>
      </c>
      <c r="P3750" s="7">
        <f t="shared" ref="P3750:Q3765" si="315">M3750/25.4</f>
        <v>0.75000000000000011</v>
      </c>
      <c r="Q3750" s="7">
        <f t="shared" si="315"/>
        <v>5.5</v>
      </c>
      <c r="R3750" s="6">
        <f t="shared" ref="R3750:R3813" si="316">ROUND(IFERROR(1/((M3750*N3750*0.3048)/1000000),0),3)</f>
        <v>1232.8030000000001</v>
      </c>
      <c r="S3750" s="6">
        <f t="shared" ref="S3750:S3813" si="317">L3750*M3750/1000*N3750/1000</f>
        <v>6.4892773439999994E-3</v>
      </c>
      <c r="T3750" t="str">
        <f t="shared" si="301"/>
        <v>Ipe Nickel Gap 1x6 Long</v>
      </c>
    </row>
    <row r="3751" spans="1:20" x14ac:dyDescent="0.25">
      <c r="A3751" t="s">
        <v>1351</v>
      </c>
      <c r="B3751" t="s">
        <v>1490</v>
      </c>
      <c r="C3751" t="s">
        <v>283</v>
      </c>
      <c r="D3751" t="s">
        <v>438</v>
      </c>
      <c r="E3751" t="s">
        <v>4516</v>
      </c>
      <c r="F3751" t="s">
        <v>4515</v>
      </c>
      <c r="G3751" t="s">
        <v>1351</v>
      </c>
      <c r="H3751" t="s">
        <v>3955</v>
      </c>
      <c r="I3751" t="s">
        <v>289</v>
      </c>
      <c r="J3751" t="s">
        <v>344</v>
      </c>
      <c r="K3751">
        <v>10</v>
      </c>
      <c r="L3751" s="6">
        <v>3.048</v>
      </c>
      <c r="M3751" s="7">
        <v>19.05</v>
      </c>
      <c r="N3751" s="7">
        <v>139.69999999999999</v>
      </c>
      <c r="O3751" s="7">
        <f t="shared" si="314"/>
        <v>120</v>
      </c>
      <c r="P3751" s="7">
        <f t="shared" si="315"/>
        <v>0.75000000000000011</v>
      </c>
      <c r="Q3751" s="7">
        <f t="shared" si="315"/>
        <v>5.5</v>
      </c>
      <c r="R3751" s="6">
        <f t="shared" si="316"/>
        <v>1232.8030000000001</v>
      </c>
      <c r="S3751" s="6">
        <f t="shared" si="317"/>
        <v>8.1115966799999994E-3</v>
      </c>
      <c r="T3751" t="str">
        <f t="shared" si="301"/>
        <v>Ipe Nickel Gap 1x6 Long</v>
      </c>
    </row>
    <row r="3752" spans="1:20" x14ac:dyDescent="0.25">
      <c r="A3752" t="s">
        <v>1351</v>
      </c>
      <c r="B3752" t="s">
        <v>1490</v>
      </c>
      <c r="C3752" t="s">
        <v>283</v>
      </c>
      <c r="D3752" t="s">
        <v>438</v>
      </c>
      <c r="E3752" t="s">
        <v>4517</v>
      </c>
      <c r="F3752" t="s">
        <v>4515</v>
      </c>
      <c r="G3752" t="s">
        <v>1351</v>
      </c>
      <c r="H3752" t="s">
        <v>3955</v>
      </c>
      <c r="I3752" t="s">
        <v>289</v>
      </c>
      <c r="J3752" t="s">
        <v>344</v>
      </c>
      <c r="K3752">
        <v>12</v>
      </c>
      <c r="L3752" s="6">
        <v>3.6576</v>
      </c>
      <c r="M3752" s="7">
        <v>19.05</v>
      </c>
      <c r="N3752" s="7">
        <v>139.69999999999999</v>
      </c>
      <c r="O3752" s="7">
        <f t="shared" si="314"/>
        <v>144</v>
      </c>
      <c r="P3752" s="7">
        <f t="shared" si="315"/>
        <v>0.75000000000000011</v>
      </c>
      <c r="Q3752" s="7">
        <f t="shared" si="315"/>
        <v>5.5</v>
      </c>
      <c r="R3752" s="6">
        <f t="shared" si="316"/>
        <v>1232.8030000000001</v>
      </c>
      <c r="S3752" s="6">
        <f t="shared" si="317"/>
        <v>9.7339160159999986E-3</v>
      </c>
      <c r="T3752" t="str">
        <f t="shared" si="301"/>
        <v>Ipe Nickel Gap 1x6 Long</v>
      </c>
    </row>
    <row r="3753" spans="1:20" x14ac:dyDescent="0.25">
      <c r="A3753" t="s">
        <v>1351</v>
      </c>
      <c r="B3753" t="s">
        <v>1490</v>
      </c>
      <c r="C3753" t="s">
        <v>283</v>
      </c>
      <c r="D3753" t="s">
        <v>438</v>
      </c>
      <c r="E3753" t="s">
        <v>4518</v>
      </c>
      <c r="F3753" t="s">
        <v>4515</v>
      </c>
      <c r="G3753" t="s">
        <v>1351</v>
      </c>
      <c r="H3753" t="s">
        <v>3955</v>
      </c>
      <c r="I3753" t="s">
        <v>289</v>
      </c>
      <c r="J3753" t="s">
        <v>344</v>
      </c>
      <c r="K3753">
        <v>14</v>
      </c>
      <c r="L3753" s="6">
        <v>4.2671999999999999</v>
      </c>
      <c r="M3753" s="7">
        <v>19.05</v>
      </c>
      <c r="N3753" s="7">
        <v>139.69999999999999</v>
      </c>
      <c r="O3753" s="7">
        <f t="shared" si="314"/>
        <v>168</v>
      </c>
      <c r="P3753" s="7">
        <f t="shared" si="315"/>
        <v>0.75000000000000011</v>
      </c>
      <c r="Q3753" s="7">
        <f t="shared" si="315"/>
        <v>5.5</v>
      </c>
      <c r="R3753" s="6">
        <f t="shared" si="316"/>
        <v>1232.8030000000001</v>
      </c>
      <c r="S3753" s="6">
        <f t="shared" si="317"/>
        <v>1.1356235352E-2</v>
      </c>
      <c r="T3753" t="str">
        <f t="shared" si="301"/>
        <v>Ipe Nickel Gap 1x6 Long</v>
      </c>
    </row>
    <row r="3754" spans="1:20" x14ac:dyDescent="0.25">
      <c r="A3754" t="s">
        <v>1351</v>
      </c>
      <c r="B3754" t="s">
        <v>1490</v>
      </c>
      <c r="C3754" t="s">
        <v>283</v>
      </c>
      <c r="D3754" t="s">
        <v>438</v>
      </c>
      <c r="E3754" t="s">
        <v>4519</v>
      </c>
      <c r="F3754" t="s">
        <v>4515</v>
      </c>
      <c r="G3754" t="s">
        <v>1351</v>
      </c>
      <c r="H3754" t="s">
        <v>3955</v>
      </c>
      <c r="I3754" t="s">
        <v>289</v>
      </c>
      <c r="J3754" t="s">
        <v>344</v>
      </c>
      <c r="K3754">
        <v>16</v>
      </c>
      <c r="L3754" s="6">
        <v>4.8768000000000002</v>
      </c>
      <c r="M3754" s="7">
        <v>19.05</v>
      </c>
      <c r="N3754" s="7">
        <v>139.69999999999999</v>
      </c>
      <c r="O3754" s="7">
        <f t="shared" si="314"/>
        <v>192.00000000000003</v>
      </c>
      <c r="P3754" s="7">
        <f t="shared" si="315"/>
        <v>0.75000000000000011</v>
      </c>
      <c r="Q3754" s="7">
        <f t="shared" si="315"/>
        <v>5.5</v>
      </c>
      <c r="R3754" s="6">
        <f t="shared" si="316"/>
        <v>1232.8030000000001</v>
      </c>
      <c r="S3754" s="6">
        <f t="shared" si="317"/>
        <v>1.2978554687999999E-2</v>
      </c>
      <c r="T3754" t="str">
        <f t="shared" si="301"/>
        <v>Ipe Nickel Gap 1x6 Long</v>
      </c>
    </row>
    <row r="3755" spans="1:20" x14ac:dyDescent="0.25">
      <c r="A3755" t="s">
        <v>1351</v>
      </c>
      <c r="B3755" t="s">
        <v>1490</v>
      </c>
      <c r="C3755" t="s">
        <v>283</v>
      </c>
      <c r="D3755" t="s">
        <v>438</v>
      </c>
      <c r="E3755" t="s">
        <v>4520</v>
      </c>
      <c r="F3755" t="s">
        <v>4515</v>
      </c>
      <c r="G3755" t="s">
        <v>1351</v>
      </c>
      <c r="H3755" t="s">
        <v>3955</v>
      </c>
      <c r="I3755" t="s">
        <v>289</v>
      </c>
      <c r="J3755" t="s">
        <v>344</v>
      </c>
      <c r="K3755">
        <v>17</v>
      </c>
      <c r="L3755" s="6">
        <v>5.1816000000000004</v>
      </c>
      <c r="M3755" s="7">
        <v>19.05</v>
      </c>
      <c r="N3755" s="7">
        <v>139.69999999999999</v>
      </c>
      <c r="O3755" s="7">
        <f t="shared" si="314"/>
        <v>204.00000000000003</v>
      </c>
      <c r="P3755" s="7">
        <f t="shared" si="315"/>
        <v>0.75000000000000011</v>
      </c>
      <c r="Q3755" s="7">
        <f t="shared" si="315"/>
        <v>5.5</v>
      </c>
      <c r="R3755" s="6">
        <f t="shared" si="316"/>
        <v>1232.8030000000001</v>
      </c>
      <c r="S3755" s="6">
        <f t="shared" si="317"/>
        <v>1.3789714356000002E-2</v>
      </c>
      <c r="T3755" t="str">
        <f t="shared" si="301"/>
        <v>Ipe Nickel Gap 1x6 Long</v>
      </c>
    </row>
    <row r="3756" spans="1:20" x14ac:dyDescent="0.25">
      <c r="A3756" t="s">
        <v>1351</v>
      </c>
      <c r="B3756" t="s">
        <v>1490</v>
      </c>
      <c r="C3756" t="s">
        <v>283</v>
      </c>
      <c r="D3756" t="s">
        <v>438</v>
      </c>
      <c r="E3756" t="s">
        <v>4521</v>
      </c>
      <c r="F3756" t="s">
        <v>4515</v>
      </c>
      <c r="G3756" t="s">
        <v>1351</v>
      </c>
      <c r="H3756" t="s">
        <v>3955</v>
      </c>
      <c r="I3756" t="s">
        <v>289</v>
      </c>
      <c r="J3756" t="s">
        <v>344</v>
      </c>
      <c r="K3756">
        <v>18</v>
      </c>
      <c r="L3756" s="6">
        <v>5.4863999999999997</v>
      </c>
      <c r="M3756" s="7">
        <v>19.05</v>
      </c>
      <c r="N3756" s="7">
        <v>139.69999999999999</v>
      </c>
      <c r="O3756" s="7">
        <f t="shared" si="314"/>
        <v>216</v>
      </c>
      <c r="P3756" s="7">
        <f t="shared" si="315"/>
        <v>0.75000000000000011</v>
      </c>
      <c r="Q3756" s="7">
        <f t="shared" si="315"/>
        <v>5.5</v>
      </c>
      <c r="R3756" s="6">
        <f t="shared" si="316"/>
        <v>1232.8030000000001</v>
      </c>
      <c r="S3756" s="6">
        <f t="shared" si="317"/>
        <v>1.4600874024E-2</v>
      </c>
      <c r="T3756" t="str">
        <f t="shared" si="301"/>
        <v>Ipe Nickel Gap 1x6 Long</v>
      </c>
    </row>
    <row r="3757" spans="1:20" x14ac:dyDescent="0.25">
      <c r="A3757" t="s">
        <v>1351</v>
      </c>
      <c r="B3757" t="s">
        <v>1490</v>
      </c>
      <c r="C3757" t="s">
        <v>283</v>
      </c>
      <c r="D3757" t="s">
        <v>438</v>
      </c>
      <c r="E3757" t="s">
        <v>4522</v>
      </c>
      <c r="F3757" t="s">
        <v>4515</v>
      </c>
      <c r="G3757" t="s">
        <v>1351</v>
      </c>
      <c r="H3757" t="s">
        <v>3955</v>
      </c>
      <c r="I3757" t="s">
        <v>289</v>
      </c>
      <c r="J3757" t="s">
        <v>344</v>
      </c>
      <c r="K3757">
        <v>22</v>
      </c>
      <c r="L3757" s="6">
        <v>6.7055999999999996</v>
      </c>
      <c r="M3757" s="7">
        <v>19.05</v>
      </c>
      <c r="N3757" s="7">
        <v>139.69999999999999</v>
      </c>
      <c r="O3757" s="7">
        <f t="shared" si="314"/>
        <v>264</v>
      </c>
      <c r="P3757" s="7">
        <f t="shared" si="315"/>
        <v>0.75000000000000011</v>
      </c>
      <c r="Q3757" s="7">
        <f t="shared" si="315"/>
        <v>5.5</v>
      </c>
      <c r="R3757" s="6">
        <f t="shared" si="316"/>
        <v>1232.8030000000001</v>
      </c>
      <c r="S3757" s="6">
        <f t="shared" si="317"/>
        <v>1.7845512695999998E-2</v>
      </c>
      <c r="T3757" t="str">
        <f t="shared" si="301"/>
        <v>Ipe Nickel Gap 1x6 Long</v>
      </c>
    </row>
    <row r="3758" spans="1:20" x14ac:dyDescent="0.25">
      <c r="A3758" t="s">
        <v>1263</v>
      </c>
      <c r="B3758" t="s">
        <v>4523</v>
      </c>
      <c r="C3758" t="s">
        <v>283</v>
      </c>
      <c r="D3758" t="s">
        <v>438</v>
      </c>
      <c r="E3758" t="s">
        <v>4524</v>
      </c>
      <c r="F3758" t="s">
        <v>4525</v>
      </c>
      <c r="G3758" t="s">
        <v>1263</v>
      </c>
      <c r="H3758" t="s">
        <v>373</v>
      </c>
      <c r="I3758" t="s">
        <v>289</v>
      </c>
      <c r="J3758" t="s">
        <v>821</v>
      </c>
      <c r="K3758">
        <v>10</v>
      </c>
      <c r="L3758" s="6">
        <v>3.048</v>
      </c>
      <c r="M3758" s="7">
        <v>38.1</v>
      </c>
      <c r="N3758" s="7">
        <v>139.69999999999999</v>
      </c>
      <c r="O3758" s="7">
        <f t="shared" si="314"/>
        <v>120</v>
      </c>
      <c r="P3758" s="7">
        <f t="shared" si="315"/>
        <v>1.5000000000000002</v>
      </c>
      <c r="Q3758" s="7">
        <f t="shared" si="315"/>
        <v>5.5</v>
      </c>
      <c r="R3758" s="6">
        <f t="shared" si="316"/>
        <v>616.40099999999995</v>
      </c>
      <c r="S3758" s="6">
        <f t="shared" si="317"/>
        <v>1.6223193359999999E-2</v>
      </c>
      <c r="T3758" t="str">
        <f t="shared" si="301"/>
        <v>Garapa S4S E4E 2x6 Long</v>
      </c>
    </row>
    <row r="3759" spans="1:20" x14ac:dyDescent="0.25">
      <c r="A3759" t="s">
        <v>1263</v>
      </c>
      <c r="B3759" t="s">
        <v>4523</v>
      </c>
      <c r="C3759" t="s">
        <v>283</v>
      </c>
      <c r="D3759" t="s">
        <v>438</v>
      </c>
      <c r="E3759" t="s">
        <v>4526</v>
      </c>
      <c r="F3759" t="s">
        <v>4525</v>
      </c>
      <c r="G3759" t="s">
        <v>1263</v>
      </c>
      <c r="H3759" t="s">
        <v>373</v>
      </c>
      <c r="I3759" t="s">
        <v>289</v>
      </c>
      <c r="J3759" t="s">
        <v>821</v>
      </c>
      <c r="K3759">
        <v>11</v>
      </c>
      <c r="L3759" s="6">
        <v>3.3527999999999998</v>
      </c>
      <c r="M3759" s="7">
        <v>38.1</v>
      </c>
      <c r="N3759" s="7">
        <v>139.69999999999999</v>
      </c>
      <c r="O3759" s="7">
        <f t="shared" si="314"/>
        <v>132</v>
      </c>
      <c r="P3759" s="7">
        <f t="shared" si="315"/>
        <v>1.5000000000000002</v>
      </c>
      <c r="Q3759" s="7">
        <f t="shared" si="315"/>
        <v>5.5</v>
      </c>
      <c r="R3759" s="6">
        <f t="shared" si="316"/>
        <v>616.40099999999995</v>
      </c>
      <c r="S3759" s="6">
        <f t="shared" si="317"/>
        <v>1.7845512695999998E-2</v>
      </c>
      <c r="T3759" t="str">
        <f t="shared" si="301"/>
        <v>Garapa S4S E4E 2x6 Long</v>
      </c>
    </row>
    <row r="3760" spans="1:20" x14ac:dyDescent="0.25">
      <c r="A3760" t="s">
        <v>1263</v>
      </c>
      <c r="B3760" t="s">
        <v>4523</v>
      </c>
      <c r="C3760" t="s">
        <v>283</v>
      </c>
      <c r="D3760" t="s">
        <v>438</v>
      </c>
      <c r="E3760" t="s">
        <v>4527</v>
      </c>
      <c r="F3760" t="s">
        <v>4525</v>
      </c>
      <c r="G3760" t="s">
        <v>1263</v>
      </c>
      <c r="H3760" t="s">
        <v>373</v>
      </c>
      <c r="I3760" t="s">
        <v>289</v>
      </c>
      <c r="J3760" t="s">
        <v>821</v>
      </c>
      <c r="K3760">
        <v>12</v>
      </c>
      <c r="L3760" s="6">
        <v>3.6576</v>
      </c>
      <c r="M3760" s="7">
        <v>38.1</v>
      </c>
      <c r="N3760" s="7">
        <v>139.69999999999999</v>
      </c>
      <c r="O3760" s="7">
        <f t="shared" si="314"/>
        <v>144</v>
      </c>
      <c r="P3760" s="7">
        <f t="shared" si="315"/>
        <v>1.5000000000000002</v>
      </c>
      <c r="Q3760" s="7">
        <f t="shared" si="315"/>
        <v>5.5</v>
      </c>
      <c r="R3760" s="6">
        <f t="shared" si="316"/>
        <v>616.40099999999995</v>
      </c>
      <c r="S3760" s="6">
        <f t="shared" si="317"/>
        <v>1.9467832031999997E-2</v>
      </c>
      <c r="T3760" t="str">
        <f t="shared" si="301"/>
        <v>Garapa S4S E4E 2x6 Long</v>
      </c>
    </row>
    <row r="3761" spans="1:20" x14ac:dyDescent="0.25">
      <c r="A3761" t="s">
        <v>1263</v>
      </c>
      <c r="B3761" t="s">
        <v>4523</v>
      </c>
      <c r="C3761" t="s">
        <v>283</v>
      </c>
      <c r="D3761" t="s">
        <v>438</v>
      </c>
      <c r="E3761" t="s">
        <v>4528</v>
      </c>
      <c r="F3761" t="s">
        <v>4525</v>
      </c>
      <c r="G3761" t="s">
        <v>1263</v>
      </c>
      <c r="H3761" t="s">
        <v>373</v>
      </c>
      <c r="I3761" t="s">
        <v>289</v>
      </c>
      <c r="J3761" t="s">
        <v>821</v>
      </c>
      <c r="K3761">
        <v>13</v>
      </c>
      <c r="L3761" s="6">
        <v>3.9624000000000001</v>
      </c>
      <c r="M3761" s="7">
        <v>38.1</v>
      </c>
      <c r="N3761" s="7">
        <v>139.69999999999999</v>
      </c>
      <c r="O3761" s="7">
        <f t="shared" si="314"/>
        <v>156</v>
      </c>
      <c r="P3761" s="7">
        <f t="shared" si="315"/>
        <v>1.5000000000000002</v>
      </c>
      <c r="Q3761" s="7">
        <f t="shared" si="315"/>
        <v>5.5</v>
      </c>
      <c r="R3761" s="6">
        <f t="shared" si="316"/>
        <v>616.40099999999995</v>
      </c>
      <c r="S3761" s="6">
        <f t="shared" si="317"/>
        <v>2.1090151368E-2</v>
      </c>
      <c r="T3761" t="str">
        <f t="shared" si="301"/>
        <v>Garapa S4S E4E 2x6 Long</v>
      </c>
    </row>
    <row r="3762" spans="1:20" x14ac:dyDescent="0.25">
      <c r="A3762" t="s">
        <v>1263</v>
      </c>
      <c r="B3762" t="s">
        <v>4523</v>
      </c>
      <c r="C3762" t="s">
        <v>283</v>
      </c>
      <c r="D3762" t="s">
        <v>438</v>
      </c>
      <c r="E3762" t="s">
        <v>4529</v>
      </c>
      <c r="F3762" t="s">
        <v>4525</v>
      </c>
      <c r="G3762" t="s">
        <v>1263</v>
      </c>
      <c r="H3762" t="s">
        <v>373</v>
      </c>
      <c r="I3762" t="s">
        <v>289</v>
      </c>
      <c r="J3762" t="s">
        <v>821</v>
      </c>
      <c r="K3762">
        <v>14</v>
      </c>
      <c r="L3762" s="6">
        <v>4.2671999999999999</v>
      </c>
      <c r="M3762" s="7">
        <v>38.1</v>
      </c>
      <c r="N3762" s="7">
        <v>139.69999999999999</v>
      </c>
      <c r="O3762" s="7">
        <f t="shared" si="314"/>
        <v>168</v>
      </c>
      <c r="P3762" s="7">
        <f t="shared" si="315"/>
        <v>1.5000000000000002</v>
      </c>
      <c r="Q3762" s="7">
        <f t="shared" si="315"/>
        <v>5.5</v>
      </c>
      <c r="R3762" s="6">
        <f t="shared" si="316"/>
        <v>616.40099999999995</v>
      </c>
      <c r="S3762" s="6">
        <f t="shared" si="317"/>
        <v>2.2712470703999999E-2</v>
      </c>
      <c r="T3762" t="str">
        <f t="shared" si="301"/>
        <v>Garapa S4S E4E 2x6 Long</v>
      </c>
    </row>
    <row r="3763" spans="1:20" x14ac:dyDescent="0.25">
      <c r="A3763" t="s">
        <v>1263</v>
      </c>
      <c r="B3763" t="s">
        <v>4523</v>
      </c>
      <c r="C3763" t="s">
        <v>283</v>
      </c>
      <c r="D3763" t="s">
        <v>438</v>
      </c>
      <c r="E3763" t="s">
        <v>4530</v>
      </c>
      <c r="F3763" t="s">
        <v>4525</v>
      </c>
      <c r="G3763" t="s">
        <v>1263</v>
      </c>
      <c r="H3763" t="s">
        <v>373</v>
      </c>
      <c r="I3763" t="s">
        <v>289</v>
      </c>
      <c r="J3763" t="s">
        <v>821</v>
      </c>
      <c r="K3763">
        <v>15</v>
      </c>
      <c r="L3763" s="6">
        <v>4.5720000000000001</v>
      </c>
      <c r="M3763" s="7">
        <v>38.1</v>
      </c>
      <c r="N3763" s="7">
        <v>139.69999999999999</v>
      </c>
      <c r="O3763" s="7">
        <f t="shared" si="314"/>
        <v>180</v>
      </c>
      <c r="P3763" s="7">
        <f t="shared" si="315"/>
        <v>1.5000000000000002</v>
      </c>
      <c r="Q3763" s="7">
        <f t="shared" si="315"/>
        <v>5.5</v>
      </c>
      <c r="R3763" s="6">
        <f t="shared" si="316"/>
        <v>616.40099999999995</v>
      </c>
      <c r="S3763" s="6">
        <f t="shared" si="317"/>
        <v>2.4334790040000002E-2</v>
      </c>
      <c r="T3763" t="str">
        <f t="shared" si="301"/>
        <v>Garapa S4S E4E 2x6 Long</v>
      </c>
    </row>
    <row r="3764" spans="1:20" x14ac:dyDescent="0.25">
      <c r="A3764" t="s">
        <v>1263</v>
      </c>
      <c r="B3764" t="s">
        <v>4523</v>
      </c>
      <c r="C3764" t="s">
        <v>283</v>
      </c>
      <c r="D3764" t="s">
        <v>438</v>
      </c>
      <c r="E3764" t="s">
        <v>4531</v>
      </c>
      <c r="F3764" t="s">
        <v>4525</v>
      </c>
      <c r="G3764" t="s">
        <v>1263</v>
      </c>
      <c r="H3764" t="s">
        <v>373</v>
      </c>
      <c r="I3764" t="s">
        <v>289</v>
      </c>
      <c r="J3764" t="s">
        <v>821</v>
      </c>
      <c r="K3764">
        <v>16</v>
      </c>
      <c r="L3764" s="6">
        <v>4.8768000000000002</v>
      </c>
      <c r="M3764" s="7">
        <v>38.1</v>
      </c>
      <c r="N3764" s="7">
        <v>139.69999999999999</v>
      </c>
      <c r="O3764" s="7">
        <f t="shared" si="314"/>
        <v>192.00000000000003</v>
      </c>
      <c r="P3764" s="7">
        <f t="shared" si="315"/>
        <v>1.5000000000000002</v>
      </c>
      <c r="Q3764" s="7">
        <f t="shared" si="315"/>
        <v>5.5</v>
      </c>
      <c r="R3764" s="6">
        <f t="shared" si="316"/>
        <v>616.40099999999995</v>
      </c>
      <c r="S3764" s="6">
        <f t="shared" si="317"/>
        <v>2.5957109375999998E-2</v>
      </c>
      <c r="T3764" t="str">
        <f t="shared" si="301"/>
        <v>Garapa S4S E4E 2x6 Long</v>
      </c>
    </row>
    <row r="3765" spans="1:20" x14ac:dyDescent="0.25">
      <c r="A3765" t="s">
        <v>1263</v>
      </c>
      <c r="B3765" t="s">
        <v>4523</v>
      </c>
      <c r="C3765" t="s">
        <v>283</v>
      </c>
      <c r="D3765" t="s">
        <v>438</v>
      </c>
      <c r="E3765" t="s">
        <v>4532</v>
      </c>
      <c r="F3765" t="s">
        <v>4525</v>
      </c>
      <c r="G3765" t="s">
        <v>1263</v>
      </c>
      <c r="H3765" t="s">
        <v>373</v>
      </c>
      <c r="I3765" t="s">
        <v>289</v>
      </c>
      <c r="J3765" t="s">
        <v>821</v>
      </c>
      <c r="K3765">
        <v>17</v>
      </c>
      <c r="L3765" s="6">
        <v>5.1816000000000004</v>
      </c>
      <c r="M3765" s="7">
        <v>38.1</v>
      </c>
      <c r="N3765" s="7">
        <v>139.69999999999999</v>
      </c>
      <c r="O3765" s="7">
        <f t="shared" si="314"/>
        <v>204.00000000000003</v>
      </c>
      <c r="P3765" s="7">
        <f t="shared" si="315"/>
        <v>1.5000000000000002</v>
      </c>
      <c r="Q3765" s="7">
        <f t="shared" si="315"/>
        <v>5.5</v>
      </c>
      <c r="R3765" s="6">
        <f t="shared" si="316"/>
        <v>616.40099999999995</v>
      </c>
      <c r="S3765" s="6">
        <f t="shared" si="317"/>
        <v>2.7579428712000004E-2</v>
      </c>
      <c r="T3765" t="str">
        <f t="shared" si="301"/>
        <v>Garapa S4S E4E 2x6 Long</v>
      </c>
    </row>
    <row r="3766" spans="1:20" x14ac:dyDescent="0.25">
      <c r="A3766" t="s">
        <v>1263</v>
      </c>
      <c r="B3766" t="s">
        <v>4523</v>
      </c>
      <c r="C3766" t="s">
        <v>283</v>
      </c>
      <c r="D3766" t="s">
        <v>438</v>
      </c>
      <c r="E3766" t="s">
        <v>4533</v>
      </c>
      <c r="F3766" t="s">
        <v>4525</v>
      </c>
      <c r="G3766" t="s">
        <v>1263</v>
      </c>
      <c r="H3766" t="s">
        <v>373</v>
      </c>
      <c r="I3766" t="s">
        <v>289</v>
      </c>
      <c r="J3766" t="s">
        <v>821</v>
      </c>
      <c r="K3766">
        <v>18</v>
      </c>
      <c r="L3766" s="6">
        <v>5.4863999999999997</v>
      </c>
      <c r="M3766" s="7">
        <v>38.1</v>
      </c>
      <c r="N3766" s="7">
        <v>139.69999999999999</v>
      </c>
      <c r="O3766" s="7">
        <f t="shared" si="314"/>
        <v>216</v>
      </c>
      <c r="P3766" s="7">
        <f t="shared" ref="P3766:Q3793" si="318">M3766/25.4</f>
        <v>1.5000000000000002</v>
      </c>
      <c r="Q3766" s="7">
        <f t="shared" si="318"/>
        <v>5.5</v>
      </c>
      <c r="R3766" s="6">
        <f t="shared" si="316"/>
        <v>616.40099999999995</v>
      </c>
      <c r="S3766" s="6">
        <f t="shared" si="317"/>
        <v>2.9201748047999999E-2</v>
      </c>
      <c r="T3766" t="str">
        <f t="shared" si="301"/>
        <v>Garapa S4S E4E 2x6 Long</v>
      </c>
    </row>
    <row r="3767" spans="1:20" x14ac:dyDescent="0.25">
      <c r="A3767" t="s">
        <v>1263</v>
      </c>
      <c r="B3767" t="s">
        <v>4523</v>
      </c>
      <c r="C3767" t="s">
        <v>283</v>
      </c>
      <c r="D3767" t="s">
        <v>438</v>
      </c>
      <c r="E3767" t="s">
        <v>4534</v>
      </c>
      <c r="F3767" t="s">
        <v>4525</v>
      </c>
      <c r="G3767" t="s">
        <v>1263</v>
      </c>
      <c r="H3767" t="s">
        <v>373</v>
      </c>
      <c r="I3767" t="s">
        <v>289</v>
      </c>
      <c r="J3767" t="s">
        <v>821</v>
      </c>
      <c r="K3767">
        <v>19</v>
      </c>
      <c r="L3767" s="6">
        <v>5.7911999999999999</v>
      </c>
      <c r="M3767" s="7">
        <v>38.1</v>
      </c>
      <c r="N3767" s="7">
        <v>139.69999999999999</v>
      </c>
      <c r="O3767" s="7">
        <f t="shared" si="314"/>
        <v>228</v>
      </c>
      <c r="P3767" s="7">
        <f t="shared" si="318"/>
        <v>1.5000000000000002</v>
      </c>
      <c r="Q3767" s="7">
        <f t="shared" si="318"/>
        <v>5.5</v>
      </c>
      <c r="R3767" s="6">
        <f t="shared" si="316"/>
        <v>616.40099999999995</v>
      </c>
      <c r="S3767" s="6">
        <f t="shared" si="317"/>
        <v>3.0824067383999999E-2</v>
      </c>
      <c r="T3767" t="str">
        <f t="shared" si="301"/>
        <v>Garapa S4S E4E 2x6 Long</v>
      </c>
    </row>
    <row r="3768" spans="1:20" x14ac:dyDescent="0.25">
      <c r="A3768" t="s">
        <v>1263</v>
      </c>
      <c r="B3768" t="s">
        <v>4523</v>
      </c>
      <c r="C3768" t="s">
        <v>283</v>
      </c>
      <c r="D3768" t="s">
        <v>438</v>
      </c>
      <c r="E3768" t="s">
        <v>4535</v>
      </c>
      <c r="F3768" t="s">
        <v>4525</v>
      </c>
      <c r="G3768" t="s">
        <v>1263</v>
      </c>
      <c r="H3768" t="s">
        <v>373</v>
      </c>
      <c r="I3768" t="s">
        <v>289</v>
      </c>
      <c r="J3768" t="s">
        <v>821</v>
      </c>
      <c r="K3768">
        <v>20</v>
      </c>
      <c r="L3768" s="6">
        <v>6.0960000000000001</v>
      </c>
      <c r="M3768" s="7">
        <v>38.1</v>
      </c>
      <c r="N3768" s="7">
        <v>139.69999999999999</v>
      </c>
      <c r="O3768" s="7">
        <f t="shared" si="314"/>
        <v>240</v>
      </c>
      <c r="P3768" s="7">
        <f t="shared" si="318"/>
        <v>1.5000000000000002</v>
      </c>
      <c r="Q3768" s="7">
        <f t="shared" si="318"/>
        <v>5.5</v>
      </c>
      <c r="R3768" s="6">
        <f t="shared" si="316"/>
        <v>616.40099999999995</v>
      </c>
      <c r="S3768" s="6">
        <f t="shared" si="317"/>
        <v>3.2446386719999998E-2</v>
      </c>
      <c r="T3768" t="str">
        <f t="shared" si="301"/>
        <v>Garapa S4S E4E 2x6 Long</v>
      </c>
    </row>
    <row r="3769" spans="1:20" x14ac:dyDescent="0.25">
      <c r="A3769" t="s">
        <v>1263</v>
      </c>
      <c r="B3769" t="s">
        <v>4523</v>
      </c>
      <c r="C3769" t="s">
        <v>524</v>
      </c>
      <c r="D3769" t="s">
        <v>438</v>
      </c>
      <c r="E3769" t="s">
        <v>4536</v>
      </c>
      <c r="F3769" t="s">
        <v>4525</v>
      </c>
      <c r="G3769" t="s">
        <v>1263</v>
      </c>
      <c r="H3769" t="s">
        <v>373</v>
      </c>
      <c r="I3769" t="s">
        <v>289</v>
      </c>
      <c r="J3769" t="s">
        <v>821</v>
      </c>
      <c r="K3769">
        <v>3</v>
      </c>
      <c r="L3769" s="6">
        <v>0.91439999999999999</v>
      </c>
      <c r="M3769" s="7">
        <v>38.1</v>
      </c>
      <c r="N3769" s="7">
        <v>139.69999999999999</v>
      </c>
      <c r="O3769" s="7">
        <f t="shared" si="314"/>
        <v>36</v>
      </c>
      <c r="P3769" s="7">
        <f t="shared" si="318"/>
        <v>1.5000000000000002</v>
      </c>
      <c r="Q3769" s="7">
        <f t="shared" si="318"/>
        <v>5.5</v>
      </c>
      <c r="R3769" s="6">
        <f t="shared" si="316"/>
        <v>616.40099999999995</v>
      </c>
      <c r="S3769" s="6">
        <f t="shared" si="317"/>
        <v>4.8669580079999993E-3</v>
      </c>
      <c r="T3769" t="str">
        <f t="shared" si="301"/>
        <v>Garapa S4S E4E 2x6 Short</v>
      </c>
    </row>
    <row r="3770" spans="1:20" x14ac:dyDescent="0.25">
      <c r="A3770" t="s">
        <v>1263</v>
      </c>
      <c r="B3770" t="s">
        <v>4523</v>
      </c>
      <c r="C3770" t="s">
        <v>524</v>
      </c>
      <c r="D3770" t="s">
        <v>438</v>
      </c>
      <c r="E3770" t="s">
        <v>4537</v>
      </c>
      <c r="F3770" t="s">
        <v>4525</v>
      </c>
      <c r="G3770" t="s">
        <v>1263</v>
      </c>
      <c r="H3770" t="s">
        <v>373</v>
      </c>
      <c r="I3770" t="s">
        <v>289</v>
      </c>
      <c r="J3770" t="s">
        <v>821</v>
      </c>
      <c r="K3770">
        <v>4</v>
      </c>
      <c r="L3770" s="6">
        <v>1.2192000000000001</v>
      </c>
      <c r="M3770" s="7">
        <v>38.1</v>
      </c>
      <c r="N3770" s="7">
        <v>139.69999999999999</v>
      </c>
      <c r="O3770" s="7">
        <f t="shared" si="314"/>
        <v>48.000000000000007</v>
      </c>
      <c r="P3770" s="7">
        <f t="shared" si="318"/>
        <v>1.5000000000000002</v>
      </c>
      <c r="Q3770" s="7">
        <f t="shared" si="318"/>
        <v>5.5</v>
      </c>
      <c r="R3770" s="6">
        <f t="shared" si="316"/>
        <v>616.40099999999995</v>
      </c>
      <c r="S3770" s="6">
        <f t="shared" si="317"/>
        <v>6.4892773439999994E-3</v>
      </c>
      <c r="T3770" t="str">
        <f t="shared" si="301"/>
        <v>Garapa S4S E4E 2x6 Short</v>
      </c>
    </row>
    <row r="3771" spans="1:20" x14ac:dyDescent="0.25">
      <c r="A3771" t="s">
        <v>1263</v>
      </c>
      <c r="B3771" t="s">
        <v>4523</v>
      </c>
      <c r="C3771" t="s">
        <v>524</v>
      </c>
      <c r="D3771" t="s">
        <v>438</v>
      </c>
      <c r="E3771" t="s">
        <v>4538</v>
      </c>
      <c r="F3771" t="s">
        <v>4525</v>
      </c>
      <c r="G3771" t="s">
        <v>1263</v>
      </c>
      <c r="H3771" t="s">
        <v>373</v>
      </c>
      <c r="I3771" t="s">
        <v>289</v>
      </c>
      <c r="J3771" t="s">
        <v>821</v>
      </c>
      <c r="K3771">
        <v>5</v>
      </c>
      <c r="L3771" s="6">
        <v>1.524</v>
      </c>
      <c r="M3771" s="7">
        <v>38.1</v>
      </c>
      <c r="N3771" s="7">
        <v>139.69999999999999</v>
      </c>
      <c r="O3771" s="7">
        <f t="shared" si="314"/>
        <v>60</v>
      </c>
      <c r="P3771" s="7">
        <f t="shared" si="318"/>
        <v>1.5000000000000002</v>
      </c>
      <c r="Q3771" s="7">
        <f t="shared" si="318"/>
        <v>5.5</v>
      </c>
      <c r="R3771" s="6">
        <f t="shared" si="316"/>
        <v>616.40099999999995</v>
      </c>
      <c r="S3771" s="6">
        <f t="shared" si="317"/>
        <v>8.1115966799999994E-3</v>
      </c>
      <c r="T3771" t="str">
        <f t="shared" si="301"/>
        <v>Garapa S4S E4E 2x6 Short</v>
      </c>
    </row>
    <row r="3772" spans="1:20" x14ac:dyDescent="0.25">
      <c r="A3772" t="s">
        <v>1263</v>
      </c>
      <c r="B3772" t="s">
        <v>4523</v>
      </c>
      <c r="C3772" t="s">
        <v>524</v>
      </c>
      <c r="D3772" t="s">
        <v>438</v>
      </c>
      <c r="E3772" t="s">
        <v>4539</v>
      </c>
      <c r="F3772" t="s">
        <v>4525</v>
      </c>
      <c r="G3772" t="s">
        <v>1263</v>
      </c>
      <c r="H3772" t="s">
        <v>373</v>
      </c>
      <c r="I3772" t="s">
        <v>289</v>
      </c>
      <c r="J3772" t="s">
        <v>821</v>
      </c>
      <c r="K3772">
        <v>6</v>
      </c>
      <c r="L3772" s="6">
        <v>1.8288</v>
      </c>
      <c r="M3772" s="7">
        <v>38.1</v>
      </c>
      <c r="N3772" s="7">
        <v>139.69999999999999</v>
      </c>
      <c r="O3772" s="7">
        <f t="shared" si="314"/>
        <v>72</v>
      </c>
      <c r="P3772" s="7">
        <f t="shared" si="318"/>
        <v>1.5000000000000002</v>
      </c>
      <c r="Q3772" s="7">
        <f t="shared" si="318"/>
        <v>5.5</v>
      </c>
      <c r="R3772" s="6">
        <f t="shared" si="316"/>
        <v>616.40099999999995</v>
      </c>
      <c r="S3772" s="6">
        <f t="shared" si="317"/>
        <v>9.7339160159999986E-3</v>
      </c>
      <c r="T3772" t="str">
        <f t="shared" si="301"/>
        <v>Garapa S4S E4E 2x6 Short</v>
      </c>
    </row>
    <row r="3773" spans="1:20" x14ac:dyDescent="0.25">
      <c r="A3773" t="s">
        <v>1263</v>
      </c>
      <c r="B3773" t="s">
        <v>4523</v>
      </c>
      <c r="C3773" t="s">
        <v>524</v>
      </c>
      <c r="D3773" t="s">
        <v>438</v>
      </c>
      <c r="E3773" t="s">
        <v>4540</v>
      </c>
      <c r="F3773" t="s">
        <v>4525</v>
      </c>
      <c r="G3773" t="s">
        <v>1263</v>
      </c>
      <c r="H3773" t="s">
        <v>373</v>
      </c>
      <c r="I3773" t="s">
        <v>289</v>
      </c>
      <c r="J3773" t="s">
        <v>821</v>
      </c>
      <c r="K3773">
        <v>7</v>
      </c>
      <c r="L3773" s="6">
        <v>2.1335999999999999</v>
      </c>
      <c r="M3773" s="7">
        <v>38.1</v>
      </c>
      <c r="N3773" s="7">
        <v>139.69999999999999</v>
      </c>
      <c r="O3773" s="7">
        <f t="shared" si="314"/>
        <v>84</v>
      </c>
      <c r="P3773" s="7">
        <f t="shared" si="318"/>
        <v>1.5000000000000002</v>
      </c>
      <c r="Q3773" s="7">
        <f t="shared" si="318"/>
        <v>5.5</v>
      </c>
      <c r="R3773" s="6">
        <f t="shared" si="316"/>
        <v>616.40099999999995</v>
      </c>
      <c r="S3773" s="6">
        <f t="shared" si="317"/>
        <v>1.1356235352E-2</v>
      </c>
      <c r="T3773" t="str">
        <f t="shared" si="301"/>
        <v>Garapa S4S E4E 2x6 Short</v>
      </c>
    </row>
    <row r="3774" spans="1:20" x14ac:dyDescent="0.25">
      <c r="A3774" t="s">
        <v>1263</v>
      </c>
      <c r="B3774" t="s">
        <v>4523</v>
      </c>
      <c r="C3774" t="s">
        <v>283</v>
      </c>
      <c r="D3774" t="s">
        <v>438</v>
      </c>
      <c r="E3774" t="s">
        <v>4541</v>
      </c>
      <c r="F3774" t="s">
        <v>4525</v>
      </c>
      <c r="G3774" t="s">
        <v>1263</v>
      </c>
      <c r="H3774" t="s">
        <v>373</v>
      </c>
      <c r="I3774" t="s">
        <v>289</v>
      </c>
      <c r="J3774" t="s">
        <v>821</v>
      </c>
      <c r="K3774">
        <v>8</v>
      </c>
      <c r="L3774" s="6">
        <v>2.4384000000000001</v>
      </c>
      <c r="M3774" s="7">
        <v>38.1</v>
      </c>
      <c r="N3774" s="7">
        <v>139.69999999999999</v>
      </c>
      <c r="O3774" s="7">
        <f t="shared" si="314"/>
        <v>96.000000000000014</v>
      </c>
      <c r="P3774" s="7">
        <f t="shared" si="318"/>
        <v>1.5000000000000002</v>
      </c>
      <c r="Q3774" s="7">
        <f t="shared" si="318"/>
        <v>5.5</v>
      </c>
      <c r="R3774" s="6">
        <f t="shared" si="316"/>
        <v>616.40099999999995</v>
      </c>
      <c r="S3774" s="6">
        <f t="shared" si="317"/>
        <v>1.2978554687999999E-2</v>
      </c>
      <c r="T3774" t="str">
        <f t="shared" si="301"/>
        <v>Garapa S4S E4E 2x6 Long</v>
      </c>
    </row>
    <row r="3775" spans="1:20" x14ac:dyDescent="0.25">
      <c r="A3775" t="s">
        <v>1263</v>
      </c>
      <c r="B3775" t="s">
        <v>4523</v>
      </c>
      <c r="C3775" t="s">
        <v>283</v>
      </c>
      <c r="D3775" t="s">
        <v>438</v>
      </c>
      <c r="E3775" t="s">
        <v>4542</v>
      </c>
      <c r="F3775" t="s">
        <v>4525</v>
      </c>
      <c r="G3775" t="s">
        <v>1263</v>
      </c>
      <c r="H3775" t="s">
        <v>373</v>
      </c>
      <c r="I3775" t="s">
        <v>289</v>
      </c>
      <c r="J3775" t="s">
        <v>821</v>
      </c>
      <c r="K3775">
        <v>9</v>
      </c>
      <c r="L3775" s="6">
        <v>2.7431999999999999</v>
      </c>
      <c r="M3775" s="7">
        <v>38.1</v>
      </c>
      <c r="N3775" s="7">
        <v>139.69999999999999</v>
      </c>
      <c r="O3775" s="7">
        <f t="shared" si="314"/>
        <v>108</v>
      </c>
      <c r="P3775" s="7">
        <f t="shared" si="318"/>
        <v>1.5000000000000002</v>
      </c>
      <c r="Q3775" s="7">
        <f t="shared" si="318"/>
        <v>5.5</v>
      </c>
      <c r="R3775" s="6">
        <f t="shared" si="316"/>
        <v>616.40099999999995</v>
      </c>
      <c r="S3775" s="6">
        <f t="shared" si="317"/>
        <v>1.4600874024E-2</v>
      </c>
      <c r="T3775" t="str">
        <f t="shared" si="301"/>
        <v>Garapa S4S E4E 2x6 Long</v>
      </c>
    </row>
    <row r="3776" spans="1:20" x14ac:dyDescent="0.25">
      <c r="A3776" t="s">
        <v>1263</v>
      </c>
      <c r="B3776" t="s">
        <v>1301</v>
      </c>
      <c r="C3776" t="s">
        <v>283</v>
      </c>
      <c r="D3776" t="s">
        <v>438</v>
      </c>
      <c r="E3776" t="str">
        <f>"GPKDCBI546"&amp;K3776&amp;"S"</f>
        <v>GPKDCBI54610S</v>
      </c>
      <c r="F3776" t="s">
        <v>4543</v>
      </c>
      <c r="G3776" t="s">
        <v>1263</v>
      </c>
      <c r="H3776" t="s">
        <v>373</v>
      </c>
      <c r="I3776" t="s">
        <v>325</v>
      </c>
      <c r="J3776" t="s">
        <v>301</v>
      </c>
      <c r="K3776">
        <v>10</v>
      </c>
      <c r="L3776" s="6">
        <v>3.048</v>
      </c>
      <c r="M3776" s="7">
        <v>25.4</v>
      </c>
      <c r="N3776" s="7">
        <v>139.69999999999999</v>
      </c>
      <c r="O3776" s="7">
        <f t="shared" si="314"/>
        <v>120</v>
      </c>
      <c r="P3776" s="7">
        <f t="shared" si="318"/>
        <v>1</v>
      </c>
      <c r="Q3776" s="7">
        <f t="shared" si="318"/>
        <v>5.5</v>
      </c>
      <c r="R3776" s="6">
        <f t="shared" si="316"/>
        <v>924.60199999999998</v>
      </c>
      <c r="S3776" s="6">
        <f t="shared" si="317"/>
        <v>1.081546224E-2</v>
      </c>
      <c r="T3776" t="str">
        <f t="shared" si="301"/>
        <v>Garapa S4S E4E Brown Ipe (Coated) 5/4x6 Long</v>
      </c>
    </row>
    <row r="3777" spans="1:20" x14ac:dyDescent="0.25">
      <c r="A3777" t="s">
        <v>1263</v>
      </c>
      <c r="B3777" t="s">
        <v>1301</v>
      </c>
      <c r="C3777" t="s">
        <v>283</v>
      </c>
      <c r="D3777" t="s">
        <v>438</v>
      </c>
      <c r="E3777" t="str">
        <f t="shared" ref="E3777:E3793" si="319">"GPKDCBI546"&amp;K3777&amp;"S"</f>
        <v>GPKDCBI54611S</v>
      </c>
      <c r="F3777" t="s">
        <v>4543</v>
      </c>
      <c r="G3777" t="s">
        <v>1263</v>
      </c>
      <c r="H3777" t="s">
        <v>373</v>
      </c>
      <c r="I3777" t="s">
        <v>325</v>
      </c>
      <c r="J3777" t="s">
        <v>301</v>
      </c>
      <c r="K3777">
        <v>11</v>
      </c>
      <c r="L3777" s="6">
        <v>3.3527999999999998</v>
      </c>
      <c r="M3777" s="7">
        <v>25.4</v>
      </c>
      <c r="N3777" s="7">
        <v>139.69999999999999</v>
      </c>
      <c r="O3777" s="7">
        <f t="shared" si="314"/>
        <v>132</v>
      </c>
      <c r="P3777" s="7">
        <f t="shared" si="318"/>
        <v>1</v>
      </c>
      <c r="Q3777" s="7">
        <f t="shared" si="318"/>
        <v>5.5</v>
      </c>
      <c r="R3777" s="6">
        <f t="shared" si="316"/>
        <v>924.60199999999998</v>
      </c>
      <c r="S3777" s="6">
        <f t="shared" si="317"/>
        <v>1.1897008463999995E-2</v>
      </c>
      <c r="T3777" t="str">
        <f t="shared" si="301"/>
        <v>Garapa S4S E4E Brown Ipe (Coated) 5/4x6 Long</v>
      </c>
    </row>
    <row r="3778" spans="1:20" x14ac:dyDescent="0.25">
      <c r="A3778" t="s">
        <v>1263</v>
      </c>
      <c r="B3778" t="s">
        <v>1301</v>
      </c>
      <c r="C3778" t="s">
        <v>283</v>
      </c>
      <c r="D3778" t="s">
        <v>438</v>
      </c>
      <c r="E3778" t="str">
        <f t="shared" si="319"/>
        <v>GPKDCBI54612S</v>
      </c>
      <c r="F3778" t="s">
        <v>4543</v>
      </c>
      <c r="G3778" t="s">
        <v>1263</v>
      </c>
      <c r="H3778" t="s">
        <v>373</v>
      </c>
      <c r="I3778" t="s">
        <v>325</v>
      </c>
      <c r="J3778" t="s">
        <v>301</v>
      </c>
      <c r="K3778">
        <v>12</v>
      </c>
      <c r="L3778" s="6">
        <v>3.6576</v>
      </c>
      <c r="M3778" s="7">
        <v>25.4</v>
      </c>
      <c r="N3778" s="7">
        <v>139.69999999999999</v>
      </c>
      <c r="O3778" s="7">
        <f t="shared" si="314"/>
        <v>144</v>
      </c>
      <c r="P3778" s="7">
        <f t="shared" si="318"/>
        <v>1</v>
      </c>
      <c r="Q3778" s="7">
        <f t="shared" si="318"/>
        <v>5.5</v>
      </c>
      <c r="R3778" s="6">
        <f t="shared" si="316"/>
        <v>924.60199999999998</v>
      </c>
      <c r="S3778" s="6">
        <f t="shared" si="317"/>
        <v>1.2978554687999997E-2</v>
      </c>
      <c r="T3778" t="str">
        <f t="shared" ref="T3778:T3841" si="320">F3778&amp;" "&amp;C3778</f>
        <v>Garapa S4S E4E Brown Ipe (Coated) 5/4x6 Long</v>
      </c>
    </row>
    <row r="3779" spans="1:20" x14ac:dyDescent="0.25">
      <c r="A3779" t="s">
        <v>1263</v>
      </c>
      <c r="B3779" t="s">
        <v>1301</v>
      </c>
      <c r="C3779" t="s">
        <v>283</v>
      </c>
      <c r="D3779" t="s">
        <v>438</v>
      </c>
      <c r="E3779" t="str">
        <f t="shared" si="319"/>
        <v>GPKDCBI54613S</v>
      </c>
      <c r="F3779" t="s">
        <v>4543</v>
      </c>
      <c r="G3779" t="s">
        <v>1263</v>
      </c>
      <c r="H3779" t="s">
        <v>373</v>
      </c>
      <c r="I3779" t="s">
        <v>325</v>
      </c>
      <c r="J3779" t="s">
        <v>301</v>
      </c>
      <c r="K3779">
        <v>13</v>
      </c>
      <c r="L3779" s="6">
        <v>3.9624000000000001</v>
      </c>
      <c r="M3779" s="7">
        <v>25.4</v>
      </c>
      <c r="N3779" s="7">
        <v>139.69999999999999</v>
      </c>
      <c r="O3779" s="7">
        <f t="shared" si="314"/>
        <v>156</v>
      </c>
      <c r="P3779" s="7">
        <f t="shared" si="318"/>
        <v>1</v>
      </c>
      <c r="Q3779" s="7">
        <f t="shared" si="318"/>
        <v>5.5</v>
      </c>
      <c r="R3779" s="6">
        <f t="shared" si="316"/>
        <v>924.60199999999998</v>
      </c>
      <c r="S3779" s="6">
        <f t="shared" si="317"/>
        <v>1.4060100911999997E-2</v>
      </c>
      <c r="T3779" t="str">
        <f t="shared" si="320"/>
        <v>Garapa S4S E4E Brown Ipe (Coated) 5/4x6 Long</v>
      </c>
    </row>
    <row r="3780" spans="1:20" x14ac:dyDescent="0.25">
      <c r="A3780" t="s">
        <v>1263</v>
      </c>
      <c r="B3780" t="s">
        <v>1301</v>
      </c>
      <c r="C3780" t="s">
        <v>283</v>
      </c>
      <c r="D3780" t="s">
        <v>438</v>
      </c>
      <c r="E3780" t="str">
        <f t="shared" si="319"/>
        <v>GPKDCBI54614S</v>
      </c>
      <c r="F3780" t="s">
        <v>4543</v>
      </c>
      <c r="G3780" t="s">
        <v>1263</v>
      </c>
      <c r="H3780" t="s">
        <v>373</v>
      </c>
      <c r="I3780" t="s">
        <v>325</v>
      </c>
      <c r="J3780" t="s">
        <v>301</v>
      </c>
      <c r="K3780">
        <v>14</v>
      </c>
      <c r="L3780" s="6">
        <v>4.2671999999999999</v>
      </c>
      <c r="M3780" s="7">
        <v>25.4</v>
      </c>
      <c r="N3780" s="7">
        <v>139.69999999999999</v>
      </c>
      <c r="O3780" s="7">
        <f t="shared" si="314"/>
        <v>168</v>
      </c>
      <c r="P3780" s="7">
        <f t="shared" si="318"/>
        <v>1</v>
      </c>
      <c r="Q3780" s="7">
        <f t="shared" si="318"/>
        <v>5.5</v>
      </c>
      <c r="R3780" s="6">
        <f t="shared" si="316"/>
        <v>924.60199999999998</v>
      </c>
      <c r="S3780" s="6">
        <f t="shared" si="317"/>
        <v>1.5141647135999997E-2</v>
      </c>
      <c r="T3780" t="str">
        <f t="shared" si="320"/>
        <v>Garapa S4S E4E Brown Ipe (Coated) 5/4x6 Long</v>
      </c>
    </row>
    <row r="3781" spans="1:20" x14ac:dyDescent="0.25">
      <c r="A3781" t="s">
        <v>1263</v>
      </c>
      <c r="B3781" t="s">
        <v>1301</v>
      </c>
      <c r="C3781" t="s">
        <v>283</v>
      </c>
      <c r="D3781" t="s">
        <v>438</v>
      </c>
      <c r="E3781" t="str">
        <f t="shared" si="319"/>
        <v>GPKDCBI54615S</v>
      </c>
      <c r="F3781" t="s">
        <v>4543</v>
      </c>
      <c r="G3781" t="s">
        <v>1263</v>
      </c>
      <c r="H3781" t="s">
        <v>373</v>
      </c>
      <c r="I3781" t="s">
        <v>325</v>
      </c>
      <c r="J3781" t="s">
        <v>301</v>
      </c>
      <c r="K3781">
        <v>15</v>
      </c>
      <c r="L3781" s="6">
        <v>4.5720000000000001</v>
      </c>
      <c r="M3781" s="7">
        <v>25.4</v>
      </c>
      <c r="N3781" s="7">
        <v>139.69999999999999</v>
      </c>
      <c r="O3781" s="7">
        <f t="shared" si="314"/>
        <v>180</v>
      </c>
      <c r="P3781" s="7">
        <f t="shared" si="318"/>
        <v>1</v>
      </c>
      <c r="Q3781" s="7">
        <f t="shared" si="318"/>
        <v>5.5</v>
      </c>
      <c r="R3781" s="6">
        <f t="shared" si="316"/>
        <v>924.60199999999998</v>
      </c>
      <c r="S3781" s="6">
        <f t="shared" si="317"/>
        <v>1.6223193359999999E-2</v>
      </c>
      <c r="T3781" t="str">
        <f t="shared" si="320"/>
        <v>Garapa S4S E4E Brown Ipe (Coated) 5/4x6 Long</v>
      </c>
    </row>
    <row r="3782" spans="1:20" x14ac:dyDescent="0.25">
      <c r="A3782" t="s">
        <v>1263</v>
      </c>
      <c r="B3782" t="s">
        <v>1301</v>
      </c>
      <c r="C3782" t="s">
        <v>283</v>
      </c>
      <c r="D3782" t="s">
        <v>438</v>
      </c>
      <c r="E3782" t="str">
        <f t="shared" si="319"/>
        <v>GPKDCBI54616S</v>
      </c>
      <c r="F3782" t="s">
        <v>4543</v>
      </c>
      <c r="G3782" t="s">
        <v>1263</v>
      </c>
      <c r="H3782" t="s">
        <v>373</v>
      </c>
      <c r="I3782" t="s">
        <v>325</v>
      </c>
      <c r="J3782" t="s">
        <v>301</v>
      </c>
      <c r="K3782">
        <v>16</v>
      </c>
      <c r="L3782" s="6">
        <v>4.8768000000000002</v>
      </c>
      <c r="M3782" s="7">
        <v>25.4</v>
      </c>
      <c r="N3782" s="7">
        <v>139.69999999999999</v>
      </c>
      <c r="O3782" s="7">
        <f t="shared" si="314"/>
        <v>192.00000000000003</v>
      </c>
      <c r="P3782" s="7">
        <f t="shared" si="318"/>
        <v>1</v>
      </c>
      <c r="Q3782" s="7">
        <f t="shared" si="318"/>
        <v>5.5</v>
      </c>
      <c r="R3782" s="6">
        <f t="shared" si="316"/>
        <v>924.60199999999998</v>
      </c>
      <c r="S3782" s="6">
        <f t="shared" si="317"/>
        <v>1.7304739584000001E-2</v>
      </c>
      <c r="T3782" t="str">
        <f t="shared" si="320"/>
        <v>Garapa S4S E4E Brown Ipe (Coated) 5/4x6 Long</v>
      </c>
    </row>
    <row r="3783" spans="1:20" x14ac:dyDescent="0.25">
      <c r="A3783" t="s">
        <v>1263</v>
      </c>
      <c r="B3783" t="s">
        <v>1301</v>
      </c>
      <c r="C3783" t="s">
        <v>283</v>
      </c>
      <c r="D3783" t="s">
        <v>438</v>
      </c>
      <c r="E3783" t="str">
        <f t="shared" si="319"/>
        <v>GPKDCBI54617S</v>
      </c>
      <c r="F3783" t="s">
        <v>4543</v>
      </c>
      <c r="G3783" t="s">
        <v>1263</v>
      </c>
      <c r="H3783" t="s">
        <v>373</v>
      </c>
      <c r="I3783" t="s">
        <v>325</v>
      </c>
      <c r="J3783" t="s">
        <v>301</v>
      </c>
      <c r="K3783">
        <v>17</v>
      </c>
      <c r="L3783" s="6">
        <v>5.1816000000000004</v>
      </c>
      <c r="M3783" s="7">
        <v>25.4</v>
      </c>
      <c r="N3783" s="7">
        <v>139.69999999999999</v>
      </c>
      <c r="O3783" s="7">
        <f t="shared" si="314"/>
        <v>204.00000000000003</v>
      </c>
      <c r="P3783" s="7">
        <f t="shared" si="318"/>
        <v>1</v>
      </c>
      <c r="Q3783" s="7">
        <f t="shared" si="318"/>
        <v>5.5</v>
      </c>
      <c r="R3783" s="6">
        <f t="shared" si="316"/>
        <v>924.60199999999998</v>
      </c>
      <c r="S3783" s="6">
        <f t="shared" si="317"/>
        <v>1.8386285807999999E-2</v>
      </c>
      <c r="T3783" t="str">
        <f t="shared" si="320"/>
        <v>Garapa S4S E4E Brown Ipe (Coated) 5/4x6 Long</v>
      </c>
    </row>
    <row r="3784" spans="1:20" x14ac:dyDescent="0.25">
      <c r="A3784" t="s">
        <v>1263</v>
      </c>
      <c r="B3784" t="s">
        <v>1301</v>
      </c>
      <c r="C3784" t="s">
        <v>283</v>
      </c>
      <c r="D3784" t="s">
        <v>438</v>
      </c>
      <c r="E3784" t="str">
        <f t="shared" si="319"/>
        <v>GPKDCBI54618S</v>
      </c>
      <c r="F3784" t="s">
        <v>4543</v>
      </c>
      <c r="G3784" t="s">
        <v>1263</v>
      </c>
      <c r="H3784" t="s">
        <v>373</v>
      </c>
      <c r="I3784" t="s">
        <v>325</v>
      </c>
      <c r="J3784" t="s">
        <v>301</v>
      </c>
      <c r="K3784">
        <v>18</v>
      </c>
      <c r="L3784" s="6">
        <v>5.4863999999999997</v>
      </c>
      <c r="M3784" s="7">
        <v>25.4</v>
      </c>
      <c r="N3784" s="7">
        <v>139.69999999999999</v>
      </c>
      <c r="O3784" s="7">
        <f t="shared" si="314"/>
        <v>216</v>
      </c>
      <c r="P3784" s="7">
        <f t="shared" si="318"/>
        <v>1</v>
      </c>
      <c r="Q3784" s="7">
        <f t="shared" si="318"/>
        <v>5.5</v>
      </c>
      <c r="R3784" s="6">
        <f t="shared" si="316"/>
        <v>924.60199999999998</v>
      </c>
      <c r="S3784" s="6">
        <f t="shared" si="317"/>
        <v>1.9467832031999997E-2</v>
      </c>
      <c r="T3784" t="str">
        <f t="shared" si="320"/>
        <v>Garapa S4S E4E Brown Ipe (Coated) 5/4x6 Long</v>
      </c>
    </row>
    <row r="3785" spans="1:20" x14ac:dyDescent="0.25">
      <c r="A3785" t="s">
        <v>1263</v>
      </c>
      <c r="B3785" t="s">
        <v>1301</v>
      </c>
      <c r="C3785" t="s">
        <v>283</v>
      </c>
      <c r="D3785" t="s">
        <v>438</v>
      </c>
      <c r="E3785" t="str">
        <f t="shared" si="319"/>
        <v>GPKDCBI54619S</v>
      </c>
      <c r="F3785" t="s">
        <v>4543</v>
      </c>
      <c r="G3785" t="s">
        <v>1263</v>
      </c>
      <c r="H3785" t="s">
        <v>373</v>
      </c>
      <c r="I3785" t="s">
        <v>325</v>
      </c>
      <c r="J3785" t="s">
        <v>301</v>
      </c>
      <c r="K3785">
        <v>19</v>
      </c>
      <c r="L3785" s="6">
        <v>5.7911999999999999</v>
      </c>
      <c r="M3785" s="7">
        <v>25.4</v>
      </c>
      <c r="N3785" s="7">
        <v>139.69999999999999</v>
      </c>
      <c r="O3785" s="7">
        <f t="shared" si="314"/>
        <v>228</v>
      </c>
      <c r="P3785" s="7">
        <f t="shared" si="318"/>
        <v>1</v>
      </c>
      <c r="Q3785" s="7">
        <f t="shared" si="318"/>
        <v>5.5</v>
      </c>
      <c r="R3785" s="6">
        <f t="shared" si="316"/>
        <v>924.60199999999998</v>
      </c>
      <c r="S3785" s="6">
        <f t="shared" si="317"/>
        <v>2.0549378255999992E-2</v>
      </c>
      <c r="T3785" t="str">
        <f t="shared" si="320"/>
        <v>Garapa S4S E4E Brown Ipe (Coated) 5/4x6 Long</v>
      </c>
    </row>
    <row r="3786" spans="1:20" x14ac:dyDescent="0.25">
      <c r="A3786" t="s">
        <v>1263</v>
      </c>
      <c r="B3786" t="s">
        <v>1301</v>
      </c>
      <c r="C3786" t="s">
        <v>283</v>
      </c>
      <c r="D3786" t="s">
        <v>438</v>
      </c>
      <c r="E3786" t="str">
        <f t="shared" si="319"/>
        <v>GPKDCBI54620S</v>
      </c>
      <c r="F3786" t="s">
        <v>4543</v>
      </c>
      <c r="G3786" t="s">
        <v>1263</v>
      </c>
      <c r="H3786" t="s">
        <v>373</v>
      </c>
      <c r="I3786" t="s">
        <v>325</v>
      </c>
      <c r="J3786" t="s">
        <v>301</v>
      </c>
      <c r="K3786">
        <v>20</v>
      </c>
      <c r="L3786" s="6">
        <v>6.0960000000000001</v>
      </c>
      <c r="M3786" s="7">
        <v>25.4</v>
      </c>
      <c r="N3786" s="7">
        <v>139.69999999999999</v>
      </c>
      <c r="O3786" s="7">
        <f t="shared" si="314"/>
        <v>240</v>
      </c>
      <c r="P3786" s="7">
        <f t="shared" si="318"/>
        <v>1</v>
      </c>
      <c r="Q3786" s="7">
        <f t="shared" si="318"/>
        <v>5.5</v>
      </c>
      <c r="R3786" s="6">
        <f t="shared" si="316"/>
        <v>924.60199999999998</v>
      </c>
      <c r="S3786" s="6">
        <f t="shared" si="317"/>
        <v>2.1630924480000001E-2</v>
      </c>
      <c r="T3786" t="str">
        <f t="shared" si="320"/>
        <v>Garapa S4S E4E Brown Ipe (Coated) 5/4x6 Long</v>
      </c>
    </row>
    <row r="3787" spans="1:20" x14ac:dyDescent="0.25">
      <c r="A3787" t="s">
        <v>1263</v>
      </c>
      <c r="B3787" t="s">
        <v>1301</v>
      </c>
      <c r="C3787" t="s">
        <v>524</v>
      </c>
      <c r="D3787" t="s">
        <v>438</v>
      </c>
      <c r="E3787" t="str">
        <f t="shared" si="319"/>
        <v>GPKDCBI5463S</v>
      </c>
      <c r="F3787" t="s">
        <v>4543</v>
      </c>
      <c r="G3787" t="s">
        <v>1263</v>
      </c>
      <c r="H3787" t="s">
        <v>373</v>
      </c>
      <c r="I3787" t="s">
        <v>325</v>
      </c>
      <c r="J3787" t="s">
        <v>301</v>
      </c>
      <c r="K3787">
        <v>3</v>
      </c>
      <c r="L3787" s="6">
        <v>0.91439999999999999</v>
      </c>
      <c r="M3787" s="7">
        <v>25.4</v>
      </c>
      <c r="N3787" s="7">
        <v>139.69999999999999</v>
      </c>
      <c r="O3787" s="7">
        <f t="shared" si="314"/>
        <v>36</v>
      </c>
      <c r="P3787" s="7">
        <f t="shared" si="318"/>
        <v>1</v>
      </c>
      <c r="Q3787" s="7">
        <f t="shared" si="318"/>
        <v>5.5</v>
      </c>
      <c r="R3787" s="6">
        <f t="shared" si="316"/>
        <v>924.60199999999998</v>
      </c>
      <c r="S3787" s="6">
        <f t="shared" si="317"/>
        <v>3.2446386719999993E-3</v>
      </c>
      <c r="T3787" t="str">
        <f t="shared" si="320"/>
        <v>Garapa S4S E4E Brown Ipe (Coated) 5/4x6 Short</v>
      </c>
    </row>
    <row r="3788" spans="1:20" x14ac:dyDescent="0.25">
      <c r="A3788" t="s">
        <v>1263</v>
      </c>
      <c r="B3788" t="s">
        <v>1301</v>
      </c>
      <c r="C3788" t="s">
        <v>524</v>
      </c>
      <c r="D3788" t="s">
        <v>438</v>
      </c>
      <c r="E3788" t="str">
        <f t="shared" si="319"/>
        <v>GPKDCBI5464S</v>
      </c>
      <c r="F3788" t="s">
        <v>4543</v>
      </c>
      <c r="G3788" t="s">
        <v>1263</v>
      </c>
      <c r="H3788" t="s">
        <v>373</v>
      </c>
      <c r="I3788" t="s">
        <v>325</v>
      </c>
      <c r="J3788" t="s">
        <v>301</v>
      </c>
      <c r="K3788">
        <v>4</v>
      </c>
      <c r="L3788" s="6">
        <v>1.2192000000000001</v>
      </c>
      <c r="M3788" s="7">
        <v>25.4</v>
      </c>
      <c r="N3788" s="7">
        <v>139.69999999999999</v>
      </c>
      <c r="O3788" s="7">
        <f t="shared" si="314"/>
        <v>48.000000000000007</v>
      </c>
      <c r="P3788" s="7">
        <f t="shared" si="318"/>
        <v>1</v>
      </c>
      <c r="Q3788" s="7">
        <f t="shared" si="318"/>
        <v>5.5</v>
      </c>
      <c r="R3788" s="6">
        <f t="shared" si="316"/>
        <v>924.60199999999998</v>
      </c>
      <c r="S3788" s="6">
        <f t="shared" si="317"/>
        <v>4.3261848960000002E-3</v>
      </c>
      <c r="T3788" t="str">
        <f t="shared" si="320"/>
        <v>Garapa S4S E4E Brown Ipe (Coated) 5/4x6 Short</v>
      </c>
    </row>
    <row r="3789" spans="1:20" x14ac:dyDescent="0.25">
      <c r="A3789" t="s">
        <v>1263</v>
      </c>
      <c r="B3789" t="s">
        <v>1301</v>
      </c>
      <c r="C3789" t="s">
        <v>524</v>
      </c>
      <c r="D3789" t="s">
        <v>438</v>
      </c>
      <c r="E3789" t="str">
        <f t="shared" si="319"/>
        <v>GPKDCBI5465S</v>
      </c>
      <c r="F3789" t="s">
        <v>4543</v>
      </c>
      <c r="G3789" t="s">
        <v>1263</v>
      </c>
      <c r="H3789" t="s">
        <v>373</v>
      </c>
      <c r="I3789" t="s">
        <v>325</v>
      </c>
      <c r="J3789" t="s">
        <v>301</v>
      </c>
      <c r="K3789">
        <v>5</v>
      </c>
      <c r="L3789" s="6">
        <v>1.524</v>
      </c>
      <c r="M3789" s="7">
        <v>25.4</v>
      </c>
      <c r="N3789" s="7">
        <v>139.69999999999999</v>
      </c>
      <c r="O3789" s="7">
        <f t="shared" si="314"/>
        <v>60</v>
      </c>
      <c r="P3789" s="7">
        <f t="shared" si="318"/>
        <v>1</v>
      </c>
      <c r="Q3789" s="7">
        <f t="shared" si="318"/>
        <v>5.5</v>
      </c>
      <c r="R3789" s="6">
        <f t="shared" si="316"/>
        <v>924.60199999999998</v>
      </c>
      <c r="S3789" s="6">
        <f t="shared" si="317"/>
        <v>5.4077311200000002E-3</v>
      </c>
      <c r="T3789" t="str">
        <f t="shared" si="320"/>
        <v>Garapa S4S E4E Brown Ipe (Coated) 5/4x6 Short</v>
      </c>
    </row>
    <row r="3790" spans="1:20" x14ac:dyDescent="0.25">
      <c r="A3790" t="s">
        <v>1263</v>
      </c>
      <c r="B3790" t="s">
        <v>1301</v>
      </c>
      <c r="C3790" t="s">
        <v>524</v>
      </c>
      <c r="D3790" t="s">
        <v>438</v>
      </c>
      <c r="E3790" t="str">
        <f t="shared" si="319"/>
        <v>GPKDCBI5466S</v>
      </c>
      <c r="F3790" t="s">
        <v>4543</v>
      </c>
      <c r="G3790" t="s">
        <v>1263</v>
      </c>
      <c r="H3790" t="s">
        <v>373</v>
      </c>
      <c r="I3790" t="s">
        <v>325</v>
      </c>
      <c r="J3790" t="s">
        <v>301</v>
      </c>
      <c r="K3790">
        <v>6</v>
      </c>
      <c r="L3790" s="6">
        <v>1.8288</v>
      </c>
      <c r="M3790" s="7">
        <v>25.4</v>
      </c>
      <c r="N3790" s="7">
        <v>139.69999999999999</v>
      </c>
      <c r="O3790" s="7">
        <f t="shared" si="314"/>
        <v>72</v>
      </c>
      <c r="P3790" s="7">
        <f t="shared" si="318"/>
        <v>1</v>
      </c>
      <c r="Q3790" s="7">
        <f t="shared" si="318"/>
        <v>5.5</v>
      </c>
      <c r="R3790" s="6">
        <f t="shared" si="316"/>
        <v>924.60199999999998</v>
      </c>
      <c r="S3790" s="6">
        <f t="shared" si="317"/>
        <v>6.4892773439999985E-3</v>
      </c>
      <c r="T3790" t="str">
        <f t="shared" si="320"/>
        <v>Garapa S4S E4E Brown Ipe (Coated) 5/4x6 Short</v>
      </c>
    </row>
    <row r="3791" spans="1:20" x14ac:dyDescent="0.25">
      <c r="A3791" t="s">
        <v>1263</v>
      </c>
      <c r="B3791" t="s">
        <v>1301</v>
      </c>
      <c r="C3791" t="s">
        <v>524</v>
      </c>
      <c r="D3791" t="s">
        <v>438</v>
      </c>
      <c r="E3791" t="str">
        <f t="shared" si="319"/>
        <v>GPKDCBI5467S</v>
      </c>
      <c r="F3791" t="s">
        <v>4543</v>
      </c>
      <c r="G3791" t="s">
        <v>1263</v>
      </c>
      <c r="H3791" t="s">
        <v>373</v>
      </c>
      <c r="I3791" t="s">
        <v>325</v>
      </c>
      <c r="J3791" t="s">
        <v>301</v>
      </c>
      <c r="K3791">
        <v>7</v>
      </c>
      <c r="L3791" s="6">
        <v>2.1335999999999999</v>
      </c>
      <c r="M3791" s="7">
        <v>25.4</v>
      </c>
      <c r="N3791" s="7">
        <v>139.69999999999999</v>
      </c>
      <c r="O3791" s="7">
        <f t="shared" si="314"/>
        <v>84</v>
      </c>
      <c r="P3791" s="7">
        <f t="shared" si="318"/>
        <v>1</v>
      </c>
      <c r="Q3791" s="7">
        <f t="shared" si="318"/>
        <v>5.5</v>
      </c>
      <c r="R3791" s="6">
        <f t="shared" si="316"/>
        <v>924.60199999999998</v>
      </c>
      <c r="S3791" s="6">
        <f t="shared" si="317"/>
        <v>7.5708235679999986E-3</v>
      </c>
      <c r="T3791" t="str">
        <f t="shared" si="320"/>
        <v>Garapa S4S E4E Brown Ipe (Coated) 5/4x6 Short</v>
      </c>
    </row>
    <row r="3792" spans="1:20" x14ac:dyDescent="0.25">
      <c r="A3792" t="s">
        <v>1263</v>
      </c>
      <c r="B3792" t="s">
        <v>1301</v>
      </c>
      <c r="C3792" t="s">
        <v>283</v>
      </c>
      <c r="D3792" t="s">
        <v>438</v>
      </c>
      <c r="E3792" t="str">
        <f t="shared" si="319"/>
        <v>GPKDCBI5468S</v>
      </c>
      <c r="F3792" t="s">
        <v>4543</v>
      </c>
      <c r="G3792" t="s">
        <v>1263</v>
      </c>
      <c r="H3792" t="s">
        <v>373</v>
      </c>
      <c r="I3792" t="s">
        <v>325</v>
      </c>
      <c r="J3792" t="s">
        <v>301</v>
      </c>
      <c r="K3792">
        <v>8</v>
      </c>
      <c r="L3792" s="6">
        <v>2.4384000000000001</v>
      </c>
      <c r="M3792" s="7">
        <v>25.4</v>
      </c>
      <c r="N3792" s="7">
        <v>139.69999999999999</v>
      </c>
      <c r="O3792" s="7">
        <f t="shared" si="314"/>
        <v>96.000000000000014</v>
      </c>
      <c r="P3792" s="7">
        <f t="shared" si="318"/>
        <v>1</v>
      </c>
      <c r="Q3792" s="7">
        <f t="shared" si="318"/>
        <v>5.5</v>
      </c>
      <c r="R3792" s="6">
        <f t="shared" si="316"/>
        <v>924.60199999999998</v>
      </c>
      <c r="S3792" s="6">
        <f t="shared" si="317"/>
        <v>8.6523697920000003E-3</v>
      </c>
      <c r="T3792" t="str">
        <f t="shared" si="320"/>
        <v>Garapa S4S E4E Brown Ipe (Coated) 5/4x6 Long</v>
      </c>
    </row>
    <row r="3793" spans="1:20" x14ac:dyDescent="0.25">
      <c r="A3793" t="s">
        <v>1263</v>
      </c>
      <c r="B3793" t="s">
        <v>1301</v>
      </c>
      <c r="C3793" t="s">
        <v>283</v>
      </c>
      <c r="D3793" t="s">
        <v>438</v>
      </c>
      <c r="E3793" t="str">
        <f t="shared" si="319"/>
        <v>GPKDCBI5469S</v>
      </c>
      <c r="F3793" t="s">
        <v>4543</v>
      </c>
      <c r="G3793" t="s">
        <v>1263</v>
      </c>
      <c r="H3793" t="s">
        <v>373</v>
      </c>
      <c r="I3793" t="s">
        <v>325</v>
      </c>
      <c r="J3793" t="s">
        <v>301</v>
      </c>
      <c r="K3793">
        <v>9</v>
      </c>
      <c r="L3793" s="6">
        <v>2.7431999999999999</v>
      </c>
      <c r="M3793" s="7">
        <v>25.4</v>
      </c>
      <c r="N3793" s="7">
        <v>139.69999999999999</v>
      </c>
      <c r="O3793" s="7">
        <f t="shared" si="314"/>
        <v>108</v>
      </c>
      <c r="P3793" s="7">
        <f t="shared" si="318"/>
        <v>1</v>
      </c>
      <c r="Q3793" s="7">
        <f t="shared" si="318"/>
        <v>5.5</v>
      </c>
      <c r="R3793" s="6">
        <f t="shared" si="316"/>
        <v>924.60199999999998</v>
      </c>
      <c r="S3793" s="6">
        <f t="shared" si="317"/>
        <v>9.7339160159999986E-3</v>
      </c>
      <c r="T3793" t="str">
        <f t="shared" si="320"/>
        <v>Garapa S4S E4E Brown Ipe (Coated) 5/4x6 Long</v>
      </c>
    </row>
    <row r="3794" spans="1:20" x14ac:dyDescent="0.25">
      <c r="A3794" t="s">
        <v>3073</v>
      </c>
      <c r="B3794" t="s">
        <v>3080</v>
      </c>
      <c r="C3794" t="s">
        <v>283</v>
      </c>
      <c r="D3794" t="s">
        <v>3044</v>
      </c>
      <c r="E3794" t="str">
        <f>"TAYLNGVJ3FNG16"&amp;K3794</f>
        <v>TAYLNGVJ3FNG1610</v>
      </c>
      <c r="F3794" t="s">
        <v>4544</v>
      </c>
      <c r="G3794" t="s">
        <v>3077</v>
      </c>
      <c r="H3794" t="s">
        <v>4545</v>
      </c>
      <c r="I3794" t="s">
        <v>289</v>
      </c>
      <c r="J3794" t="s">
        <v>344</v>
      </c>
      <c r="K3794">
        <v>10</v>
      </c>
      <c r="L3794" s="6">
        <v>3</v>
      </c>
      <c r="M3794" s="7">
        <v>19</v>
      </c>
      <c r="N3794" s="7">
        <v>140</v>
      </c>
      <c r="O3794" s="7">
        <f t="shared" si="314"/>
        <v>118.11023622047244</v>
      </c>
      <c r="P3794" s="7">
        <f t="shared" ref="P3794:Q3809" si="321">M3794/25.4</f>
        <v>0.74803149606299213</v>
      </c>
      <c r="Q3794" s="7">
        <f t="shared" si="321"/>
        <v>5.5118110236220472</v>
      </c>
      <c r="R3794" s="6">
        <f t="shared" si="316"/>
        <v>1233.3979999999999</v>
      </c>
      <c r="S3794" s="6">
        <f t="shared" si="317"/>
        <v>7.980000000000001E-3</v>
      </c>
      <c r="T3794" t="str">
        <f t="shared" si="320"/>
        <v>Maximo Thermo Ayous VJoint - Nickel Gap 3 Sides NG 1x6 Long</v>
      </c>
    </row>
    <row r="3795" spans="1:20" x14ac:dyDescent="0.25">
      <c r="A3795" t="s">
        <v>3073</v>
      </c>
      <c r="B3795" t="s">
        <v>3080</v>
      </c>
      <c r="C3795" t="s">
        <v>283</v>
      </c>
      <c r="D3795" t="s">
        <v>3044</v>
      </c>
      <c r="E3795" t="str">
        <f t="shared" ref="E3795:E3808" si="322">"TAYLNGVJ3FNG16"&amp;K3795</f>
        <v>TAYLNGVJ3FNG1611</v>
      </c>
      <c r="F3795" t="s">
        <v>4544</v>
      </c>
      <c r="G3795" t="s">
        <v>3077</v>
      </c>
      <c r="H3795" t="s">
        <v>4545</v>
      </c>
      <c r="I3795" t="s">
        <v>289</v>
      </c>
      <c r="J3795" t="s">
        <v>344</v>
      </c>
      <c r="K3795">
        <v>11</v>
      </c>
      <c r="L3795" s="6">
        <v>3.3</v>
      </c>
      <c r="M3795" s="7">
        <v>19</v>
      </c>
      <c r="N3795" s="7">
        <v>140</v>
      </c>
      <c r="O3795" s="7">
        <f t="shared" si="314"/>
        <v>129.92125984251967</v>
      </c>
      <c r="P3795" s="7">
        <f t="shared" si="321"/>
        <v>0.74803149606299213</v>
      </c>
      <c r="Q3795" s="7">
        <f t="shared" si="321"/>
        <v>5.5118110236220472</v>
      </c>
      <c r="R3795" s="6">
        <f t="shared" si="316"/>
        <v>1233.3979999999999</v>
      </c>
      <c r="S3795" s="6">
        <f t="shared" si="317"/>
        <v>8.7779999999999993E-3</v>
      </c>
      <c r="T3795" t="str">
        <f t="shared" si="320"/>
        <v>Maximo Thermo Ayous VJoint - Nickel Gap 3 Sides NG 1x6 Long</v>
      </c>
    </row>
    <row r="3796" spans="1:20" x14ac:dyDescent="0.25">
      <c r="A3796" t="s">
        <v>3073</v>
      </c>
      <c r="B3796" t="s">
        <v>3080</v>
      </c>
      <c r="C3796" t="s">
        <v>283</v>
      </c>
      <c r="D3796" t="s">
        <v>3044</v>
      </c>
      <c r="E3796" t="str">
        <f t="shared" si="322"/>
        <v>TAYLNGVJ3FNG1612</v>
      </c>
      <c r="F3796" t="s">
        <v>4544</v>
      </c>
      <c r="G3796" t="s">
        <v>3077</v>
      </c>
      <c r="H3796" t="s">
        <v>4545</v>
      </c>
      <c r="I3796" t="s">
        <v>289</v>
      </c>
      <c r="J3796" t="s">
        <v>344</v>
      </c>
      <c r="K3796">
        <v>12</v>
      </c>
      <c r="L3796" s="6">
        <v>3.6</v>
      </c>
      <c r="M3796" s="7">
        <v>19</v>
      </c>
      <c r="N3796" s="7">
        <v>140</v>
      </c>
      <c r="O3796" s="7">
        <f t="shared" si="314"/>
        <v>141.73228346456693</v>
      </c>
      <c r="P3796" s="7">
        <f t="shared" si="321"/>
        <v>0.74803149606299213</v>
      </c>
      <c r="Q3796" s="7">
        <f t="shared" si="321"/>
        <v>5.5118110236220472</v>
      </c>
      <c r="R3796" s="6">
        <f t="shared" si="316"/>
        <v>1233.3979999999999</v>
      </c>
      <c r="S3796" s="6">
        <f t="shared" si="317"/>
        <v>9.5760000000000012E-3</v>
      </c>
      <c r="T3796" t="str">
        <f t="shared" si="320"/>
        <v>Maximo Thermo Ayous VJoint - Nickel Gap 3 Sides NG 1x6 Long</v>
      </c>
    </row>
    <row r="3797" spans="1:20" x14ac:dyDescent="0.25">
      <c r="A3797" t="s">
        <v>3073</v>
      </c>
      <c r="B3797" t="s">
        <v>3080</v>
      </c>
      <c r="C3797" t="s">
        <v>283</v>
      </c>
      <c r="D3797" t="s">
        <v>3044</v>
      </c>
      <c r="E3797" t="str">
        <f t="shared" si="322"/>
        <v>TAYLNGVJ3FNG1613</v>
      </c>
      <c r="F3797" t="s">
        <v>4544</v>
      </c>
      <c r="G3797" t="s">
        <v>3077</v>
      </c>
      <c r="H3797" t="s">
        <v>4545</v>
      </c>
      <c r="I3797" t="s">
        <v>289</v>
      </c>
      <c r="J3797" t="s">
        <v>344</v>
      </c>
      <c r="K3797">
        <v>13</v>
      </c>
      <c r="L3797" s="6">
        <v>3.9</v>
      </c>
      <c r="M3797" s="7">
        <v>19</v>
      </c>
      <c r="N3797" s="7">
        <v>140</v>
      </c>
      <c r="O3797" s="7">
        <f t="shared" si="314"/>
        <v>153.54330708661416</v>
      </c>
      <c r="P3797" s="7">
        <f t="shared" si="321"/>
        <v>0.74803149606299213</v>
      </c>
      <c r="Q3797" s="7">
        <f t="shared" si="321"/>
        <v>5.5118110236220472</v>
      </c>
      <c r="R3797" s="6">
        <f t="shared" si="316"/>
        <v>1233.3979999999999</v>
      </c>
      <c r="S3797" s="6">
        <f t="shared" si="317"/>
        <v>1.0374000000000001E-2</v>
      </c>
      <c r="T3797" t="str">
        <f t="shared" si="320"/>
        <v>Maximo Thermo Ayous VJoint - Nickel Gap 3 Sides NG 1x6 Long</v>
      </c>
    </row>
    <row r="3798" spans="1:20" x14ac:dyDescent="0.25">
      <c r="A3798" t="s">
        <v>3073</v>
      </c>
      <c r="B3798" t="s">
        <v>3080</v>
      </c>
      <c r="C3798" t="s">
        <v>283</v>
      </c>
      <c r="D3798" t="s">
        <v>3044</v>
      </c>
      <c r="E3798" t="str">
        <f t="shared" si="322"/>
        <v>TAYLNGVJ3FNG1614</v>
      </c>
      <c r="F3798" t="s">
        <v>4544</v>
      </c>
      <c r="G3798" t="s">
        <v>3077</v>
      </c>
      <c r="H3798" t="s">
        <v>4545</v>
      </c>
      <c r="I3798" t="s">
        <v>289</v>
      </c>
      <c r="J3798" t="s">
        <v>344</v>
      </c>
      <c r="K3798">
        <v>14</v>
      </c>
      <c r="L3798" s="6">
        <v>4.2</v>
      </c>
      <c r="M3798" s="7">
        <v>19</v>
      </c>
      <c r="N3798" s="7">
        <v>140</v>
      </c>
      <c r="O3798" s="7">
        <f t="shared" si="314"/>
        <v>165.35433070866142</v>
      </c>
      <c r="P3798" s="7">
        <f t="shared" si="321"/>
        <v>0.74803149606299213</v>
      </c>
      <c r="Q3798" s="7">
        <f t="shared" si="321"/>
        <v>5.5118110236220472</v>
      </c>
      <c r="R3798" s="6">
        <f t="shared" si="316"/>
        <v>1233.3979999999999</v>
      </c>
      <c r="S3798" s="6">
        <f t="shared" si="317"/>
        <v>1.1172E-2</v>
      </c>
      <c r="T3798" t="str">
        <f t="shared" si="320"/>
        <v>Maximo Thermo Ayous VJoint - Nickel Gap 3 Sides NG 1x6 Long</v>
      </c>
    </row>
    <row r="3799" spans="1:20" x14ac:dyDescent="0.25">
      <c r="A3799" t="s">
        <v>3073</v>
      </c>
      <c r="B3799" t="s">
        <v>3080</v>
      </c>
      <c r="C3799" t="s">
        <v>283</v>
      </c>
      <c r="D3799" t="s">
        <v>3044</v>
      </c>
      <c r="E3799" t="str">
        <f t="shared" si="322"/>
        <v>TAYLNGVJ3FNG1615</v>
      </c>
      <c r="F3799" t="s">
        <v>4544</v>
      </c>
      <c r="G3799" t="s">
        <v>3077</v>
      </c>
      <c r="H3799" t="s">
        <v>4545</v>
      </c>
      <c r="I3799" t="s">
        <v>289</v>
      </c>
      <c r="J3799" t="s">
        <v>344</v>
      </c>
      <c r="K3799">
        <v>15</v>
      </c>
      <c r="L3799" s="6">
        <v>4.5</v>
      </c>
      <c r="M3799" s="7">
        <v>19</v>
      </c>
      <c r="N3799" s="7">
        <v>140</v>
      </c>
      <c r="O3799" s="7">
        <f t="shared" si="314"/>
        <v>177.16535433070868</v>
      </c>
      <c r="P3799" s="7">
        <f t="shared" si="321"/>
        <v>0.74803149606299213</v>
      </c>
      <c r="Q3799" s="7">
        <f t="shared" si="321"/>
        <v>5.5118110236220472</v>
      </c>
      <c r="R3799" s="6">
        <f t="shared" si="316"/>
        <v>1233.3979999999999</v>
      </c>
      <c r="S3799" s="6">
        <f t="shared" si="317"/>
        <v>1.1970000000000001E-2</v>
      </c>
      <c r="T3799" t="str">
        <f t="shared" si="320"/>
        <v>Maximo Thermo Ayous VJoint - Nickel Gap 3 Sides NG 1x6 Long</v>
      </c>
    </row>
    <row r="3800" spans="1:20" x14ac:dyDescent="0.25">
      <c r="A3800" t="s">
        <v>3073</v>
      </c>
      <c r="B3800" t="s">
        <v>3080</v>
      </c>
      <c r="C3800" t="s">
        <v>283</v>
      </c>
      <c r="D3800" t="s">
        <v>3044</v>
      </c>
      <c r="E3800" t="str">
        <f t="shared" si="322"/>
        <v>TAYLNGVJ3FNG1616</v>
      </c>
      <c r="F3800" t="s">
        <v>4544</v>
      </c>
      <c r="G3800" t="s">
        <v>3077</v>
      </c>
      <c r="H3800" t="s">
        <v>4545</v>
      </c>
      <c r="I3800" t="s">
        <v>289</v>
      </c>
      <c r="J3800" t="s">
        <v>344</v>
      </c>
      <c r="K3800">
        <v>16</v>
      </c>
      <c r="L3800" s="6">
        <v>4.8</v>
      </c>
      <c r="M3800" s="7">
        <v>19</v>
      </c>
      <c r="N3800" s="7">
        <v>140</v>
      </c>
      <c r="O3800" s="7">
        <f t="shared" si="314"/>
        <v>188.97637795275591</v>
      </c>
      <c r="P3800" s="7">
        <f t="shared" si="321"/>
        <v>0.74803149606299213</v>
      </c>
      <c r="Q3800" s="7">
        <f t="shared" si="321"/>
        <v>5.5118110236220472</v>
      </c>
      <c r="R3800" s="6">
        <f t="shared" si="316"/>
        <v>1233.3979999999999</v>
      </c>
      <c r="S3800" s="6">
        <f t="shared" si="317"/>
        <v>1.2768E-2</v>
      </c>
      <c r="T3800" t="str">
        <f t="shared" si="320"/>
        <v>Maximo Thermo Ayous VJoint - Nickel Gap 3 Sides NG 1x6 Long</v>
      </c>
    </row>
    <row r="3801" spans="1:20" x14ac:dyDescent="0.25">
      <c r="A3801" t="s">
        <v>3073</v>
      </c>
      <c r="B3801" t="s">
        <v>3080</v>
      </c>
      <c r="C3801" t="s">
        <v>283</v>
      </c>
      <c r="D3801" t="s">
        <v>3044</v>
      </c>
      <c r="E3801" t="str">
        <f t="shared" si="322"/>
        <v>TAYLNGVJ3FNG1617</v>
      </c>
      <c r="F3801" t="s">
        <v>4544</v>
      </c>
      <c r="G3801" t="s">
        <v>3077</v>
      </c>
      <c r="H3801" t="s">
        <v>4545</v>
      </c>
      <c r="I3801" t="s">
        <v>289</v>
      </c>
      <c r="J3801" t="s">
        <v>344</v>
      </c>
      <c r="K3801">
        <v>17</v>
      </c>
      <c r="L3801" s="6">
        <v>5.0999999999999996</v>
      </c>
      <c r="M3801" s="7">
        <v>19</v>
      </c>
      <c r="N3801" s="7">
        <v>140</v>
      </c>
      <c r="O3801" s="7">
        <f t="shared" si="314"/>
        <v>200.78740157480314</v>
      </c>
      <c r="P3801" s="7">
        <f t="shared" si="321"/>
        <v>0.74803149606299213</v>
      </c>
      <c r="Q3801" s="7">
        <f t="shared" si="321"/>
        <v>5.5118110236220472</v>
      </c>
      <c r="R3801" s="6">
        <f t="shared" si="316"/>
        <v>1233.3979999999999</v>
      </c>
      <c r="S3801" s="6">
        <f t="shared" si="317"/>
        <v>1.3565999999999998E-2</v>
      </c>
      <c r="T3801" t="str">
        <f t="shared" si="320"/>
        <v>Maximo Thermo Ayous VJoint - Nickel Gap 3 Sides NG 1x6 Long</v>
      </c>
    </row>
    <row r="3802" spans="1:20" x14ac:dyDescent="0.25">
      <c r="A3802" t="s">
        <v>3073</v>
      </c>
      <c r="B3802" t="s">
        <v>3080</v>
      </c>
      <c r="C3802" t="s">
        <v>283</v>
      </c>
      <c r="D3802" t="s">
        <v>3044</v>
      </c>
      <c r="E3802" t="str">
        <f t="shared" si="322"/>
        <v>TAYLNGVJ3FNG1618</v>
      </c>
      <c r="F3802" t="s">
        <v>4544</v>
      </c>
      <c r="G3802" t="s">
        <v>3077</v>
      </c>
      <c r="H3802" t="s">
        <v>4545</v>
      </c>
      <c r="I3802" t="s">
        <v>289</v>
      </c>
      <c r="J3802" t="s">
        <v>344</v>
      </c>
      <c r="K3802">
        <v>18</v>
      </c>
      <c r="L3802" s="6">
        <v>5.4</v>
      </c>
      <c r="M3802" s="7">
        <v>19</v>
      </c>
      <c r="N3802" s="7">
        <v>140</v>
      </c>
      <c r="O3802" s="7">
        <f t="shared" si="314"/>
        <v>212.59842519685043</v>
      </c>
      <c r="P3802" s="7">
        <f t="shared" si="321"/>
        <v>0.74803149606299213</v>
      </c>
      <c r="Q3802" s="7">
        <f t="shared" si="321"/>
        <v>5.5118110236220472</v>
      </c>
      <c r="R3802" s="6">
        <f t="shared" si="316"/>
        <v>1233.3979999999999</v>
      </c>
      <c r="S3802" s="6">
        <f t="shared" si="317"/>
        <v>1.4364E-2</v>
      </c>
      <c r="T3802" t="str">
        <f t="shared" si="320"/>
        <v>Maximo Thermo Ayous VJoint - Nickel Gap 3 Sides NG 1x6 Long</v>
      </c>
    </row>
    <row r="3803" spans="1:20" x14ac:dyDescent="0.25">
      <c r="A3803" t="s">
        <v>3073</v>
      </c>
      <c r="B3803" t="s">
        <v>3080</v>
      </c>
      <c r="C3803" t="s">
        <v>524</v>
      </c>
      <c r="D3803" t="s">
        <v>3044</v>
      </c>
      <c r="E3803" t="str">
        <f t="shared" si="322"/>
        <v>TAYLNGVJ3FNG164</v>
      </c>
      <c r="F3803" t="s">
        <v>4544</v>
      </c>
      <c r="G3803" t="s">
        <v>3077</v>
      </c>
      <c r="H3803" t="s">
        <v>4545</v>
      </c>
      <c r="I3803" t="s">
        <v>289</v>
      </c>
      <c r="J3803" t="s">
        <v>344</v>
      </c>
      <c r="K3803">
        <v>4</v>
      </c>
      <c r="L3803" s="6">
        <v>1.2</v>
      </c>
      <c r="M3803" s="7">
        <v>19</v>
      </c>
      <c r="N3803" s="7">
        <v>140</v>
      </c>
      <c r="O3803" s="7">
        <f t="shared" si="314"/>
        <v>47.244094488188978</v>
      </c>
      <c r="P3803" s="7">
        <f t="shared" si="321"/>
        <v>0.74803149606299213</v>
      </c>
      <c r="Q3803" s="7">
        <f t="shared" si="321"/>
        <v>5.5118110236220472</v>
      </c>
      <c r="R3803" s="6">
        <f t="shared" si="316"/>
        <v>1233.3979999999999</v>
      </c>
      <c r="S3803" s="6">
        <f t="shared" si="317"/>
        <v>3.192E-3</v>
      </c>
      <c r="T3803" t="str">
        <f t="shared" si="320"/>
        <v>Maximo Thermo Ayous VJoint - Nickel Gap 3 Sides NG 1x6 Short</v>
      </c>
    </row>
    <row r="3804" spans="1:20" x14ac:dyDescent="0.25">
      <c r="A3804" t="s">
        <v>3073</v>
      </c>
      <c r="B3804" t="s">
        <v>3080</v>
      </c>
      <c r="C3804" t="s">
        <v>524</v>
      </c>
      <c r="D3804" t="s">
        <v>3044</v>
      </c>
      <c r="E3804" t="str">
        <f t="shared" si="322"/>
        <v>TAYLNGVJ3FNG165</v>
      </c>
      <c r="F3804" t="s">
        <v>4544</v>
      </c>
      <c r="G3804" t="s">
        <v>3077</v>
      </c>
      <c r="H3804" t="s">
        <v>4545</v>
      </c>
      <c r="I3804" t="s">
        <v>289</v>
      </c>
      <c r="J3804" t="s">
        <v>344</v>
      </c>
      <c r="K3804">
        <v>5</v>
      </c>
      <c r="L3804" s="6">
        <v>1.5</v>
      </c>
      <c r="M3804" s="7">
        <v>19</v>
      </c>
      <c r="N3804" s="7">
        <v>140</v>
      </c>
      <c r="O3804" s="7">
        <f t="shared" si="314"/>
        <v>59.055118110236222</v>
      </c>
      <c r="P3804" s="7">
        <f t="shared" si="321"/>
        <v>0.74803149606299213</v>
      </c>
      <c r="Q3804" s="7">
        <f t="shared" si="321"/>
        <v>5.5118110236220472</v>
      </c>
      <c r="R3804" s="6">
        <f t="shared" si="316"/>
        <v>1233.3979999999999</v>
      </c>
      <c r="S3804" s="6">
        <f t="shared" si="317"/>
        <v>3.9900000000000005E-3</v>
      </c>
      <c r="T3804" t="str">
        <f t="shared" si="320"/>
        <v>Maximo Thermo Ayous VJoint - Nickel Gap 3 Sides NG 1x6 Short</v>
      </c>
    </row>
    <row r="3805" spans="1:20" x14ac:dyDescent="0.25">
      <c r="A3805" t="s">
        <v>3073</v>
      </c>
      <c r="B3805" t="s">
        <v>3080</v>
      </c>
      <c r="C3805" t="s">
        <v>524</v>
      </c>
      <c r="D3805" t="s">
        <v>3044</v>
      </c>
      <c r="E3805" t="str">
        <f t="shared" si="322"/>
        <v>TAYLNGVJ3FNG166</v>
      </c>
      <c r="F3805" t="s">
        <v>4544</v>
      </c>
      <c r="G3805" t="s">
        <v>3077</v>
      </c>
      <c r="H3805" t="s">
        <v>4545</v>
      </c>
      <c r="I3805" t="s">
        <v>289</v>
      </c>
      <c r="J3805" t="s">
        <v>344</v>
      </c>
      <c r="K3805">
        <v>6</v>
      </c>
      <c r="L3805" s="6">
        <v>1.8</v>
      </c>
      <c r="M3805" s="7">
        <v>19</v>
      </c>
      <c r="N3805" s="7">
        <v>140</v>
      </c>
      <c r="O3805" s="7">
        <f t="shared" si="314"/>
        <v>70.866141732283467</v>
      </c>
      <c r="P3805" s="7">
        <f t="shared" si="321"/>
        <v>0.74803149606299213</v>
      </c>
      <c r="Q3805" s="7">
        <f t="shared" si="321"/>
        <v>5.5118110236220472</v>
      </c>
      <c r="R3805" s="6">
        <f t="shared" si="316"/>
        <v>1233.3979999999999</v>
      </c>
      <c r="S3805" s="6">
        <f t="shared" si="317"/>
        <v>4.7880000000000006E-3</v>
      </c>
      <c r="T3805" t="str">
        <f t="shared" si="320"/>
        <v>Maximo Thermo Ayous VJoint - Nickel Gap 3 Sides NG 1x6 Short</v>
      </c>
    </row>
    <row r="3806" spans="1:20" x14ac:dyDescent="0.25">
      <c r="A3806" t="s">
        <v>3073</v>
      </c>
      <c r="B3806" t="s">
        <v>3080</v>
      </c>
      <c r="C3806" t="s">
        <v>524</v>
      </c>
      <c r="D3806" t="s">
        <v>3044</v>
      </c>
      <c r="E3806" t="str">
        <f t="shared" si="322"/>
        <v>TAYLNGVJ3FNG167</v>
      </c>
      <c r="F3806" t="s">
        <v>4544</v>
      </c>
      <c r="G3806" t="s">
        <v>3077</v>
      </c>
      <c r="H3806" t="s">
        <v>4545</v>
      </c>
      <c r="I3806" t="s">
        <v>289</v>
      </c>
      <c r="J3806" t="s">
        <v>344</v>
      </c>
      <c r="K3806">
        <v>7</v>
      </c>
      <c r="L3806" s="6">
        <v>2.1</v>
      </c>
      <c r="M3806" s="7">
        <v>19</v>
      </c>
      <c r="N3806" s="7">
        <v>140</v>
      </c>
      <c r="O3806" s="7">
        <f t="shared" si="314"/>
        <v>82.677165354330711</v>
      </c>
      <c r="P3806" s="7">
        <f t="shared" si="321"/>
        <v>0.74803149606299213</v>
      </c>
      <c r="Q3806" s="7">
        <f t="shared" si="321"/>
        <v>5.5118110236220472</v>
      </c>
      <c r="R3806" s="6">
        <f t="shared" si="316"/>
        <v>1233.3979999999999</v>
      </c>
      <c r="S3806" s="6">
        <f t="shared" si="317"/>
        <v>5.5859999999999998E-3</v>
      </c>
      <c r="T3806" t="str">
        <f t="shared" si="320"/>
        <v>Maximo Thermo Ayous VJoint - Nickel Gap 3 Sides NG 1x6 Short</v>
      </c>
    </row>
    <row r="3807" spans="1:20" x14ac:dyDescent="0.25">
      <c r="A3807" t="s">
        <v>3073</v>
      </c>
      <c r="B3807" t="s">
        <v>3080</v>
      </c>
      <c r="C3807" t="s">
        <v>283</v>
      </c>
      <c r="D3807" t="s">
        <v>3044</v>
      </c>
      <c r="E3807" t="str">
        <f t="shared" si="322"/>
        <v>TAYLNGVJ3FNG168</v>
      </c>
      <c r="F3807" t="s">
        <v>4544</v>
      </c>
      <c r="G3807" t="s">
        <v>3077</v>
      </c>
      <c r="H3807" t="s">
        <v>4545</v>
      </c>
      <c r="I3807" t="s">
        <v>289</v>
      </c>
      <c r="J3807" t="s">
        <v>344</v>
      </c>
      <c r="K3807">
        <v>8</v>
      </c>
      <c r="L3807" s="6">
        <v>2.4</v>
      </c>
      <c r="M3807" s="7">
        <v>19</v>
      </c>
      <c r="N3807" s="7">
        <v>140</v>
      </c>
      <c r="O3807" s="7">
        <f t="shared" si="314"/>
        <v>94.488188976377955</v>
      </c>
      <c r="P3807" s="7">
        <f t="shared" si="321"/>
        <v>0.74803149606299213</v>
      </c>
      <c r="Q3807" s="7">
        <f t="shared" si="321"/>
        <v>5.5118110236220472</v>
      </c>
      <c r="R3807" s="6">
        <f t="shared" si="316"/>
        <v>1233.3979999999999</v>
      </c>
      <c r="S3807" s="6">
        <f t="shared" si="317"/>
        <v>6.3839999999999999E-3</v>
      </c>
      <c r="T3807" t="str">
        <f t="shared" si="320"/>
        <v>Maximo Thermo Ayous VJoint - Nickel Gap 3 Sides NG 1x6 Long</v>
      </c>
    </row>
    <row r="3808" spans="1:20" x14ac:dyDescent="0.25">
      <c r="A3808" t="s">
        <v>3073</v>
      </c>
      <c r="B3808" t="s">
        <v>3080</v>
      </c>
      <c r="C3808" t="s">
        <v>283</v>
      </c>
      <c r="D3808" t="s">
        <v>3044</v>
      </c>
      <c r="E3808" t="str">
        <f t="shared" si="322"/>
        <v>TAYLNGVJ3FNG169</v>
      </c>
      <c r="F3808" t="s">
        <v>4544</v>
      </c>
      <c r="G3808" t="s">
        <v>3077</v>
      </c>
      <c r="H3808" t="s">
        <v>4545</v>
      </c>
      <c r="I3808" t="s">
        <v>289</v>
      </c>
      <c r="J3808" t="s">
        <v>344</v>
      </c>
      <c r="K3808">
        <v>9</v>
      </c>
      <c r="L3808" s="6">
        <v>2.7</v>
      </c>
      <c r="M3808" s="7">
        <v>19</v>
      </c>
      <c r="N3808" s="7">
        <v>140</v>
      </c>
      <c r="O3808" s="7">
        <f t="shared" si="314"/>
        <v>106.29921259842521</v>
      </c>
      <c r="P3808" s="7">
        <f t="shared" si="321"/>
        <v>0.74803149606299213</v>
      </c>
      <c r="Q3808" s="7">
        <f t="shared" si="321"/>
        <v>5.5118110236220472</v>
      </c>
      <c r="R3808" s="6">
        <f t="shared" si="316"/>
        <v>1233.3979999999999</v>
      </c>
      <c r="S3808" s="6">
        <f t="shared" si="317"/>
        <v>7.182E-3</v>
      </c>
      <c r="T3808" t="str">
        <f t="shared" si="320"/>
        <v>Maximo Thermo Ayous VJoint - Nickel Gap 3 Sides NG 1x6 Long</v>
      </c>
    </row>
    <row r="3809" spans="1:20" x14ac:dyDescent="0.25">
      <c r="A3809" t="s">
        <v>3073</v>
      </c>
      <c r="B3809" t="s">
        <v>3080</v>
      </c>
      <c r="C3809" t="s">
        <v>283</v>
      </c>
      <c r="D3809" t="s">
        <v>3044</v>
      </c>
      <c r="E3809" t="str">
        <f>"TAYLNGVJ3FVJ16"&amp;K3809</f>
        <v>TAYLNGVJ3FVJ1610</v>
      </c>
      <c r="F3809" t="s">
        <v>4546</v>
      </c>
      <c r="G3809" t="s">
        <v>3077</v>
      </c>
      <c r="H3809" t="s">
        <v>4547</v>
      </c>
      <c r="I3809" t="s">
        <v>289</v>
      </c>
      <c r="J3809" t="s">
        <v>344</v>
      </c>
      <c r="K3809">
        <v>10</v>
      </c>
      <c r="L3809" s="6">
        <v>3</v>
      </c>
      <c r="M3809" s="7">
        <v>19</v>
      </c>
      <c r="N3809" s="7">
        <v>140</v>
      </c>
      <c r="O3809" s="7">
        <f t="shared" si="314"/>
        <v>118.11023622047244</v>
      </c>
      <c r="P3809" s="7">
        <f t="shared" si="321"/>
        <v>0.74803149606299213</v>
      </c>
      <c r="Q3809" s="7">
        <f t="shared" si="321"/>
        <v>5.5118110236220472</v>
      </c>
      <c r="R3809" s="6">
        <f t="shared" si="316"/>
        <v>1233.3979999999999</v>
      </c>
      <c r="S3809" s="6">
        <f t="shared" si="317"/>
        <v>7.980000000000001E-3</v>
      </c>
      <c r="T3809" t="str">
        <f t="shared" si="320"/>
        <v>Maximo Thermo Ayous VJoint - Nickel Gap 3 Sides VJ 1x6 Long</v>
      </c>
    </row>
    <row r="3810" spans="1:20" x14ac:dyDescent="0.25">
      <c r="A3810" t="s">
        <v>3073</v>
      </c>
      <c r="B3810" t="s">
        <v>3080</v>
      </c>
      <c r="C3810" t="s">
        <v>283</v>
      </c>
      <c r="D3810" t="s">
        <v>3044</v>
      </c>
      <c r="E3810" t="str">
        <f t="shared" ref="E3810:E3823" si="323">"TAYLNGVJ3FVJ16"&amp;K3810</f>
        <v>TAYLNGVJ3FVJ1611</v>
      </c>
      <c r="F3810" t="s">
        <v>4546</v>
      </c>
      <c r="G3810" t="s">
        <v>3077</v>
      </c>
      <c r="H3810" t="s">
        <v>4547</v>
      </c>
      <c r="I3810" t="s">
        <v>289</v>
      </c>
      <c r="J3810" t="s">
        <v>344</v>
      </c>
      <c r="K3810">
        <v>11</v>
      </c>
      <c r="L3810" s="6">
        <v>3.3</v>
      </c>
      <c r="M3810" s="7">
        <v>19</v>
      </c>
      <c r="N3810" s="7">
        <v>140</v>
      </c>
      <c r="O3810" s="7">
        <f t="shared" si="314"/>
        <v>129.92125984251967</v>
      </c>
      <c r="P3810" s="7">
        <f t="shared" ref="P3810:Q3824" si="324">M3810/25.4</f>
        <v>0.74803149606299213</v>
      </c>
      <c r="Q3810" s="7">
        <f t="shared" si="324"/>
        <v>5.5118110236220472</v>
      </c>
      <c r="R3810" s="6">
        <f t="shared" si="316"/>
        <v>1233.3979999999999</v>
      </c>
      <c r="S3810" s="6">
        <f t="shared" si="317"/>
        <v>8.7779999999999993E-3</v>
      </c>
      <c r="T3810" t="str">
        <f t="shared" si="320"/>
        <v>Maximo Thermo Ayous VJoint - Nickel Gap 3 Sides VJ 1x6 Long</v>
      </c>
    </row>
    <row r="3811" spans="1:20" x14ac:dyDescent="0.25">
      <c r="A3811" t="s">
        <v>3073</v>
      </c>
      <c r="B3811" t="s">
        <v>3080</v>
      </c>
      <c r="C3811" t="s">
        <v>283</v>
      </c>
      <c r="D3811" t="s">
        <v>3044</v>
      </c>
      <c r="E3811" t="str">
        <f t="shared" si="323"/>
        <v>TAYLNGVJ3FVJ1612</v>
      </c>
      <c r="F3811" t="s">
        <v>4546</v>
      </c>
      <c r="G3811" t="s">
        <v>3077</v>
      </c>
      <c r="H3811" t="s">
        <v>4547</v>
      </c>
      <c r="I3811" t="s">
        <v>289</v>
      </c>
      <c r="J3811" t="s">
        <v>344</v>
      </c>
      <c r="K3811">
        <v>12</v>
      </c>
      <c r="L3811" s="6">
        <v>3.6</v>
      </c>
      <c r="M3811" s="7">
        <v>19</v>
      </c>
      <c r="N3811" s="7">
        <v>140</v>
      </c>
      <c r="O3811" s="7">
        <f t="shared" si="314"/>
        <v>141.73228346456693</v>
      </c>
      <c r="P3811" s="7">
        <f t="shared" si="324"/>
        <v>0.74803149606299213</v>
      </c>
      <c r="Q3811" s="7">
        <f t="shared" si="324"/>
        <v>5.5118110236220472</v>
      </c>
      <c r="R3811" s="6">
        <f t="shared" si="316"/>
        <v>1233.3979999999999</v>
      </c>
      <c r="S3811" s="6">
        <f t="shared" si="317"/>
        <v>9.5760000000000012E-3</v>
      </c>
      <c r="T3811" t="str">
        <f t="shared" si="320"/>
        <v>Maximo Thermo Ayous VJoint - Nickel Gap 3 Sides VJ 1x6 Long</v>
      </c>
    </row>
    <row r="3812" spans="1:20" x14ac:dyDescent="0.25">
      <c r="A3812" t="s">
        <v>3073</v>
      </c>
      <c r="B3812" t="s">
        <v>3080</v>
      </c>
      <c r="C3812" t="s">
        <v>283</v>
      </c>
      <c r="D3812" t="s">
        <v>3044</v>
      </c>
      <c r="E3812" t="str">
        <f t="shared" si="323"/>
        <v>TAYLNGVJ3FVJ1613</v>
      </c>
      <c r="F3812" t="s">
        <v>4546</v>
      </c>
      <c r="G3812" t="s">
        <v>3077</v>
      </c>
      <c r="H3812" t="s">
        <v>4547</v>
      </c>
      <c r="I3812" t="s">
        <v>289</v>
      </c>
      <c r="J3812" t="s">
        <v>344</v>
      </c>
      <c r="K3812">
        <v>13</v>
      </c>
      <c r="L3812" s="6">
        <v>3.9</v>
      </c>
      <c r="M3812" s="7">
        <v>19</v>
      </c>
      <c r="N3812" s="7">
        <v>140</v>
      </c>
      <c r="O3812" s="7">
        <f t="shared" si="314"/>
        <v>153.54330708661416</v>
      </c>
      <c r="P3812" s="7">
        <f t="shared" si="324"/>
        <v>0.74803149606299213</v>
      </c>
      <c r="Q3812" s="7">
        <f t="shared" si="324"/>
        <v>5.5118110236220472</v>
      </c>
      <c r="R3812" s="6">
        <f t="shared" si="316"/>
        <v>1233.3979999999999</v>
      </c>
      <c r="S3812" s="6">
        <f t="shared" si="317"/>
        <v>1.0374000000000001E-2</v>
      </c>
      <c r="T3812" t="str">
        <f t="shared" si="320"/>
        <v>Maximo Thermo Ayous VJoint - Nickel Gap 3 Sides VJ 1x6 Long</v>
      </c>
    </row>
    <row r="3813" spans="1:20" x14ac:dyDescent="0.25">
      <c r="A3813" t="s">
        <v>3073</v>
      </c>
      <c r="B3813" t="s">
        <v>3080</v>
      </c>
      <c r="C3813" t="s">
        <v>283</v>
      </c>
      <c r="D3813" t="s">
        <v>3044</v>
      </c>
      <c r="E3813" t="str">
        <f t="shared" si="323"/>
        <v>TAYLNGVJ3FVJ1614</v>
      </c>
      <c r="F3813" t="s">
        <v>4546</v>
      </c>
      <c r="G3813" t="s">
        <v>3077</v>
      </c>
      <c r="H3813" t="s">
        <v>4547</v>
      </c>
      <c r="I3813" t="s">
        <v>289</v>
      </c>
      <c r="J3813" t="s">
        <v>344</v>
      </c>
      <c r="K3813">
        <v>14</v>
      </c>
      <c r="L3813" s="6">
        <v>4.2</v>
      </c>
      <c r="M3813" s="7">
        <v>19</v>
      </c>
      <c r="N3813" s="7">
        <v>140</v>
      </c>
      <c r="O3813" s="7">
        <f t="shared" si="314"/>
        <v>165.35433070866142</v>
      </c>
      <c r="P3813" s="7">
        <f t="shared" si="324"/>
        <v>0.74803149606299213</v>
      </c>
      <c r="Q3813" s="7">
        <f t="shared" si="324"/>
        <v>5.5118110236220472</v>
      </c>
      <c r="R3813" s="6">
        <f t="shared" si="316"/>
        <v>1233.3979999999999</v>
      </c>
      <c r="S3813" s="6">
        <f t="shared" si="317"/>
        <v>1.1172E-2</v>
      </c>
      <c r="T3813" t="str">
        <f t="shared" si="320"/>
        <v>Maximo Thermo Ayous VJoint - Nickel Gap 3 Sides VJ 1x6 Long</v>
      </c>
    </row>
    <row r="3814" spans="1:20" x14ac:dyDescent="0.25">
      <c r="A3814" t="s">
        <v>3073</v>
      </c>
      <c r="B3814" t="s">
        <v>3080</v>
      </c>
      <c r="C3814" t="s">
        <v>283</v>
      </c>
      <c r="D3814" t="s">
        <v>3044</v>
      </c>
      <c r="E3814" t="str">
        <f t="shared" si="323"/>
        <v>TAYLNGVJ3FVJ1615</v>
      </c>
      <c r="F3814" t="s">
        <v>4546</v>
      </c>
      <c r="G3814" t="s">
        <v>3077</v>
      </c>
      <c r="H3814" t="s">
        <v>4547</v>
      </c>
      <c r="I3814" t="s">
        <v>289</v>
      </c>
      <c r="J3814" t="s">
        <v>344</v>
      </c>
      <c r="K3814">
        <v>15</v>
      </c>
      <c r="L3814" s="6">
        <v>4.5</v>
      </c>
      <c r="M3814" s="7">
        <v>19</v>
      </c>
      <c r="N3814" s="7">
        <v>140</v>
      </c>
      <c r="O3814" s="7">
        <f t="shared" ref="O3814:O3824" si="325">L3814/0.0254</f>
        <v>177.16535433070868</v>
      </c>
      <c r="P3814" s="7">
        <f t="shared" si="324"/>
        <v>0.74803149606299213</v>
      </c>
      <c r="Q3814" s="7">
        <f t="shared" si="324"/>
        <v>5.5118110236220472</v>
      </c>
      <c r="R3814" s="6">
        <f t="shared" ref="R3814:R3824" si="326">ROUND(IFERROR(1/((M3814*N3814*0.3048)/1000000),0),3)</f>
        <v>1233.3979999999999</v>
      </c>
      <c r="S3814" s="6">
        <f t="shared" ref="S3814:S3824" si="327">L3814*M3814/1000*N3814/1000</f>
        <v>1.1970000000000001E-2</v>
      </c>
      <c r="T3814" t="str">
        <f t="shared" si="320"/>
        <v>Maximo Thermo Ayous VJoint - Nickel Gap 3 Sides VJ 1x6 Long</v>
      </c>
    </row>
    <row r="3815" spans="1:20" x14ac:dyDescent="0.25">
      <c r="A3815" t="s">
        <v>3073</v>
      </c>
      <c r="B3815" t="s">
        <v>3080</v>
      </c>
      <c r="C3815" t="s">
        <v>283</v>
      </c>
      <c r="D3815" t="s">
        <v>3044</v>
      </c>
      <c r="E3815" t="str">
        <f t="shared" si="323"/>
        <v>TAYLNGVJ3FVJ1616</v>
      </c>
      <c r="F3815" t="s">
        <v>4546</v>
      </c>
      <c r="G3815" t="s">
        <v>3077</v>
      </c>
      <c r="H3815" t="s">
        <v>4547</v>
      </c>
      <c r="I3815" t="s">
        <v>289</v>
      </c>
      <c r="J3815" t="s">
        <v>344</v>
      </c>
      <c r="K3815">
        <v>16</v>
      </c>
      <c r="L3815" s="6">
        <v>4.8</v>
      </c>
      <c r="M3815" s="7">
        <v>19</v>
      </c>
      <c r="N3815" s="7">
        <v>140</v>
      </c>
      <c r="O3815" s="7">
        <f t="shared" si="325"/>
        <v>188.97637795275591</v>
      </c>
      <c r="P3815" s="7">
        <f t="shared" si="324"/>
        <v>0.74803149606299213</v>
      </c>
      <c r="Q3815" s="7">
        <f t="shared" si="324"/>
        <v>5.5118110236220472</v>
      </c>
      <c r="R3815" s="6">
        <f t="shared" si="326"/>
        <v>1233.3979999999999</v>
      </c>
      <c r="S3815" s="6">
        <f t="shared" si="327"/>
        <v>1.2768E-2</v>
      </c>
      <c r="T3815" t="str">
        <f t="shared" si="320"/>
        <v>Maximo Thermo Ayous VJoint - Nickel Gap 3 Sides VJ 1x6 Long</v>
      </c>
    </row>
    <row r="3816" spans="1:20" x14ac:dyDescent="0.25">
      <c r="A3816" t="s">
        <v>3073</v>
      </c>
      <c r="B3816" t="s">
        <v>3080</v>
      </c>
      <c r="C3816" t="s">
        <v>283</v>
      </c>
      <c r="D3816" t="s">
        <v>3044</v>
      </c>
      <c r="E3816" t="str">
        <f t="shared" si="323"/>
        <v>TAYLNGVJ3FVJ1617</v>
      </c>
      <c r="F3816" t="s">
        <v>4546</v>
      </c>
      <c r="G3816" t="s">
        <v>3077</v>
      </c>
      <c r="H3816" t="s">
        <v>4547</v>
      </c>
      <c r="I3816" t="s">
        <v>289</v>
      </c>
      <c r="J3816" t="s">
        <v>344</v>
      </c>
      <c r="K3816">
        <v>17</v>
      </c>
      <c r="L3816" s="6">
        <v>5.0999999999999996</v>
      </c>
      <c r="M3816" s="7">
        <v>19</v>
      </c>
      <c r="N3816" s="7">
        <v>140</v>
      </c>
      <c r="O3816" s="7">
        <f t="shared" si="325"/>
        <v>200.78740157480314</v>
      </c>
      <c r="P3816" s="7">
        <f t="shared" si="324"/>
        <v>0.74803149606299213</v>
      </c>
      <c r="Q3816" s="7">
        <f t="shared" si="324"/>
        <v>5.5118110236220472</v>
      </c>
      <c r="R3816" s="6">
        <f t="shared" si="326"/>
        <v>1233.3979999999999</v>
      </c>
      <c r="S3816" s="6">
        <f t="shared" si="327"/>
        <v>1.3565999999999998E-2</v>
      </c>
      <c r="T3816" t="str">
        <f t="shared" si="320"/>
        <v>Maximo Thermo Ayous VJoint - Nickel Gap 3 Sides VJ 1x6 Long</v>
      </c>
    </row>
    <row r="3817" spans="1:20" x14ac:dyDescent="0.25">
      <c r="A3817" t="s">
        <v>3073</v>
      </c>
      <c r="B3817" t="s">
        <v>3080</v>
      </c>
      <c r="C3817" t="s">
        <v>283</v>
      </c>
      <c r="D3817" t="s">
        <v>3044</v>
      </c>
      <c r="E3817" t="str">
        <f t="shared" si="323"/>
        <v>TAYLNGVJ3FVJ1618</v>
      </c>
      <c r="F3817" t="s">
        <v>4546</v>
      </c>
      <c r="G3817" t="s">
        <v>3077</v>
      </c>
      <c r="H3817" t="s">
        <v>4547</v>
      </c>
      <c r="I3817" t="s">
        <v>289</v>
      </c>
      <c r="J3817" t="s">
        <v>344</v>
      </c>
      <c r="K3817">
        <v>18</v>
      </c>
      <c r="L3817" s="6">
        <v>5.4</v>
      </c>
      <c r="M3817" s="7">
        <v>19</v>
      </c>
      <c r="N3817" s="7">
        <v>140</v>
      </c>
      <c r="O3817" s="7">
        <f t="shared" si="325"/>
        <v>212.59842519685043</v>
      </c>
      <c r="P3817" s="7">
        <f t="shared" si="324"/>
        <v>0.74803149606299213</v>
      </c>
      <c r="Q3817" s="7">
        <f t="shared" si="324"/>
        <v>5.5118110236220472</v>
      </c>
      <c r="R3817" s="6">
        <f t="shared" si="326"/>
        <v>1233.3979999999999</v>
      </c>
      <c r="S3817" s="6">
        <f t="shared" si="327"/>
        <v>1.4364E-2</v>
      </c>
      <c r="T3817" t="str">
        <f t="shared" si="320"/>
        <v>Maximo Thermo Ayous VJoint - Nickel Gap 3 Sides VJ 1x6 Long</v>
      </c>
    </row>
    <row r="3818" spans="1:20" x14ac:dyDescent="0.25">
      <c r="A3818" t="s">
        <v>3073</v>
      </c>
      <c r="B3818" t="s">
        <v>3080</v>
      </c>
      <c r="C3818" t="s">
        <v>524</v>
      </c>
      <c r="D3818" t="s">
        <v>3044</v>
      </c>
      <c r="E3818" t="str">
        <f t="shared" si="323"/>
        <v>TAYLNGVJ3FVJ164</v>
      </c>
      <c r="F3818" t="s">
        <v>4546</v>
      </c>
      <c r="G3818" t="s">
        <v>3077</v>
      </c>
      <c r="H3818" t="s">
        <v>4547</v>
      </c>
      <c r="I3818" t="s">
        <v>289</v>
      </c>
      <c r="J3818" t="s">
        <v>344</v>
      </c>
      <c r="K3818">
        <v>4</v>
      </c>
      <c r="L3818" s="6">
        <v>1.2</v>
      </c>
      <c r="M3818" s="7">
        <v>19</v>
      </c>
      <c r="N3818" s="7">
        <v>140</v>
      </c>
      <c r="O3818" s="7">
        <f t="shared" si="325"/>
        <v>47.244094488188978</v>
      </c>
      <c r="P3818" s="7">
        <f t="shared" si="324"/>
        <v>0.74803149606299213</v>
      </c>
      <c r="Q3818" s="7">
        <f t="shared" si="324"/>
        <v>5.5118110236220472</v>
      </c>
      <c r="R3818" s="6">
        <f t="shared" si="326"/>
        <v>1233.3979999999999</v>
      </c>
      <c r="S3818" s="6">
        <f t="shared" si="327"/>
        <v>3.192E-3</v>
      </c>
      <c r="T3818" t="str">
        <f t="shared" si="320"/>
        <v>Maximo Thermo Ayous VJoint - Nickel Gap 3 Sides VJ 1x6 Short</v>
      </c>
    </row>
    <row r="3819" spans="1:20" x14ac:dyDescent="0.25">
      <c r="A3819" t="s">
        <v>3073</v>
      </c>
      <c r="B3819" t="s">
        <v>3080</v>
      </c>
      <c r="C3819" t="s">
        <v>524</v>
      </c>
      <c r="D3819" t="s">
        <v>3044</v>
      </c>
      <c r="E3819" t="str">
        <f t="shared" si="323"/>
        <v>TAYLNGVJ3FVJ165</v>
      </c>
      <c r="F3819" t="s">
        <v>4546</v>
      </c>
      <c r="G3819" t="s">
        <v>3077</v>
      </c>
      <c r="H3819" t="s">
        <v>4547</v>
      </c>
      <c r="I3819" t="s">
        <v>289</v>
      </c>
      <c r="J3819" t="s">
        <v>344</v>
      </c>
      <c r="K3819">
        <v>5</v>
      </c>
      <c r="L3819" s="6">
        <v>1.5</v>
      </c>
      <c r="M3819" s="7">
        <v>19</v>
      </c>
      <c r="N3819" s="7">
        <v>140</v>
      </c>
      <c r="O3819" s="7">
        <f t="shared" si="325"/>
        <v>59.055118110236222</v>
      </c>
      <c r="P3819" s="7">
        <f t="shared" si="324"/>
        <v>0.74803149606299213</v>
      </c>
      <c r="Q3819" s="7">
        <f t="shared" si="324"/>
        <v>5.5118110236220472</v>
      </c>
      <c r="R3819" s="6">
        <f t="shared" si="326"/>
        <v>1233.3979999999999</v>
      </c>
      <c r="S3819" s="6">
        <f t="shared" si="327"/>
        <v>3.9900000000000005E-3</v>
      </c>
      <c r="T3819" t="str">
        <f t="shared" si="320"/>
        <v>Maximo Thermo Ayous VJoint - Nickel Gap 3 Sides VJ 1x6 Short</v>
      </c>
    </row>
    <row r="3820" spans="1:20" x14ac:dyDescent="0.25">
      <c r="A3820" t="s">
        <v>3073</v>
      </c>
      <c r="B3820" t="s">
        <v>3080</v>
      </c>
      <c r="C3820" t="s">
        <v>524</v>
      </c>
      <c r="D3820" t="s">
        <v>3044</v>
      </c>
      <c r="E3820" t="str">
        <f t="shared" si="323"/>
        <v>TAYLNGVJ3FVJ166</v>
      </c>
      <c r="F3820" t="s">
        <v>4546</v>
      </c>
      <c r="G3820" t="s">
        <v>3077</v>
      </c>
      <c r="H3820" t="s">
        <v>4547</v>
      </c>
      <c r="I3820" t="s">
        <v>289</v>
      </c>
      <c r="J3820" t="s">
        <v>344</v>
      </c>
      <c r="K3820">
        <v>6</v>
      </c>
      <c r="L3820" s="6">
        <v>1.8</v>
      </c>
      <c r="M3820" s="7">
        <v>19</v>
      </c>
      <c r="N3820" s="7">
        <v>140</v>
      </c>
      <c r="O3820" s="7">
        <f t="shared" si="325"/>
        <v>70.866141732283467</v>
      </c>
      <c r="P3820" s="7">
        <f t="shared" si="324"/>
        <v>0.74803149606299213</v>
      </c>
      <c r="Q3820" s="7">
        <f t="shared" si="324"/>
        <v>5.5118110236220472</v>
      </c>
      <c r="R3820" s="6">
        <f t="shared" si="326"/>
        <v>1233.3979999999999</v>
      </c>
      <c r="S3820" s="6">
        <f t="shared" si="327"/>
        <v>4.7880000000000006E-3</v>
      </c>
      <c r="T3820" t="str">
        <f t="shared" si="320"/>
        <v>Maximo Thermo Ayous VJoint - Nickel Gap 3 Sides VJ 1x6 Short</v>
      </c>
    </row>
    <row r="3821" spans="1:20" x14ac:dyDescent="0.25">
      <c r="A3821" t="s">
        <v>3073</v>
      </c>
      <c r="B3821" t="s">
        <v>3080</v>
      </c>
      <c r="C3821" t="s">
        <v>524</v>
      </c>
      <c r="D3821" t="s">
        <v>3044</v>
      </c>
      <c r="E3821" t="str">
        <f t="shared" si="323"/>
        <v>TAYLNGVJ3FVJ167</v>
      </c>
      <c r="F3821" t="s">
        <v>4546</v>
      </c>
      <c r="G3821" t="s">
        <v>3077</v>
      </c>
      <c r="H3821" t="s">
        <v>4547</v>
      </c>
      <c r="I3821" t="s">
        <v>289</v>
      </c>
      <c r="J3821" t="s">
        <v>344</v>
      </c>
      <c r="K3821">
        <v>7</v>
      </c>
      <c r="L3821" s="6">
        <v>2.1</v>
      </c>
      <c r="M3821" s="7">
        <v>19</v>
      </c>
      <c r="N3821" s="7">
        <v>140</v>
      </c>
      <c r="O3821" s="7">
        <f t="shared" si="325"/>
        <v>82.677165354330711</v>
      </c>
      <c r="P3821" s="7">
        <f t="shared" si="324"/>
        <v>0.74803149606299213</v>
      </c>
      <c r="Q3821" s="7">
        <f t="shared" si="324"/>
        <v>5.5118110236220472</v>
      </c>
      <c r="R3821" s="6">
        <f t="shared" si="326"/>
        <v>1233.3979999999999</v>
      </c>
      <c r="S3821" s="6">
        <f t="shared" si="327"/>
        <v>5.5859999999999998E-3</v>
      </c>
      <c r="T3821" t="str">
        <f t="shared" si="320"/>
        <v>Maximo Thermo Ayous VJoint - Nickel Gap 3 Sides VJ 1x6 Short</v>
      </c>
    </row>
    <row r="3822" spans="1:20" x14ac:dyDescent="0.25">
      <c r="A3822" t="s">
        <v>3073</v>
      </c>
      <c r="B3822" t="s">
        <v>3080</v>
      </c>
      <c r="C3822" t="s">
        <v>283</v>
      </c>
      <c r="D3822" t="s">
        <v>3044</v>
      </c>
      <c r="E3822" t="str">
        <f t="shared" si="323"/>
        <v>TAYLNGVJ3FVJ168</v>
      </c>
      <c r="F3822" t="s">
        <v>4546</v>
      </c>
      <c r="G3822" t="s">
        <v>3077</v>
      </c>
      <c r="H3822" t="s">
        <v>4547</v>
      </c>
      <c r="I3822" t="s">
        <v>289</v>
      </c>
      <c r="J3822" t="s">
        <v>344</v>
      </c>
      <c r="K3822">
        <v>8</v>
      </c>
      <c r="L3822" s="6">
        <v>2.4</v>
      </c>
      <c r="M3822" s="7">
        <v>19</v>
      </c>
      <c r="N3822" s="7">
        <v>140</v>
      </c>
      <c r="O3822" s="7">
        <f t="shared" si="325"/>
        <v>94.488188976377955</v>
      </c>
      <c r="P3822" s="7">
        <f t="shared" si="324"/>
        <v>0.74803149606299213</v>
      </c>
      <c r="Q3822" s="7">
        <f t="shared" si="324"/>
        <v>5.5118110236220472</v>
      </c>
      <c r="R3822" s="6">
        <f t="shared" si="326"/>
        <v>1233.3979999999999</v>
      </c>
      <c r="S3822" s="6">
        <f t="shared" si="327"/>
        <v>6.3839999999999999E-3</v>
      </c>
      <c r="T3822" t="str">
        <f t="shared" si="320"/>
        <v>Maximo Thermo Ayous VJoint - Nickel Gap 3 Sides VJ 1x6 Long</v>
      </c>
    </row>
    <row r="3823" spans="1:20" x14ac:dyDescent="0.25">
      <c r="A3823" t="s">
        <v>3073</v>
      </c>
      <c r="B3823" t="s">
        <v>3080</v>
      </c>
      <c r="C3823" t="s">
        <v>283</v>
      </c>
      <c r="D3823" t="s">
        <v>3044</v>
      </c>
      <c r="E3823" t="str">
        <f t="shared" si="323"/>
        <v>TAYLNGVJ3FVJ169</v>
      </c>
      <c r="F3823" t="s">
        <v>4546</v>
      </c>
      <c r="G3823" t="s">
        <v>3077</v>
      </c>
      <c r="H3823" t="s">
        <v>4547</v>
      </c>
      <c r="I3823" t="s">
        <v>289</v>
      </c>
      <c r="J3823" t="s">
        <v>344</v>
      </c>
      <c r="K3823">
        <v>9</v>
      </c>
      <c r="L3823" s="6">
        <v>2.7</v>
      </c>
      <c r="M3823" s="7">
        <v>19</v>
      </c>
      <c r="N3823" s="7">
        <v>140</v>
      </c>
      <c r="O3823" s="7">
        <f t="shared" si="325"/>
        <v>106.29921259842521</v>
      </c>
      <c r="P3823" s="7">
        <f t="shared" si="324"/>
        <v>0.74803149606299213</v>
      </c>
      <c r="Q3823" s="7">
        <f t="shared" si="324"/>
        <v>5.5118110236220472</v>
      </c>
      <c r="R3823" s="6">
        <f t="shared" si="326"/>
        <v>1233.3979999999999</v>
      </c>
      <c r="S3823" s="6">
        <f t="shared" si="327"/>
        <v>7.182E-3</v>
      </c>
      <c r="T3823" t="str">
        <f t="shared" si="320"/>
        <v>Maximo Thermo Ayous VJoint - Nickel Gap 3 Sides VJ 1x6 Long</v>
      </c>
    </row>
    <row r="3824" spans="1:20" x14ac:dyDescent="0.25">
      <c r="A3824" t="s">
        <v>4548</v>
      </c>
      <c r="B3824" t="s">
        <v>4549</v>
      </c>
      <c r="C3824" t="s">
        <v>283</v>
      </c>
      <c r="D3824" t="s">
        <v>3044</v>
      </c>
      <c r="E3824" t="s">
        <v>168</v>
      </c>
      <c r="F3824" t="s">
        <v>4550</v>
      </c>
      <c r="G3824" t="s">
        <v>4551</v>
      </c>
      <c r="H3824" t="s">
        <v>373</v>
      </c>
      <c r="I3824" t="s">
        <v>289</v>
      </c>
      <c r="J3824" t="s">
        <v>672</v>
      </c>
      <c r="K3824">
        <v>14</v>
      </c>
      <c r="L3824" s="6">
        <v>4.2</v>
      </c>
      <c r="M3824" s="7">
        <v>20</v>
      </c>
      <c r="N3824" s="7">
        <v>180</v>
      </c>
      <c r="O3824" s="7">
        <f t="shared" si="325"/>
        <v>165.35433070866142</v>
      </c>
      <c r="P3824" s="7">
        <f t="shared" si="324"/>
        <v>0.78740157480314965</v>
      </c>
      <c r="Q3824" s="7">
        <f t="shared" si="324"/>
        <v>7.0866141732283472</v>
      </c>
      <c r="R3824" s="6">
        <f t="shared" si="326"/>
        <v>911.34400000000005</v>
      </c>
      <c r="S3824" s="6">
        <f t="shared" si="327"/>
        <v>1.5120000000000001E-2</v>
      </c>
      <c r="T3824" t="str">
        <f t="shared" si="320"/>
        <v>Maximo Thermo Spruce S4S E4E 1x8 Long</v>
      </c>
    </row>
    <row r="3825" spans="1:20" x14ac:dyDescent="0.25">
      <c r="A3825" t="s">
        <v>2824</v>
      </c>
      <c r="B3825" t="s">
        <v>2866</v>
      </c>
      <c r="C3825" t="s">
        <v>2824</v>
      </c>
      <c r="D3825" t="s">
        <v>2826</v>
      </c>
      <c r="E3825" t="s">
        <v>4552</v>
      </c>
      <c r="F3825" t="s">
        <v>2866</v>
      </c>
      <c r="G3825" t="s">
        <v>289</v>
      </c>
      <c r="H3825" t="s">
        <v>289</v>
      </c>
      <c r="I3825" t="s">
        <v>289</v>
      </c>
      <c r="J3825">
        <v>0</v>
      </c>
      <c r="K3825">
        <v>0</v>
      </c>
      <c r="L3825" s="6">
        <v>0</v>
      </c>
      <c r="M3825" s="7">
        <v>0</v>
      </c>
      <c r="N3825" s="7">
        <v>0</v>
      </c>
      <c r="O3825" s="7">
        <v>0</v>
      </c>
      <c r="P3825" s="7">
        <v>0</v>
      </c>
      <c r="Q3825" s="7">
        <v>0</v>
      </c>
      <c r="R3825" s="6">
        <v>0</v>
      </c>
      <c r="S3825" s="6">
        <v>0</v>
      </c>
      <c r="T3825" t="str">
        <f t="shared" si="320"/>
        <v>Milling Services</v>
      </c>
    </row>
    <row r="3826" spans="1:20" x14ac:dyDescent="0.25">
      <c r="A3826" t="s">
        <v>2824</v>
      </c>
      <c r="B3826" t="s">
        <v>2871</v>
      </c>
      <c r="C3826" t="s">
        <v>2824</v>
      </c>
      <c r="D3826" t="s">
        <v>2826</v>
      </c>
      <c r="E3826" t="s">
        <v>4553</v>
      </c>
      <c r="F3826" t="s">
        <v>2871</v>
      </c>
      <c r="G3826" t="s">
        <v>289</v>
      </c>
      <c r="H3826" t="s">
        <v>289</v>
      </c>
      <c r="I3826" t="s">
        <v>289</v>
      </c>
      <c r="J3826">
        <v>0</v>
      </c>
      <c r="K3826">
        <v>0</v>
      </c>
      <c r="L3826" s="6">
        <v>0</v>
      </c>
      <c r="M3826" s="7">
        <v>0</v>
      </c>
      <c r="N3826" s="7">
        <v>0</v>
      </c>
      <c r="O3826" s="7">
        <v>0</v>
      </c>
      <c r="P3826" s="7">
        <v>0</v>
      </c>
      <c r="Q3826" s="7">
        <v>0</v>
      </c>
      <c r="R3826" s="6">
        <v>0</v>
      </c>
      <c r="S3826" s="6">
        <v>0</v>
      </c>
      <c r="T3826" t="str">
        <f t="shared" si="320"/>
        <v>Painting Services</v>
      </c>
    </row>
    <row r="3827" spans="1:20" x14ac:dyDescent="0.25">
      <c r="A3827" t="s">
        <v>4274</v>
      </c>
      <c r="B3827" t="s">
        <v>4293</v>
      </c>
      <c r="C3827" t="s">
        <v>2759</v>
      </c>
      <c r="D3827" t="s">
        <v>4274</v>
      </c>
      <c r="E3827">
        <v>100365</v>
      </c>
      <c r="F3827" s="8" t="s">
        <v>4554</v>
      </c>
      <c r="G3827" t="s">
        <v>4555</v>
      </c>
      <c r="H3827" s="8" t="s">
        <v>4556</v>
      </c>
      <c r="I3827" t="s">
        <v>289</v>
      </c>
      <c r="J3827" s="8" t="s">
        <v>4557</v>
      </c>
      <c r="K3827">
        <v>0</v>
      </c>
      <c r="L3827" s="6">
        <v>0</v>
      </c>
      <c r="M3827" s="7">
        <v>0</v>
      </c>
      <c r="N3827" s="7">
        <v>0</v>
      </c>
      <c r="O3827" s="7">
        <v>0</v>
      </c>
      <c r="P3827" s="7">
        <v>0</v>
      </c>
      <c r="Q3827" s="7">
        <v>0</v>
      </c>
      <c r="R3827" s="6">
        <v>0</v>
      </c>
      <c r="S3827" s="6">
        <v>0</v>
      </c>
      <c r="T3827" t="str">
        <f t="shared" si="320"/>
        <v>Screws Kit 350 Count US4 Cedar Trim Head T-15 SS305  8x1-1/2" Screws</v>
      </c>
    </row>
    <row r="3828" spans="1:20" x14ac:dyDescent="0.25">
      <c r="A3828" t="s">
        <v>436</v>
      </c>
      <c r="B3828" t="s">
        <v>455</v>
      </c>
      <c r="C3828" t="s">
        <v>283</v>
      </c>
      <c r="D3828" t="s">
        <v>438</v>
      </c>
      <c r="E3828" t="s">
        <v>4558</v>
      </c>
      <c r="F3828" t="s">
        <v>457</v>
      </c>
      <c r="G3828" t="s">
        <v>441</v>
      </c>
      <c r="H3828" t="s">
        <v>288</v>
      </c>
      <c r="I3828" t="s">
        <v>289</v>
      </c>
      <c r="J3828" t="s">
        <v>458</v>
      </c>
      <c r="K3828">
        <v>12</v>
      </c>
      <c r="L3828" s="6">
        <v>3.6576</v>
      </c>
      <c r="M3828" s="7">
        <v>38.1</v>
      </c>
      <c r="N3828" s="7">
        <v>203.2</v>
      </c>
      <c r="O3828" s="7">
        <f t="shared" ref="O3828" si="328">L3828/0.0254</f>
        <v>144</v>
      </c>
      <c r="P3828" s="7">
        <f t="shared" ref="P3828:Q3828" si="329">M3828/25.4</f>
        <v>1.5000000000000002</v>
      </c>
      <c r="Q3828" s="7">
        <f t="shared" si="329"/>
        <v>8</v>
      </c>
      <c r="R3828" s="6">
        <f t="shared" ref="R3828" si="330">ROUND(IFERROR(1/((M3828*N3828*0.3048)/1000000),0),3)</f>
        <v>423.77600000000001</v>
      </c>
      <c r="S3828" s="6">
        <f t="shared" ref="S3828" si="331">L3828*M3828/1000*N3828/1000</f>
        <v>2.8316846591999997E-2</v>
      </c>
      <c r="T3828" t="str">
        <f t="shared" si="320"/>
        <v>Angelim Pedra Rough Sawn 1.5x8 Long</v>
      </c>
    </row>
    <row r="3829" spans="1:20" x14ac:dyDescent="0.25">
      <c r="A3829" t="s">
        <v>2824</v>
      </c>
      <c r="B3829" t="s">
        <v>2866</v>
      </c>
      <c r="C3829" t="s">
        <v>2824</v>
      </c>
      <c r="D3829" t="s">
        <v>2826</v>
      </c>
      <c r="E3829" t="s">
        <v>4559</v>
      </c>
      <c r="F3829" t="s">
        <v>2866</v>
      </c>
      <c r="G3829" t="s">
        <v>289</v>
      </c>
      <c r="H3829" t="s">
        <v>289</v>
      </c>
      <c r="I3829" t="s">
        <v>289</v>
      </c>
      <c r="J3829">
        <v>0</v>
      </c>
      <c r="K3829">
        <v>0</v>
      </c>
      <c r="L3829" s="6">
        <v>0</v>
      </c>
      <c r="M3829" s="7">
        <v>0</v>
      </c>
      <c r="N3829" s="7">
        <v>0</v>
      </c>
      <c r="O3829" s="7">
        <v>0</v>
      </c>
      <c r="P3829" s="7">
        <v>0</v>
      </c>
      <c r="Q3829" s="7">
        <v>0</v>
      </c>
      <c r="R3829" s="6">
        <v>0</v>
      </c>
      <c r="S3829" s="6">
        <v>0</v>
      </c>
      <c r="T3829" t="str">
        <f t="shared" si="320"/>
        <v>Milling Services</v>
      </c>
    </row>
    <row r="3830" spans="1:20" x14ac:dyDescent="0.25">
      <c r="A3830" t="s">
        <v>2824</v>
      </c>
      <c r="B3830" t="s">
        <v>2871</v>
      </c>
      <c r="C3830" t="s">
        <v>2824</v>
      </c>
      <c r="D3830" t="s">
        <v>2826</v>
      </c>
      <c r="E3830" t="s">
        <v>4560</v>
      </c>
      <c r="F3830" t="s">
        <v>2871</v>
      </c>
      <c r="G3830" t="s">
        <v>289</v>
      </c>
      <c r="H3830" t="s">
        <v>289</v>
      </c>
      <c r="I3830" t="s">
        <v>289</v>
      </c>
      <c r="J3830">
        <v>0</v>
      </c>
      <c r="K3830">
        <v>0</v>
      </c>
      <c r="L3830" s="6">
        <v>0</v>
      </c>
      <c r="M3830" s="7">
        <v>0</v>
      </c>
      <c r="N3830" s="7">
        <v>0</v>
      </c>
      <c r="O3830" s="7">
        <v>0</v>
      </c>
      <c r="P3830" s="7">
        <v>0</v>
      </c>
      <c r="Q3830" s="7">
        <v>0</v>
      </c>
      <c r="R3830" s="6">
        <v>0</v>
      </c>
      <c r="S3830" s="6">
        <v>0</v>
      </c>
      <c r="T3830" t="str">
        <f t="shared" si="320"/>
        <v>Painting Services</v>
      </c>
    </row>
    <row r="3831" spans="1:20" x14ac:dyDescent="0.25">
      <c r="A3831" t="s">
        <v>2824</v>
      </c>
      <c r="B3831" t="s">
        <v>2866</v>
      </c>
      <c r="C3831" t="s">
        <v>2824</v>
      </c>
      <c r="D3831" t="s">
        <v>2826</v>
      </c>
      <c r="E3831" t="s">
        <v>4561</v>
      </c>
      <c r="F3831" t="s">
        <v>2866</v>
      </c>
      <c r="G3831" t="s">
        <v>289</v>
      </c>
      <c r="H3831" t="s">
        <v>289</v>
      </c>
      <c r="I3831" t="s">
        <v>289</v>
      </c>
      <c r="J3831">
        <v>0</v>
      </c>
      <c r="K3831">
        <v>0</v>
      </c>
      <c r="L3831" s="6">
        <v>0</v>
      </c>
      <c r="M3831" s="7">
        <v>0</v>
      </c>
      <c r="N3831" s="7">
        <v>0</v>
      </c>
      <c r="O3831" s="7">
        <v>0</v>
      </c>
      <c r="P3831" s="7">
        <v>0</v>
      </c>
      <c r="Q3831" s="7">
        <v>0</v>
      </c>
      <c r="R3831" s="6">
        <v>0</v>
      </c>
      <c r="S3831" s="6">
        <v>0</v>
      </c>
      <c r="T3831" t="str">
        <f t="shared" si="320"/>
        <v>Milling Services</v>
      </c>
    </row>
    <row r="3832" spans="1:20" x14ac:dyDescent="0.25">
      <c r="A3832" t="s">
        <v>4274</v>
      </c>
      <c r="B3832" t="s">
        <v>4293</v>
      </c>
      <c r="C3832" t="s">
        <v>2759</v>
      </c>
      <c r="D3832" t="s">
        <v>4274</v>
      </c>
      <c r="E3832">
        <v>100362</v>
      </c>
      <c r="F3832" t="s">
        <v>4562</v>
      </c>
      <c r="G3832" t="s">
        <v>4555</v>
      </c>
      <c r="H3832" t="s">
        <v>4563</v>
      </c>
      <c r="I3832" t="s">
        <v>289</v>
      </c>
      <c r="J3832" s="8" t="s">
        <v>4564</v>
      </c>
      <c r="K3832">
        <v>0</v>
      </c>
      <c r="L3832" s="6">
        <v>0</v>
      </c>
      <c r="M3832" s="7">
        <v>0</v>
      </c>
      <c r="N3832" s="7">
        <v>0</v>
      </c>
      <c r="O3832" s="7">
        <v>0</v>
      </c>
      <c r="P3832" s="7">
        <v>0</v>
      </c>
      <c r="Q3832" s="7">
        <v>0</v>
      </c>
      <c r="R3832" s="6">
        <v>0</v>
      </c>
      <c r="S3832" s="6">
        <v>0</v>
      </c>
      <c r="T3832" t="str">
        <f t="shared" si="320"/>
        <v>Screws Kit 350 Count US4 Trim Head Passivate T-15 SS305 8x3-1/8" Screws</v>
      </c>
    </row>
    <row r="3833" spans="1:20" x14ac:dyDescent="0.25">
      <c r="A3833" t="s">
        <v>4274</v>
      </c>
      <c r="B3833" t="s">
        <v>4293</v>
      </c>
      <c r="C3833" t="s">
        <v>4565</v>
      </c>
      <c r="D3833" t="s">
        <v>4274</v>
      </c>
      <c r="E3833">
        <v>100704</v>
      </c>
      <c r="F3833" t="s">
        <v>4566</v>
      </c>
      <c r="G3833" t="s">
        <v>4567</v>
      </c>
      <c r="H3833" t="s">
        <v>4568</v>
      </c>
      <c r="I3833" t="s">
        <v>289</v>
      </c>
      <c r="J3833" t="s">
        <v>4569</v>
      </c>
      <c r="K3833">
        <v>0</v>
      </c>
      <c r="L3833" s="6">
        <v>0</v>
      </c>
      <c r="M3833" s="7">
        <v>0</v>
      </c>
      <c r="N3833" s="7">
        <v>0</v>
      </c>
      <c r="O3833" s="7">
        <v>0</v>
      </c>
      <c r="P3833" s="7">
        <v>0</v>
      </c>
      <c r="Q3833" s="7">
        <v>0</v>
      </c>
      <c r="R3833" s="6">
        <v>0</v>
      </c>
      <c r="S3833" s="6">
        <v>0</v>
      </c>
      <c r="T3833" t="str">
        <f t="shared" si="320"/>
        <v>Plug Kit 350 Count US4 Wood Ipe 3/8"x3/8" Plug</v>
      </c>
    </row>
    <row r="3834" spans="1:20" x14ac:dyDescent="0.25">
      <c r="A3834" t="s">
        <v>2824</v>
      </c>
      <c r="B3834" t="s">
        <v>2836</v>
      </c>
      <c r="C3834" t="s">
        <v>2824</v>
      </c>
      <c r="D3834" t="s">
        <v>2826</v>
      </c>
      <c r="E3834" t="s">
        <v>4570</v>
      </c>
      <c r="F3834" t="s">
        <v>2838</v>
      </c>
      <c r="G3834" t="s">
        <v>2838</v>
      </c>
      <c r="H3834" t="s">
        <v>289</v>
      </c>
      <c r="I3834" t="s">
        <v>289</v>
      </c>
      <c r="J3834">
        <v>0</v>
      </c>
      <c r="K3834">
        <v>0</v>
      </c>
      <c r="L3834" s="6">
        <v>0</v>
      </c>
      <c r="M3834" s="7">
        <v>0</v>
      </c>
      <c r="N3834" s="7">
        <v>0</v>
      </c>
      <c r="O3834" s="7">
        <v>0</v>
      </c>
      <c r="P3834" s="7">
        <v>0</v>
      </c>
      <c r="Q3834" s="7">
        <v>0</v>
      </c>
      <c r="R3834" s="6">
        <v>0</v>
      </c>
      <c r="S3834" s="6">
        <v>0</v>
      </c>
      <c r="T3834" t="str">
        <f t="shared" si="320"/>
        <v>Freight Services Services</v>
      </c>
    </row>
    <row r="3835" spans="1:20" x14ac:dyDescent="0.25">
      <c r="A3835" t="s">
        <v>4571</v>
      </c>
      <c r="B3835" t="s">
        <v>4293</v>
      </c>
      <c r="C3835" t="s">
        <v>1256</v>
      </c>
      <c r="D3835" t="s">
        <v>4571</v>
      </c>
      <c r="E3835">
        <v>31023</v>
      </c>
      <c r="F3835" t="s">
        <v>4572</v>
      </c>
      <c r="G3835" t="s">
        <v>4573</v>
      </c>
      <c r="H3835" t="s">
        <v>4574</v>
      </c>
      <c r="I3835" t="s">
        <v>289</v>
      </c>
      <c r="J3835">
        <v>0</v>
      </c>
      <c r="K3835">
        <v>0</v>
      </c>
      <c r="L3835" s="6">
        <v>0</v>
      </c>
      <c r="M3835" s="7">
        <v>0</v>
      </c>
      <c r="N3835" s="7">
        <v>0</v>
      </c>
      <c r="O3835" s="7">
        <v>0</v>
      </c>
      <c r="P3835" s="7">
        <v>0</v>
      </c>
      <c r="Q3835" s="7">
        <v>0</v>
      </c>
      <c r="R3835" s="6">
        <v>0</v>
      </c>
      <c r="S3835" s="6">
        <v>0</v>
      </c>
      <c r="T3835" t="str">
        <f t="shared" si="320"/>
        <v>Deck Tile Pedestal Screw Tiles</v>
      </c>
    </row>
    <row r="3836" spans="1:20" x14ac:dyDescent="0.25">
      <c r="A3836" t="s">
        <v>2824</v>
      </c>
      <c r="B3836" t="s">
        <v>2836</v>
      </c>
      <c r="C3836" t="s">
        <v>2824</v>
      </c>
      <c r="D3836" t="s">
        <v>2826</v>
      </c>
      <c r="E3836" t="s">
        <v>4575</v>
      </c>
      <c r="F3836" t="s">
        <v>2838</v>
      </c>
      <c r="G3836" t="s">
        <v>2838</v>
      </c>
      <c r="H3836" t="s">
        <v>289</v>
      </c>
      <c r="I3836" t="s">
        <v>289</v>
      </c>
      <c r="J3836">
        <v>0</v>
      </c>
      <c r="K3836">
        <v>0</v>
      </c>
      <c r="L3836" s="6">
        <v>0</v>
      </c>
      <c r="M3836" s="7">
        <v>0</v>
      </c>
      <c r="N3836" s="7">
        <v>0</v>
      </c>
      <c r="O3836" s="7">
        <v>0</v>
      </c>
      <c r="P3836" s="7">
        <v>0</v>
      </c>
      <c r="Q3836" s="7">
        <v>0</v>
      </c>
      <c r="R3836" s="6">
        <v>0</v>
      </c>
      <c r="S3836" s="6">
        <v>0</v>
      </c>
      <c r="T3836" t="str">
        <f t="shared" si="320"/>
        <v>Freight Services Services</v>
      </c>
    </row>
    <row r="3837" spans="1:20" x14ac:dyDescent="0.25">
      <c r="A3837" t="s">
        <v>2824</v>
      </c>
      <c r="B3837" t="s">
        <v>2836</v>
      </c>
      <c r="C3837" t="s">
        <v>2824</v>
      </c>
      <c r="D3837" t="s">
        <v>2826</v>
      </c>
      <c r="E3837" t="s">
        <v>4576</v>
      </c>
      <c r="F3837" t="s">
        <v>2838</v>
      </c>
      <c r="G3837" t="s">
        <v>2838</v>
      </c>
      <c r="H3837" t="s">
        <v>289</v>
      </c>
      <c r="I3837" t="s">
        <v>289</v>
      </c>
      <c r="J3837">
        <v>0</v>
      </c>
      <c r="K3837">
        <v>0</v>
      </c>
      <c r="L3837" s="6">
        <v>0</v>
      </c>
      <c r="M3837" s="7">
        <v>0</v>
      </c>
      <c r="N3837" s="7">
        <v>0</v>
      </c>
      <c r="O3837" s="7">
        <v>0</v>
      </c>
      <c r="P3837" s="7">
        <v>0</v>
      </c>
      <c r="Q3837" s="7">
        <v>0</v>
      </c>
      <c r="R3837" s="6">
        <v>0</v>
      </c>
      <c r="S3837" s="6">
        <v>0</v>
      </c>
      <c r="T3837" t="str">
        <f t="shared" si="320"/>
        <v>Freight Services Services</v>
      </c>
    </row>
    <row r="3838" spans="1:20" x14ac:dyDescent="0.25">
      <c r="A3838" t="s">
        <v>2824</v>
      </c>
      <c r="B3838" t="s">
        <v>2836</v>
      </c>
      <c r="C3838" t="s">
        <v>2824</v>
      </c>
      <c r="D3838" t="s">
        <v>2826</v>
      </c>
      <c r="E3838" t="s">
        <v>4577</v>
      </c>
      <c r="F3838" t="s">
        <v>2838</v>
      </c>
      <c r="G3838" t="s">
        <v>2838</v>
      </c>
      <c r="H3838" t="s">
        <v>289</v>
      </c>
      <c r="I3838" t="s">
        <v>289</v>
      </c>
      <c r="J3838">
        <v>0</v>
      </c>
      <c r="K3838">
        <v>0</v>
      </c>
      <c r="L3838" s="6">
        <v>0</v>
      </c>
      <c r="M3838" s="7">
        <v>0</v>
      </c>
      <c r="N3838" s="7">
        <v>0</v>
      </c>
      <c r="O3838" s="7">
        <v>0</v>
      </c>
      <c r="P3838" s="7">
        <v>0</v>
      </c>
      <c r="Q3838" s="7">
        <v>0</v>
      </c>
      <c r="R3838" s="6">
        <v>0</v>
      </c>
      <c r="S3838" s="6">
        <v>0</v>
      </c>
      <c r="T3838" t="str">
        <f t="shared" si="320"/>
        <v>Freight Services Services</v>
      </c>
    </row>
    <row r="3839" spans="1:20" x14ac:dyDescent="0.25">
      <c r="A3839" t="s">
        <v>2824</v>
      </c>
      <c r="B3839" t="s">
        <v>2841</v>
      </c>
      <c r="C3839" t="s">
        <v>2824</v>
      </c>
      <c r="D3839" t="s">
        <v>2826</v>
      </c>
      <c r="E3839" t="s">
        <v>4578</v>
      </c>
      <c r="F3839" t="s">
        <v>2843</v>
      </c>
      <c r="G3839" t="s">
        <v>2843</v>
      </c>
      <c r="H3839" t="s">
        <v>289</v>
      </c>
      <c r="I3839" t="s">
        <v>289</v>
      </c>
      <c r="J3839">
        <v>0</v>
      </c>
      <c r="K3839">
        <v>0</v>
      </c>
      <c r="L3839" s="6">
        <v>0</v>
      </c>
      <c r="M3839" s="7">
        <v>0</v>
      </c>
      <c r="N3839" s="7">
        <v>0</v>
      </c>
      <c r="O3839" s="7">
        <v>0</v>
      </c>
      <c r="P3839" s="7">
        <v>0</v>
      </c>
      <c r="Q3839" s="7">
        <v>0</v>
      </c>
      <c r="R3839" s="6">
        <v>0</v>
      </c>
      <c r="S3839" s="6">
        <v>0</v>
      </c>
      <c r="T3839" t="str">
        <f t="shared" si="320"/>
        <v>Marketing Services Services</v>
      </c>
    </row>
    <row r="3840" spans="1:20" x14ac:dyDescent="0.25">
      <c r="A3840" t="s">
        <v>2824</v>
      </c>
      <c r="B3840" t="s">
        <v>2836</v>
      </c>
      <c r="C3840" t="s">
        <v>2824</v>
      </c>
      <c r="D3840" t="s">
        <v>2826</v>
      </c>
      <c r="E3840" t="s">
        <v>4579</v>
      </c>
      <c r="F3840" t="s">
        <v>2838</v>
      </c>
      <c r="G3840" t="s">
        <v>2838</v>
      </c>
      <c r="H3840" t="s">
        <v>289</v>
      </c>
      <c r="I3840" t="s">
        <v>289</v>
      </c>
      <c r="J3840">
        <v>0</v>
      </c>
      <c r="K3840">
        <v>0</v>
      </c>
      <c r="L3840" s="6">
        <v>0</v>
      </c>
      <c r="M3840" s="7">
        <v>0</v>
      </c>
      <c r="N3840" s="7">
        <v>0</v>
      </c>
      <c r="O3840" s="7">
        <v>0</v>
      </c>
      <c r="P3840" s="7">
        <v>0</v>
      </c>
      <c r="Q3840" s="7">
        <v>0</v>
      </c>
      <c r="R3840" s="6">
        <v>0</v>
      </c>
      <c r="S3840" s="6">
        <v>0</v>
      </c>
      <c r="T3840" t="str">
        <f t="shared" si="320"/>
        <v>Freight Services Services</v>
      </c>
    </row>
    <row r="3841" spans="1:20" x14ac:dyDescent="0.25">
      <c r="A3841" t="s">
        <v>2824</v>
      </c>
      <c r="B3841" t="s">
        <v>2841</v>
      </c>
      <c r="C3841" t="s">
        <v>2824</v>
      </c>
      <c r="D3841" t="s">
        <v>2826</v>
      </c>
      <c r="E3841" t="s">
        <v>4580</v>
      </c>
      <c r="F3841" t="s">
        <v>2843</v>
      </c>
      <c r="G3841" t="s">
        <v>2843</v>
      </c>
      <c r="H3841" t="s">
        <v>289</v>
      </c>
      <c r="I3841" t="s">
        <v>289</v>
      </c>
      <c r="J3841">
        <v>0</v>
      </c>
      <c r="K3841">
        <v>0</v>
      </c>
      <c r="L3841" s="6">
        <v>0</v>
      </c>
      <c r="M3841" s="7">
        <v>0</v>
      </c>
      <c r="N3841" s="7">
        <v>0</v>
      </c>
      <c r="O3841" s="7">
        <v>0</v>
      </c>
      <c r="P3841" s="7">
        <v>0</v>
      </c>
      <c r="Q3841" s="7">
        <v>0</v>
      </c>
      <c r="R3841" s="6">
        <v>0</v>
      </c>
      <c r="S3841" s="6">
        <v>0</v>
      </c>
      <c r="T3841" t="str">
        <f t="shared" si="320"/>
        <v>Marketing Services Services</v>
      </c>
    </row>
    <row r="3842" spans="1:20" x14ac:dyDescent="0.25">
      <c r="A3842" t="s">
        <v>2824</v>
      </c>
      <c r="B3842" t="s">
        <v>2825</v>
      </c>
      <c r="C3842" t="s">
        <v>2824</v>
      </c>
      <c r="D3842" t="s">
        <v>2826</v>
      </c>
      <c r="E3842" t="s">
        <v>4581</v>
      </c>
      <c r="F3842" t="s">
        <v>2825</v>
      </c>
      <c r="G3842" t="s">
        <v>2825</v>
      </c>
      <c r="H3842" t="s">
        <v>289</v>
      </c>
      <c r="I3842" t="s">
        <v>289</v>
      </c>
      <c r="J3842">
        <v>0</v>
      </c>
      <c r="K3842">
        <v>0</v>
      </c>
      <c r="L3842" s="6">
        <v>0</v>
      </c>
      <c r="M3842" s="7">
        <v>0</v>
      </c>
      <c r="N3842" s="7">
        <v>0</v>
      </c>
      <c r="O3842" s="7">
        <v>0</v>
      </c>
      <c r="P3842" s="7">
        <v>0</v>
      </c>
      <c r="Q3842" s="7">
        <v>0</v>
      </c>
      <c r="R3842" s="6">
        <v>0</v>
      </c>
      <c r="S3842" s="6">
        <v>0</v>
      </c>
      <c r="T3842" t="str">
        <f t="shared" ref="T3842:T3905" si="332">F3842&amp;" "&amp;C3842</f>
        <v>Expense Recovery Services</v>
      </c>
    </row>
    <row r="3843" spans="1:20" x14ac:dyDescent="0.25">
      <c r="A3843" t="s">
        <v>2824</v>
      </c>
      <c r="B3843" t="s">
        <v>2825</v>
      </c>
      <c r="C3843" t="s">
        <v>2824</v>
      </c>
      <c r="D3843" t="s">
        <v>2826</v>
      </c>
      <c r="E3843" t="s">
        <v>4582</v>
      </c>
      <c r="F3843" t="s">
        <v>2825</v>
      </c>
      <c r="G3843" t="s">
        <v>2825</v>
      </c>
      <c r="H3843" t="s">
        <v>289</v>
      </c>
      <c r="I3843" t="s">
        <v>289</v>
      </c>
      <c r="J3843">
        <v>0</v>
      </c>
      <c r="K3843">
        <v>0</v>
      </c>
      <c r="L3843" s="6">
        <v>0</v>
      </c>
      <c r="M3843" s="7">
        <v>0</v>
      </c>
      <c r="N3843" s="7">
        <v>0</v>
      </c>
      <c r="O3843" s="7">
        <v>0</v>
      </c>
      <c r="P3843" s="7">
        <v>0</v>
      </c>
      <c r="Q3843" s="7">
        <v>0</v>
      </c>
      <c r="R3843" s="6">
        <v>0</v>
      </c>
      <c r="S3843" s="6">
        <v>0</v>
      </c>
      <c r="T3843" t="str">
        <f t="shared" si="332"/>
        <v>Expense Recovery Services</v>
      </c>
    </row>
    <row r="3844" spans="1:20" x14ac:dyDescent="0.25">
      <c r="A3844" t="s">
        <v>2824</v>
      </c>
      <c r="B3844" t="s">
        <v>2825</v>
      </c>
      <c r="C3844" t="s">
        <v>2824</v>
      </c>
      <c r="D3844" t="s">
        <v>2826</v>
      </c>
      <c r="E3844" t="s">
        <v>4583</v>
      </c>
      <c r="F3844" t="s">
        <v>2825</v>
      </c>
      <c r="G3844" t="s">
        <v>2825</v>
      </c>
      <c r="H3844" t="s">
        <v>289</v>
      </c>
      <c r="I3844" t="s">
        <v>289</v>
      </c>
      <c r="J3844">
        <v>0</v>
      </c>
      <c r="K3844">
        <v>0</v>
      </c>
      <c r="L3844" s="6">
        <v>0</v>
      </c>
      <c r="M3844" s="7">
        <v>0</v>
      </c>
      <c r="N3844" s="7">
        <v>0</v>
      </c>
      <c r="O3844" s="7">
        <v>0</v>
      </c>
      <c r="P3844" s="7">
        <v>0</v>
      </c>
      <c r="Q3844" s="7">
        <v>0</v>
      </c>
      <c r="R3844" s="6">
        <v>0</v>
      </c>
      <c r="S3844" s="6">
        <v>0</v>
      </c>
      <c r="T3844" t="str">
        <f t="shared" si="332"/>
        <v>Expense Recovery Services</v>
      </c>
    </row>
    <row r="3845" spans="1:20" x14ac:dyDescent="0.25">
      <c r="A3845" t="s">
        <v>2824</v>
      </c>
      <c r="B3845" t="s">
        <v>2825</v>
      </c>
      <c r="C3845" t="s">
        <v>2824</v>
      </c>
      <c r="D3845" t="s">
        <v>2826</v>
      </c>
      <c r="E3845" t="s">
        <v>4584</v>
      </c>
      <c r="F3845" t="s">
        <v>2825</v>
      </c>
      <c r="G3845" t="s">
        <v>2825</v>
      </c>
      <c r="H3845" t="s">
        <v>289</v>
      </c>
      <c r="I3845" t="s">
        <v>289</v>
      </c>
      <c r="J3845">
        <v>0</v>
      </c>
      <c r="K3845">
        <v>0</v>
      </c>
      <c r="L3845" s="6">
        <v>0</v>
      </c>
      <c r="M3845" s="7">
        <v>0</v>
      </c>
      <c r="N3845" s="7">
        <v>0</v>
      </c>
      <c r="O3845" s="7">
        <v>0</v>
      </c>
      <c r="P3845" s="7">
        <v>0</v>
      </c>
      <c r="Q3845" s="7">
        <v>0</v>
      </c>
      <c r="R3845" s="6">
        <v>0</v>
      </c>
      <c r="S3845" s="6">
        <v>0</v>
      </c>
      <c r="T3845" t="str">
        <f t="shared" si="332"/>
        <v>Expense Recovery Services</v>
      </c>
    </row>
    <row r="3846" spans="1:20" x14ac:dyDescent="0.25">
      <c r="A3846" t="s">
        <v>2824</v>
      </c>
      <c r="B3846" t="s">
        <v>2825</v>
      </c>
      <c r="C3846" t="s">
        <v>2824</v>
      </c>
      <c r="D3846" t="s">
        <v>2826</v>
      </c>
      <c r="E3846" t="s">
        <v>4585</v>
      </c>
      <c r="F3846" t="s">
        <v>2825</v>
      </c>
      <c r="G3846" t="s">
        <v>2825</v>
      </c>
      <c r="H3846" t="s">
        <v>289</v>
      </c>
      <c r="I3846" t="s">
        <v>289</v>
      </c>
      <c r="J3846">
        <v>0</v>
      </c>
      <c r="K3846">
        <v>0</v>
      </c>
      <c r="L3846" s="6">
        <v>0</v>
      </c>
      <c r="M3846" s="7">
        <v>0</v>
      </c>
      <c r="N3846" s="7">
        <v>0</v>
      </c>
      <c r="O3846" s="7">
        <v>0</v>
      </c>
      <c r="P3846" s="7">
        <v>0</v>
      </c>
      <c r="Q3846" s="7">
        <v>0</v>
      </c>
      <c r="R3846" s="6">
        <v>0</v>
      </c>
      <c r="S3846" s="6">
        <v>0</v>
      </c>
      <c r="T3846" t="str">
        <f t="shared" si="332"/>
        <v>Expense Recovery Services</v>
      </c>
    </row>
    <row r="3847" spans="1:20" x14ac:dyDescent="0.25">
      <c r="A3847" t="s">
        <v>2824</v>
      </c>
      <c r="B3847" t="s">
        <v>2866</v>
      </c>
      <c r="C3847" t="s">
        <v>2824</v>
      </c>
      <c r="D3847" t="s">
        <v>2826</v>
      </c>
      <c r="E3847" t="s">
        <v>4586</v>
      </c>
      <c r="F3847" t="s">
        <v>2866</v>
      </c>
      <c r="G3847" t="s">
        <v>289</v>
      </c>
      <c r="H3847" t="s">
        <v>289</v>
      </c>
      <c r="I3847" t="s">
        <v>289</v>
      </c>
      <c r="J3847">
        <v>0</v>
      </c>
      <c r="K3847">
        <v>0</v>
      </c>
      <c r="L3847" s="6">
        <v>0</v>
      </c>
      <c r="M3847" s="7">
        <v>0</v>
      </c>
      <c r="N3847" s="7">
        <v>0</v>
      </c>
      <c r="O3847" s="7">
        <v>0</v>
      </c>
      <c r="P3847" s="7">
        <v>0</v>
      </c>
      <c r="Q3847" s="7">
        <v>0</v>
      </c>
      <c r="R3847" s="6">
        <v>0</v>
      </c>
      <c r="S3847" s="6">
        <v>0</v>
      </c>
      <c r="T3847" t="str">
        <f t="shared" si="332"/>
        <v>Milling Services</v>
      </c>
    </row>
    <row r="3848" spans="1:20" x14ac:dyDescent="0.25">
      <c r="A3848" t="s">
        <v>4274</v>
      </c>
      <c r="B3848" t="s">
        <v>4293</v>
      </c>
      <c r="C3848" t="s">
        <v>4587</v>
      </c>
      <c r="D3848" t="s">
        <v>4274</v>
      </c>
      <c r="E3848">
        <v>100109</v>
      </c>
      <c r="F3848" t="s">
        <v>4588</v>
      </c>
      <c r="G3848" t="s">
        <v>4589</v>
      </c>
      <c r="H3848" t="s">
        <v>4590</v>
      </c>
      <c r="I3848" t="s">
        <v>289</v>
      </c>
      <c r="J3848" t="s">
        <v>4591</v>
      </c>
      <c r="K3848">
        <v>0</v>
      </c>
      <c r="L3848" s="6">
        <v>0</v>
      </c>
      <c r="M3848" s="7">
        <v>0</v>
      </c>
      <c r="N3848" s="7">
        <v>0</v>
      </c>
      <c r="O3848" s="7">
        <v>0</v>
      </c>
      <c r="P3848" s="7">
        <v>0</v>
      </c>
      <c r="Q3848" s="7">
        <v>0</v>
      </c>
      <c r="R3848" s="6">
        <v>0</v>
      </c>
      <c r="S3848" s="6">
        <v>0</v>
      </c>
      <c r="T3848" t="str">
        <f t="shared" si="332"/>
        <v>Saw Blade US4 TCT - 7.1/4'' 60 Saw</v>
      </c>
    </row>
    <row r="3849" spans="1:20" x14ac:dyDescent="0.25">
      <c r="A3849" t="s">
        <v>4274</v>
      </c>
      <c r="B3849" t="s">
        <v>4293</v>
      </c>
      <c r="C3849" t="s">
        <v>4587</v>
      </c>
      <c r="D3849" t="s">
        <v>4274</v>
      </c>
      <c r="E3849">
        <v>100111</v>
      </c>
      <c r="F3849" t="s">
        <v>4592</v>
      </c>
      <c r="G3849" t="s">
        <v>4589</v>
      </c>
      <c r="H3849" t="s">
        <v>4590</v>
      </c>
      <c r="I3849" t="s">
        <v>289</v>
      </c>
      <c r="J3849" t="s">
        <v>4593</v>
      </c>
      <c r="K3849">
        <v>0</v>
      </c>
      <c r="L3849" s="6">
        <v>0</v>
      </c>
      <c r="M3849" s="7">
        <v>0</v>
      </c>
      <c r="N3849" s="7">
        <v>0</v>
      </c>
      <c r="O3849" s="7">
        <v>0</v>
      </c>
      <c r="P3849" s="7">
        <v>0</v>
      </c>
      <c r="Q3849" s="7">
        <v>0</v>
      </c>
      <c r="R3849" s="6">
        <v>0</v>
      </c>
      <c r="S3849" s="6">
        <v>0</v>
      </c>
      <c r="T3849" t="str">
        <f t="shared" si="332"/>
        <v>Saw Blade US4 TCT - 10'' 40 Saw</v>
      </c>
    </row>
    <row r="3850" spans="1:20" x14ac:dyDescent="0.25">
      <c r="A3850" t="s">
        <v>4274</v>
      </c>
      <c r="B3850" t="s">
        <v>4293</v>
      </c>
      <c r="C3850" t="s">
        <v>4587</v>
      </c>
      <c r="D3850" t="s">
        <v>4274</v>
      </c>
      <c r="E3850">
        <v>100113</v>
      </c>
      <c r="F3850" t="s">
        <v>4594</v>
      </c>
      <c r="G3850" t="s">
        <v>4589</v>
      </c>
      <c r="H3850" t="s">
        <v>4590</v>
      </c>
      <c r="I3850" t="s">
        <v>289</v>
      </c>
      <c r="J3850" t="s">
        <v>4595</v>
      </c>
      <c r="K3850">
        <v>0</v>
      </c>
      <c r="L3850" s="6">
        <v>0</v>
      </c>
      <c r="M3850" s="7">
        <v>0</v>
      </c>
      <c r="N3850" s="7">
        <v>0</v>
      </c>
      <c r="O3850" s="7">
        <v>0</v>
      </c>
      <c r="P3850" s="7">
        <v>0</v>
      </c>
      <c r="Q3850" s="7">
        <v>0</v>
      </c>
      <c r="R3850" s="6">
        <v>0</v>
      </c>
      <c r="S3850" s="6">
        <v>0</v>
      </c>
      <c r="T3850" t="str">
        <f t="shared" si="332"/>
        <v>Saw Blade US4 TCT - 12'' 80 Saw</v>
      </c>
    </row>
    <row r="3851" spans="1:20" x14ac:dyDescent="0.25">
      <c r="A3851" t="s">
        <v>4571</v>
      </c>
      <c r="B3851" t="s">
        <v>4293</v>
      </c>
      <c r="C3851" t="s">
        <v>2759</v>
      </c>
      <c r="D3851" t="s">
        <v>4571</v>
      </c>
      <c r="E3851">
        <v>32407</v>
      </c>
      <c r="F3851" t="s">
        <v>4596</v>
      </c>
      <c r="G3851" t="s">
        <v>4597</v>
      </c>
      <c r="H3851" t="s">
        <v>4598</v>
      </c>
      <c r="I3851" t="s">
        <v>289</v>
      </c>
      <c r="J3851" t="s">
        <v>4599</v>
      </c>
      <c r="K3851">
        <v>0</v>
      </c>
      <c r="L3851" s="6">
        <v>0</v>
      </c>
      <c r="M3851" s="7">
        <v>0</v>
      </c>
      <c r="N3851" s="7">
        <v>0</v>
      </c>
      <c r="O3851" s="7">
        <v>0</v>
      </c>
      <c r="P3851" s="7">
        <v>0</v>
      </c>
      <c r="Q3851" s="7">
        <v>0</v>
      </c>
      <c r="R3851" s="6">
        <v>0</v>
      </c>
      <c r="S3851" s="6">
        <v>0</v>
      </c>
      <c r="T3851" t="str">
        <f t="shared" si="332"/>
        <v>Screws Kit 1050 Count Ipe Clip - 5/32" Screws</v>
      </c>
    </row>
    <row r="3852" spans="1:20" x14ac:dyDescent="0.25">
      <c r="A3852" t="s">
        <v>4571</v>
      </c>
      <c r="B3852" t="s">
        <v>4293</v>
      </c>
      <c r="C3852" t="s">
        <v>2886</v>
      </c>
      <c r="D3852" t="s">
        <v>4571</v>
      </c>
      <c r="E3852" t="s">
        <v>4600</v>
      </c>
      <c r="F3852" t="s">
        <v>4601</v>
      </c>
      <c r="G3852" t="s">
        <v>4602</v>
      </c>
      <c r="H3852" t="s">
        <v>4603</v>
      </c>
      <c r="I3852" t="s">
        <v>3047</v>
      </c>
      <c r="J3852">
        <v>0</v>
      </c>
      <c r="K3852">
        <v>0</v>
      </c>
      <c r="L3852" s="6">
        <v>0</v>
      </c>
      <c r="M3852" s="7">
        <v>0</v>
      </c>
      <c r="N3852" s="7">
        <v>0</v>
      </c>
      <c r="O3852" s="7">
        <v>0</v>
      </c>
      <c r="P3852" s="7">
        <v>0</v>
      </c>
      <c r="Q3852" s="7">
        <v>0</v>
      </c>
      <c r="R3852" s="6">
        <v>0</v>
      </c>
      <c r="S3852" s="6">
        <v>0</v>
      </c>
      <c r="T3852" t="str">
        <f t="shared" si="332"/>
        <v>CUTEK Colortone 95 ml / 3.2 oz Walnut Oil</v>
      </c>
    </row>
    <row r="3853" spans="1:20" x14ac:dyDescent="0.25">
      <c r="A3853" t="s">
        <v>4571</v>
      </c>
      <c r="B3853" t="s">
        <v>4293</v>
      </c>
      <c r="C3853" t="s">
        <v>2886</v>
      </c>
      <c r="D3853" t="s">
        <v>4571</v>
      </c>
      <c r="E3853" t="s">
        <v>4604</v>
      </c>
      <c r="F3853" t="s">
        <v>4605</v>
      </c>
      <c r="G3853" t="s">
        <v>4602</v>
      </c>
      <c r="H3853" t="s">
        <v>4603</v>
      </c>
      <c r="I3853" t="s">
        <v>4606</v>
      </c>
      <c r="J3853">
        <v>0</v>
      </c>
      <c r="K3853">
        <v>0</v>
      </c>
      <c r="L3853" s="6">
        <v>0</v>
      </c>
      <c r="M3853" s="7">
        <v>0</v>
      </c>
      <c r="N3853" s="7">
        <v>0</v>
      </c>
      <c r="O3853" s="7">
        <v>0</v>
      </c>
      <c r="P3853" s="7">
        <v>0</v>
      </c>
      <c r="Q3853" s="7">
        <v>0</v>
      </c>
      <c r="R3853" s="6">
        <v>0</v>
      </c>
      <c r="S3853" s="6">
        <v>0</v>
      </c>
      <c r="T3853" t="str">
        <f t="shared" si="332"/>
        <v>CUTEK Colortone 95 ml / 3.2 oz Expresso Oil</v>
      </c>
    </row>
    <row r="3854" spans="1:20" x14ac:dyDescent="0.25">
      <c r="A3854" t="s">
        <v>3950</v>
      </c>
      <c r="B3854" t="s">
        <v>3972</v>
      </c>
      <c r="C3854" t="s">
        <v>1353</v>
      </c>
      <c r="D3854" t="s">
        <v>3065</v>
      </c>
      <c r="E3854" t="s">
        <v>4607</v>
      </c>
      <c r="F3854" t="s">
        <v>4608</v>
      </c>
      <c r="G3854" t="s">
        <v>3954</v>
      </c>
      <c r="H3854" t="s">
        <v>4609</v>
      </c>
      <c r="I3854" t="s">
        <v>1353</v>
      </c>
      <c r="J3854" t="s">
        <v>344</v>
      </c>
      <c r="K3854">
        <v>0</v>
      </c>
      <c r="L3854" s="6">
        <v>0</v>
      </c>
      <c r="M3854" s="7">
        <v>0</v>
      </c>
      <c r="N3854" s="7">
        <v>0</v>
      </c>
      <c r="O3854" s="7">
        <v>0</v>
      </c>
      <c r="P3854" s="7">
        <v>0</v>
      </c>
      <c r="Q3854" s="7">
        <v>0</v>
      </c>
      <c r="R3854" s="6">
        <v>0</v>
      </c>
      <c r="S3854" s="6">
        <v>0</v>
      </c>
      <c r="T3854" t="str">
        <f t="shared" si="332"/>
        <v>Maximo Thermo Clear Radiata Rondo Plus Random Lenght 1x6 Random Lenght</v>
      </c>
    </row>
    <row r="3855" spans="1:20" x14ac:dyDescent="0.25">
      <c r="A3855" t="s">
        <v>3063</v>
      </c>
      <c r="B3855" t="s">
        <v>3064</v>
      </c>
      <c r="C3855" t="s">
        <v>1353</v>
      </c>
      <c r="D3855" t="s">
        <v>3065</v>
      </c>
      <c r="E3855" t="s">
        <v>4610</v>
      </c>
      <c r="F3855" t="s">
        <v>4611</v>
      </c>
      <c r="G3855" t="s">
        <v>3068</v>
      </c>
      <c r="H3855" t="s">
        <v>3072</v>
      </c>
      <c r="I3855" t="s">
        <v>1353</v>
      </c>
      <c r="J3855" t="s">
        <v>344</v>
      </c>
      <c r="K3855">
        <v>0</v>
      </c>
      <c r="L3855" s="6">
        <v>0</v>
      </c>
      <c r="M3855" s="7">
        <v>0</v>
      </c>
      <c r="N3855" s="7">
        <v>0</v>
      </c>
      <c r="O3855" s="7">
        <v>0</v>
      </c>
      <c r="P3855" s="7">
        <v>0</v>
      </c>
      <c r="Q3855" s="7">
        <v>0</v>
      </c>
      <c r="R3855" s="6">
        <v>0</v>
      </c>
      <c r="S3855" s="6">
        <v>0</v>
      </c>
      <c r="T3855" t="str">
        <f t="shared" si="332"/>
        <v>Maximo Thermo Ash Rondo Random Lenght 1x6 Random Lenght</v>
      </c>
    </row>
    <row r="3856" spans="1:20" x14ac:dyDescent="0.25">
      <c r="A3856" t="s">
        <v>3063</v>
      </c>
      <c r="B3856" t="s">
        <v>3064</v>
      </c>
      <c r="C3856" t="s">
        <v>1353</v>
      </c>
      <c r="D3856" t="s">
        <v>3065</v>
      </c>
      <c r="E3856" t="s">
        <v>4612</v>
      </c>
      <c r="F3856" t="s">
        <v>4613</v>
      </c>
      <c r="G3856" t="s">
        <v>3068</v>
      </c>
      <c r="H3856" t="s">
        <v>4614</v>
      </c>
      <c r="I3856" t="s">
        <v>1353</v>
      </c>
      <c r="J3856" t="s">
        <v>344</v>
      </c>
      <c r="K3856">
        <v>0</v>
      </c>
      <c r="L3856" s="6">
        <v>0</v>
      </c>
      <c r="M3856" s="7">
        <v>0</v>
      </c>
      <c r="N3856" s="7">
        <v>0</v>
      </c>
      <c r="O3856" s="7">
        <v>0</v>
      </c>
      <c r="P3856" s="7">
        <v>0</v>
      </c>
      <c r="Q3856" s="7">
        <v>0</v>
      </c>
      <c r="R3856" s="6">
        <v>0</v>
      </c>
      <c r="S3856" s="6">
        <v>0</v>
      </c>
      <c r="T3856" t="str">
        <f t="shared" si="332"/>
        <v>Maximo Thermo Ash Duo Fluted Random Lenght 1x6 Random Lenght</v>
      </c>
    </row>
    <row r="3857" spans="1:20" x14ac:dyDescent="0.25">
      <c r="A3857" t="s">
        <v>3063</v>
      </c>
      <c r="B3857" t="s">
        <v>3064</v>
      </c>
      <c r="C3857" t="s">
        <v>1353</v>
      </c>
      <c r="D3857" t="s">
        <v>3065</v>
      </c>
      <c r="E3857" t="s">
        <v>4615</v>
      </c>
      <c r="F3857" t="s">
        <v>4616</v>
      </c>
      <c r="G3857" t="s">
        <v>3068</v>
      </c>
      <c r="H3857" t="s">
        <v>4617</v>
      </c>
      <c r="I3857" t="s">
        <v>1353</v>
      </c>
      <c r="J3857" t="s">
        <v>344</v>
      </c>
      <c r="K3857">
        <v>0</v>
      </c>
      <c r="L3857" s="6">
        <v>0</v>
      </c>
      <c r="M3857" s="7">
        <v>0</v>
      </c>
      <c r="N3857" s="7">
        <v>0</v>
      </c>
      <c r="O3857" s="7">
        <v>0</v>
      </c>
      <c r="P3857" s="7">
        <v>0</v>
      </c>
      <c r="Q3857" s="7">
        <v>0</v>
      </c>
      <c r="R3857" s="6">
        <v>0</v>
      </c>
      <c r="S3857" s="6">
        <v>0</v>
      </c>
      <c r="T3857" t="str">
        <f t="shared" si="332"/>
        <v>Maximo Thermo Ash Vjoint - Square Back Random Lenght 1x6 Random Lenght</v>
      </c>
    </row>
    <row r="3858" spans="1:20" x14ac:dyDescent="0.25">
      <c r="A3858" t="s">
        <v>3073</v>
      </c>
      <c r="B3858" t="s">
        <v>3080</v>
      </c>
      <c r="C3858" t="s">
        <v>1353</v>
      </c>
      <c r="D3858" t="s">
        <v>3065</v>
      </c>
      <c r="E3858" t="s">
        <v>4618</v>
      </c>
      <c r="F3858" t="s">
        <v>4619</v>
      </c>
      <c r="G3858" t="s">
        <v>3077</v>
      </c>
      <c r="H3858" t="s">
        <v>4620</v>
      </c>
      <c r="I3858" t="s">
        <v>1353</v>
      </c>
      <c r="J3858" t="s">
        <v>344</v>
      </c>
      <c r="K3858">
        <v>0</v>
      </c>
      <c r="L3858" s="6">
        <v>0</v>
      </c>
      <c r="M3858" s="7">
        <v>0</v>
      </c>
      <c r="N3858" s="7">
        <v>0</v>
      </c>
      <c r="O3858" s="7">
        <v>0</v>
      </c>
      <c r="P3858" s="7">
        <v>0</v>
      </c>
      <c r="Q3858" s="7">
        <v>0</v>
      </c>
      <c r="R3858" s="6">
        <v>0</v>
      </c>
      <c r="S3858" s="6">
        <v>0</v>
      </c>
      <c r="T3858" t="str">
        <f t="shared" si="332"/>
        <v>Maximo Thermo Ayous Concave Random Lenght 1x6 Random Lenght</v>
      </c>
    </row>
    <row r="3859" spans="1:20" x14ac:dyDescent="0.25">
      <c r="A3859" t="s">
        <v>3073</v>
      </c>
      <c r="B3859" t="s">
        <v>3080</v>
      </c>
      <c r="C3859" t="s">
        <v>1353</v>
      </c>
      <c r="D3859" t="s">
        <v>3065</v>
      </c>
      <c r="E3859" t="s">
        <v>4621</v>
      </c>
      <c r="F3859" t="s">
        <v>4622</v>
      </c>
      <c r="G3859" t="s">
        <v>3077</v>
      </c>
      <c r="H3859" t="s">
        <v>4614</v>
      </c>
      <c r="I3859" t="s">
        <v>1353</v>
      </c>
      <c r="J3859" t="s">
        <v>344</v>
      </c>
      <c r="K3859">
        <v>0</v>
      </c>
      <c r="L3859" s="6">
        <v>0</v>
      </c>
      <c r="M3859" s="7">
        <v>0</v>
      </c>
      <c r="N3859" s="7">
        <v>0</v>
      </c>
      <c r="O3859" s="7">
        <v>0</v>
      </c>
      <c r="P3859" s="7">
        <v>0</v>
      </c>
      <c r="Q3859" s="7">
        <v>0</v>
      </c>
      <c r="R3859" s="6">
        <v>0</v>
      </c>
      <c r="S3859" s="6">
        <v>0</v>
      </c>
      <c r="T3859" t="str">
        <f t="shared" si="332"/>
        <v>Maximo Thermo Ayous Duo Fluted Random Lenght 1x6 Random Lenght</v>
      </c>
    </row>
    <row r="3860" spans="1:20" x14ac:dyDescent="0.25">
      <c r="A3860" t="s">
        <v>3073</v>
      </c>
      <c r="B3860" t="s">
        <v>3080</v>
      </c>
      <c r="C3860" t="s">
        <v>1353</v>
      </c>
      <c r="D3860" t="s">
        <v>3065</v>
      </c>
      <c r="E3860" t="s">
        <v>4623</v>
      </c>
      <c r="F3860" t="s">
        <v>4624</v>
      </c>
      <c r="G3860" t="s">
        <v>3077</v>
      </c>
      <c r="H3860" t="s">
        <v>4609</v>
      </c>
      <c r="I3860" t="s">
        <v>1353</v>
      </c>
      <c r="J3860" t="s">
        <v>344</v>
      </c>
      <c r="K3860">
        <v>0</v>
      </c>
      <c r="L3860" s="6">
        <v>0</v>
      </c>
      <c r="M3860" s="7">
        <v>0</v>
      </c>
      <c r="N3860" s="7">
        <v>0</v>
      </c>
      <c r="O3860" s="7">
        <v>0</v>
      </c>
      <c r="P3860" s="7">
        <v>0</v>
      </c>
      <c r="Q3860" s="7">
        <v>0</v>
      </c>
      <c r="R3860" s="6">
        <v>0</v>
      </c>
      <c r="S3860" s="6">
        <v>0</v>
      </c>
      <c r="T3860" t="str">
        <f t="shared" si="332"/>
        <v>Maximo Thermo Ayous Rondo Plus Random Lenght 1x6 Random Lenght</v>
      </c>
    </row>
    <row r="3861" spans="1:20" x14ac:dyDescent="0.25">
      <c r="A3861" t="s">
        <v>4317</v>
      </c>
      <c r="B3861" t="s">
        <v>4318</v>
      </c>
      <c r="C3861" t="s">
        <v>4319</v>
      </c>
      <c r="D3861" t="s">
        <v>4317</v>
      </c>
      <c r="E3861" t="s">
        <v>4625</v>
      </c>
      <c r="F3861" t="s">
        <v>4328</v>
      </c>
      <c r="G3861" t="s">
        <v>4317</v>
      </c>
      <c r="H3861" t="s">
        <v>4626</v>
      </c>
      <c r="I3861" t="s">
        <v>289</v>
      </c>
      <c r="J3861">
        <v>0</v>
      </c>
      <c r="K3861">
        <v>0</v>
      </c>
      <c r="L3861" s="6">
        <v>0</v>
      </c>
      <c r="M3861" s="7">
        <v>0</v>
      </c>
      <c r="N3861" s="7">
        <v>0</v>
      </c>
      <c r="O3861" s="7">
        <v>0</v>
      </c>
      <c r="P3861" s="7">
        <v>0</v>
      </c>
      <c r="Q3861" s="7">
        <v>0</v>
      </c>
      <c r="R3861" s="6">
        <v>0</v>
      </c>
      <c r="S3861" s="6">
        <v>0</v>
      </c>
      <c r="T3861" t="str">
        <f t="shared" si="332"/>
        <v>Wood Table with Glass Regular</v>
      </c>
    </row>
    <row r="3862" spans="1:20" x14ac:dyDescent="0.25">
      <c r="A3862" t="s">
        <v>2824</v>
      </c>
      <c r="B3862" t="s">
        <v>2874</v>
      </c>
      <c r="C3862" t="s">
        <v>2824</v>
      </c>
      <c r="D3862" t="s">
        <v>2826</v>
      </c>
      <c r="E3862" t="s">
        <v>4627</v>
      </c>
      <c r="F3862" t="s">
        <v>2876</v>
      </c>
      <c r="G3862" t="s">
        <v>2876</v>
      </c>
      <c r="H3862" t="s">
        <v>289</v>
      </c>
      <c r="I3862" t="s">
        <v>289</v>
      </c>
      <c r="J3862">
        <v>0</v>
      </c>
      <c r="K3862">
        <v>0</v>
      </c>
      <c r="L3862" s="6">
        <v>0</v>
      </c>
      <c r="M3862" s="7">
        <v>0</v>
      </c>
      <c r="N3862" s="7">
        <v>0</v>
      </c>
      <c r="O3862" s="7">
        <v>0</v>
      </c>
      <c r="P3862" s="7">
        <v>0</v>
      </c>
      <c r="Q3862" s="7">
        <v>0</v>
      </c>
      <c r="R3862" s="6">
        <v>0</v>
      </c>
      <c r="S3862" s="6">
        <v>0</v>
      </c>
      <c r="T3862" t="str">
        <f t="shared" si="332"/>
        <v>Refund Services Services</v>
      </c>
    </row>
    <row r="3863" spans="1:20" x14ac:dyDescent="0.25">
      <c r="A3863" t="s">
        <v>1351</v>
      </c>
      <c r="B3863" t="s">
        <v>4628</v>
      </c>
      <c r="C3863" t="s">
        <v>283</v>
      </c>
      <c r="D3863" t="s">
        <v>438</v>
      </c>
      <c r="E3863" t="s">
        <v>4629</v>
      </c>
      <c r="F3863" t="s">
        <v>4630</v>
      </c>
      <c r="G3863" t="s">
        <v>1351</v>
      </c>
      <c r="H3863" t="s">
        <v>373</v>
      </c>
      <c r="I3863" t="s">
        <v>289</v>
      </c>
      <c r="J3863" t="s">
        <v>4631</v>
      </c>
      <c r="K3863">
        <v>14</v>
      </c>
      <c r="L3863" s="6">
        <v>4.2671999999999999</v>
      </c>
      <c r="M3863" s="7">
        <v>184.15</v>
      </c>
      <c r="N3863" s="7">
        <v>234.95</v>
      </c>
      <c r="O3863" s="7">
        <f t="shared" ref="O3863:O3884" si="333">L3863/0.0254</f>
        <v>168</v>
      </c>
      <c r="P3863" s="7">
        <f t="shared" ref="P3863:Q3884" si="334">M3863/25.4</f>
        <v>7.2500000000000009</v>
      </c>
      <c r="Q3863" s="7">
        <f t="shared" si="334"/>
        <v>9.25</v>
      </c>
      <c r="R3863" s="6">
        <f t="shared" ref="R3863:R3884" si="335">ROUND(IFERROR(1/((M3863*N3863*0.3048)/1000000),0),3)</f>
        <v>75.828999999999994</v>
      </c>
      <c r="S3863" s="6">
        <f t="shared" ref="S3863:S3884" si="336">L3863*M3863/1000*N3863/1000</f>
        <v>0.184624856556</v>
      </c>
      <c r="T3863" t="str">
        <f t="shared" si="332"/>
        <v>Ipe S4S E4E 8x10 Long</v>
      </c>
    </row>
    <row r="3864" spans="1:20" x14ac:dyDescent="0.25">
      <c r="A3864" t="s">
        <v>1351</v>
      </c>
      <c r="B3864" t="s">
        <v>1490</v>
      </c>
      <c r="C3864" t="s">
        <v>283</v>
      </c>
      <c r="D3864" t="s">
        <v>438</v>
      </c>
      <c r="E3864" t="s">
        <v>4632</v>
      </c>
      <c r="F3864" t="s">
        <v>4633</v>
      </c>
      <c r="G3864" t="s">
        <v>1351</v>
      </c>
      <c r="H3864" t="s">
        <v>324</v>
      </c>
      <c r="I3864" t="s">
        <v>289</v>
      </c>
      <c r="J3864" t="s">
        <v>344</v>
      </c>
      <c r="K3864">
        <v>10</v>
      </c>
      <c r="L3864" s="6">
        <v>3.048</v>
      </c>
      <c r="M3864" s="7">
        <v>19.05</v>
      </c>
      <c r="N3864" s="7">
        <v>139.69999999999999</v>
      </c>
      <c r="O3864" s="7">
        <f t="shared" si="333"/>
        <v>120</v>
      </c>
      <c r="P3864" s="7">
        <f t="shared" si="334"/>
        <v>0.75000000000000011</v>
      </c>
      <c r="Q3864" s="7">
        <f t="shared" si="334"/>
        <v>5.5</v>
      </c>
      <c r="R3864" s="6">
        <f t="shared" si="335"/>
        <v>1232.8030000000001</v>
      </c>
      <c r="S3864" s="6">
        <f t="shared" si="336"/>
        <v>8.1115966799999994E-3</v>
      </c>
      <c r="T3864" t="str">
        <f t="shared" si="332"/>
        <v>Ipe Grooved 1x6 Long</v>
      </c>
    </row>
    <row r="3865" spans="1:20" x14ac:dyDescent="0.25">
      <c r="A3865" t="s">
        <v>1351</v>
      </c>
      <c r="B3865" t="s">
        <v>1490</v>
      </c>
      <c r="C3865" t="s">
        <v>283</v>
      </c>
      <c r="D3865" t="s">
        <v>438</v>
      </c>
      <c r="E3865" t="s">
        <v>4634</v>
      </c>
      <c r="F3865" t="s">
        <v>4633</v>
      </c>
      <c r="G3865" t="s">
        <v>1351</v>
      </c>
      <c r="H3865" t="s">
        <v>324</v>
      </c>
      <c r="I3865" t="s">
        <v>289</v>
      </c>
      <c r="J3865" t="s">
        <v>344</v>
      </c>
      <c r="K3865">
        <v>11</v>
      </c>
      <c r="L3865" s="6">
        <v>3.3527999999999998</v>
      </c>
      <c r="M3865" s="7">
        <v>19.05</v>
      </c>
      <c r="N3865" s="7">
        <v>139.69999999999999</v>
      </c>
      <c r="O3865" s="7">
        <f t="shared" si="333"/>
        <v>132</v>
      </c>
      <c r="P3865" s="7">
        <f t="shared" si="334"/>
        <v>0.75000000000000011</v>
      </c>
      <c r="Q3865" s="7">
        <f t="shared" si="334"/>
        <v>5.5</v>
      </c>
      <c r="R3865" s="6">
        <f t="shared" si="335"/>
        <v>1232.8030000000001</v>
      </c>
      <c r="S3865" s="6">
        <f t="shared" si="336"/>
        <v>8.922756347999999E-3</v>
      </c>
      <c r="T3865" t="str">
        <f t="shared" si="332"/>
        <v>Ipe Grooved 1x6 Long</v>
      </c>
    </row>
    <row r="3866" spans="1:20" x14ac:dyDescent="0.25">
      <c r="A3866" t="s">
        <v>1351</v>
      </c>
      <c r="B3866" t="s">
        <v>1490</v>
      </c>
      <c r="C3866" t="s">
        <v>283</v>
      </c>
      <c r="D3866" t="s">
        <v>438</v>
      </c>
      <c r="E3866" t="s">
        <v>4635</v>
      </c>
      <c r="F3866" t="s">
        <v>4633</v>
      </c>
      <c r="G3866" t="s">
        <v>1351</v>
      </c>
      <c r="H3866" t="s">
        <v>324</v>
      </c>
      <c r="I3866" t="s">
        <v>289</v>
      </c>
      <c r="J3866" t="s">
        <v>344</v>
      </c>
      <c r="K3866">
        <v>12</v>
      </c>
      <c r="L3866" s="6">
        <v>3.6576</v>
      </c>
      <c r="M3866" s="7">
        <v>19.05</v>
      </c>
      <c r="N3866" s="7">
        <v>139.69999999999999</v>
      </c>
      <c r="O3866" s="7">
        <f t="shared" si="333"/>
        <v>144</v>
      </c>
      <c r="P3866" s="7">
        <f t="shared" si="334"/>
        <v>0.75000000000000011</v>
      </c>
      <c r="Q3866" s="7">
        <f t="shared" si="334"/>
        <v>5.5</v>
      </c>
      <c r="R3866" s="6">
        <f t="shared" si="335"/>
        <v>1232.8030000000001</v>
      </c>
      <c r="S3866" s="6">
        <f t="shared" si="336"/>
        <v>9.7339160159999986E-3</v>
      </c>
      <c r="T3866" t="str">
        <f t="shared" si="332"/>
        <v>Ipe Grooved 1x6 Long</v>
      </c>
    </row>
    <row r="3867" spans="1:20" x14ac:dyDescent="0.25">
      <c r="A3867" t="s">
        <v>1351</v>
      </c>
      <c r="B3867" t="s">
        <v>1490</v>
      </c>
      <c r="C3867" t="s">
        <v>283</v>
      </c>
      <c r="D3867" t="s">
        <v>438</v>
      </c>
      <c r="E3867" t="s">
        <v>4636</v>
      </c>
      <c r="F3867" t="s">
        <v>4633</v>
      </c>
      <c r="G3867" t="s">
        <v>1351</v>
      </c>
      <c r="H3867" t="s">
        <v>324</v>
      </c>
      <c r="I3867" t="s">
        <v>289</v>
      </c>
      <c r="J3867" t="s">
        <v>344</v>
      </c>
      <c r="K3867">
        <v>13</v>
      </c>
      <c r="L3867" s="6">
        <v>3.9624000000000001</v>
      </c>
      <c r="M3867" s="7">
        <v>19.05</v>
      </c>
      <c r="N3867" s="7">
        <v>139.69999999999999</v>
      </c>
      <c r="O3867" s="7">
        <f t="shared" si="333"/>
        <v>156</v>
      </c>
      <c r="P3867" s="7">
        <f t="shared" si="334"/>
        <v>0.75000000000000011</v>
      </c>
      <c r="Q3867" s="7">
        <f t="shared" si="334"/>
        <v>5.5</v>
      </c>
      <c r="R3867" s="6">
        <f t="shared" si="335"/>
        <v>1232.8030000000001</v>
      </c>
      <c r="S3867" s="6">
        <f t="shared" si="336"/>
        <v>1.0545075684E-2</v>
      </c>
      <c r="T3867" t="str">
        <f t="shared" si="332"/>
        <v>Ipe Grooved 1x6 Long</v>
      </c>
    </row>
    <row r="3868" spans="1:20" x14ac:dyDescent="0.25">
      <c r="A3868" t="s">
        <v>1351</v>
      </c>
      <c r="B3868" t="s">
        <v>1490</v>
      </c>
      <c r="C3868" t="s">
        <v>283</v>
      </c>
      <c r="D3868" t="s">
        <v>438</v>
      </c>
      <c r="E3868" t="s">
        <v>4637</v>
      </c>
      <c r="F3868" t="s">
        <v>4633</v>
      </c>
      <c r="G3868" t="s">
        <v>1351</v>
      </c>
      <c r="H3868" t="s">
        <v>324</v>
      </c>
      <c r="I3868" t="s">
        <v>289</v>
      </c>
      <c r="J3868" t="s">
        <v>344</v>
      </c>
      <c r="K3868">
        <v>14</v>
      </c>
      <c r="L3868" s="6">
        <v>4.2671999999999999</v>
      </c>
      <c r="M3868" s="7">
        <v>19.05</v>
      </c>
      <c r="N3868" s="7">
        <v>139.69999999999999</v>
      </c>
      <c r="O3868" s="7">
        <f t="shared" si="333"/>
        <v>168</v>
      </c>
      <c r="P3868" s="7">
        <f t="shared" si="334"/>
        <v>0.75000000000000011</v>
      </c>
      <c r="Q3868" s="7">
        <f t="shared" si="334"/>
        <v>5.5</v>
      </c>
      <c r="R3868" s="6">
        <f t="shared" si="335"/>
        <v>1232.8030000000001</v>
      </c>
      <c r="S3868" s="6">
        <f t="shared" si="336"/>
        <v>1.1356235352E-2</v>
      </c>
      <c r="T3868" t="str">
        <f t="shared" si="332"/>
        <v>Ipe Grooved 1x6 Long</v>
      </c>
    </row>
    <row r="3869" spans="1:20" x14ac:dyDescent="0.25">
      <c r="A3869" t="s">
        <v>1351</v>
      </c>
      <c r="B3869" t="s">
        <v>1490</v>
      </c>
      <c r="C3869" t="s">
        <v>283</v>
      </c>
      <c r="D3869" t="s">
        <v>438</v>
      </c>
      <c r="E3869" t="s">
        <v>4638</v>
      </c>
      <c r="F3869" t="s">
        <v>4633</v>
      </c>
      <c r="G3869" t="s">
        <v>1351</v>
      </c>
      <c r="H3869" t="s">
        <v>324</v>
      </c>
      <c r="I3869" t="s">
        <v>289</v>
      </c>
      <c r="J3869" t="s">
        <v>344</v>
      </c>
      <c r="K3869">
        <v>15</v>
      </c>
      <c r="L3869" s="6">
        <v>4.5720000000000001</v>
      </c>
      <c r="M3869" s="7">
        <v>19.05</v>
      </c>
      <c r="N3869" s="7">
        <v>139.69999999999999</v>
      </c>
      <c r="O3869" s="7">
        <f t="shared" si="333"/>
        <v>180</v>
      </c>
      <c r="P3869" s="7">
        <f t="shared" si="334"/>
        <v>0.75000000000000011</v>
      </c>
      <c r="Q3869" s="7">
        <f t="shared" si="334"/>
        <v>5.5</v>
      </c>
      <c r="R3869" s="6">
        <f t="shared" si="335"/>
        <v>1232.8030000000001</v>
      </c>
      <c r="S3869" s="6">
        <f t="shared" si="336"/>
        <v>1.2167395020000001E-2</v>
      </c>
      <c r="T3869" t="str">
        <f t="shared" si="332"/>
        <v>Ipe Grooved 1x6 Long</v>
      </c>
    </row>
    <row r="3870" spans="1:20" x14ac:dyDescent="0.25">
      <c r="A3870" t="s">
        <v>1351</v>
      </c>
      <c r="B3870" t="s">
        <v>1490</v>
      </c>
      <c r="C3870" t="s">
        <v>283</v>
      </c>
      <c r="D3870" t="s">
        <v>438</v>
      </c>
      <c r="E3870" t="s">
        <v>4639</v>
      </c>
      <c r="F3870" t="s">
        <v>4633</v>
      </c>
      <c r="G3870" t="s">
        <v>1351</v>
      </c>
      <c r="H3870" t="s">
        <v>324</v>
      </c>
      <c r="I3870" t="s">
        <v>289</v>
      </c>
      <c r="J3870" t="s">
        <v>344</v>
      </c>
      <c r="K3870">
        <v>16</v>
      </c>
      <c r="L3870" s="6">
        <v>4.8768000000000002</v>
      </c>
      <c r="M3870" s="7">
        <v>19.05</v>
      </c>
      <c r="N3870" s="7">
        <v>139.69999999999999</v>
      </c>
      <c r="O3870" s="7">
        <f t="shared" si="333"/>
        <v>192.00000000000003</v>
      </c>
      <c r="P3870" s="7">
        <f t="shared" si="334"/>
        <v>0.75000000000000011</v>
      </c>
      <c r="Q3870" s="7">
        <f t="shared" si="334"/>
        <v>5.5</v>
      </c>
      <c r="R3870" s="6">
        <f t="shared" si="335"/>
        <v>1232.8030000000001</v>
      </c>
      <c r="S3870" s="6">
        <f t="shared" si="336"/>
        <v>1.2978554687999999E-2</v>
      </c>
      <c r="T3870" t="str">
        <f t="shared" si="332"/>
        <v>Ipe Grooved 1x6 Long</v>
      </c>
    </row>
    <row r="3871" spans="1:20" x14ac:dyDescent="0.25">
      <c r="A3871" t="s">
        <v>1351</v>
      </c>
      <c r="B3871" t="s">
        <v>1490</v>
      </c>
      <c r="C3871" t="s">
        <v>283</v>
      </c>
      <c r="D3871" t="s">
        <v>438</v>
      </c>
      <c r="E3871" t="s">
        <v>4640</v>
      </c>
      <c r="F3871" t="s">
        <v>4633</v>
      </c>
      <c r="G3871" t="s">
        <v>1351</v>
      </c>
      <c r="H3871" t="s">
        <v>324</v>
      </c>
      <c r="I3871" t="s">
        <v>289</v>
      </c>
      <c r="J3871" t="s">
        <v>344</v>
      </c>
      <c r="K3871">
        <v>17</v>
      </c>
      <c r="L3871" s="6">
        <v>5.1816000000000004</v>
      </c>
      <c r="M3871" s="7">
        <v>19.05</v>
      </c>
      <c r="N3871" s="7">
        <v>139.69999999999999</v>
      </c>
      <c r="O3871" s="7">
        <f t="shared" si="333"/>
        <v>204.00000000000003</v>
      </c>
      <c r="P3871" s="7">
        <f t="shared" si="334"/>
        <v>0.75000000000000011</v>
      </c>
      <c r="Q3871" s="7">
        <f t="shared" si="334"/>
        <v>5.5</v>
      </c>
      <c r="R3871" s="6">
        <f t="shared" si="335"/>
        <v>1232.8030000000001</v>
      </c>
      <c r="S3871" s="6">
        <f t="shared" si="336"/>
        <v>1.3789714356000002E-2</v>
      </c>
      <c r="T3871" t="str">
        <f t="shared" si="332"/>
        <v>Ipe Grooved 1x6 Long</v>
      </c>
    </row>
    <row r="3872" spans="1:20" x14ac:dyDescent="0.25">
      <c r="A3872" t="s">
        <v>1351</v>
      </c>
      <c r="B3872" t="s">
        <v>1490</v>
      </c>
      <c r="C3872" t="s">
        <v>283</v>
      </c>
      <c r="D3872" t="s">
        <v>438</v>
      </c>
      <c r="E3872" t="s">
        <v>4641</v>
      </c>
      <c r="F3872" t="s">
        <v>4633</v>
      </c>
      <c r="G3872" t="s">
        <v>1351</v>
      </c>
      <c r="H3872" t="s">
        <v>324</v>
      </c>
      <c r="I3872" t="s">
        <v>289</v>
      </c>
      <c r="J3872" t="s">
        <v>344</v>
      </c>
      <c r="K3872">
        <v>18</v>
      </c>
      <c r="L3872" s="6">
        <v>5.4863999999999997</v>
      </c>
      <c r="M3872" s="7">
        <v>19.05</v>
      </c>
      <c r="N3872" s="7">
        <v>139.69999999999999</v>
      </c>
      <c r="O3872" s="7">
        <f t="shared" si="333"/>
        <v>216</v>
      </c>
      <c r="P3872" s="7">
        <f t="shared" si="334"/>
        <v>0.75000000000000011</v>
      </c>
      <c r="Q3872" s="7">
        <f t="shared" si="334"/>
        <v>5.5</v>
      </c>
      <c r="R3872" s="6">
        <f t="shared" si="335"/>
        <v>1232.8030000000001</v>
      </c>
      <c r="S3872" s="6">
        <f t="shared" si="336"/>
        <v>1.4600874024E-2</v>
      </c>
      <c r="T3872" t="str">
        <f t="shared" si="332"/>
        <v>Ipe Grooved 1x6 Long</v>
      </c>
    </row>
    <row r="3873" spans="1:20" x14ac:dyDescent="0.25">
      <c r="A3873" t="s">
        <v>1351</v>
      </c>
      <c r="B3873" t="s">
        <v>1490</v>
      </c>
      <c r="C3873" t="s">
        <v>283</v>
      </c>
      <c r="D3873" t="s">
        <v>438</v>
      </c>
      <c r="E3873" t="s">
        <v>4642</v>
      </c>
      <c r="F3873" t="s">
        <v>4633</v>
      </c>
      <c r="G3873" t="s">
        <v>1351</v>
      </c>
      <c r="H3873" t="s">
        <v>324</v>
      </c>
      <c r="I3873" t="s">
        <v>289</v>
      </c>
      <c r="J3873" t="s">
        <v>344</v>
      </c>
      <c r="K3873">
        <v>19</v>
      </c>
      <c r="L3873" s="6">
        <v>5.7911999999999999</v>
      </c>
      <c r="M3873" s="7">
        <v>19.05</v>
      </c>
      <c r="N3873" s="7">
        <v>139.69999999999999</v>
      </c>
      <c r="O3873" s="7">
        <f t="shared" si="333"/>
        <v>228</v>
      </c>
      <c r="P3873" s="7">
        <f t="shared" si="334"/>
        <v>0.75000000000000011</v>
      </c>
      <c r="Q3873" s="7">
        <f t="shared" si="334"/>
        <v>5.5</v>
      </c>
      <c r="R3873" s="6">
        <f t="shared" si="335"/>
        <v>1232.8030000000001</v>
      </c>
      <c r="S3873" s="6">
        <f t="shared" si="336"/>
        <v>1.5412033691999999E-2</v>
      </c>
      <c r="T3873" t="str">
        <f t="shared" si="332"/>
        <v>Ipe Grooved 1x6 Long</v>
      </c>
    </row>
    <row r="3874" spans="1:20" x14ac:dyDescent="0.25">
      <c r="A3874" t="s">
        <v>1351</v>
      </c>
      <c r="B3874" t="s">
        <v>1490</v>
      </c>
      <c r="C3874" t="s">
        <v>283</v>
      </c>
      <c r="D3874" t="s">
        <v>438</v>
      </c>
      <c r="E3874" t="s">
        <v>4643</v>
      </c>
      <c r="F3874" t="s">
        <v>4633</v>
      </c>
      <c r="G3874" t="s">
        <v>1351</v>
      </c>
      <c r="H3874" t="s">
        <v>324</v>
      </c>
      <c r="I3874" t="s">
        <v>289</v>
      </c>
      <c r="J3874" t="s">
        <v>344</v>
      </c>
      <c r="K3874">
        <v>20</v>
      </c>
      <c r="L3874" s="6">
        <v>6.0960000000000001</v>
      </c>
      <c r="M3874" s="7">
        <v>19.05</v>
      </c>
      <c r="N3874" s="7">
        <v>139.69999999999999</v>
      </c>
      <c r="O3874" s="7">
        <f t="shared" si="333"/>
        <v>240</v>
      </c>
      <c r="P3874" s="7">
        <f t="shared" si="334"/>
        <v>0.75000000000000011</v>
      </c>
      <c r="Q3874" s="7">
        <f t="shared" si="334"/>
        <v>5.5</v>
      </c>
      <c r="R3874" s="6">
        <f t="shared" si="335"/>
        <v>1232.8030000000001</v>
      </c>
      <c r="S3874" s="6">
        <f t="shared" si="336"/>
        <v>1.6223193359999999E-2</v>
      </c>
      <c r="T3874" t="str">
        <f t="shared" si="332"/>
        <v>Ipe Grooved 1x6 Long</v>
      </c>
    </row>
    <row r="3875" spans="1:20" x14ac:dyDescent="0.25">
      <c r="A3875" t="s">
        <v>1351</v>
      </c>
      <c r="B3875" t="s">
        <v>1490</v>
      </c>
      <c r="C3875" t="s">
        <v>283</v>
      </c>
      <c r="D3875" t="s">
        <v>438</v>
      </c>
      <c r="E3875" t="s">
        <v>4644</v>
      </c>
      <c r="F3875" t="s">
        <v>4633</v>
      </c>
      <c r="G3875" t="s">
        <v>1351</v>
      </c>
      <c r="H3875" t="s">
        <v>324</v>
      </c>
      <c r="I3875" t="s">
        <v>289</v>
      </c>
      <c r="J3875" t="s">
        <v>344</v>
      </c>
      <c r="K3875">
        <v>21</v>
      </c>
      <c r="L3875" s="6">
        <v>6.4008000000000003</v>
      </c>
      <c r="M3875" s="7">
        <v>19.05</v>
      </c>
      <c r="N3875" s="7">
        <v>139.69999999999999</v>
      </c>
      <c r="O3875" s="7">
        <f t="shared" si="333"/>
        <v>252.00000000000003</v>
      </c>
      <c r="P3875" s="7">
        <f t="shared" si="334"/>
        <v>0.75000000000000011</v>
      </c>
      <c r="Q3875" s="7">
        <f t="shared" si="334"/>
        <v>5.5</v>
      </c>
      <c r="R3875" s="6">
        <f t="shared" si="335"/>
        <v>1232.8030000000001</v>
      </c>
      <c r="S3875" s="6">
        <f t="shared" si="336"/>
        <v>1.7034353028E-2</v>
      </c>
      <c r="T3875" t="str">
        <f t="shared" si="332"/>
        <v>Ipe Grooved 1x6 Long</v>
      </c>
    </row>
    <row r="3876" spans="1:20" x14ac:dyDescent="0.25">
      <c r="A3876" t="s">
        <v>1351</v>
      </c>
      <c r="B3876" t="s">
        <v>1490</v>
      </c>
      <c r="C3876" t="s">
        <v>283</v>
      </c>
      <c r="D3876" t="s">
        <v>438</v>
      </c>
      <c r="E3876" t="s">
        <v>4645</v>
      </c>
      <c r="F3876" t="s">
        <v>4633</v>
      </c>
      <c r="G3876" t="s">
        <v>1351</v>
      </c>
      <c r="H3876" t="s">
        <v>324</v>
      </c>
      <c r="I3876" t="s">
        <v>289</v>
      </c>
      <c r="J3876" t="s">
        <v>344</v>
      </c>
      <c r="K3876">
        <v>22</v>
      </c>
      <c r="L3876" s="6">
        <v>6.7055999999999996</v>
      </c>
      <c r="M3876" s="7">
        <v>19.05</v>
      </c>
      <c r="N3876" s="7">
        <v>139.69999999999999</v>
      </c>
      <c r="O3876" s="7">
        <f t="shared" si="333"/>
        <v>264</v>
      </c>
      <c r="P3876" s="7">
        <f t="shared" si="334"/>
        <v>0.75000000000000011</v>
      </c>
      <c r="Q3876" s="7">
        <f t="shared" si="334"/>
        <v>5.5</v>
      </c>
      <c r="R3876" s="6">
        <f t="shared" si="335"/>
        <v>1232.8030000000001</v>
      </c>
      <c r="S3876" s="6">
        <f t="shared" si="336"/>
        <v>1.7845512695999998E-2</v>
      </c>
      <c r="T3876" t="str">
        <f t="shared" si="332"/>
        <v>Ipe Grooved 1x6 Long</v>
      </c>
    </row>
    <row r="3877" spans="1:20" x14ac:dyDescent="0.25">
      <c r="A3877" t="s">
        <v>1351</v>
      </c>
      <c r="B3877" t="s">
        <v>1490</v>
      </c>
      <c r="C3877" t="s">
        <v>524</v>
      </c>
      <c r="D3877" t="s">
        <v>438</v>
      </c>
      <c r="E3877" t="s">
        <v>4646</v>
      </c>
      <c r="F3877" t="s">
        <v>4633</v>
      </c>
      <c r="G3877" t="s">
        <v>1351</v>
      </c>
      <c r="H3877" t="s">
        <v>324</v>
      </c>
      <c r="I3877" t="s">
        <v>289</v>
      </c>
      <c r="J3877" t="s">
        <v>344</v>
      </c>
      <c r="K3877">
        <v>3</v>
      </c>
      <c r="L3877" s="6">
        <v>0.91439999999999999</v>
      </c>
      <c r="M3877" s="7">
        <v>19.05</v>
      </c>
      <c r="N3877" s="7">
        <v>139.69999999999999</v>
      </c>
      <c r="O3877" s="7">
        <f t="shared" si="333"/>
        <v>36</v>
      </c>
      <c r="P3877" s="7">
        <f t="shared" si="334"/>
        <v>0.75000000000000011</v>
      </c>
      <c r="Q3877" s="7">
        <f t="shared" si="334"/>
        <v>5.5</v>
      </c>
      <c r="R3877" s="6">
        <f t="shared" si="335"/>
        <v>1232.8030000000001</v>
      </c>
      <c r="S3877" s="6">
        <f t="shared" si="336"/>
        <v>2.4334790039999997E-3</v>
      </c>
      <c r="T3877" t="str">
        <f t="shared" si="332"/>
        <v>Ipe Grooved 1x6 Short</v>
      </c>
    </row>
    <row r="3878" spans="1:20" x14ac:dyDescent="0.25">
      <c r="A3878" t="s">
        <v>1351</v>
      </c>
      <c r="B3878" t="s">
        <v>1490</v>
      </c>
      <c r="C3878" t="s">
        <v>524</v>
      </c>
      <c r="D3878" t="s">
        <v>438</v>
      </c>
      <c r="E3878" t="s">
        <v>4647</v>
      </c>
      <c r="F3878" t="s">
        <v>4633</v>
      </c>
      <c r="G3878" t="s">
        <v>1351</v>
      </c>
      <c r="H3878" t="s">
        <v>324</v>
      </c>
      <c r="I3878" t="s">
        <v>289</v>
      </c>
      <c r="J3878" t="s">
        <v>344</v>
      </c>
      <c r="K3878">
        <v>4</v>
      </c>
      <c r="L3878" s="6">
        <v>1.2192000000000001</v>
      </c>
      <c r="M3878" s="7">
        <v>19.05</v>
      </c>
      <c r="N3878" s="7">
        <v>139.69999999999999</v>
      </c>
      <c r="O3878" s="7">
        <f t="shared" si="333"/>
        <v>48.000000000000007</v>
      </c>
      <c r="P3878" s="7">
        <f t="shared" si="334"/>
        <v>0.75000000000000011</v>
      </c>
      <c r="Q3878" s="7">
        <f t="shared" si="334"/>
        <v>5.5</v>
      </c>
      <c r="R3878" s="6">
        <f t="shared" si="335"/>
        <v>1232.8030000000001</v>
      </c>
      <c r="S3878" s="6">
        <f t="shared" si="336"/>
        <v>3.2446386719999997E-3</v>
      </c>
      <c r="T3878" t="str">
        <f t="shared" si="332"/>
        <v>Ipe Grooved 1x6 Short</v>
      </c>
    </row>
    <row r="3879" spans="1:20" x14ac:dyDescent="0.25">
      <c r="A3879" t="s">
        <v>1351</v>
      </c>
      <c r="B3879" t="s">
        <v>1490</v>
      </c>
      <c r="C3879" t="s">
        <v>524</v>
      </c>
      <c r="D3879" t="s">
        <v>438</v>
      </c>
      <c r="E3879" t="s">
        <v>4648</v>
      </c>
      <c r="F3879" t="s">
        <v>4633</v>
      </c>
      <c r="G3879" t="s">
        <v>1351</v>
      </c>
      <c r="H3879" t="s">
        <v>324</v>
      </c>
      <c r="I3879" t="s">
        <v>289</v>
      </c>
      <c r="J3879" t="s">
        <v>344</v>
      </c>
      <c r="K3879">
        <v>5</v>
      </c>
      <c r="L3879" s="6">
        <v>1.524</v>
      </c>
      <c r="M3879" s="7">
        <v>19.05</v>
      </c>
      <c r="N3879" s="7">
        <v>139.69999999999999</v>
      </c>
      <c r="O3879" s="7">
        <f t="shared" si="333"/>
        <v>60</v>
      </c>
      <c r="P3879" s="7">
        <f t="shared" si="334"/>
        <v>0.75000000000000011</v>
      </c>
      <c r="Q3879" s="7">
        <f t="shared" si="334"/>
        <v>5.5</v>
      </c>
      <c r="R3879" s="6">
        <f t="shared" si="335"/>
        <v>1232.8030000000001</v>
      </c>
      <c r="S3879" s="6">
        <f t="shared" si="336"/>
        <v>4.0557983399999997E-3</v>
      </c>
      <c r="T3879" t="str">
        <f t="shared" si="332"/>
        <v>Ipe Grooved 1x6 Short</v>
      </c>
    </row>
    <row r="3880" spans="1:20" x14ac:dyDescent="0.25">
      <c r="A3880" t="s">
        <v>1351</v>
      </c>
      <c r="B3880" t="s">
        <v>1490</v>
      </c>
      <c r="C3880" t="s">
        <v>524</v>
      </c>
      <c r="D3880" t="s">
        <v>438</v>
      </c>
      <c r="E3880" t="s">
        <v>4649</v>
      </c>
      <c r="F3880" t="s">
        <v>4633</v>
      </c>
      <c r="G3880" t="s">
        <v>1351</v>
      </c>
      <c r="H3880" t="s">
        <v>324</v>
      </c>
      <c r="I3880" t="s">
        <v>289</v>
      </c>
      <c r="J3880" t="s">
        <v>344</v>
      </c>
      <c r="K3880">
        <v>6</v>
      </c>
      <c r="L3880" s="6">
        <v>1.8288</v>
      </c>
      <c r="M3880" s="7">
        <v>19.05</v>
      </c>
      <c r="N3880" s="7">
        <v>139.69999999999999</v>
      </c>
      <c r="O3880" s="7">
        <f t="shared" si="333"/>
        <v>72</v>
      </c>
      <c r="P3880" s="7">
        <f t="shared" si="334"/>
        <v>0.75000000000000011</v>
      </c>
      <c r="Q3880" s="7">
        <f t="shared" si="334"/>
        <v>5.5</v>
      </c>
      <c r="R3880" s="6">
        <f t="shared" si="335"/>
        <v>1232.8030000000001</v>
      </c>
      <c r="S3880" s="6">
        <f t="shared" si="336"/>
        <v>4.8669580079999993E-3</v>
      </c>
      <c r="T3880" t="str">
        <f t="shared" si="332"/>
        <v>Ipe Grooved 1x6 Short</v>
      </c>
    </row>
    <row r="3881" spans="1:20" x14ac:dyDescent="0.25">
      <c r="A3881" t="s">
        <v>1351</v>
      </c>
      <c r="B3881" t="s">
        <v>1490</v>
      </c>
      <c r="C3881" t="s">
        <v>524</v>
      </c>
      <c r="D3881" t="s">
        <v>438</v>
      </c>
      <c r="E3881" t="s">
        <v>4650</v>
      </c>
      <c r="F3881" t="s">
        <v>4633</v>
      </c>
      <c r="G3881" t="s">
        <v>1351</v>
      </c>
      <c r="H3881" t="s">
        <v>324</v>
      </c>
      <c r="I3881" t="s">
        <v>289</v>
      </c>
      <c r="J3881" t="s">
        <v>344</v>
      </c>
      <c r="K3881">
        <v>7</v>
      </c>
      <c r="L3881" s="6">
        <v>2.1335999999999999</v>
      </c>
      <c r="M3881" s="7">
        <v>19.05</v>
      </c>
      <c r="N3881" s="7">
        <v>139.69999999999999</v>
      </c>
      <c r="O3881" s="7">
        <f t="shared" si="333"/>
        <v>84</v>
      </c>
      <c r="P3881" s="7">
        <f t="shared" si="334"/>
        <v>0.75000000000000011</v>
      </c>
      <c r="Q3881" s="7">
        <f t="shared" si="334"/>
        <v>5.5</v>
      </c>
      <c r="R3881" s="6">
        <f t="shared" si="335"/>
        <v>1232.8030000000001</v>
      </c>
      <c r="S3881" s="6">
        <f t="shared" si="336"/>
        <v>5.6781176759999998E-3</v>
      </c>
      <c r="T3881" t="str">
        <f t="shared" si="332"/>
        <v>Ipe Grooved 1x6 Short</v>
      </c>
    </row>
    <row r="3882" spans="1:20" x14ac:dyDescent="0.25">
      <c r="A3882" t="s">
        <v>1351</v>
      </c>
      <c r="B3882" t="s">
        <v>1490</v>
      </c>
      <c r="C3882" t="s">
        <v>283</v>
      </c>
      <c r="D3882" t="s">
        <v>438</v>
      </c>
      <c r="E3882" t="s">
        <v>4651</v>
      </c>
      <c r="F3882" t="s">
        <v>4633</v>
      </c>
      <c r="G3882" t="s">
        <v>1351</v>
      </c>
      <c r="H3882" t="s">
        <v>324</v>
      </c>
      <c r="I3882" t="s">
        <v>289</v>
      </c>
      <c r="J3882" t="s">
        <v>344</v>
      </c>
      <c r="K3882">
        <v>8</v>
      </c>
      <c r="L3882" s="6">
        <v>2.4384000000000001</v>
      </c>
      <c r="M3882" s="7">
        <v>19.05</v>
      </c>
      <c r="N3882" s="7">
        <v>139.69999999999999</v>
      </c>
      <c r="O3882" s="7">
        <f t="shared" si="333"/>
        <v>96.000000000000014</v>
      </c>
      <c r="P3882" s="7">
        <f t="shared" si="334"/>
        <v>0.75000000000000011</v>
      </c>
      <c r="Q3882" s="7">
        <f t="shared" si="334"/>
        <v>5.5</v>
      </c>
      <c r="R3882" s="6">
        <f t="shared" si="335"/>
        <v>1232.8030000000001</v>
      </c>
      <c r="S3882" s="6">
        <f t="shared" si="336"/>
        <v>6.4892773439999994E-3</v>
      </c>
      <c r="T3882" t="str">
        <f t="shared" si="332"/>
        <v>Ipe Grooved 1x6 Long</v>
      </c>
    </row>
    <row r="3883" spans="1:20" x14ac:dyDescent="0.25">
      <c r="A3883" t="s">
        <v>1351</v>
      </c>
      <c r="B3883" t="s">
        <v>1490</v>
      </c>
      <c r="C3883" t="s">
        <v>283</v>
      </c>
      <c r="D3883" t="s">
        <v>438</v>
      </c>
      <c r="E3883" t="s">
        <v>4652</v>
      </c>
      <c r="F3883" t="s">
        <v>4633</v>
      </c>
      <c r="G3883" t="s">
        <v>1351</v>
      </c>
      <c r="H3883" t="s">
        <v>324</v>
      </c>
      <c r="I3883" t="s">
        <v>289</v>
      </c>
      <c r="J3883" t="s">
        <v>344</v>
      </c>
      <c r="K3883">
        <v>9</v>
      </c>
      <c r="L3883" s="6">
        <v>2.7431999999999999</v>
      </c>
      <c r="M3883" s="7">
        <v>19.05</v>
      </c>
      <c r="N3883" s="7">
        <v>139.69999999999999</v>
      </c>
      <c r="O3883" s="7">
        <f t="shared" si="333"/>
        <v>108</v>
      </c>
      <c r="P3883" s="7">
        <f t="shared" si="334"/>
        <v>0.75000000000000011</v>
      </c>
      <c r="Q3883" s="7">
        <f t="shared" si="334"/>
        <v>5.5</v>
      </c>
      <c r="R3883" s="6">
        <f t="shared" si="335"/>
        <v>1232.8030000000001</v>
      </c>
      <c r="S3883" s="6">
        <f t="shared" si="336"/>
        <v>7.3004370119999999E-3</v>
      </c>
      <c r="T3883" t="str">
        <f t="shared" si="332"/>
        <v>Ipe Grooved 1x6 Long</v>
      </c>
    </row>
    <row r="3884" spans="1:20" x14ac:dyDescent="0.25">
      <c r="A3884" t="s">
        <v>1351</v>
      </c>
      <c r="B3884" t="s">
        <v>4653</v>
      </c>
      <c r="C3884" t="s">
        <v>283</v>
      </c>
      <c r="D3884" t="s">
        <v>438</v>
      </c>
      <c r="E3884" t="s">
        <v>4654</v>
      </c>
      <c r="F3884" t="s">
        <v>4655</v>
      </c>
      <c r="G3884" t="s">
        <v>1351</v>
      </c>
      <c r="H3884" t="s">
        <v>373</v>
      </c>
      <c r="I3884" t="s">
        <v>289</v>
      </c>
      <c r="J3884" t="s">
        <v>4656</v>
      </c>
      <c r="K3884">
        <v>22</v>
      </c>
      <c r="L3884" s="6">
        <v>6.7055999999999996</v>
      </c>
      <c r="M3884" s="7">
        <v>139.69999999999999</v>
      </c>
      <c r="N3884" s="7">
        <v>234.95</v>
      </c>
      <c r="O3884" s="7">
        <f t="shared" si="333"/>
        <v>264</v>
      </c>
      <c r="P3884" s="7">
        <f t="shared" si="334"/>
        <v>5.5</v>
      </c>
      <c r="Q3884" s="7">
        <f t="shared" si="334"/>
        <v>9.25</v>
      </c>
      <c r="R3884" s="6">
        <f t="shared" si="335"/>
        <v>99.956999999999994</v>
      </c>
      <c r="S3884" s="6">
        <f t="shared" si="336"/>
        <v>0.22009465658399996</v>
      </c>
      <c r="T3884" t="str">
        <f t="shared" si="332"/>
        <v>Ipe S4S E4E 6x10 Long</v>
      </c>
    </row>
    <row r="3885" spans="1:20" x14ac:dyDescent="0.25">
      <c r="A3885" t="s">
        <v>1351</v>
      </c>
      <c r="B3885" t="s">
        <v>1447</v>
      </c>
      <c r="C3885" t="s">
        <v>1353</v>
      </c>
      <c r="D3885" t="s">
        <v>438</v>
      </c>
      <c r="E3885" t="s">
        <v>4657</v>
      </c>
      <c r="F3885" t="s">
        <v>4658</v>
      </c>
      <c r="G3885" t="s">
        <v>1351</v>
      </c>
      <c r="H3885" t="s">
        <v>373</v>
      </c>
      <c r="I3885" t="s">
        <v>1353</v>
      </c>
      <c r="J3885" t="s">
        <v>613</v>
      </c>
      <c r="K3885">
        <v>0</v>
      </c>
      <c r="L3885" s="6">
        <v>0</v>
      </c>
      <c r="M3885" s="7">
        <v>0</v>
      </c>
      <c r="N3885" s="7">
        <v>0</v>
      </c>
      <c r="O3885" s="7">
        <v>0</v>
      </c>
      <c r="P3885" s="7">
        <v>0</v>
      </c>
      <c r="Q3885" s="7">
        <v>0</v>
      </c>
      <c r="R3885" s="6">
        <v>0</v>
      </c>
      <c r="S3885" s="6">
        <v>0</v>
      </c>
      <c r="T3885" t="str">
        <f t="shared" si="332"/>
        <v>Ipe S4S E4E Random Lenght 1x4 Random Lenght</v>
      </c>
    </row>
    <row r="3886" spans="1:20" x14ac:dyDescent="0.25">
      <c r="A3886" t="s">
        <v>1351</v>
      </c>
      <c r="B3886" t="s">
        <v>1352</v>
      </c>
      <c r="C3886" t="s">
        <v>1353</v>
      </c>
      <c r="D3886" t="s">
        <v>438</v>
      </c>
      <c r="E3886" t="s">
        <v>4659</v>
      </c>
      <c r="F3886" t="s">
        <v>4660</v>
      </c>
      <c r="G3886" t="s">
        <v>1351</v>
      </c>
      <c r="H3886" t="s">
        <v>373</v>
      </c>
      <c r="I3886" t="s">
        <v>1353</v>
      </c>
      <c r="J3886" t="s">
        <v>301</v>
      </c>
      <c r="K3886">
        <v>0</v>
      </c>
      <c r="L3886" s="6">
        <v>0</v>
      </c>
      <c r="M3886" s="7">
        <v>0</v>
      </c>
      <c r="N3886" s="7">
        <v>0</v>
      </c>
      <c r="O3886" s="7">
        <v>0</v>
      </c>
      <c r="P3886" s="7">
        <v>0</v>
      </c>
      <c r="Q3886" s="7">
        <v>0</v>
      </c>
      <c r="R3886" s="6">
        <v>0</v>
      </c>
      <c r="S3886" s="6">
        <v>0</v>
      </c>
      <c r="T3886" t="str">
        <f t="shared" si="332"/>
        <v>Ipe S4S E4E Random Lenght 5/4x6 Random Lenght</v>
      </c>
    </row>
    <row r="3887" spans="1:20" x14ac:dyDescent="0.25">
      <c r="A3887" t="s">
        <v>1351</v>
      </c>
      <c r="B3887" t="s">
        <v>1352</v>
      </c>
      <c r="C3887" t="s">
        <v>1353</v>
      </c>
      <c r="D3887" t="s">
        <v>438</v>
      </c>
      <c r="E3887" t="s">
        <v>4661</v>
      </c>
      <c r="F3887" t="s">
        <v>4660</v>
      </c>
      <c r="G3887" t="s">
        <v>1351</v>
      </c>
      <c r="H3887" t="s">
        <v>373</v>
      </c>
      <c r="I3887" t="s">
        <v>1353</v>
      </c>
      <c r="J3887" t="s">
        <v>301</v>
      </c>
      <c r="K3887">
        <v>0</v>
      </c>
      <c r="L3887" s="6">
        <v>0</v>
      </c>
      <c r="M3887" s="7">
        <v>0</v>
      </c>
      <c r="N3887" s="7">
        <v>0</v>
      </c>
      <c r="O3887" s="7">
        <v>0</v>
      </c>
      <c r="P3887" s="7">
        <v>0</v>
      </c>
      <c r="Q3887" s="7">
        <v>0</v>
      </c>
      <c r="R3887" s="6">
        <v>0</v>
      </c>
      <c r="S3887" s="6">
        <v>0</v>
      </c>
      <c r="T3887" t="str">
        <f t="shared" si="332"/>
        <v>Ipe S4S E4E Random Lenght 5/4x6 Random Lenght</v>
      </c>
    </row>
    <row r="3888" spans="1:20" x14ac:dyDescent="0.25">
      <c r="A3888" t="s">
        <v>1351</v>
      </c>
      <c r="B3888" t="s">
        <v>1490</v>
      </c>
      <c r="C3888" t="s">
        <v>1353</v>
      </c>
      <c r="D3888" t="s">
        <v>438</v>
      </c>
      <c r="E3888" t="s">
        <v>4662</v>
      </c>
      <c r="F3888" t="s">
        <v>2189</v>
      </c>
      <c r="G3888" t="s">
        <v>1351</v>
      </c>
      <c r="H3888" t="s">
        <v>373</v>
      </c>
      <c r="I3888" t="s">
        <v>1353</v>
      </c>
      <c r="J3888" t="s">
        <v>344</v>
      </c>
      <c r="K3888">
        <v>0</v>
      </c>
      <c r="L3888" s="6">
        <v>0</v>
      </c>
      <c r="M3888" s="7">
        <v>0</v>
      </c>
      <c r="N3888" s="7">
        <v>0</v>
      </c>
      <c r="O3888" s="7">
        <v>0</v>
      </c>
      <c r="P3888" s="7">
        <v>0</v>
      </c>
      <c r="Q3888" s="7">
        <v>0</v>
      </c>
      <c r="R3888" s="6">
        <v>0</v>
      </c>
      <c r="S3888" s="6">
        <v>0</v>
      </c>
      <c r="T3888" t="str">
        <f t="shared" si="332"/>
        <v>Ipe S4S E4E Random Lenght 1x6 Random Lenght</v>
      </c>
    </row>
    <row r="3889" spans="1:20" x14ac:dyDescent="0.25">
      <c r="A3889" t="s">
        <v>1351</v>
      </c>
      <c r="B3889" t="s">
        <v>1490</v>
      </c>
      <c r="C3889" t="s">
        <v>1353</v>
      </c>
      <c r="D3889" t="s">
        <v>438</v>
      </c>
      <c r="E3889" t="s">
        <v>4663</v>
      </c>
      <c r="F3889" t="s">
        <v>2189</v>
      </c>
      <c r="G3889" t="s">
        <v>1351</v>
      </c>
      <c r="H3889" t="s">
        <v>373</v>
      </c>
      <c r="I3889" t="s">
        <v>1353</v>
      </c>
      <c r="J3889" t="s">
        <v>344</v>
      </c>
      <c r="K3889">
        <v>0</v>
      </c>
      <c r="L3889" s="6">
        <v>0</v>
      </c>
      <c r="M3889" s="7">
        <v>0</v>
      </c>
      <c r="N3889" s="7">
        <v>0</v>
      </c>
      <c r="O3889" s="7">
        <v>0</v>
      </c>
      <c r="P3889" s="7">
        <v>0</v>
      </c>
      <c r="Q3889" s="7">
        <v>0</v>
      </c>
      <c r="R3889" s="6">
        <v>0</v>
      </c>
      <c r="S3889" s="6">
        <v>0</v>
      </c>
      <c r="T3889" t="str">
        <f t="shared" si="332"/>
        <v>Ipe S4S E4E Random Lenght 1x6 Random Lenght</v>
      </c>
    </row>
    <row r="3890" spans="1:20" x14ac:dyDescent="0.25">
      <c r="A3890" t="s">
        <v>1351</v>
      </c>
      <c r="B3890" t="s">
        <v>1352</v>
      </c>
      <c r="C3890" t="s">
        <v>1353</v>
      </c>
      <c r="D3890" t="s">
        <v>438</v>
      </c>
      <c r="E3890" t="s">
        <v>4664</v>
      </c>
      <c r="F3890" t="s">
        <v>4660</v>
      </c>
      <c r="G3890" t="s">
        <v>1351</v>
      </c>
      <c r="H3890" t="s">
        <v>373</v>
      </c>
      <c r="I3890" t="s">
        <v>1353</v>
      </c>
      <c r="J3890" t="s">
        <v>301</v>
      </c>
      <c r="K3890">
        <v>0</v>
      </c>
      <c r="L3890" s="6">
        <v>0</v>
      </c>
      <c r="M3890" s="7">
        <v>0</v>
      </c>
      <c r="N3890" s="7">
        <v>0</v>
      </c>
      <c r="O3890" s="7">
        <v>0</v>
      </c>
      <c r="P3890" s="7">
        <v>0</v>
      </c>
      <c r="Q3890" s="7">
        <v>0</v>
      </c>
      <c r="R3890" s="6">
        <v>0</v>
      </c>
      <c r="S3890" s="6">
        <v>0</v>
      </c>
      <c r="T3890" t="str">
        <f t="shared" si="332"/>
        <v>Ipe S4S E4E Random Lenght 5/4x6 Random Lenght</v>
      </c>
    </row>
    <row r="3891" spans="1:20" x14ac:dyDescent="0.25">
      <c r="A3891" t="s">
        <v>1351</v>
      </c>
      <c r="B3891" t="s">
        <v>1564</v>
      </c>
      <c r="C3891" t="s">
        <v>1353</v>
      </c>
      <c r="D3891" t="s">
        <v>438</v>
      </c>
      <c r="E3891" t="s">
        <v>4665</v>
      </c>
      <c r="F3891" t="s">
        <v>4666</v>
      </c>
      <c r="G3891" t="s">
        <v>1351</v>
      </c>
      <c r="H3891" t="s">
        <v>373</v>
      </c>
      <c r="I3891" t="s">
        <v>1353</v>
      </c>
      <c r="J3891" t="s">
        <v>764</v>
      </c>
      <c r="K3891">
        <v>0</v>
      </c>
      <c r="L3891" s="6">
        <v>0</v>
      </c>
      <c r="M3891" s="7">
        <v>0</v>
      </c>
      <c r="N3891" s="7">
        <v>0</v>
      </c>
      <c r="O3891" s="7">
        <v>0</v>
      </c>
      <c r="P3891" s="7">
        <v>0</v>
      </c>
      <c r="Q3891" s="7">
        <v>0</v>
      </c>
      <c r="R3891" s="6">
        <v>0</v>
      </c>
      <c r="S3891" s="6">
        <v>0</v>
      </c>
      <c r="T3891" t="str">
        <f t="shared" si="332"/>
        <v>Ipe S4S E4E Random Lenght 2x2 Random Lenght</v>
      </c>
    </row>
    <row r="3892" spans="1:20" x14ac:dyDescent="0.25">
      <c r="A3892" t="s">
        <v>1351</v>
      </c>
      <c r="B3892" t="s">
        <v>1584</v>
      </c>
      <c r="C3892" t="s">
        <v>1353</v>
      </c>
      <c r="D3892" t="s">
        <v>438</v>
      </c>
      <c r="E3892" t="s">
        <v>4667</v>
      </c>
      <c r="F3892" t="s">
        <v>4668</v>
      </c>
      <c r="G3892" t="s">
        <v>1351</v>
      </c>
      <c r="H3892" t="s">
        <v>373</v>
      </c>
      <c r="I3892" t="s">
        <v>1353</v>
      </c>
      <c r="J3892" t="s">
        <v>796</v>
      </c>
      <c r="K3892">
        <v>0</v>
      </c>
      <c r="L3892" s="6">
        <v>0</v>
      </c>
      <c r="M3892" s="7">
        <v>0</v>
      </c>
      <c r="N3892" s="7">
        <v>0</v>
      </c>
      <c r="O3892" s="7">
        <v>0</v>
      </c>
      <c r="P3892" s="7">
        <v>0</v>
      </c>
      <c r="Q3892" s="7">
        <v>0</v>
      </c>
      <c r="R3892" s="6">
        <v>0</v>
      </c>
      <c r="S3892" s="6">
        <v>0</v>
      </c>
      <c r="T3892" t="str">
        <f t="shared" si="332"/>
        <v>Ipe S4S E4E Random Lenght 2x4 Random Lenght</v>
      </c>
    </row>
    <row r="3893" spans="1:20" x14ac:dyDescent="0.25">
      <c r="A3893" t="s">
        <v>1351</v>
      </c>
      <c r="B3893" t="s">
        <v>1620</v>
      </c>
      <c r="C3893" t="s">
        <v>1353</v>
      </c>
      <c r="D3893" t="s">
        <v>438</v>
      </c>
      <c r="E3893" t="s">
        <v>4669</v>
      </c>
      <c r="F3893" t="s">
        <v>4670</v>
      </c>
      <c r="G3893" t="s">
        <v>1351</v>
      </c>
      <c r="H3893" t="s">
        <v>373</v>
      </c>
      <c r="I3893" t="s">
        <v>1353</v>
      </c>
      <c r="J3893" t="s">
        <v>821</v>
      </c>
      <c r="K3893">
        <v>0</v>
      </c>
      <c r="L3893" s="6">
        <v>0</v>
      </c>
      <c r="M3893" s="7">
        <v>0</v>
      </c>
      <c r="N3893" s="7">
        <v>0</v>
      </c>
      <c r="O3893" s="7">
        <v>0</v>
      </c>
      <c r="P3893" s="7">
        <v>0</v>
      </c>
      <c r="Q3893" s="7">
        <v>0</v>
      </c>
      <c r="R3893" s="6">
        <v>0</v>
      </c>
      <c r="S3893" s="6">
        <v>0</v>
      </c>
      <c r="T3893" t="str">
        <f t="shared" si="332"/>
        <v>Ipe S4S E4E Random Lenght 2x6 Random Lenght</v>
      </c>
    </row>
    <row r="3894" spans="1:20" x14ac:dyDescent="0.25">
      <c r="A3894" t="s">
        <v>2880</v>
      </c>
      <c r="B3894" t="s">
        <v>2880</v>
      </c>
      <c r="C3894" t="s">
        <v>2880</v>
      </c>
      <c r="D3894" t="s">
        <v>2826</v>
      </c>
      <c r="E3894" t="s">
        <v>4671</v>
      </c>
      <c r="F3894" t="s">
        <v>4672</v>
      </c>
      <c r="G3894" t="s">
        <v>4672</v>
      </c>
      <c r="H3894" t="s">
        <v>289</v>
      </c>
      <c r="I3894" t="s">
        <v>289</v>
      </c>
      <c r="J3894">
        <v>0</v>
      </c>
      <c r="K3894">
        <v>0</v>
      </c>
      <c r="L3894" s="6">
        <v>0</v>
      </c>
      <c r="M3894" s="7">
        <v>0</v>
      </c>
      <c r="N3894" s="7">
        <v>0</v>
      </c>
      <c r="O3894" s="7">
        <v>0</v>
      </c>
      <c r="P3894" s="7">
        <v>0</v>
      </c>
      <c r="Q3894" s="7">
        <v>0</v>
      </c>
      <c r="R3894" s="6">
        <v>0</v>
      </c>
      <c r="S3894" s="6">
        <v>0</v>
      </c>
      <c r="T3894" t="str">
        <f t="shared" si="332"/>
        <v>Paper Samples</v>
      </c>
    </row>
    <row r="3895" spans="1:20" x14ac:dyDescent="0.25">
      <c r="A3895" t="s">
        <v>2880</v>
      </c>
      <c r="B3895" t="s">
        <v>2880</v>
      </c>
      <c r="C3895" t="s">
        <v>2880</v>
      </c>
      <c r="D3895" t="s">
        <v>2826</v>
      </c>
      <c r="E3895" t="s">
        <v>4673</v>
      </c>
      <c r="F3895" t="s">
        <v>4674</v>
      </c>
      <c r="G3895" t="s">
        <v>4674</v>
      </c>
      <c r="H3895" t="s">
        <v>289</v>
      </c>
      <c r="I3895" t="s">
        <v>289</v>
      </c>
      <c r="J3895">
        <v>0</v>
      </c>
      <c r="K3895">
        <v>0</v>
      </c>
      <c r="L3895" s="6">
        <v>0</v>
      </c>
      <c r="M3895" s="7">
        <v>0</v>
      </c>
      <c r="N3895" s="7">
        <v>0</v>
      </c>
      <c r="O3895" s="7">
        <v>0</v>
      </c>
      <c r="P3895" s="7">
        <v>0</v>
      </c>
      <c r="Q3895" s="7">
        <v>0</v>
      </c>
      <c r="R3895" s="6">
        <v>0</v>
      </c>
      <c r="S3895" s="6">
        <v>0</v>
      </c>
      <c r="T3895" t="str">
        <f t="shared" si="332"/>
        <v>Folders and cartons Samples</v>
      </c>
    </row>
    <row r="3896" spans="1:20" x14ac:dyDescent="0.25">
      <c r="A3896" t="s">
        <v>1351</v>
      </c>
      <c r="B3896" t="s">
        <v>1490</v>
      </c>
      <c r="C3896" t="s">
        <v>1353</v>
      </c>
      <c r="D3896" t="s">
        <v>438</v>
      </c>
      <c r="E3896" t="s">
        <v>4675</v>
      </c>
      <c r="F3896" t="s">
        <v>2189</v>
      </c>
      <c r="G3896" t="s">
        <v>1351</v>
      </c>
      <c r="H3896" t="s">
        <v>373</v>
      </c>
      <c r="I3896" t="s">
        <v>1353</v>
      </c>
      <c r="J3896" t="s">
        <v>344</v>
      </c>
      <c r="K3896">
        <v>0</v>
      </c>
      <c r="L3896" s="6">
        <v>0</v>
      </c>
      <c r="M3896" s="7">
        <v>0</v>
      </c>
      <c r="N3896" s="7">
        <v>0</v>
      </c>
      <c r="O3896" s="7">
        <v>0</v>
      </c>
      <c r="P3896" s="7">
        <v>0</v>
      </c>
      <c r="Q3896" s="7">
        <v>0</v>
      </c>
      <c r="R3896" s="6">
        <v>0</v>
      </c>
      <c r="S3896" s="6">
        <v>0</v>
      </c>
      <c r="T3896" t="str">
        <f t="shared" si="332"/>
        <v>Ipe S4S E4E Random Lenght 1x6 Random Lenght</v>
      </c>
    </row>
    <row r="3897" spans="1:20" x14ac:dyDescent="0.25">
      <c r="A3897" t="s">
        <v>1351</v>
      </c>
      <c r="B3897" t="s">
        <v>1490</v>
      </c>
      <c r="C3897" t="s">
        <v>1353</v>
      </c>
      <c r="D3897" t="s">
        <v>438</v>
      </c>
      <c r="E3897" t="s">
        <v>4676</v>
      </c>
      <c r="F3897" t="s">
        <v>2189</v>
      </c>
      <c r="G3897" t="s">
        <v>1351</v>
      </c>
      <c r="H3897" t="s">
        <v>373</v>
      </c>
      <c r="I3897" t="s">
        <v>1353</v>
      </c>
      <c r="J3897" t="s">
        <v>344</v>
      </c>
      <c r="K3897">
        <v>0</v>
      </c>
      <c r="L3897" s="6">
        <v>0</v>
      </c>
      <c r="M3897" s="7">
        <v>0</v>
      </c>
      <c r="N3897" s="7">
        <v>0</v>
      </c>
      <c r="O3897" s="7">
        <v>0</v>
      </c>
      <c r="P3897" s="7">
        <v>0</v>
      </c>
      <c r="Q3897" s="7">
        <v>0</v>
      </c>
      <c r="R3897" s="6">
        <v>0</v>
      </c>
      <c r="S3897" s="6">
        <v>0</v>
      </c>
      <c r="T3897" t="str">
        <f t="shared" si="332"/>
        <v>Ipe S4S E4E Random Lenght 1x6 Random Lenght</v>
      </c>
    </row>
    <row r="3898" spans="1:20" x14ac:dyDescent="0.25">
      <c r="A3898" t="s">
        <v>1351</v>
      </c>
      <c r="B3898" t="s">
        <v>1352</v>
      </c>
      <c r="C3898" t="s">
        <v>1353</v>
      </c>
      <c r="D3898" t="s">
        <v>438</v>
      </c>
      <c r="E3898" t="s">
        <v>4677</v>
      </c>
      <c r="F3898" t="s">
        <v>4660</v>
      </c>
      <c r="G3898" t="s">
        <v>1351</v>
      </c>
      <c r="H3898" t="s">
        <v>373</v>
      </c>
      <c r="I3898" t="s">
        <v>1353</v>
      </c>
      <c r="J3898" t="s">
        <v>301</v>
      </c>
      <c r="K3898">
        <v>0</v>
      </c>
      <c r="L3898" s="6">
        <v>0</v>
      </c>
      <c r="M3898" s="7">
        <v>0</v>
      </c>
      <c r="N3898" s="7">
        <v>0</v>
      </c>
      <c r="O3898" s="7">
        <v>0</v>
      </c>
      <c r="P3898" s="7">
        <v>0</v>
      </c>
      <c r="Q3898" s="7">
        <v>0</v>
      </c>
      <c r="R3898" s="6">
        <v>0</v>
      </c>
      <c r="S3898" s="6">
        <v>0</v>
      </c>
      <c r="T3898" t="str">
        <f t="shared" si="332"/>
        <v>Ipe S4S E4E Random Lenght 5/4x6 Random Lenght</v>
      </c>
    </row>
    <row r="3899" spans="1:20" x14ac:dyDescent="0.25">
      <c r="A3899" t="s">
        <v>438</v>
      </c>
      <c r="B3899" t="s">
        <v>438</v>
      </c>
      <c r="C3899" t="s">
        <v>4678</v>
      </c>
      <c r="D3899" t="s">
        <v>2826</v>
      </c>
      <c r="E3899" t="s">
        <v>4679</v>
      </c>
      <c r="F3899" t="s">
        <v>4680</v>
      </c>
      <c r="G3899" t="s">
        <v>438</v>
      </c>
      <c r="H3899" t="s">
        <v>4681</v>
      </c>
      <c r="I3899" t="s">
        <v>289</v>
      </c>
      <c r="J3899">
        <v>0</v>
      </c>
      <c r="K3899">
        <v>0</v>
      </c>
      <c r="L3899" s="6">
        <v>0</v>
      </c>
      <c r="M3899" s="7">
        <v>0</v>
      </c>
      <c r="N3899" s="7">
        <v>0</v>
      </c>
      <c r="O3899" s="7">
        <v>0</v>
      </c>
      <c r="P3899" s="7">
        <v>0</v>
      </c>
      <c r="Q3899" s="7">
        <v>0</v>
      </c>
      <c r="R3899" s="6">
        <v>0</v>
      </c>
      <c r="S3899" s="6">
        <v>0</v>
      </c>
      <c r="T3899" t="str">
        <f t="shared" si="332"/>
        <v>Hardwoods Random Length Consigment RL</v>
      </c>
    </row>
    <row r="3900" spans="1:20" x14ac:dyDescent="0.25">
      <c r="A3900" t="s">
        <v>438</v>
      </c>
      <c r="B3900" t="s">
        <v>438</v>
      </c>
      <c r="C3900" t="s">
        <v>4678</v>
      </c>
      <c r="D3900" t="s">
        <v>2826</v>
      </c>
      <c r="E3900" t="s">
        <v>4682</v>
      </c>
      <c r="F3900" t="s">
        <v>4680</v>
      </c>
      <c r="G3900" t="s">
        <v>438</v>
      </c>
      <c r="H3900" t="s">
        <v>4681</v>
      </c>
      <c r="I3900" t="s">
        <v>289</v>
      </c>
      <c r="J3900">
        <v>0</v>
      </c>
      <c r="K3900">
        <v>0</v>
      </c>
      <c r="L3900" s="6">
        <v>0</v>
      </c>
      <c r="M3900" s="7">
        <v>0</v>
      </c>
      <c r="N3900" s="7">
        <v>0</v>
      </c>
      <c r="O3900" s="7">
        <v>0</v>
      </c>
      <c r="P3900" s="7">
        <v>0</v>
      </c>
      <c r="Q3900" s="7">
        <v>0</v>
      </c>
      <c r="R3900" s="6">
        <v>0</v>
      </c>
      <c r="S3900" s="6">
        <v>0</v>
      </c>
      <c r="T3900" t="str">
        <f t="shared" si="332"/>
        <v>Hardwoods Random Length Consigment RL</v>
      </c>
    </row>
    <row r="3901" spans="1:20" x14ac:dyDescent="0.25">
      <c r="A3901" t="s">
        <v>438</v>
      </c>
      <c r="B3901" t="s">
        <v>438</v>
      </c>
      <c r="C3901" t="s">
        <v>4678</v>
      </c>
      <c r="D3901" t="s">
        <v>2826</v>
      </c>
      <c r="E3901" t="s">
        <v>4683</v>
      </c>
      <c r="F3901" t="s">
        <v>4680</v>
      </c>
      <c r="G3901" t="s">
        <v>438</v>
      </c>
      <c r="H3901" t="s">
        <v>4681</v>
      </c>
      <c r="I3901" t="s">
        <v>289</v>
      </c>
      <c r="J3901">
        <v>0</v>
      </c>
      <c r="K3901">
        <v>0</v>
      </c>
      <c r="L3901" s="6">
        <v>0</v>
      </c>
      <c r="M3901" s="7">
        <v>0</v>
      </c>
      <c r="N3901" s="7">
        <v>0</v>
      </c>
      <c r="O3901" s="7">
        <v>0</v>
      </c>
      <c r="P3901" s="7">
        <v>0</v>
      </c>
      <c r="Q3901" s="7">
        <v>0</v>
      </c>
      <c r="R3901" s="6">
        <v>0</v>
      </c>
      <c r="S3901" s="6">
        <v>0</v>
      </c>
      <c r="T3901" t="str">
        <f t="shared" si="332"/>
        <v>Hardwoods Random Length Consigment RL</v>
      </c>
    </row>
    <row r="3902" spans="1:20" x14ac:dyDescent="0.25">
      <c r="A3902" t="s">
        <v>438</v>
      </c>
      <c r="B3902" t="s">
        <v>438</v>
      </c>
      <c r="C3902" t="s">
        <v>4678</v>
      </c>
      <c r="D3902" t="s">
        <v>2826</v>
      </c>
      <c r="E3902" t="s">
        <v>4684</v>
      </c>
      <c r="F3902" t="s">
        <v>4680</v>
      </c>
      <c r="G3902" t="s">
        <v>438</v>
      </c>
      <c r="H3902" t="s">
        <v>4681</v>
      </c>
      <c r="I3902" t="s">
        <v>289</v>
      </c>
      <c r="J3902">
        <v>0</v>
      </c>
      <c r="K3902">
        <v>0</v>
      </c>
      <c r="L3902" s="6">
        <v>0</v>
      </c>
      <c r="M3902" s="7">
        <v>0</v>
      </c>
      <c r="N3902" s="7">
        <v>0</v>
      </c>
      <c r="O3902" s="7">
        <v>0</v>
      </c>
      <c r="P3902" s="7">
        <v>0</v>
      </c>
      <c r="Q3902" s="7">
        <v>0</v>
      </c>
      <c r="R3902" s="6">
        <v>0</v>
      </c>
      <c r="S3902" s="6">
        <v>0</v>
      </c>
      <c r="T3902" t="str">
        <f t="shared" si="332"/>
        <v>Hardwoods Random Length Consigment RL</v>
      </c>
    </row>
    <row r="3903" spans="1:20" x14ac:dyDescent="0.25">
      <c r="A3903" t="s">
        <v>438</v>
      </c>
      <c r="B3903" t="s">
        <v>438</v>
      </c>
      <c r="C3903" t="s">
        <v>4678</v>
      </c>
      <c r="D3903" t="s">
        <v>2826</v>
      </c>
      <c r="E3903" t="s">
        <v>4685</v>
      </c>
      <c r="F3903" t="s">
        <v>4680</v>
      </c>
      <c r="G3903" t="s">
        <v>438</v>
      </c>
      <c r="H3903" t="s">
        <v>4681</v>
      </c>
      <c r="I3903" t="s">
        <v>289</v>
      </c>
      <c r="J3903">
        <v>0</v>
      </c>
      <c r="K3903">
        <v>0</v>
      </c>
      <c r="L3903" s="6">
        <v>0</v>
      </c>
      <c r="M3903" s="7">
        <v>0</v>
      </c>
      <c r="N3903" s="7">
        <v>0</v>
      </c>
      <c r="O3903" s="7">
        <v>0</v>
      </c>
      <c r="P3903" s="7">
        <v>0</v>
      </c>
      <c r="Q3903" s="7">
        <v>0</v>
      </c>
      <c r="R3903" s="6">
        <v>0</v>
      </c>
      <c r="S3903" s="6">
        <v>0</v>
      </c>
      <c r="T3903" t="str">
        <f t="shared" si="332"/>
        <v>Hardwoods Random Length Consigment RL</v>
      </c>
    </row>
    <row r="3904" spans="1:20" x14ac:dyDescent="0.25">
      <c r="A3904" t="s">
        <v>438</v>
      </c>
      <c r="B3904" t="s">
        <v>438</v>
      </c>
      <c r="C3904" t="s">
        <v>4678</v>
      </c>
      <c r="D3904" t="s">
        <v>2826</v>
      </c>
      <c r="E3904" t="s">
        <v>4686</v>
      </c>
      <c r="F3904" t="s">
        <v>4680</v>
      </c>
      <c r="G3904" t="s">
        <v>438</v>
      </c>
      <c r="H3904" t="s">
        <v>4681</v>
      </c>
      <c r="I3904" t="s">
        <v>289</v>
      </c>
      <c r="J3904">
        <v>0</v>
      </c>
      <c r="K3904">
        <v>0</v>
      </c>
      <c r="L3904" s="6">
        <v>0</v>
      </c>
      <c r="M3904" s="7">
        <v>0</v>
      </c>
      <c r="N3904" s="7">
        <v>0</v>
      </c>
      <c r="O3904" s="7">
        <v>0</v>
      </c>
      <c r="P3904" s="7">
        <v>0</v>
      </c>
      <c r="Q3904" s="7">
        <v>0</v>
      </c>
      <c r="R3904" s="6">
        <v>0</v>
      </c>
      <c r="S3904" s="6">
        <v>0</v>
      </c>
      <c r="T3904" t="str">
        <f t="shared" si="332"/>
        <v>Hardwoods Random Length Consigment RL</v>
      </c>
    </row>
    <row r="3905" spans="1:20" x14ac:dyDescent="0.25">
      <c r="A3905" t="s">
        <v>438</v>
      </c>
      <c r="B3905" t="s">
        <v>438</v>
      </c>
      <c r="C3905" t="s">
        <v>4678</v>
      </c>
      <c r="D3905" t="s">
        <v>2826</v>
      </c>
      <c r="E3905" t="s">
        <v>4687</v>
      </c>
      <c r="F3905" t="s">
        <v>4680</v>
      </c>
      <c r="G3905" t="s">
        <v>438</v>
      </c>
      <c r="H3905" t="s">
        <v>4681</v>
      </c>
      <c r="I3905" t="s">
        <v>289</v>
      </c>
      <c r="J3905">
        <v>0</v>
      </c>
      <c r="K3905">
        <v>0</v>
      </c>
      <c r="L3905" s="6">
        <v>0</v>
      </c>
      <c r="M3905" s="7">
        <v>0</v>
      </c>
      <c r="N3905" s="7">
        <v>0</v>
      </c>
      <c r="O3905" s="7">
        <v>0</v>
      </c>
      <c r="P3905" s="7">
        <v>0</v>
      </c>
      <c r="Q3905" s="7">
        <v>0</v>
      </c>
      <c r="R3905" s="6">
        <v>0</v>
      </c>
      <c r="S3905" s="6">
        <v>0</v>
      </c>
      <c r="T3905" t="str">
        <f t="shared" si="332"/>
        <v>Hardwoods Random Length Consigment RL</v>
      </c>
    </row>
    <row r="3906" spans="1:20" x14ac:dyDescent="0.25">
      <c r="A3906" t="s">
        <v>438</v>
      </c>
      <c r="B3906" t="s">
        <v>438</v>
      </c>
      <c r="C3906" t="s">
        <v>4678</v>
      </c>
      <c r="D3906" t="s">
        <v>2826</v>
      </c>
      <c r="E3906" t="s">
        <v>4688</v>
      </c>
      <c r="F3906" t="s">
        <v>4680</v>
      </c>
      <c r="G3906" t="s">
        <v>438</v>
      </c>
      <c r="H3906" t="s">
        <v>4681</v>
      </c>
      <c r="I3906" t="s">
        <v>289</v>
      </c>
      <c r="J3906">
        <v>0</v>
      </c>
      <c r="K3906">
        <v>0</v>
      </c>
      <c r="L3906" s="6">
        <v>0</v>
      </c>
      <c r="M3906" s="7">
        <v>0</v>
      </c>
      <c r="N3906" s="7">
        <v>0</v>
      </c>
      <c r="O3906" s="7">
        <v>0</v>
      </c>
      <c r="P3906" s="7">
        <v>0</v>
      </c>
      <c r="Q3906" s="7">
        <v>0</v>
      </c>
      <c r="R3906" s="6">
        <v>0</v>
      </c>
      <c r="S3906" s="6">
        <v>0</v>
      </c>
      <c r="T3906" t="str">
        <f t="shared" ref="T3906:T3969" si="337">F3906&amp;" "&amp;C3906</f>
        <v>Hardwoods Random Length Consigment RL</v>
      </c>
    </row>
    <row r="3907" spans="1:20" x14ac:dyDescent="0.25">
      <c r="A3907" t="s">
        <v>438</v>
      </c>
      <c r="B3907" t="s">
        <v>438</v>
      </c>
      <c r="C3907" t="s">
        <v>4678</v>
      </c>
      <c r="D3907" t="s">
        <v>2826</v>
      </c>
      <c r="E3907" t="s">
        <v>4689</v>
      </c>
      <c r="F3907" t="s">
        <v>4680</v>
      </c>
      <c r="G3907" t="s">
        <v>438</v>
      </c>
      <c r="H3907" t="s">
        <v>4681</v>
      </c>
      <c r="I3907" t="s">
        <v>289</v>
      </c>
      <c r="J3907">
        <v>0</v>
      </c>
      <c r="K3907">
        <v>0</v>
      </c>
      <c r="L3907" s="6">
        <v>0</v>
      </c>
      <c r="M3907" s="7">
        <v>0</v>
      </c>
      <c r="N3907" s="7">
        <v>0</v>
      </c>
      <c r="O3907" s="7">
        <v>0</v>
      </c>
      <c r="P3907" s="7">
        <v>0</v>
      </c>
      <c r="Q3907" s="7">
        <v>0</v>
      </c>
      <c r="R3907" s="6">
        <v>0</v>
      </c>
      <c r="S3907" s="6">
        <v>0</v>
      </c>
      <c r="T3907" t="str">
        <f t="shared" si="337"/>
        <v>Hardwoods Random Length Consigment RL</v>
      </c>
    </row>
    <row r="3908" spans="1:20" x14ac:dyDescent="0.25">
      <c r="A3908" t="s">
        <v>438</v>
      </c>
      <c r="B3908" t="s">
        <v>438</v>
      </c>
      <c r="C3908" t="s">
        <v>4678</v>
      </c>
      <c r="D3908" t="s">
        <v>2826</v>
      </c>
      <c r="E3908" t="s">
        <v>4690</v>
      </c>
      <c r="F3908" t="s">
        <v>4680</v>
      </c>
      <c r="G3908" t="s">
        <v>438</v>
      </c>
      <c r="H3908" t="s">
        <v>4681</v>
      </c>
      <c r="I3908" t="s">
        <v>289</v>
      </c>
      <c r="J3908">
        <v>0</v>
      </c>
      <c r="K3908">
        <v>0</v>
      </c>
      <c r="L3908" s="6">
        <v>0</v>
      </c>
      <c r="M3908" s="7">
        <v>0</v>
      </c>
      <c r="N3908" s="7">
        <v>0</v>
      </c>
      <c r="O3908" s="7">
        <v>0</v>
      </c>
      <c r="P3908" s="7">
        <v>0</v>
      </c>
      <c r="Q3908" s="7">
        <v>0</v>
      </c>
      <c r="R3908" s="6">
        <v>0</v>
      </c>
      <c r="S3908" s="6">
        <v>0</v>
      </c>
      <c r="T3908" t="str">
        <f t="shared" si="337"/>
        <v>Hardwoods Random Length Consigment RL</v>
      </c>
    </row>
    <row r="3909" spans="1:20" x14ac:dyDescent="0.25">
      <c r="A3909" t="s">
        <v>438</v>
      </c>
      <c r="B3909" t="s">
        <v>438</v>
      </c>
      <c r="C3909" t="s">
        <v>4678</v>
      </c>
      <c r="D3909" t="s">
        <v>2826</v>
      </c>
      <c r="E3909" t="s">
        <v>4691</v>
      </c>
      <c r="F3909" t="s">
        <v>4680</v>
      </c>
      <c r="G3909" t="s">
        <v>438</v>
      </c>
      <c r="H3909" t="s">
        <v>4681</v>
      </c>
      <c r="I3909" t="s">
        <v>289</v>
      </c>
      <c r="J3909">
        <v>0</v>
      </c>
      <c r="K3909">
        <v>0</v>
      </c>
      <c r="L3909" s="6">
        <v>0</v>
      </c>
      <c r="M3909" s="7">
        <v>0</v>
      </c>
      <c r="N3909" s="7">
        <v>0</v>
      </c>
      <c r="O3909" s="7">
        <v>0</v>
      </c>
      <c r="P3909" s="7">
        <v>0</v>
      </c>
      <c r="Q3909" s="7">
        <v>0</v>
      </c>
      <c r="R3909" s="6">
        <v>0</v>
      </c>
      <c r="S3909" s="6">
        <v>0</v>
      </c>
      <c r="T3909" t="str">
        <f t="shared" si="337"/>
        <v>Hardwoods Random Length Consigment RL</v>
      </c>
    </row>
    <row r="3910" spans="1:20" x14ac:dyDescent="0.25">
      <c r="A3910" t="s">
        <v>438</v>
      </c>
      <c r="B3910" t="s">
        <v>438</v>
      </c>
      <c r="C3910" t="s">
        <v>4678</v>
      </c>
      <c r="D3910" t="s">
        <v>2826</v>
      </c>
      <c r="E3910" t="s">
        <v>4692</v>
      </c>
      <c r="F3910" t="s">
        <v>4680</v>
      </c>
      <c r="G3910" t="s">
        <v>438</v>
      </c>
      <c r="H3910" t="s">
        <v>4681</v>
      </c>
      <c r="I3910" t="s">
        <v>289</v>
      </c>
      <c r="J3910">
        <v>0</v>
      </c>
      <c r="K3910">
        <v>0</v>
      </c>
      <c r="L3910" s="6">
        <v>0</v>
      </c>
      <c r="M3910" s="7">
        <v>0</v>
      </c>
      <c r="N3910" s="7">
        <v>0</v>
      </c>
      <c r="O3910" s="7">
        <v>0</v>
      </c>
      <c r="P3910" s="7">
        <v>0</v>
      </c>
      <c r="Q3910" s="7">
        <v>0</v>
      </c>
      <c r="R3910" s="6">
        <v>0</v>
      </c>
      <c r="S3910" s="6">
        <v>0</v>
      </c>
      <c r="T3910" t="str">
        <f t="shared" si="337"/>
        <v>Hardwoods Random Length Consigment RL</v>
      </c>
    </row>
    <row r="3911" spans="1:20" x14ac:dyDescent="0.25">
      <c r="A3911" t="s">
        <v>438</v>
      </c>
      <c r="B3911" t="s">
        <v>438</v>
      </c>
      <c r="C3911" t="s">
        <v>4678</v>
      </c>
      <c r="D3911" t="s">
        <v>2826</v>
      </c>
      <c r="E3911" t="s">
        <v>4693</v>
      </c>
      <c r="F3911" t="s">
        <v>4680</v>
      </c>
      <c r="G3911" t="s">
        <v>438</v>
      </c>
      <c r="H3911" t="s">
        <v>4681</v>
      </c>
      <c r="I3911" t="s">
        <v>289</v>
      </c>
      <c r="J3911">
        <v>0</v>
      </c>
      <c r="K3911">
        <v>0</v>
      </c>
      <c r="L3911" s="6">
        <v>0</v>
      </c>
      <c r="M3911" s="7">
        <v>0</v>
      </c>
      <c r="N3911" s="7">
        <v>0</v>
      </c>
      <c r="O3911" s="7">
        <v>0</v>
      </c>
      <c r="P3911" s="7">
        <v>0</v>
      </c>
      <c r="Q3911" s="7">
        <v>0</v>
      </c>
      <c r="R3911" s="6">
        <v>0</v>
      </c>
      <c r="S3911" s="6">
        <v>0</v>
      </c>
      <c r="T3911" t="str">
        <f t="shared" si="337"/>
        <v>Hardwoods Random Length Consigment RL</v>
      </c>
    </row>
    <row r="3912" spans="1:20" x14ac:dyDescent="0.25">
      <c r="A3912" t="s">
        <v>438</v>
      </c>
      <c r="B3912" t="s">
        <v>438</v>
      </c>
      <c r="C3912" t="s">
        <v>4678</v>
      </c>
      <c r="D3912" t="s">
        <v>2826</v>
      </c>
      <c r="E3912" t="s">
        <v>4694</v>
      </c>
      <c r="F3912" t="s">
        <v>4680</v>
      </c>
      <c r="G3912" t="s">
        <v>438</v>
      </c>
      <c r="H3912" t="s">
        <v>4681</v>
      </c>
      <c r="I3912" t="s">
        <v>289</v>
      </c>
      <c r="J3912">
        <v>0</v>
      </c>
      <c r="K3912">
        <v>0</v>
      </c>
      <c r="L3912" s="6">
        <v>0</v>
      </c>
      <c r="M3912" s="7">
        <v>0</v>
      </c>
      <c r="N3912" s="7">
        <v>0</v>
      </c>
      <c r="O3912" s="7">
        <v>0</v>
      </c>
      <c r="P3912" s="7">
        <v>0</v>
      </c>
      <c r="Q3912" s="7">
        <v>0</v>
      </c>
      <c r="R3912" s="6">
        <v>0</v>
      </c>
      <c r="S3912" s="6">
        <v>0</v>
      </c>
      <c r="T3912" t="str">
        <f t="shared" si="337"/>
        <v>Hardwoods Random Length Consigment RL</v>
      </c>
    </row>
    <row r="3913" spans="1:20" x14ac:dyDescent="0.25">
      <c r="A3913" t="s">
        <v>531</v>
      </c>
      <c r="B3913" t="s">
        <v>4695</v>
      </c>
      <c r="C3913" t="s">
        <v>283</v>
      </c>
      <c r="D3913" t="s">
        <v>438</v>
      </c>
      <c r="E3913" t="s">
        <v>4696</v>
      </c>
      <c r="F3913" t="s">
        <v>4697</v>
      </c>
      <c r="G3913" t="s">
        <v>531</v>
      </c>
      <c r="H3913" t="s">
        <v>373</v>
      </c>
      <c r="I3913" t="s">
        <v>289</v>
      </c>
      <c r="J3913" t="s">
        <v>4631</v>
      </c>
      <c r="K3913">
        <v>16</v>
      </c>
      <c r="L3913" s="6">
        <v>4.8768000000000002</v>
      </c>
      <c r="M3913" s="7">
        <v>203.2</v>
      </c>
      <c r="N3913" s="7">
        <v>254</v>
      </c>
      <c r="O3913" s="7">
        <f t="shared" ref="O3913:O3921" si="338">L3913/0.0254</f>
        <v>192.00000000000003</v>
      </c>
      <c r="P3913" s="7">
        <f t="shared" ref="P3913:Q3921" si="339">M3913/25.4</f>
        <v>8</v>
      </c>
      <c r="Q3913" s="7">
        <f t="shared" si="339"/>
        <v>10</v>
      </c>
      <c r="R3913" s="6">
        <f t="shared" ref="R3913:R3921" si="340">ROUND(IFERROR(1/((M3913*N3913*0.3048)/1000000),0),3)</f>
        <v>63.566000000000003</v>
      </c>
      <c r="S3913" s="6">
        <f t="shared" ref="S3913:S3921" si="341">L3913*M3913/1000*N3913/1000</f>
        <v>0.25170530303999999</v>
      </c>
      <c r="T3913" t="str">
        <f t="shared" si="337"/>
        <v>Cumaru S4S E4E 8x10 Long</v>
      </c>
    </row>
    <row r="3914" spans="1:20" x14ac:dyDescent="0.25">
      <c r="A3914" t="s">
        <v>531</v>
      </c>
      <c r="B3914" t="s">
        <v>4698</v>
      </c>
      <c r="C3914" t="s">
        <v>283</v>
      </c>
      <c r="D3914" t="s">
        <v>438</v>
      </c>
      <c r="E3914" t="s">
        <v>4699</v>
      </c>
      <c r="F3914" t="s">
        <v>4700</v>
      </c>
      <c r="G3914" t="s">
        <v>531</v>
      </c>
      <c r="H3914" t="s">
        <v>373</v>
      </c>
      <c r="I3914" t="s">
        <v>289</v>
      </c>
      <c r="J3914" t="s">
        <v>4656</v>
      </c>
      <c r="K3914">
        <v>14</v>
      </c>
      <c r="L3914" s="6">
        <v>4.2671999999999999</v>
      </c>
      <c r="M3914" s="7">
        <v>152.39999999999998</v>
      </c>
      <c r="N3914" s="7">
        <v>254</v>
      </c>
      <c r="O3914" s="7">
        <f t="shared" si="338"/>
        <v>168</v>
      </c>
      <c r="P3914" s="7">
        <f t="shared" si="339"/>
        <v>5.9999999999999991</v>
      </c>
      <c r="Q3914" s="7">
        <f t="shared" si="339"/>
        <v>10</v>
      </c>
      <c r="R3914" s="6">
        <f t="shared" si="340"/>
        <v>84.754999999999995</v>
      </c>
      <c r="S3914" s="6">
        <f t="shared" si="341"/>
        <v>0.16518160511999996</v>
      </c>
      <c r="T3914" t="str">
        <f t="shared" si="337"/>
        <v>Cumaru S4S E4E 6x10 Long</v>
      </c>
    </row>
    <row r="3915" spans="1:20" x14ac:dyDescent="0.25">
      <c r="A3915" t="s">
        <v>531</v>
      </c>
      <c r="B3915" t="s">
        <v>4701</v>
      </c>
      <c r="C3915" t="s">
        <v>283</v>
      </c>
      <c r="D3915" t="s">
        <v>438</v>
      </c>
      <c r="E3915" t="s">
        <v>4702</v>
      </c>
      <c r="F3915" t="s">
        <v>4703</v>
      </c>
      <c r="G3915" t="s">
        <v>531</v>
      </c>
      <c r="H3915" t="s">
        <v>373</v>
      </c>
      <c r="I3915" t="s">
        <v>289</v>
      </c>
      <c r="J3915" t="s">
        <v>4704</v>
      </c>
      <c r="K3915">
        <v>8</v>
      </c>
      <c r="L3915" s="6">
        <v>2.4384000000000001</v>
      </c>
      <c r="M3915" s="7">
        <v>76.199999999999989</v>
      </c>
      <c r="N3915" s="7">
        <v>76.199999999999989</v>
      </c>
      <c r="O3915" s="7">
        <f t="shared" si="338"/>
        <v>96.000000000000014</v>
      </c>
      <c r="P3915" s="7">
        <f t="shared" si="339"/>
        <v>2.9999999999999996</v>
      </c>
      <c r="Q3915" s="7">
        <f t="shared" si="339"/>
        <v>2.9999999999999996</v>
      </c>
      <c r="R3915" s="6">
        <f t="shared" si="340"/>
        <v>565.03499999999997</v>
      </c>
      <c r="S3915" s="6">
        <f t="shared" si="341"/>
        <v>1.4158423295999997E-2</v>
      </c>
      <c r="T3915" t="str">
        <f t="shared" si="337"/>
        <v>Cumaru S4S E4E 76x76 Long</v>
      </c>
    </row>
    <row r="3916" spans="1:20" x14ac:dyDescent="0.25">
      <c r="A3916" t="s">
        <v>531</v>
      </c>
      <c r="B3916" t="s">
        <v>4705</v>
      </c>
      <c r="C3916" t="s">
        <v>283</v>
      </c>
      <c r="D3916" t="s">
        <v>438</v>
      </c>
      <c r="E3916" t="s">
        <v>4706</v>
      </c>
      <c r="F3916" t="s">
        <v>4707</v>
      </c>
      <c r="G3916" t="s">
        <v>531</v>
      </c>
      <c r="H3916" t="s">
        <v>373</v>
      </c>
      <c r="I3916" t="s">
        <v>289</v>
      </c>
      <c r="J3916" t="s">
        <v>4708</v>
      </c>
      <c r="K3916">
        <v>12</v>
      </c>
      <c r="L3916" s="6">
        <v>3.6576</v>
      </c>
      <c r="M3916" s="7">
        <v>63.5</v>
      </c>
      <c r="N3916" s="7">
        <v>215.89999999999998</v>
      </c>
      <c r="O3916" s="7">
        <f t="shared" si="338"/>
        <v>144</v>
      </c>
      <c r="P3916" s="7">
        <f t="shared" si="339"/>
        <v>2.5</v>
      </c>
      <c r="Q3916" s="7">
        <f t="shared" si="339"/>
        <v>8.5</v>
      </c>
      <c r="R3916" s="6">
        <f t="shared" si="340"/>
        <v>239.309</v>
      </c>
      <c r="S3916" s="6">
        <f t="shared" si="341"/>
        <v>5.0144415839999991E-2</v>
      </c>
      <c r="T3916" t="str">
        <f t="shared" si="337"/>
        <v>Cumaru S4S E4E 63x215 Long</v>
      </c>
    </row>
    <row r="3917" spans="1:20" x14ac:dyDescent="0.25">
      <c r="A3917" t="s">
        <v>531</v>
      </c>
      <c r="B3917" t="s">
        <v>4709</v>
      </c>
      <c r="C3917" t="s">
        <v>283</v>
      </c>
      <c r="D3917" t="s">
        <v>438</v>
      </c>
      <c r="E3917" t="s">
        <v>4710</v>
      </c>
      <c r="F3917" t="s">
        <v>4711</v>
      </c>
      <c r="G3917" t="s">
        <v>531</v>
      </c>
      <c r="H3917" t="s">
        <v>373</v>
      </c>
      <c r="I3917" t="s">
        <v>289</v>
      </c>
      <c r="J3917" t="s">
        <v>4712</v>
      </c>
      <c r="K3917">
        <v>20</v>
      </c>
      <c r="L3917" s="6">
        <v>6.0960000000000001</v>
      </c>
      <c r="M3917" s="7">
        <v>63.5</v>
      </c>
      <c r="N3917" s="7">
        <v>241.29999999999998</v>
      </c>
      <c r="O3917" s="7">
        <f t="shared" si="338"/>
        <v>240</v>
      </c>
      <c r="P3917" s="7">
        <f t="shared" si="339"/>
        <v>2.5</v>
      </c>
      <c r="Q3917" s="7">
        <f t="shared" si="339"/>
        <v>9.5</v>
      </c>
      <c r="R3917" s="6">
        <f t="shared" si="340"/>
        <v>214.11799999999999</v>
      </c>
      <c r="S3917" s="6">
        <f t="shared" si="341"/>
        <v>9.3406264799999986E-2</v>
      </c>
      <c r="T3917" t="str">
        <f t="shared" si="337"/>
        <v>Cumaru S4S E4E 63x241 Long</v>
      </c>
    </row>
    <row r="3918" spans="1:20" x14ac:dyDescent="0.25">
      <c r="A3918" t="s">
        <v>531</v>
      </c>
      <c r="B3918" t="s">
        <v>1148</v>
      </c>
      <c r="C3918" t="s">
        <v>283</v>
      </c>
      <c r="D3918" t="s">
        <v>438</v>
      </c>
      <c r="E3918" t="s">
        <v>1149</v>
      </c>
      <c r="F3918" t="s">
        <v>1150</v>
      </c>
      <c r="G3918" t="s">
        <v>531</v>
      </c>
      <c r="H3918" t="s">
        <v>373</v>
      </c>
      <c r="I3918" t="s">
        <v>289</v>
      </c>
      <c r="J3918" t="s">
        <v>1151</v>
      </c>
      <c r="K3918">
        <v>14</v>
      </c>
      <c r="L3918" s="6">
        <v>4.2671999999999999</v>
      </c>
      <c r="M3918" s="7">
        <v>50.8</v>
      </c>
      <c r="N3918" s="7">
        <v>139.69999999999999</v>
      </c>
      <c r="O3918" s="7">
        <f t="shared" si="338"/>
        <v>168</v>
      </c>
      <c r="P3918" s="7">
        <f t="shared" si="339"/>
        <v>2</v>
      </c>
      <c r="Q3918" s="7">
        <f t="shared" si="339"/>
        <v>5.5</v>
      </c>
      <c r="R3918" s="6">
        <f t="shared" si="340"/>
        <v>462.30099999999999</v>
      </c>
      <c r="S3918" s="6">
        <f t="shared" si="341"/>
        <v>3.0283294271999994E-2</v>
      </c>
      <c r="T3918" t="str">
        <f t="shared" si="337"/>
        <v>Cumaru S4S E4E 50x140 Long</v>
      </c>
    </row>
    <row r="3919" spans="1:20" x14ac:dyDescent="0.25">
      <c r="A3919" t="s">
        <v>531</v>
      </c>
      <c r="B3919" t="s">
        <v>4713</v>
      </c>
      <c r="C3919" t="s">
        <v>283</v>
      </c>
      <c r="D3919" t="s">
        <v>438</v>
      </c>
      <c r="E3919" t="s">
        <v>4714</v>
      </c>
      <c r="F3919" t="s">
        <v>4715</v>
      </c>
      <c r="G3919" t="s">
        <v>531</v>
      </c>
      <c r="H3919" t="s">
        <v>373</v>
      </c>
      <c r="I3919" t="s">
        <v>289</v>
      </c>
      <c r="J3919" t="s">
        <v>4716</v>
      </c>
      <c r="K3919">
        <v>18</v>
      </c>
      <c r="L3919" s="6">
        <v>5.4863999999999997</v>
      </c>
      <c r="M3919" s="7">
        <v>50.8</v>
      </c>
      <c r="N3919" s="7">
        <v>114.3</v>
      </c>
      <c r="O3919" s="7">
        <f t="shared" si="338"/>
        <v>216</v>
      </c>
      <c r="P3919" s="7">
        <f t="shared" si="339"/>
        <v>2</v>
      </c>
      <c r="Q3919" s="7">
        <f t="shared" si="339"/>
        <v>4.5</v>
      </c>
      <c r="R3919" s="6">
        <f t="shared" si="340"/>
        <v>565.03499999999997</v>
      </c>
      <c r="S3919" s="6">
        <f t="shared" si="341"/>
        <v>3.1856452415999999E-2</v>
      </c>
      <c r="T3919" t="str">
        <f t="shared" si="337"/>
        <v>Cumaru S4S E4E 50x114 Long</v>
      </c>
    </row>
    <row r="3920" spans="1:20" x14ac:dyDescent="0.25">
      <c r="A3920" t="s">
        <v>531</v>
      </c>
      <c r="B3920" t="s">
        <v>4717</v>
      </c>
      <c r="C3920" t="s">
        <v>283</v>
      </c>
      <c r="D3920" t="s">
        <v>438</v>
      </c>
      <c r="E3920" t="s">
        <v>4718</v>
      </c>
      <c r="F3920" t="s">
        <v>4719</v>
      </c>
      <c r="G3920" t="s">
        <v>531</v>
      </c>
      <c r="H3920" t="s">
        <v>373</v>
      </c>
      <c r="I3920" t="s">
        <v>289</v>
      </c>
      <c r="J3920" t="s">
        <v>4720</v>
      </c>
      <c r="K3920">
        <v>12</v>
      </c>
      <c r="L3920" s="6">
        <v>3.6576</v>
      </c>
      <c r="M3920" s="7">
        <v>38.099999999999994</v>
      </c>
      <c r="N3920" s="7">
        <v>76.199999999999989</v>
      </c>
      <c r="O3920" s="7">
        <f t="shared" si="338"/>
        <v>144</v>
      </c>
      <c r="P3920" s="7">
        <f t="shared" si="339"/>
        <v>1.4999999999999998</v>
      </c>
      <c r="Q3920" s="7">
        <f t="shared" si="339"/>
        <v>2.9999999999999996</v>
      </c>
      <c r="R3920" s="6">
        <f t="shared" si="340"/>
        <v>1130.069</v>
      </c>
      <c r="S3920" s="6">
        <f t="shared" si="341"/>
        <v>1.0618817471999994E-2</v>
      </c>
      <c r="T3920" t="str">
        <f t="shared" si="337"/>
        <v>Cumaru S4S E4E 38x76 Long</v>
      </c>
    </row>
    <row r="3921" spans="1:20" x14ac:dyDescent="0.25">
      <c r="A3921" t="s">
        <v>2482</v>
      </c>
      <c r="B3921" t="s">
        <v>2497</v>
      </c>
      <c r="C3921" t="s">
        <v>524</v>
      </c>
      <c r="D3921" t="s">
        <v>438</v>
      </c>
      <c r="E3921" t="s">
        <v>4721</v>
      </c>
      <c r="F3921" t="s">
        <v>2499</v>
      </c>
      <c r="G3921" t="s">
        <v>2482</v>
      </c>
      <c r="H3921" t="s">
        <v>373</v>
      </c>
      <c r="I3921" t="s">
        <v>289</v>
      </c>
      <c r="J3921" t="s">
        <v>344</v>
      </c>
      <c r="K3921">
        <v>7</v>
      </c>
      <c r="L3921" s="6">
        <v>2.1335999999999999</v>
      </c>
      <c r="M3921" s="7">
        <v>19.05</v>
      </c>
      <c r="N3921" s="7">
        <v>139.69999999999999</v>
      </c>
      <c r="O3921" s="7">
        <f t="shared" si="338"/>
        <v>84</v>
      </c>
      <c r="P3921" s="7">
        <f t="shared" si="339"/>
        <v>0.75000000000000011</v>
      </c>
      <c r="Q3921" s="7">
        <f t="shared" si="339"/>
        <v>5.5</v>
      </c>
      <c r="R3921" s="6">
        <f t="shared" si="340"/>
        <v>1232.8030000000001</v>
      </c>
      <c r="S3921" s="6">
        <f t="shared" si="341"/>
        <v>5.6781176759999998E-3</v>
      </c>
      <c r="T3921" t="str">
        <f t="shared" si="337"/>
        <v>Tigerwood S4S E4E 1x6 Short</v>
      </c>
    </row>
    <row r="3922" spans="1:20" x14ac:dyDescent="0.25">
      <c r="A3922" t="s">
        <v>2824</v>
      </c>
      <c r="B3922" t="s">
        <v>2836</v>
      </c>
      <c r="C3922" t="s">
        <v>2824</v>
      </c>
      <c r="D3922" t="s">
        <v>2826</v>
      </c>
      <c r="E3922" t="s">
        <v>4722</v>
      </c>
      <c r="F3922" t="s">
        <v>2838</v>
      </c>
      <c r="G3922" t="s">
        <v>2838</v>
      </c>
      <c r="H3922" t="s">
        <v>289</v>
      </c>
      <c r="I3922" t="s">
        <v>289</v>
      </c>
      <c r="J3922">
        <v>0</v>
      </c>
      <c r="K3922">
        <v>0</v>
      </c>
      <c r="L3922" s="6">
        <v>0</v>
      </c>
      <c r="M3922" s="7">
        <v>0</v>
      </c>
      <c r="N3922" s="7">
        <v>0</v>
      </c>
      <c r="O3922" s="7">
        <v>0</v>
      </c>
      <c r="P3922" s="7">
        <v>0</v>
      </c>
      <c r="Q3922" s="7">
        <v>0</v>
      </c>
      <c r="R3922" s="6">
        <v>0</v>
      </c>
      <c r="S3922" s="6">
        <v>0</v>
      </c>
      <c r="T3922" t="str">
        <f t="shared" si="337"/>
        <v>Freight Services Services</v>
      </c>
    </row>
    <row r="3923" spans="1:20" x14ac:dyDescent="0.25">
      <c r="A3923" t="s">
        <v>4571</v>
      </c>
      <c r="B3923" t="s">
        <v>4293</v>
      </c>
      <c r="C3923" t="s">
        <v>1256</v>
      </c>
      <c r="D3923" t="s">
        <v>4571</v>
      </c>
      <c r="E3923">
        <v>31032</v>
      </c>
      <c r="F3923" t="s">
        <v>4723</v>
      </c>
      <c r="G3923" t="s">
        <v>4573</v>
      </c>
      <c r="H3923" t="s">
        <v>4724</v>
      </c>
      <c r="I3923" t="s">
        <v>289</v>
      </c>
      <c r="J3923">
        <v>0</v>
      </c>
      <c r="K3923">
        <v>0</v>
      </c>
      <c r="L3923" s="6">
        <v>0</v>
      </c>
      <c r="M3923" s="7">
        <v>0</v>
      </c>
      <c r="N3923" s="7">
        <v>0</v>
      </c>
      <c r="O3923" s="7">
        <v>0</v>
      </c>
      <c r="P3923" s="7">
        <v>0</v>
      </c>
      <c r="Q3923" s="7">
        <v>0</v>
      </c>
      <c r="R3923" s="6">
        <v>0</v>
      </c>
      <c r="S3923" s="6">
        <v>0</v>
      </c>
      <c r="T3923" t="str">
        <f t="shared" si="337"/>
        <v>Deck Tile Connector Tiles</v>
      </c>
    </row>
    <row r="3924" spans="1:20" x14ac:dyDescent="0.25">
      <c r="A3924" t="s">
        <v>4571</v>
      </c>
      <c r="B3924" t="s">
        <v>4293</v>
      </c>
      <c r="C3924" t="s">
        <v>4565</v>
      </c>
      <c r="D3924" t="s">
        <v>2826</v>
      </c>
      <c r="E3924" t="s">
        <v>4725</v>
      </c>
      <c r="F3924" t="s">
        <v>4726</v>
      </c>
      <c r="G3924" t="s">
        <v>4727</v>
      </c>
      <c r="H3924" t="s">
        <v>4728</v>
      </c>
      <c r="I3924" t="s">
        <v>289</v>
      </c>
      <c r="J3924" t="s">
        <v>4569</v>
      </c>
      <c r="K3924">
        <v>0</v>
      </c>
      <c r="L3924" s="6">
        <v>0</v>
      </c>
      <c r="M3924" s="7">
        <v>0</v>
      </c>
      <c r="N3924" s="7">
        <v>0</v>
      </c>
      <c r="O3924" s="7">
        <v>0</v>
      </c>
      <c r="P3924" s="7">
        <v>0</v>
      </c>
      <c r="Q3924" s="7">
        <v>0</v>
      </c>
      <c r="R3924" s="6">
        <v>0</v>
      </c>
      <c r="S3924" s="6">
        <v>0</v>
      </c>
      <c r="T3924" t="str">
        <f t="shared" si="337"/>
        <v>Plug Kit Wood Ipe 3/8"x3/8" Plug</v>
      </c>
    </row>
    <row r="3925" spans="1:20" x14ac:dyDescent="0.25">
      <c r="A3925" t="s">
        <v>2824</v>
      </c>
      <c r="B3925" t="s">
        <v>2866</v>
      </c>
      <c r="C3925" t="s">
        <v>2824</v>
      </c>
      <c r="D3925" t="s">
        <v>2826</v>
      </c>
      <c r="E3925" t="s">
        <v>4729</v>
      </c>
      <c r="F3925" t="s">
        <v>2866</v>
      </c>
      <c r="G3925" t="s">
        <v>289</v>
      </c>
      <c r="H3925" t="s">
        <v>289</v>
      </c>
      <c r="I3925" t="s">
        <v>289</v>
      </c>
      <c r="J3925">
        <v>0</v>
      </c>
      <c r="K3925">
        <v>0</v>
      </c>
      <c r="L3925" s="6">
        <v>0</v>
      </c>
      <c r="M3925" s="7">
        <v>0</v>
      </c>
      <c r="N3925" s="7">
        <v>0</v>
      </c>
      <c r="O3925" s="7">
        <v>0</v>
      </c>
      <c r="P3925" s="7">
        <v>0</v>
      </c>
      <c r="Q3925" s="7">
        <v>0</v>
      </c>
      <c r="R3925" s="6">
        <v>0</v>
      </c>
      <c r="S3925" s="6">
        <v>0</v>
      </c>
      <c r="T3925" t="str">
        <f t="shared" si="337"/>
        <v>Milling Services</v>
      </c>
    </row>
    <row r="3926" spans="1:20" x14ac:dyDescent="0.25">
      <c r="A3926" t="s">
        <v>2824</v>
      </c>
      <c r="B3926" t="s">
        <v>2871</v>
      </c>
      <c r="C3926" t="s">
        <v>2824</v>
      </c>
      <c r="D3926" t="s">
        <v>2826</v>
      </c>
      <c r="E3926" t="s">
        <v>4730</v>
      </c>
      <c r="F3926" t="s">
        <v>2871</v>
      </c>
      <c r="G3926" t="s">
        <v>289</v>
      </c>
      <c r="H3926" t="s">
        <v>289</v>
      </c>
      <c r="I3926" t="s">
        <v>289</v>
      </c>
      <c r="J3926">
        <v>0</v>
      </c>
      <c r="K3926">
        <v>0</v>
      </c>
      <c r="L3926" s="6">
        <v>0</v>
      </c>
      <c r="M3926" s="7">
        <v>0</v>
      </c>
      <c r="N3926" s="7">
        <v>0</v>
      </c>
      <c r="O3926" s="7">
        <v>0</v>
      </c>
      <c r="P3926" s="7">
        <v>0</v>
      </c>
      <c r="Q3926" s="7">
        <v>0</v>
      </c>
      <c r="R3926" s="6">
        <v>0</v>
      </c>
      <c r="S3926" s="6">
        <v>0</v>
      </c>
      <c r="T3926" t="str">
        <f t="shared" si="337"/>
        <v>Painting Services</v>
      </c>
    </row>
    <row r="3927" spans="1:20" x14ac:dyDescent="0.25">
      <c r="A3927" t="s">
        <v>2824</v>
      </c>
      <c r="B3927" t="s">
        <v>2866</v>
      </c>
      <c r="C3927" t="s">
        <v>2824</v>
      </c>
      <c r="D3927" t="s">
        <v>2826</v>
      </c>
      <c r="E3927" t="s">
        <v>4731</v>
      </c>
      <c r="F3927" t="s">
        <v>2866</v>
      </c>
      <c r="G3927" t="s">
        <v>289</v>
      </c>
      <c r="H3927" t="s">
        <v>289</v>
      </c>
      <c r="I3927" t="s">
        <v>289</v>
      </c>
      <c r="J3927">
        <v>0</v>
      </c>
      <c r="K3927">
        <v>0</v>
      </c>
      <c r="L3927" s="6">
        <v>0</v>
      </c>
      <c r="M3927" s="7">
        <v>0</v>
      </c>
      <c r="N3927" s="7">
        <v>0</v>
      </c>
      <c r="O3927" s="7">
        <v>0</v>
      </c>
      <c r="P3927" s="7">
        <v>0</v>
      </c>
      <c r="Q3927" s="7">
        <v>0</v>
      </c>
      <c r="R3927" s="6">
        <v>0</v>
      </c>
      <c r="S3927" s="6">
        <v>0</v>
      </c>
      <c r="T3927" t="str">
        <f t="shared" si="337"/>
        <v>Milling Services</v>
      </c>
    </row>
    <row r="3928" spans="1:20" x14ac:dyDescent="0.25">
      <c r="A3928" t="s">
        <v>3073</v>
      </c>
      <c r="B3928" t="s">
        <v>3717</v>
      </c>
      <c r="C3928" t="s">
        <v>283</v>
      </c>
      <c r="D3928" t="s">
        <v>3044</v>
      </c>
      <c r="E3928" t="s">
        <v>4732</v>
      </c>
      <c r="F3928" t="s">
        <v>4733</v>
      </c>
      <c r="G3928" t="s">
        <v>3077</v>
      </c>
      <c r="H3928" t="s">
        <v>373</v>
      </c>
      <c r="I3928" t="s">
        <v>3852</v>
      </c>
      <c r="J3928" t="s">
        <v>613</v>
      </c>
      <c r="K3928">
        <v>10</v>
      </c>
      <c r="L3928" s="6">
        <v>3</v>
      </c>
      <c r="M3928" s="7">
        <v>19</v>
      </c>
      <c r="N3928" s="7">
        <v>92</v>
      </c>
      <c r="O3928" s="7">
        <f t="shared" ref="O3928:O3991" si="342">L3928/0.0254</f>
        <v>118.11023622047244</v>
      </c>
      <c r="P3928" s="7">
        <f t="shared" ref="P3928:Q3943" si="343">M3928/25.4</f>
        <v>0.74803149606299213</v>
      </c>
      <c r="Q3928" s="7">
        <f t="shared" si="343"/>
        <v>3.6220472440944884</v>
      </c>
      <c r="R3928" s="6">
        <f t="shared" ref="R3928:R3991" si="344">ROUND(IFERROR(1/((M3928*N3928*0.3048)/1000000),0),3)</f>
        <v>1876.9110000000001</v>
      </c>
      <c r="S3928" s="6">
        <f t="shared" ref="S3928:S3991" si="345">L3928*M3928/1000*N3928/1000</f>
        <v>5.2439999999999995E-3</v>
      </c>
      <c r="T3928" t="str">
        <f t="shared" si="337"/>
        <v>Maximo Thermo Ayous S4S E4E Burn Blocked 1x4 Long</v>
      </c>
    </row>
    <row r="3929" spans="1:20" x14ac:dyDescent="0.25">
      <c r="A3929" t="s">
        <v>3073</v>
      </c>
      <c r="B3929" t="s">
        <v>3717</v>
      </c>
      <c r="C3929" t="s">
        <v>283</v>
      </c>
      <c r="D3929" t="s">
        <v>3044</v>
      </c>
      <c r="E3929" t="s">
        <v>4734</v>
      </c>
      <c r="F3929" t="s">
        <v>4733</v>
      </c>
      <c r="G3929" t="s">
        <v>3077</v>
      </c>
      <c r="H3929" t="s">
        <v>373</v>
      </c>
      <c r="I3929" t="s">
        <v>3852</v>
      </c>
      <c r="J3929" t="s">
        <v>613</v>
      </c>
      <c r="K3929">
        <v>11</v>
      </c>
      <c r="L3929" s="6">
        <v>3.3</v>
      </c>
      <c r="M3929" s="7">
        <v>19</v>
      </c>
      <c r="N3929" s="7">
        <v>92</v>
      </c>
      <c r="O3929" s="7">
        <f t="shared" si="342"/>
        <v>129.92125984251967</v>
      </c>
      <c r="P3929" s="7">
        <f t="shared" si="343"/>
        <v>0.74803149606299213</v>
      </c>
      <c r="Q3929" s="7">
        <f t="shared" si="343"/>
        <v>3.6220472440944884</v>
      </c>
      <c r="R3929" s="6">
        <f t="shared" si="344"/>
        <v>1876.9110000000001</v>
      </c>
      <c r="S3929" s="6">
        <f t="shared" si="345"/>
        <v>5.768399999999999E-3</v>
      </c>
      <c r="T3929" t="str">
        <f t="shared" si="337"/>
        <v>Maximo Thermo Ayous S4S E4E Burn Blocked 1x4 Long</v>
      </c>
    </row>
    <row r="3930" spans="1:20" x14ac:dyDescent="0.25">
      <c r="A3930" t="s">
        <v>3073</v>
      </c>
      <c r="B3930" t="s">
        <v>3717</v>
      </c>
      <c r="C3930" t="s">
        <v>283</v>
      </c>
      <c r="D3930" t="s">
        <v>3044</v>
      </c>
      <c r="E3930" t="s">
        <v>4735</v>
      </c>
      <c r="F3930" t="s">
        <v>4733</v>
      </c>
      <c r="G3930" t="s">
        <v>3077</v>
      </c>
      <c r="H3930" t="s">
        <v>373</v>
      </c>
      <c r="I3930" t="s">
        <v>3852</v>
      </c>
      <c r="J3930" t="s">
        <v>613</v>
      </c>
      <c r="K3930">
        <v>12</v>
      </c>
      <c r="L3930" s="6">
        <v>3.6</v>
      </c>
      <c r="M3930" s="7">
        <v>19</v>
      </c>
      <c r="N3930" s="7">
        <v>92</v>
      </c>
      <c r="O3930" s="7">
        <f t="shared" si="342"/>
        <v>141.73228346456693</v>
      </c>
      <c r="P3930" s="7">
        <f t="shared" si="343"/>
        <v>0.74803149606299213</v>
      </c>
      <c r="Q3930" s="7">
        <f t="shared" si="343"/>
        <v>3.6220472440944884</v>
      </c>
      <c r="R3930" s="6">
        <f t="shared" si="344"/>
        <v>1876.9110000000001</v>
      </c>
      <c r="S3930" s="6">
        <f t="shared" si="345"/>
        <v>6.2928000000000003E-3</v>
      </c>
      <c r="T3930" t="str">
        <f t="shared" si="337"/>
        <v>Maximo Thermo Ayous S4S E4E Burn Blocked 1x4 Long</v>
      </c>
    </row>
    <row r="3931" spans="1:20" x14ac:dyDescent="0.25">
      <c r="A3931" t="s">
        <v>3073</v>
      </c>
      <c r="B3931" t="s">
        <v>3717</v>
      </c>
      <c r="C3931" t="s">
        <v>283</v>
      </c>
      <c r="D3931" t="s">
        <v>3044</v>
      </c>
      <c r="E3931" t="s">
        <v>4736</v>
      </c>
      <c r="F3931" t="s">
        <v>4733</v>
      </c>
      <c r="G3931" t="s">
        <v>3077</v>
      </c>
      <c r="H3931" t="s">
        <v>373</v>
      </c>
      <c r="I3931" t="s">
        <v>3852</v>
      </c>
      <c r="J3931" t="s">
        <v>613</v>
      </c>
      <c r="K3931">
        <v>13</v>
      </c>
      <c r="L3931" s="6">
        <v>3.9</v>
      </c>
      <c r="M3931" s="7">
        <v>19</v>
      </c>
      <c r="N3931" s="7">
        <v>92</v>
      </c>
      <c r="O3931" s="7">
        <f t="shared" si="342"/>
        <v>153.54330708661416</v>
      </c>
      <c r="P3931" s="7">
        <f t="shared" si="343"/>
        <v>0.74803149606299213</v>
      </c>
      <c r="Q3931" s="7">
        <f t="shared" si="343"/>
        <v>3.6220472440944884</v>
      </c>
      <c r="R3931" s="6">
        <f t="shared" si="344"/>
        <v>1876.9110000000001</v>
      </c>
      <c r="S3931" s="6">
        <f t="shared" si="345"/>
        <v>6.8171999999999998E-3</v>
      </c>
      <c r="T3931" t="str">
        <f t="shared" si="337"/>
        <v>Maximo Thermo Ayous S4S E4E Burn Blocked 1x4 Long</v>
      </c>
    </row>
    <row r="3932" spans="1:20" x14ac:dyDescent="0.25">
      <c r="A3932" t="s">
        <v>3073</v>
      </c>
      <c r="B3932" t="s">
        <v>3717</v>
      </c>
      <c r="C3932" t="s">
        <v>283</v>
      </c>
      <c r="D3932" t="s">
        <v>3044</v>
      </c>
      <c r="E3932" t="s">
        <v>4737</v>
      </c>
      <c r="F3932" t="s">
        <v>4733</v>
      </c>
      <c r="G3932" t="s">
        <v>3077</v>
      </c>
      <c r="H3932" t="s">
        <v>373</v>
      </c>
      <c r="I3932" t="s">
        <v>3852</v>
      </c>
      <c r="J3932" t="s">
        <v>613</v>
      </c>
      <c r="K3932">
        <v>14</v>
      </c>
      <c r="L3932" s="6">
        <v>4.2</v>
      </c>
      <c r="M3932" s="7">
        <v>19</v>
      </c>
      <c r="N3932" s="7">
        <v>92</v>
      </c>
      <c r="O3932" s="7">
        <f t="shared" si="342"/>
        <v>165.35433070866142</v>
      </c>
      <c r="P3932" s="7">
        <f t="shared" si="343"/>
        <v>0.74803149606299213</v>
      </c>
      <c r="Q3932" s="7">
        <f t="shared" si="343"/>
        <v>3.6220472440944884</v>
      </c>
      <c r="R3932" s="6">
        <f t="shared" si="344"/>
        <v>1876.9110000000001</v>
      </c>
      <c r="S3932" s="6">
        <f t="shared" si="345"/>
        <v>7.3415999999999993E-3</v>
      </c>
      <c r="T3932" t="str">
        <f t="shared" si="337"/>
        <v>Maximo Thermo Ayous S4S E4E Burn Blocked 1x4 Long</v>
      </c>
    </row>
    <row r="3933" spans="1:20" x14ac:dyDescent="0.25">
      <c r="A3933" t="s">
        <v>3073</v>
      </c>
      <c r="B3933" t="s">
        <v>3717</v>
      </c>
      <c r="C3933" t="s">
        <v>283</v>
      </c>
      <c r="D3933" t="s">
        <v>3044</v>
      </c>
      <c r="E3933" t="s">
        <v>4738</v>
      </c>
      <c r="F3933" t="s">
        <v>4733</v>
      </c>
      <c r="G3933" t="s">
        <v>3077</v>
      </c>
      <c r="H3933" t="s">
        <v>373</v>
      </c>
      <c r="I3933" t="s">
        <v>3852</v>
      </c>
      <c r="J3933" t="s">
        <v>613</v>
      </c>
      <c r="K3933">
        <v>15</v>
      </c>
      <c r="L3933" s="6">
        <v>4.5</v>
      </c>
      <c r="M3933" s="7">
        <v>19</v>
      </c>
      <c r="N3933" s="7">
        <v>92</v>
      </c>
      <c r="O3933" s="7">
        <f t="shared" si="342"/>
        <v>177.16535433070868</v>
      </c>
      <c r="P3933" s="7">
        <f t="shared" si="343"/>
        <v>0.74803149606299213</v>
      </c>
      <c r="Q3933" s="7">
        <f t="shared" si="343"/>
        <v>3.6220472440944884</v>
      </c>
      <c r="R3933" s="6">
        <f t="shared" si="344"/>
        <v>1876.9110000000001</v>
      </c>
      <c r="S3933" s="6">
        <f t="shared" si="345"/>
        <v>7.8659999999999997E-3</v>
      </c>
      <c r="T3933" t="str">
        <f t="shared" si="337"/>
        <v>Maximo Thermo Ayous S4S E4E Burn Blocked 1x4 Long</v>
      </c>
    </row>
    <row r="3934" spans="1:20" x14ac:dyDescent="0.25">
      <c r="A3934" t="s">
        <v>3073</v>
      </c>
      <c r="B3934" t="s">
        <v>3717</v>
      </c>
      <c r="C3934" t="s">
        <v>283</v>
      </c>
      <c r="D3934" t="s">
        <v>3044</v>
      </c>
      <c r="E3934" t="s">
        <v>4739</v>
      </c>
      <c r="F3934" t="s">
        <v>4733</v>
      </c>
      <c r="G3934" t="s">
        <v>3077</v>
      </c>
      <c r="H3934" t="s">
        <v>373</v>
      </c>
      <c r="I3934" t="s">
        <v>3852</v>
      </c>
      <c r="J3934" t="s">
        <v>613</v>
      </c>
      <c r="K3934">
        <v>16</v>
      </c>
      <c r="L3934" s="6">
        <v>4.8</v>
      </c>
      <c r="M3934" s="7">
        <v>19</v>
      </c>
      <c r="N3934" s="7">
        <v>92</v>
      </c>
      <c r="O3934" s="7">
        <f t="shared" si="342"/>
        <v>188.97637795275591</v>
      </c>
      <c r="P3934" s="7">
        <f t="shared" si="343"/>
        <v>0.74803149606299213</v>
      </c>
      <c r="Q3934" s="7">
        <f t="shared" si="343"/>
        <v>3.6220472440944884</v>
      </c>
      <c r="R3934" s="6">
        <f t="shared" si="344"/>
        <v>1876.9110000000001</v>
      </c>
      <c r="S3934" s="6">
        <f t="shared" si="345"/>
        <v>8.3903999999999992E-3</v>
      </c>
      <c r="T3934" t="str">
        <f t="shared" si="337"/>
        <v>Maximo Thermo Ayous S4S E4E Burn Blocked 1x4 Long</v>
      </c>
    </row>
    <row r="3935" spans="1:20" x14ac:dyDescent="0.25">
      <c r="A3935" t="s">
        <v>3073</v>
      </c>
      <c r="B3935" t="s">
        <v>3717</v>
      </c>
      <c r="C3935" t="s">
        <v>283</v>
      </c>
      <c r="D3935" t="s">
        <v>3044</v>
      </c>
      <c r="E3935" t="s">
        <v>4740</v>
      </c>
      <c r="F3935" t="s">
        <v>4733</v>
      </c>
      <c r="G3935" t="s">
        <v>3077</v>
      </c>
      <c r="H3935" t="s">
        <v>373</v>
      </c>
      <c r="I3935" t="s">
        <v>3852</v>
      </c>
      <c r="J3935" t="s">
        <v>613</v>
      </c>
      <c r="K3935">
        <v>17</v>
      </c>
      <c r="L3935" s="6">
        <v>5.0999999999999996</v>
      </c>
      <c r="M3935" s="7">
        <v>19</v>
      </c>
      <c r="N3935" s="7">
        <v>92</v>
      </c>
      <c r="O3935" s="7">
        <f t="shared" si="342"/>
        <v>200.78740157480314</v>
      </c>
      <c r="P3935" s="7">
        <f t="shared" si="343"/>
        <v>0.74803149606299213</v>
      </c>
      <c r="Q3935" s="7">
        <f t="shared" si="343"/>
        <v>3.6220472440944884</v>
      </c>
      <c r="R3935" s="6">
        <f t="shared" si="344"/>
        <v>1876.9110000000001</v>
      </c>
      <c r="S3935" s="6">
        <f t="shared" si="345"/>
        <v>8.9147999999999988E-3</v>
      </c>
      <c r="T3935" t="str">
        <f t="shared" si="337"/>
        <v>Maximo Thermo Ayous S4S E4E Burn Blocked 1x4 Long</v>
      </c>
    </row>
    <row r="3936" spans="1:20" x14ac:dyDescent="0.25">
      <c r="A3936" t="s">
        <v>3073</v>
      </c>
      <c r="B3936" t="s">
        <v>3717</v>
      </c>
      <c r="C3936" t="s">
        <v>283</v>
      </c>
      <c r="D3936" t="s">
        <v>3044</v>
      </c>
      <c r="E3936" t="s">
        <v>4741</v>
      </c>
      <c r="F3936" t="s">
        <v>4733</v>
      </c>
      <c r="G3936" t="s">
        <v>3077</v>
      </c>
      <c r="H3936" t="s">
        <v>373</v>
      </c>
      <c r="I3936" t="s">
        <v>3852</v>
      </c>
      <c r="J3936" t="s">
        <v>613</v>
      </c>
      <c r="K3936">
        <v>18</v>
      </c>
      <c r="L3936" s="6">
        <v>5.4</v>
      </c>
      <c r="M3936" s="7">
        <v>19</v>
      </c>
      <c r="N3936" s="7">
        <v>92</v>
      </c>
      <c r="O3936" s="7">
        <f t="shared" si="342"/>
        <v>212.59842519685043</v>
      </c>
      <c r="P3936" s="7">
        <f t="shared" si="343"/>
        <v>0.74803149606299213</v>
      </c>
      <c r="Q3936" s="7">
        <f t="shared" si="343"/>
        <v>3.6220472440944884</v>
      </c>
      <c r="R3936" s="6">
        <f t="shared" si="344"/>
        <v>1876.9110000000001</v>
      </c>
      <c r="S3936" s="6">
        <f t="shared" si="345"/>
        <v>9.4392000000000018E-3</v>
      </c>
      <c r="T3936" t="str">
        <f t="shared" si="337"/>
        <v>Maximo Thermo Ayous S4S E4E Burn Blocked 1x4 Long</v>
      </c>
    </row>
    <row r="3937" spans="1:20" x14ac:dyDescent="0.25">
      <c r="A3937" t="s">
        <v>3073</v>
      </c>
      <c r="B3937" t="s">
        <v>3717</v>
      </c>
      <c r="C3937" t="s">
        <v>524</v>
      </c>
      <c r="D3937" t="s">
        <v>3044</v>
      </c>
      <c r="E3937" t="s">
        <v>4742</v>
      </c>
      <c r="F3937" t="s">
        <v>4733</v>
      </c>
      <c r="G3937" t="s">
        <v>3077</v>
      </c>
      <c r="H3937" t="s">
        <v>373</v>
      </c>
      <c r="I3937" t="s">
        <v>3852</v>
      </c>
      <c r="J3937" t="s">
        <v>613</v>
      </c>
      <c r="K3937">
        <v>4</v>
      </c>
      <c r="L3937" s="6">
        <v>1.2</v>
      </c>
      <c r="M3937" s="7">
        <v>19</v>
      </c>
      <c r="N3937" s="7">
        <v>92</v>
      </c>
      <c r="O3937" s="7">
        <f t="shared" si="342"/>
        <v>47.244094488188978</v>
      </c>
      <c r="P3937" s="7">
        <f t="shared" si="343"/>
        <v>0.74803149606299213</v>
      </c>
      <c r="Q3937" s="7">
        <f t="shared" si="343"/>
        <v>3.6220472440944884</v>
      </c>
      <c r="R3937" s="6">
        <f t="shared" si="344"/>
        <v>1876.9110000000001</v>
      </c>
      <c r="S3937" s="6">
        <f t="shared" si="345"/>
        <v>2.0975999999999998E-3</v>
      </c>
      <c r="T3937" t="str">
        <f t="shared" si="337"/>
        <v>Maximo Thermo Ayous S4S E4E Burn Blocked 1x4 Short</v>
      </c>
    </row>
    <row r="3938" spans="1:20" x14ac:dyDescent="0.25">
      <c r="A3938" t="s">
        <v>3073</v>
      </c>
      <c r="B3938" t="s">
        <v>3717</v>
      </c>
      <c r="C3938" t="s">
        <v>524</v>
      </c>
      <c r="D3938" t="s">
        <v>3044</v>
      </c>
      <c r="E3938" t="s">
        <v>4743</v>
      </c>
      <c r="F3938" t="s">
        <v>4733</v>
      </c>
      <c r="G3938" t="s">
        <v>3077</v>
      </c>
      <c r="H3938" t="s">
        <v>373</v>
      </c>
      <c r="I3938" t="s">
        <v>3852</v>
      </c>
      <c r="J3938" t="s">
        <v>613</v>
      </c>
      <c r="K3938">
        <v>5</v>
      </c>
      <c r="L3938" s="6">
        <v>1.5</v>
      </c>
      <c r="M3938" s="7">
        <v>19</v>
      </c>
      <c r="N3938" s="7">
        <v>92</v>
      </c>
      <c r="O3938" s="7">
        <f t="shared" si="342"/>
        <v>59.055118110236222</v>
      </c>
      <c r="P3938" s="7">
        <f t="shared" si="343"/>
        <v>0.74803149606299213</v>
      </c>
      <c r="Q3938" s="7">
        <f t="shared" si="343"/>
        <v>3.6220472440944884</v>
      </c>
      <c r="R3938" s="6">
        <f t="shared" si="344"/>
        <v>1876.9110000000001</v>
      </c>
      <c r="S3938" s="6">
        <f t="shared" si="345"/>
        <v>2.6219999999999998E-3</v>
      </c>
      <c r="T3938" t="str">
        <f t="shared" si="337"/>
        <v>Maximo Thermo Ayous S4S E4E Burn Blocked 1x4 Short</v>
      </c>
    </row>
    <row r="3939" spans="1:20" x14ac:dyDescent="0.25">
      <c r="A3939" t="s">
        <v>3073</v>
      </c>
      <c r="B3939" t="s">
        <v>3717</v>
      </c>
      <c r="C3939" t="s">
        <v>524</v>
      </c>
      <c r="D3939" t="s">
        <v>3044</v>
      </c>
      <c r="E3939" t="s">
        <v>4744</v>
      </c>
      <c r="F3939" t="s">
        <v>4733</v>
      </c>
      <c r="G3939" t="s">
        <v>3077</v>
      </c>
      <c r="H3939" t="s">
        <v>373</v>
      </c>
      <c r="I3939" t="s">
        <v>3852</v>
      </c>
      <c r="J3939" t="s">
        <v>613</v>
      </c>
      <c r="K3939">
        <v>6</v>
      </c>
      <c r="L3939" s="6">
        <v>1.8</v>
      </c>
      <c r="M3939" s="7">
        <v>19</v>
      </c>
      <c r="N3939" s="7">
        <v>92</v>
      </c>
      <c r="O3939" s="7">
        <f t="shared" si="342"/>
        <v>70.866141732283467</v>
      </c>
      <c r="P3939" s="7">
        <f t="shared" si="343"/>
        <v>0.74803149606299213</v>
      </c>
      <c r="Q3939" s="7">
        <f t="shared" si="343"/>
        <v>3.6220472440944884</v>
      </c>
      <c r="R3939" s="6">
        <f t="shared" si="344"/>
        <v>1876.9110000000001</v>
      </c>
      <c r="S3939" s="6">
        <f t="shared" si="345"/>
        <v>3.1464000000000002E-3</v>
      </c>
      <c r="T3939" t="str">
        <f t="shared" si="337"/>
        <v>Maximo Thermo Ayous S4S E4E Burn Blocked 1x4 Short</v>
      </c>
    </row>
    <row r="3940" spans="1:20" x14ac:dyDescent="0.25">
      <c r="A3940" t="s">
        <v>3073</v>
      </c>
      <c r="B3940" t="s">
        <v>3717</v>
      </c>
      <c r="C3940" t="s">
        <v>524</v>
      </c>
      <c r="D3940" t="s">
        <v>3044</v>
      </c>
      <c r="E3940" t="s">
        <v>4745</v>
      </c>
      <c r="F3940" t="s">
        <v>4733</v>
      </c>
      <c r="G3940" t="s">
        <v>3077</v>
      </c>
      <c r="H3940" t="s">
        <v>373</v>
      </c>
      <c r="I3940" t="s">
        <v>3852</v>
      </c>
      <c r="J3940" t="s">
        <v>613</v>
      </c>
      <c r="K3940">
        <v>7</v>
      </c>
      <c r="L3940" s="6">
        <v>2.1</v>
      </c>
      <c r="M3940" s="7">
        <v>19</v>
      </c>
      <c r="N3940" s="7">
        <v>92</v>
      </c>
      <c r="O3940" s="7">
        <f t="shared" si="342"/>
        <v>82.677165354330711</v>
      </c>
      <c r="P3940" s="7">
        <f t="shared" si="343"/>
        <v>0.74803149606299213</v>
      </c>
      <c r="Q3940" s="7">
        <f t="shared" si="343"/>
        <v>3.6220472440944884</v>
      </c>
      <c r="R3940" s="6">
        <f t="shared" si="344"/>
        <v>1876.9110000000001</v>
      </c>
      <c r="S3940" s="6">
        <f t="shared" si="345"/>
        <v>3.6707999999999997E-3</v>
      </c>
      <c r="T3940" t="str">
        <f t="shared" si="337"/>
        <v>Maximo Thermo Ayous S4S E4E Burn Blocked 1x4 Short</v>
      </c>
    </row>
    <row r="3941" spans="1:20" x14ac:dyDescent="0.25">
      <c r="A3941" t="s">
        <v>3073</v>
      </c>
      <c r="B3941" t="s">
        <v>3717</v>
      </c>
      <c r="C3941" t="s">
        <v>283</v>
      </c>
      <c r="D3941" t="s">
        <v>3044</v>
      </c>
      <c r="E3941" t="s">
        <v>4746</v>
      </c>
      <c r="F3941" t="s">
        <v>4733</v>
      </c>
      <c r="G3941" t="s">
        <v>3077</v>
      </c>
      <c r="H3941" t="s">
        <v>373</v>
      </c>
      <c r="I3941" t="s">
        <v>3852</v>
      </c>
      <c r="J3941" t="s">
        <v>613</v>
      </c>
      <c r="K3941">
        <v>8</v>
      </c>
      <c r="L3941" s="6">
        <v>2.4</v>
      </c>
      <c r="M3941" s="7">
        <v>19</v>
      </c>
      <c r="N3941" s="7">
        <v>92</v>
      </c>
      <c r="O3941" s="7">
        <f t="shared" si="342"/>
        <v>94.488188976377955</v>
      </c>
      <c r="P3941" s="7">
        <f t="shared" si="343"/>
        <v>0.74803149606299213</v>
      </c>
      <c r="Q3941" s="7">
        <f t="shared" si="343"/>
        <v>3.6220472440944884</v>
      </c>
      <c r="R3941" s="6">
        <f t="shared" si="344"/>
        <v>1876.9110000000001</v>
      </c>
      <c r="S3941" s="6">
        <f t="shared" si="345"/>
        <v>4.1951999999999996E-3</v>
      </c>
      <c r="T3941" t="str">
        <f t="shared" si="337"/>
        <v>Maximo Thermo Ayous S4S E4E Burn Blocked 1x4 Long</v>
      </c>
    </row>
    <row r="3942" spans="1:20" x14ac:dyDescent="0.25">
      <c r="A3942" t="s">
        <v>3073</v>
      </c>
      <c r="B3942" t="s">
        <v>3717</v>
      </c>
      <c r="C3942" t="s">
        <v>283</v>
      </c>
      <c r="D3942" t="s">
        <v>3044</v>
      </c>
      <c r="E3942" t="s">
        <v>4747</v>
      </c>
      <c r="F3942" t="s">
        <v>4733</v>
      </c>
      <c r="G3942" t="s">
        <v>3077</v>
      </c>
      <c r="H3942" t="s">
        <v>373</v>
      </c>
      <c r="I3942" t="s">
        <v>3852</v>
      </c>
      <c r="J3942" t="s">
        <v>613</v>
      </c>
      <c r="K3942">
        <v>9</v>
      </c>
      <c r="L3942" s="6">
        <v>2.7</v>
      </c>
      <c r="M3942" s="7">
        <v>19</v>
      </c>
      <c r="N3942" s="7">
        <v>92</v>
      </c>
      <c r="O3942" s="7">
        <f t="shared" si="342"/>
        <v>106.29921259842521</v>
      </c>
      <c r="P3942" s="7">
        <f t="shared" si="343"/>
        <v>0.74803149606299213</v>
      </c>
      <c r="Q3942" s="7">
        <f t="shared" si="343"/>
        <v>3.6220472440944884</v>
      </c>
      <c r="R3942" s="6">
        <f t="shared" si="344"/>
        <v>1876.9110000000001</v>
      </c>
      <c r="S3942" s="6">
        <f t="shared" si="345"/>
        <v>4.7196000000000009E-3</v>
      </c>
      <c r="T3942" t="str">
        <f t="shared" si="337"/>
        <v>Maximo Thermo Ayous S4S E4E Burn Blocked 1x4 Long</v>
      </c>
    </row>
    <row r="3943" spans="1:20" x14ac:dyDescent="0.25">
      <c r="A3943" t="s">
        <v>3073</v>
      </c>
      <c r="B3943" t="s">
        <v>3080</v>
      </c>
      <c r="C3943" t="s">
        <v>283</v>
      </c>
      <c r="D3943" t="s">
        <v>3044</v>
      </c>
      <c r="E3943" t="s">
        <v>4748</v>
      </c>
      <c r="F3943" t="s">
        <v>4749</v>
      </c>
      <c r="G3943" t="s">
        <v>3077</v>
      </c>
      <c r="H3943" t="s">
        <v>373</v>
      </c>
      <c r="I3943" t="s">
        <v>3852</v>
      </c>
      <c r="J3943" t="s">
        <v>344</v>
      </c>
      <c r="K3943">
        <v>10</v>
      </c>
      <c r="L3943" s="6">
        <v>3</v>
      </c>
      <c r="M3943" s="7">
        <v>19</v>
      </c>
      <c r="N3943" s="7">
        <v>140</v>
      </c>
      <c r="O3943" s="7">
        <f t="shared" si="342"/>
        <v>118.11023622047244</v>
      </c>
      <c r="P3943" s="7">
        <f t="shared" si="343"/>
        <v>0.74803149606299213</v>
      </c>
      <c r="Q3943" s="7">
        <f t="shared" si="343"/>
        <v>5.5118110236220472</v>
      </c>
      <c r="R3943" s="6">
        <f t="shared" si="344"/>
        <v>1233.3979999999999</v>
      </c>
      <c r="S3943" s="6">
        <f t="shared" si="345"/>
        <v>7.980000000000001E-3</v>
      </c>
      <c r="T3943" t="str">
        <f t="shared" si="337"/>
        <v>Maximo Thermo Ayous S4S E4E Burn Blocked 1x6 Long</v>
      </c>
    </row>
    <row r="3944" spans="1:20" x14ac:dyDescent="0.25">
      <c r="A3944" t="s">
        <v>3073</v>
      </c>
      <c r="B3944" t="s">
        <v>3080</v>
      </c>
      <c r="C3944" t="s">
        <v>283</v>
      </c>
      <c r="D3944" t="s">
        <v>3044</v>
      </c>
      <c r="E3944" t="s">
        <v>4750</v>
      </c>
      <c r="F3944" t="s">
        <v>4749</v>
      </c>
      <c r="G3944" t="s">
        <v>3077</v>
      </c>
      <c r="H3944" t="s">
        <v>373</v>
      </c>
      <c r="I3944" t="s">
        <v>3852</v>
      </c>
      <c r="J3944" t="s">
        <v>344</v>
      </c>
      <c r="K3944">
        <v>11</v>
      </c>
      <c r="L3944" s="6">
        <v>3.3</v>
      </c>
      <c r="M3944" s="7">
        <v>19</v>
      </c>
      <c r="N3944" s="7">
        <v>140</v>
      </c>
      <c r="O3944" s="7">
        <f t="shared" si="342"/>
        <v>129.92125984251967</v>
      </c>
      <c r="P3944" s="7">
        <f t="shared" ref="P3944:Q3959" si="346">M3944/25.4</f>
        <v>0.74803149606299213</v>
      </c>
      <c r="Q3944" s="7">
        <f t="shared" si="346"/>
        <v>5.5118110236220472</v>
      </c>
      <c r="R3944" s="6">
        <f t="shared" si="344"/>
        <v>1233.3979999999999</v>
      </c>
      <c r="S3944" s="6">
        <f t="shared" si="345"/>
        <v>8.7779999999999993E-3</v>
      </c>
      <c r="T3944" t="str">
        <f t="shared" si="337"/>
        <v>Maximo Thermo Ayous S4S E4E Burn Blocked 1x6 Long</v>
      </c>
    </row>
    <row r="3945" spans="1:20" x14ac:dyDescent="0.25">
      <c r="A3945" t="s">
        <v>3073</v>
      </c>
      <c r="B3945" t="s">
        <v>3080</v>
      </c>
      <c r="C3945" t="s">
        <v>283</v>
      </c>
      <c r="D3945" t="s">
        <v>3044</v>
      </c>
      <c r="E3945" t="s">
        <v>4751</v>
      </c>
      <c r="F3945" t="s">
        <v>4749</v>
      </c>
      <c r="G3945" t="s">
        <v>3077</v>
      </c>
      <c r="H3945" t="s">
        <v>373</v>
      </c>
      <c r="I3945" t="s">
        <v>3852</v>
      </c>
      <c r="J3945" t="s">
        <v>344</v>
      </c>
      <c r="K3945">
        <v>12</v>
      </c>
      <c r="L3945" s="6">
        <v>3.6</v>
      </c>
      <c r="M3945" s="7">
        <v>19</v>
      </c>
      <c r="N3945" s="7">
        <v>140</v>
      </c>
      <c r="O3945" s="7">
        <f t="shared" si="342"/>
        <v>141.73228346456693</v>
      </c>
      <c r="P3945" s="7">
        <f t="shared" si="346"/>
        <v>0.74803149606299213</v>
      </c>
      <c r="Q3945" s="7">
        <f t="shared" si="346"/>
        <v>5.5118110236220472</v>
      </c>
      <c r="R3945" s="6">
        <f t="shared" si="344"/>
        <v>1233.3979999999999</v>
      </c>
      <c r="S3945" s="6">
        <f t="shared" si="345"/>
        <v>9.5760000000000012E-3</v>
      </c>
      <c r="T3945" t="str">
        <f t="shared" si="337"/>
        <v>Maximo Thermo Ayous S4S E4E Burn Blocked 1x6 Long</v>
      </c>
    </row>
    <row r="3946" spans="1:20" x14ac:dyDescent="0.25">
      <c r="A3946" t="s">
        <v>3073</v>
      </c>
      <c r="B3946" t="s">
        <v>3080</v>
      </c>
      <c r="C3946" t="s">
        <v>283</v>
      </c>
      <c r="D3946" t="s">
        <v>3044</v>
      </c>
      <c r="E3946" t="s">
        <v>4752</v>
      </c>
      <c r="F3946" t="s">
        <v>4749</v>
      </c>
      <c r="G3946" t="s">
        <v>3077</v>
      </c>
      <c r="H3946" t="s">
        <v>373</v>
      </c>
      <c r="I3946" t="s">
        <v>3852</v>
      </c>
      <c r="J3946" t="s">
        <v>344</v>
      </c>
      <c r="K3946">
        <v>13</v>
      </c>
      <c r="L3946" s="6">
        <v>3.9</v>
      </c>
      <c r="M3946" s="7">
        <v>19</v>
      </c>
      <c r="N3946" s="7">
        <v>140</v>
      </c>
      <c r="O3946" s="7">
        <f t="shared" si="342"/>
        <v>153.54330708661416</v>
      </c>
      <c r="P3946" s="7">
        <f t="shared" si="346"/>
        <v>0.74803149606299213</v>
      </c>
      <c r="Q3946" s="7">
        <f t="shared" si="346"/>
        <v>5.5118110236220472</v>
      </c>
      <c r="R3946" s="6">
        <f t="shared" si="344"/>
        <v>1233.3979999999999</v>
      </c>
      <c r="S3946" s="6">
        <f t="shared" si="345"/>
        <v>1.0374000000000001E-2</v>
      </c>
      <c r="T3946" t="str">
        <f t="shared" si="337"/>
        <v>Maximo Thermo Ayous S4S E4E Burn Blocked 1x6 Long</v>
      </c>
    </row>
    <row r="3947" spans="1:20" x14ac:dyDescent="0.25">
      <c r="A3947" t="s">
        <v>3073</v>
      </c>
      <c r="B3947" t="s">
        <v>3080</v>
      </c>
      <c r="C3947" t="s">
        <v>283</v>
      </c>
      <c r="D3947" t="s">
        <v>3044</v>
      </c>
      <c r="E3947" t="s">
        <v>4753</v>
      </c>
      <c r="F3947" t="s">
        <v>4749</v>
      </c>
      <c r="G3947" t="s">
        <v>3077</v>
      </c>
      <c r="H3947" t="s">
        <v>373</v>
      </c>
      <c r="I3947" t="s">
        <v>3852</v>
      </c>
      <c r="J3947" t="s">
        <v>344</v>
      </c>
      <c r="K3947">
        <v>14</v>
      </c>
      <c r="L3947" s="6">
        <v>4.2</v>
      </c>
      <c r="M3947" s="7">
        <v>19</v>
      </c>
      <c r="N3947" s="7">
        <v>140</v>
      </c>
      <c r="O3947" s="7">
        <f t="shared" si="342"/>
        <v>165.35433070866142</v>
      </c>
      <c r="P3947" s="7">
        <f t="shared" si="346"/>
        <v>0.74803149606299213</v>
      </c>
      <c r="Q3947" s="7">
        <f t="shared" si="346"/>
        <v>5.5118110236220472</v>
      </c>
      <c r="R3947" s="6">
        <f t="shared" si="344"/>
        <v>1233.3979999999999</v>
      </c>
      <c r="S3947" s="6">
        <f t="shared" si="345"/>
        <v>1.1172E-2</v>
      </c>
      <c r="T3947" t="str">
        <f t="shared" si="337"/>
        <v>Maximo Thermo Ayous S4S E4E Burn Blocked 1x6 Long</v>
      </c>
    </row>
    <row r="3948" spans="1:20" x14ac:dyDescent="0.25">
      <c r="A3948" t="s">
        <v>3073</v>
      </c>
      <c r="B3948" t="s">
        <v>3080</v>
      </c>
      <c r="C3948" t="s">
        <v>283</v>
      </c>
      <c r="D3948" t="s">
        <v>3044</v>
      </c>
      <c r="E3948" t="s">
        <v>4754</v>
      </c>
      <c r="F3948" t="s">
        <v>4749</v>
      </c>
      <c r="G3948" t="s">
        <v>3077</v>
      </c>
      <c r="H3948" t="s">
        <v>373</v>
      </c>
      <c r="I3948" t="s">
        <v>3852</v>
      </c>
      <c r="J3948" t="s">
        <v>344</v>
      </c>
      <c r="K3948">
        <v>15</v>
      </c>
      <c r="L3948" s="6">
        <v>4.5</v>
      </c>
      <c r="M3948" s="7">
        <v>19</v>
      </c>
      <c r="N3948" s="7">
        <v>140</v>
      </c>
      <c r="O3948" s="7">
        <f t="shared" si="342"/>
        <v>177.16535433070868</v>
      </c>
      <c r="P3948" s="7">
        <f t="shared" si="346"/>
        <v>0.74803149606299213</v>
      </c>
      <c r="Q3948" s="7">
        <f t="shared" si="346"/>
        <v>5.5118110236220472</v>
      </c>
      <c r="R3948" s="6">
        <f t="shared" si="344"/>
        <v>1233.3979999999999</v>
      </c>
      <c r="S3948" s="6">
        <f t="shared" si="345"/>
        <v>1.1970000000000001E-2</v>
      </c>
      <c r="T3948" t="str">
        <f t="shared" si="337"/>
        <v>Maximo Thermo Ayous S4S E4E Burn Blocked 1x6 Long</v>
      </c>
    </row>
    <row r="3949" spans="1:20" x14ac:dyDescent="0.25">
      <c r="A3949" t="s">
        <v>3073</v>
      </c>
      <c r="B3949" t="s">
        <v>3080</v>
      </c>
      <c r="C3949" t="s">
        <v>283</v>
      </c>
      <c r="D3949" t="s">
        <v>3044</v>
      </c>
      <c r="E3949" t="s">
        <v>4755</v>
      </c>
      <c r="F3949" t="s">
        <v>4749</v>
      </c>
      <c r="G3949" t="s">
        <v>3077</v>
      </c>
      <c r="H3949" t="s">
        <v>373</v>
      </c>
      <c r="I3949" t="s">
        <v>3852</v>
      </c>
      <c r="J3949" t="s">
        <v>344</v>
      </c>
      <c r="K3949">
        <v>16</v>
      </c>
      <c r="L3949" s="6">
        <v>4.8</v>
      </c>
      <c r="M3949" s="7">
        <v>19</v>
      </c>
      <c r="N3949" s="7">
        <v>140</v>
      </c>
      <c r="O3949" s="7">
        <f t="shared" si="342"/>
        <v>188.97637795275591</v>
      </c>
      <c r="P3949" s="7">
        <f t="shared" si="346"/>
        <v>0.74803149606299213</v>
      </c>
      <c r="Q3949" s="7">
        <f t="shared" si="346"/>
        <v>5.5118110236220472</v>
      </c>
      <c r="R3949" s="6">
        <f t="shared" si="344"/>
        <v>1233.3979999999999</v>
      </c>
      <c r="S3949" s="6">
        <f t="shared" si="345"/>
        <v>1.2768E-2</v>
      </c>
      <c r="T3949" t="str">
        <f t="shared" si="337"/>
        <v>Maximo Thermo Ayous S4S E4E Burn Blocked 1x6 Long</v>
      </c>
    </row>
    <row r="3950" spans="1:20" x14ac:dyDescent="0.25">
      <c r="A3950" t="s">
        <v>3073</v>
      </c>
      <c r="B3950" t="s">
        <v>3080</v>
      </c>
      <c r="C3950" t="s">
        <v>283</v>
      </c>
      <c r="D3950" t="s">
        <v>3044</v>
      </c>
      <c r="E3950" t="s">
        <v>4756</v>
      </c>
      <c r="F3950" t="s">
        <v>4749</v>
      </c>
      <c r="G3950" t="s">
        <v>3077</v>
      </c>
      <c r="H3950" t="s">
        <v>373</v>
      </c>
      <c r="I3950" t="s">
        <v>3852</v>
      </c>
      <c r="J3950" t="s">
        <v>344</v>
      </c>
      <c r="K3950">
        <v>17</v>
      </c>
      <c r="L3950" s="6">
        <v>5.0999999999999996</v>
      </c>
      <c r="M3950" s="7">
        <v>19</v>
      </c>
      <c r="N3950" s="7">
        <v>140</v>
      </c>
      <c r="O3950" s="7">
        <f t="shared" si="342"/>
        <v>200.78740157480314</v>
      </c>
      <c r="P3950" s="7">
        <f t="shared" si="346"/>
        <v>0.74803149606299213</v>
      </c>
      <c r="Q3950" s="7">
        <f t="shared" si="346"/>
        <v>5.5118110236220472</v>
      </c>
      <c r="R3950" s="6">
        <f t="shared" si="344"/>
        <v>1233.3979999999999</v>
      </c>
      <c r="S3950" s="6">
        <f t="shared" si="345"/>
        <v>1.3565999999999998E-2</v>
      </c>
      <c r="T3950" t="str">
        <f t="shared" si="337"/>
        <v>Maximo Thermo Ayous S4S E4E Burn Blocked 1x6 Long</v>
      </c>
    </row>
    <row r="3951" spans="1:20" x14ac:dyDescent="0.25">
      <c r="A3951" t="s">
        <v>3073</v>
      </c>
      <c r="B3951" t="s">
        <v>3080</v>
      </c>
      <c r="C3951" t="s">
        <v>283</v>
      </c>
      <c r="D3951" t="s">
        <v>3044</v>
      </c>
      <c r="E3951" t="s">
        <v>4757</v>
      </c>
      <c r="F3951" t="s">
        <v>4749</v>
      </c>
      <c r="G3951" t="s">
        <v>3077</v>
      </c>
      <c r="H3951" t="s">
        <v>373</v>
      </c>
      <c r="I3951" t="s">
        <v>3852</v>
      </c>
      <c r="J3951" t="s">
        <v>344</v>
      </c>
      <c r="K3951">
        <v>18</v>
      </c>
      <c r="L3951" s="6">
        <v>5.4</v>
      </c>
      <c r="M3951" s="7">
        <v>19</v>
      </c>
      <c r="N3951" s="7">
        <v>140</v>
      </c>
      <c r="O3951" s="7">
        <f t="shared" si="342"/>
        <v>212.59842519685043</v>
      </c>
      <c r="P3951" s="7">
        <f t="shared" si="346"/>
        <v>0.74803149606299213</v>
      </c>
      <c r="Q3951" s="7">
        <f t="shared" si="346"/>
        <v>5.5118110236220472</v>
      </c>
      <c r="R3951" s="6">
        <f t="shared" si="344"/>
        <v>1233.3979999999999</v>
      </c>
      <c r="S3951" s="6">
        <f t="shared" si="345"/>
        <v>1.4364E-2</v>
      </c>
      <c r="T3951" t="str">
        <f t="shared" si="337"/>
        <v>Maximo Thermo Ayous S4S E4E Burn Blocked 1x6 Long</v>
      </c>
    </row>
    <row r="3952" spans="1:20" x14ac:dyDescent="0.25">
      <c r="A3952" t="s">
        <v>3073</v>
      </c>
      <c r="B3952" t="s">
        <v>3080</v>
      </c>
      <c r="C3952" t="s">
        <v>524</v>
      </c>
      <c r="D3952" t="s">
        <v>3044</v>
      </c>
      <c r="E3952" t="s">
        <v>4758</v>
      </c>
      <c r="F3952" t="s">
        <v>4749</v>
      </c>
      <c r="G3952" t="s">
        <v>3077</v>
      </c>
      <c r="H3952" t="s">
        <v>373</v>
      </c>
      <c r="I3952" t="s">
        <v>3852</v>
      </c>
      <c r="J3952" t="s">
        <v>344</v>
      </c>
      <c r="K3952">
        <v>4</v>
      </c>
      <c r="L3952" s="6">
        <v>1.2</v>
      </c>
      <c r="M3952" s="7">
        <v>19</v>
      </c>
      <c r="N3952" s="7">
        <v>140</v>
      </c>
      <c r="O3952" s="7">
        <f t="shared" si="342"/>
        <v>47.244094488188978</v>
      </c>
      <c r="P3952" s="7">
        <f t="shared" si="346"/>
        <v>0.74803149606299213</v>
      </c>
      <c r="Q3952" s="7">
        <f t="shared" si="346"/>
        <v>5.5118110236220472</v>
      </c>
      <c r="R3952" s="6">
        <f t="shared" si="344"/>
        <v>1233.3979999999999</v>
      </c>
      <c r="S3952" s="6">
        <f t="shared" si="345"/>
        <v>3.192E-3</v>
      </c>
      <c r="T3952" t="str">
        <f t="shared" si="337"/>
        <v>Maximo Thermo Ayous S4S E4E Burn Blocked 1x6 Short</v>
      </c>
    </row>
    <row r="3953" spans="1:20" x14ac:dyDescent="0.25">
      <c r="A3953" t="s">
        <v>3073</v>
      </c>
      <c r="B3953" t="s">
        <v>3080</v>
      </c>
      <c r="C3953" t="s">
        <v>524</v>
      </c>
      <c r="D3953" t="s">
        <v>3044</v>
      </c>
      <c r="E3953" t="s">
        <v>4759</v>
      </c>
      <c r="F3953" t="s">
        <v>4749</v>
      </c>
      <c r="G3953" t="s">
        <v>3077</v>
      </c>
      <c r="H3953" t="s">
        <v>373</v>
      </c>
      <c r="I3953" t="s">
        <v>3852</v>
      </c>
      <c r="J3953" t="s">
        <v>344</v>
      </c>
      <c r="K3953">
        <v>5</v>
      </c>
      <c r="L3953" s="6">
        <v>1.5</v>
      </c>
      <c r="M3953" s="7">
        <v>19</v>
      </c>
      <c r="N3953" s="7">
        <v>140</v>
      </c>
      <c r="O3953" s="7">
        <f t="shared" si="342"/>
        <v>59.055118110236222</v>
      </c>
      <c r="P3953" s="7">
        <f t="shared" si="346"/>
        <v>0.74803149606299213</v>
      </c>
      <c r="Q3953" s="7">
        <f t="shared" si="346"/>
        <v>5.5118110236220472</v>
      </c>
      <c r="R3953" s="6">
        <f t="shared" si="344"/>
        <v>1233.3979999999999</v>
      </c>
      <c r="S3953" s="6">
        <f t="shared" si="345"/>
        <v>3.9900000000000005E-3</v>
      </c>
      <c r="T3953" t="str">
        <f t="shared" si="337"/>
        <v>Maximo Thermo Ayous S4S E4E Burn Blocked 1x6 Short</v>
      </c>
    </row>
    <row r="3954" spans="1:20" x14ac:dyDescent="0.25">
      <c r="A3954" t="s">
        <v>3073</v>
      </c>
      <c r="B3954" t="s">
        <v>3080</v>
      </c>
      <c r="C3954" t="s">
        <v>524</v>
      </c>
      <c r="D3954" t="s">
        <v>3044</v>
      </c>
      <c r="E3954" t="s">
        <v>4760</v>
      </c>
      <c r="F3954" t="s">
        <v>4749</v>
      </c>
      <c r="G3954" t="s">
        <v>3077</v>
      </c>
      <c r="H3954" t="s">
        <v>373</v>
      </c>
      <c r="I3954" t="s">
        <v>3852</v>
      </c>
      <c r="J3954" t="s">
        <v>344</v>
      </c>
      <c r="K3954">
        <v>6</v>
      </c>
      <c r="L3954" s="6">
        <v>1.8</v>
      </c>
      <c r="M3954" s="7">
        <v>19</v>
      </c>
      <c r="N3954" s="7">
        <v>140</v>
      </c>
      <c r="O3954" s="7">
        <f t="shared" si="342"/>
        <v>70.866141732283467</v>
      </c>
      <c r="P3954" s="7">
        <f t="shared" si="346"/>
        <v>0.74803149606299213</v>
      </c>
      <c r="Q3954" s="7">
        <f t="shared" si="346"/>
        <v>5.5118110236220472</v>
      </c>
      <c r="R3954" s="6">
        <f t="shared" si="344"/>
        <v>1233.3979999999999</v>
      </c>
      <c r="S3954" s="6">
        <f t="shared" si="345"/>
        <v>4.7880000000000006E-3</v>
      </c>
      <c r="T3954" t="str">
        <f t="shared" si="337"/>
        <v>Maximo Thermo Ayous S4S E4E Burn Blocked 1x6 Short</v>
      </c>
    </row>
    <row r="3955" spans="1:20" x14ac:dyDescent="0.25">
      <c r="A3955" t="s">
        <v>3073</v>
      </c>
      <c r="B3955" t="s">
        <v>3080</v>
      </c>
      <c r="C3955" t="s">
        <v>524</v>
      </c>
      <c r="D3955" t="s">
        <v>3044</v>
      </c>
      <c r="E3955" t="s">
        <v>4761</v>
      </c>
      <c r="F3955" t="s">
        <v>4749</v>
      </c>
      <c r="G3955" t="s">
        <v>3077</v>
      </c>
      <c r="H3955" t="s">
        <v>373</v>
      </c>
      <c r="I3955" t="s">
        <v>3852</v>
      </c>
      <c r="J3955" t="s">
        <v>344</v>
      </c>
      <c r="K3955">
        <v>7</v>
      </c>
      <c r="L3955" s="6">
        <v>2.1</v>
      </c>
      <c r="M3955" s="7">
        <v>19</v>
      </c>
      <c r="N3955" s="7">
        <v>140</v>
      </c>
      <c r="O3955" s="7">
        <f t="shared" si="342"/>
        <v>82.677165354330711</v>
      </c>
      <c r="P3955" s="7">
        <f t="shared" si="346"/>
        <v>0.74803149606299213</v>
      </c>
      <c r="Q3955" s="7">
        <f t="shared" si="346"/>
        <v>5.5118110236220472</v>
      </c>
      <c r="R3955" s="6">
        <f t="shared" si="344"/>
        <v>1233.3979999999999</v>
      </c>
      <c r="S3955" s="6">
        <f t="shared" si="345"/>
        <v>5.5859999999999998E-3</v>
      </c>
      <c r="T3955" t="str">
        <f t="shared" si="337"/>
        <v>Maximo Thermo Ayous S4S E4E Burn Blocked 1x6 Short</v>
      </c>
    </row>
    <row r="3956" spans="1:20" x14ac:dyDescent="0.25">
      <c r="A3956" t="s">
        <v>3073</v>
      </c>
      <c r="B3956" t="s">
        <v>3080</v>
      </c>
      <c r="C3956" t="s">
        <v>283</v>
      </c>
      <c r="D3956" t="s">
        <v>3044</v>
      </c>
      <c r="E3956" t="s">
        <v>4762</v>
      </c>
      <c r="F3956" t="s">
        <v>4749</v>
      </c>
      <c r="G3956" t="s">
        <v>3077</v>
      </c>
      <c r="H3956" t="s">
        <v>373</v>
      </c>
      <c r="I3956" t="s">
        <v>3852</v>
      </c>
      <c r="J3956" t="s">
        <v>344</v>
      </c>
      <c r="K3956">
        <v>8</v>
      </c>
      <c r="L3956" s="6">
        <v>2.4</v>
      </c>
      <c r="M3956" s="7">
        <v>19</v>
      </c>
      <c r="N3956" s="7">
        <v>140</v>
      </c>
      <c r="O3956" s="7">
        <f t="shared" si="342"/>
        <v>94.488188976377955</v>
      </c>
      <c r="P3956" s="7">
        <f t="shared" si="346"/>
        <v>0.74803149606299213</v>
      </c>
      <c r="Q3956" s="7">
        <f t="shared" si="346"/>
        <v>5.5118110236220472</v>
      </c>
      <c r="R3956" s="6">
        <f t="shared" si="344"/>
        <v>1233.3979999999999</v>
      </c>
      <c r="S3956" s="6">
        <f t="shared" si="345"/>
        <v>6.3839999999999999E-3</v>
      </c>
      <c r="T3956" t="str">
        <f t="shared" si="337"/>
        <v>Maximo Thermo Ayous S4S E4E Burn Blocked 1x6 Long</v>
      </c>
    </row>
    <row r="3957" spans="1:20" x14ac:dyDescent="0.25">
      <c r="A3957" t="s">
        <v>3073</v>
      </c>
      <c r="B3957" t="s">
        <v>3080</v>
      </c>
      <c r="C3957" t="s">
        <v>283</v>
      </c>
      <c r="D3957" t="s">
        <v>3044</v>
      </c>
      <c r="E3957" t="s">
        <v>4763</v>
      </c>
      <c r="F3957" t="s">
        <v>4749</v>
      </c>
      <c r="G3957" t="s">
        <v>3077</v>
      </c>
      <c r="H3957" t="s">
        <v>373</v>
      </c>
      <c r="I3957" t="s">
        <v>3852</v>
      </c>
      <c r="J3957" t="s">
        <v>344</v>
      </c>
      <c r="K3957">
        <v>9</v>
      </c>
      <c r="L3957" s="6">
        <v>2.7</v>
      </c>
      <c r="M3957" s="7">
        <v>19</v>
      </c>
      <c r="N3957" s="7">
        <v>140</v>
      </c>
      <c r="O3957" s="7">
        <f t="shared" si="342"/>
        <v>106.29921259842521</v>
      </c>
      <c r="P3957" s="7">
        <f t="shared" si="346"/>
        <v>0.74803149606299213</v>
      </c>
      <c r="Q3957" s="7">
        <f t="shared" si="346"/>
        <v>5.5118110236220472</v>
      </c>
      <c r="R3957" s="6">
        <f t="shared" si="344"/>
        <v>1233.3979999999999</v>
      </c>
      <c r="S3957" s="6">
        <f t="shared" si="345"/>
        <v>7.182E-3</v>
      </c>
      <c r="T3957" t="str">
        <f t="shared" si="337"/>
        <v>Maximo Thermo Ayous S4S E4E Burn Blocked 1x6 Long</v>
      </c>
    </row>
    <row r="3958" spans="1:20" x14ac:dyDescent="0.25">
      <c r="A3958" t="s">
        <v>3073</v>
      </c>
      <c r="B3958" t="s">
        <v>3754</v>
      </c>
      <c r="C3958" t="s">
        <v>283</v>
      </c>
      <c r="D3958" t="s">
        <v>3044</v>
      </c>
      <c r="E3958" t="s">
        <v>4764</v>
      </c>
      <c r="F3958" t="s">
        <v>4765</v>
      </c>
      <c r="G3958" t="s">
        <v>3077</v>
      </c>
      <c r="H3958" t="s">
        <v>373</v>
      </c>
      <c r="I3958" t="s">
        <v>3852</v>
      </c>
      <c r="J3958" t="s">
        <v>764</v>
      </c>
      <c r="K3958">
        <v>10</v>
      </c>
      <c r="L3958" s="6">
        <v>3</v>
      </c>
      <c r="M3958" s="7">
        <v>40</v>
      </c>
      <c r="N3958" s="7">
        <v>40</v>
      </c>
      <c r="O3958" s="7">
        <f t="shared" si="342"/>
        <v>118.11023622047244</v>
      </c>
      <c r="P3958" s="7">
        <f t="shared" si="346"/>
        <v>1.5748031496062993</v>
      </c>
      <c r="Q3958" s="7">
        <f t="shared" si="346"/>
        <v>1.5748031496062993</v>
      </c>
      <c r="R3958" s="6">
        <f t="shared" si="344"/>
        <v>2050.5250000000001</v>
      </c>
      <c r="S3958" s="6">
        <f t="shared" si="345"/>
        <v>4.7999999999999996E-3</v>
      </c>
      <c r="T3958" t="str">
        <f t="shared" si="337"/>
        <v>Maximo Thermo Ayous S4S E4E Burn Blocked 2x2 Long</v>
      </c>
    </row>
    <row r="3959" spans="1:20" x14ac:dyDescent="0.25">
      <c r="A3959" t="s">
        <v>3073</v>
      </c>
      <c r="B3959" t="s">
        <v>3754</v>
      </c>
      <c r="C3959" t="s">
        <v>283</v>
      </c>
      <c r="D3959" t="s">
        <v>3044</v>
      </c>
      <c r="E3959" t="s">
        <v>4766</v>
      </c>
      <c r="F3959" t="s">
        <v>4765</v>
      </c>
      <c r="G3959" t="s">
        <v>3077</v>
      </c>
      <c r="H3959" t="s">
        <v>373</v>
      </c>
      <c r="I3959" t="s">
        <v>3852</v>
      </c>
      <c r="J3959" t="s">
        <v>764</v>
      </c>
      <c r="K3959">
        <v>11</v>
      </c>
      <c r="L3959" s="6">
        <v>3.3</v>
      </c>
      <c r="M3959" s="7">
        <v>40</v>
      </c>
      <c r="N3959" s="7">
        <v>40</v>
      </c>
      <c r="O3959" s="7">
        <f t="shared" si="342"/>
        <v>129.92125984251967</v>
      </c>
      <c r="P3959" s="7">
        <f t="shared" si="346"/>
        <v>1.5748031496062993</v>
      </c>
      <c r="Q3959" s="7">
        <f t="shared" si="346"/>
        <v>1.5748031496062993</v>
      </c>
      <c r="R3959" s="6">
        <f t="shared" si="344"/>
        <v>2050.5250000000001</v>
      </c>
      <c r="S3959" s="6">
        <f t="shared" si="345"/>
        <v>5.28E-3</v>
      </c>
      <c r="T3959" t="str">
        <f t="shared" si="337"/>
        <v>Maximo Thermo Ayous S4S E4E Burn Blocked 2x2 Long</v>
      </c>
    </row>
    <row r="3960" spans="1:20" x14ac:dyDescent="0.25">
      <c r="A3960" t="s">
        <v>3073</v>
      </c>
      <c r="B3960" t="s">
        <v>3754</v>
      </c>
      <c r="C3960" t="s">
        <v>283</v>
      </c>
      <c r="D3960" t="s">
        <v>3044</v>
      </c>
      <c r="E3960" t="s">
        <v>4767</v>
      </c>
      <c r="F3960" t="s">
        <v>4765</v>
      </c>
      <c r="G3960" t="s">
        <v>3077</v>
      </c>
      <c r="H3960" t="s">
        <v>373</v>
      </c>
      <c r="I3960" t="s">
        <v>3852</v>
      </c>
      <c r="J3960" t="s">
        <v>764</v>
      </c>
      <c r="K3960">
        <v>12</v>
      </c>
      <c r="L3960" s="6">
        <v>3.6</v>
      </c>
      <c r="M3960" s="7">
        <v>40</v>
      </c>
      <c r="N3960" s="7">
        <v>40</v>
      </c>
      <c r="O3960" s="7">
        <f t="shared" si="342"/>
        <v>141.73228346456693</v>
      </c>
      <c r="P3960" s="7">
        <f t="shared" ref="P3960:Q3975" si="347">M3960/25.4</f>
        <v>1.5748031496062993</v>
      </c>
      <c r="Q3960" s="7">
        <f t="shared" si="347"/>
        <v>1.5748031496062993</v>
      </c>
      <c r="R3960" s="6">
        <f t="shared" si="344"/>
        <v>2050.5250000000001</v>
      </c>
      <c r="S3960" s="6">
        <f t="shared" si="345"/>
        <v>5.7599999999999995E-3</v>
      </c>
      <c r="T3960" t="str">
        <f t="shared" si="337"/>
        <v>Maximo Thermo Ayous S4S E4E Burn Blocked 2x2 Long</v>
      </c>
    </row>
    <row r="3961" spans="1:20" x14ac:dyDescent="0.25">
      <c r="A3961" t="s">
        <v>3073</v>
      </c>
      <c r="B3961" t="s">
        <v>3754</v>
      </c>
      <c r="C3961" t="s">
        <v>283</v>
      </c>
      <c r="D3961" t="s">
        <v>3044</v>
      </c>
      <c r="E3961" t="s">
        <v>4768</v>
      </c>
      <c r="F3961" t="s">
        <v>4765</v>
      </c>
      <c r="G3961" t="s">
        <v>3077</v>
      </c>
      <c r="H3961" t="s">
        <v>373</v>
      </c>
      <c r="I3961" t="s">
        <v>3852</v>
      </c>
      <c r="J3961" t="s">
        <v>764</v>
      </c>
      <c r="K3961">
        <v>13</v>
      </c>
      <c r="L3961" s="6">
        <v>3.9</v>
      </c>
      <c r="M3961" s="7">
        <v>40</v>
      </c>
      <c r="N3961" s="7">
        <v>40</v>
      </c>
      <c r="O3961" s="7">
        <f t="shared" si="342"/>
        <v>153.54330708661416</v>
      </c>
      <c r="P3961" s="7">
        <f t="shared" si="347"/>
        <v>1.5748031496062993</v>
      </c>
      <c r="Q3961" s="7">
        <f t="shared" si="347"/>
        <v>1.5748031496062993</v>
      </c>
      <c r="R3961" s="6">
        <f t="shared" si="344"/>
        <v>2050.5250000000001</v>
      </c>
      <c r="S3961" s="6">
        <f t="shared" si="345"/>
        <v>6.2399999999999999E-3</v>
      </c>
      <c r="T3961" t="str">
        <f t="shared" si="337"/>
        <v>Maximo Thermo Ayous S4S E4E Burn Blocked 2x2 Long</v>
      </c>
    </row>
    <row r="3962" spans="1:20" x14ac:dyDescent="0.25">
      <c r="A3962" t="s">
        <v>3073</v>
      </c>
      <c r="B3962" t="s">
        <v>3754</v>
      </c>
      <c r="C3962" t="s">
        <v>283</v>
      </c>
      <c r="D3962" t="s">
        <v>3044</v>
      </c>
      <c r="E3962" t="s">
        <v>4769</v>
      </c>
      <c r="F3962" t="s">
        <v>4765</v>
      </c>
      <c r="G3962" t="s">
        <v>3077</v>
      </c>
      <c r="H3962" t="s">
        <v>373</v>
      </c>
      <c r="I3962" t="s">
        <v>3852</v>
      </c>
      <c r="J3962" t="s">
        <v>764</v>
      </c>
      <c r="K3962">
        <v>14</v>
      </c>
      <c r="L3962" s="6">
        <v>4.2</v>
      </c>
      <c r="M3962" s="7">
        <v>40</v>
      </c>
      <c r="N3962" s="7">
        <v>40</v>
      </c>
      <c r="O3962" s="7">
        <f t="shared" si="342"/>
        <v>165.35433070866142</v>
      </c>
      <c r="P3962" s="7">
        <f t="shared" si="347"/>
        <v>1.5748031496062993</v>
      </c>
      <c r="Q3962" s="7">
        <f t="shared" si="347"/>
        <v>1.5748031496062993</v>
      </c>
      <c r="R3962" s="6">
        <f t="shared" si="344"/>
        <v>2050.5250000000001</v>
      </c>
      <c r="S3962" s="6">
        <f t="shared" si="345"/>
        <v>6.7200000000000003E-3</v>
      </c>
      <c r="T3962" t="str">
        <f t="shared" si="337"/>
        <v>Maximo Thermo Ayous S4S E4E Burn Blocked 2x2 Long</v>
      </c>
    </row>
    <row r="3963" spans="1:20" x14ac:dyDescent="0.25">
      <c r="A3963" t="s">
        <v>3073</v>
      </c>
      <c r="B3963" t="s">
        <v>3754</v>
      </c>
      <c r="C3963" t="s">
        <v>283</v>
      </c>
      <c r="D3963" t="s">
        <v>3044</v>
      </c>
      <c r="E3963" t="s">
        <v>4770</v>
      </c>
      <c r="F3963" t="s">
        <v>4765</v>
      </c>
      <c r="G3963" t="s">
        <v>3077</v>
      </c>
      <c r="H3963" t="s">
        <v>373</v>
      </c>
      <c r="I3963" t="s">
        <v>3852</v>
      </c>
      <c r="J3963" t="s">
        <v>764</v>
      </c>
      <c r="K3963">
        <v>15</v>
      </c>
      <c r="L3963" s="6">
        <v>4.5</v>
      </c>
      <c r="M3963" s="7">
        <v>40</v>
      </c>
      <c r="N3963" s="7">
        <v>40</v>
      </c>
      <c r="O3963" s="7">
        <f t="shared" si="342"/>
        <v>177.16535433070868</v>
      </c>
      <c r="P3963" s="7">
        <f t="shared" si="347"/>
        <v>1.5748031496062993</v>
      </c>
      <c r="Q3963" s="7">
        <f t="shared" si="347"/>
        <v>1.5748031496062993</v>
      </c>
      <c r="R3963" s="6">
        <f t="shared" si="344"/>
        <v>2050.5250000000001</v>
      </c>
      <c r="S3963" s="6">
        <f t="shared" si="345"/>
        <v>7.1999999999999989E-3</v>
      </c>
      <c r="T3963" t="str">
        <f t="shared" si="337"/>
        <v>Maximo Thermo Ayous S4S E4E Burn Blocked 2x2 Long</v>
      </c>
    </row>
    <row r="3964" spans="1:20" x14ac:dyDescent="0.25">
      <c r="A3964" t="s">
        <v>3073</v>
      </c>
      <c r="B3964" t="s">
        <v>3754</v>
      </c>
      <c r="C3964" t="s">
        <v>283</v>
      </c>
      <c r="D3964" t="s">
        <v>3044</v>
      </c>
      <c r="E3964" t="s">
        <v>4771</v>
      </c>
      <c r="F3964" t="s">
        <v>4765</v>
      </c>
      <c r="G3964" t="s">
        <v>3077</v>
      </c>
      <c r="H3964" t="s">
        <v>373</v>
      </c>
      <c r="I3964" t="s">
        <v>3852</v>
      </c>
      <c r="J3964" t="s">
        <v>764</v>
      </c>
      <c r="K3964">
        <v>16</v>
      </c>
      <c r="L3964" s="6">
        <v>4.8</v>
      </c>
      <c r="M3964" s="7">
        <v>40</v>
      </c>
      <c r="N3964" s="7">
        <v>40</v>
      </c>
      <c r="O3964" s="7">
        <f t="shared" si="342"/>
        <v>188.97637795275591</v>
      </c>
      <c r="P3964" s="7">
        <f t="shared" si="347"/>
        <v>1.5748031496062993</v>
      </c>
      <c r="Q3964" s="7">
        <f t="shared" si="347"/>
        <v>1.5748031496062993</v>
      </c>
      <c r="R3964" s="6">
        <f t="shared" si="344"/>
        <v>2050.5250000000001</v>
      </c>
      <c r="S3964" s="6">
        <f t="shared" si="345"/>
        <v>7.6799999999999993E-3</v>
      </c>
      <c r="T3964" t="str">
        <f t="shared" si="337"/>
        <v>Maximo Thermo Ayous S4S E4E Burn Blocked 2x2 Long</v>
      </c>
    </row>
    <row r="3965" spans="1:20" x14ac:dyDescent="0.25">
      <c r="A3965" t="s">
        <v>3073</v>
      </c>
      <c r="B3965" t="s">
        <v>3754</v>
      </c>
      <c r="C3965" t="s">
        <v>283</v>
      </c>
      <c r="D3965" t="s">
        <v>3044</v>
      </c>
      <c r="E3965" t="s">
        <v>4772</v>
      </c>
      <c r="F3965" t="s">
        <v>4765</v>
      </c>
      <c r="G3965" t="s">
        <v>3077</v>
      </c>
      <c r="H3965" t="s">
        <v>373</v>
      </c>
      <c r="I3965" t="s">
        <v>3852</v>
      </c>
      <c r="J3965" t="s">
        <v>764</v>
      </c>
      <c r="K3965">
        <v>17</v>
      </c>
      <c r="L3965" s="6">
        <v>5.0999999999999996</v>
      </c>
      <c r="M3965" s="7">
        <v>40</v>
      </c>
      <c r="N3965" s="7">
        <v>40</v>
      </c>
      <c r="O3965" s="7">
        <f t="shared" si="342"/>
        <v>200.78740157480314</v>
      </c>
      <c r="P3965" s="7">
        <f t="shared" si="347"/>
        <v>1.5748031496062993</v>
      </c>
      <c r="Q3965" s="7">
        <f t="shared" si="347"/>
        <v>1.5748031496062993</v>
      </c>
      <c r="R3965" s="6">
        <f t="shared" si="344"/>
        <v>2050.5250000000001</v>
      </c>
      <c r="S3965" s="6">
        <f t="shared" si="345"/>
        <v>8.1600000000000006E-3</v>
      </c>
      <c r="T3965" t="str">
        <f t="shared" si="337"/>
        <v>Maximo Thermo Ayous S4S E4E Burn Blocked 2x2 Long</v>
      </c>
    </row>
    <row r="3966" spans="1:20" x14ac:dyDescent="0.25">
      <c r="A3966" t="s">
        <v>3073</v>
      </c>
      <c r="B3966" t="s">
        <v>3754</v>
      </c>
      <c r="C3966" t="s">
        <v>283</v>
      </c>
      <c r="D3966" t="s">
        <v>3044</v>
      </c>
      <c r="E3966" t="s">
        <v>4773</v>
      </c>
      <c r="F3966" t="s">
        <v>4765</v>
      </c>
      <c r="G3966" t="s">
        <v>3077</v>
      </c>
      <c r="H3966" t="s">
        <v>373</v>
      </c>
      <c r="I3966" t="s">
        <v>3852</v>
      </c>
      <c r="J3966" t="s">
        <v>764</v>
      </c>
      <c r="K3966">
        <v>18</v>
      </c>
      <c r="L3966" s="6">
        <v>5.4</v>
      </c>
      <c r="M3966" s="7">
        <v>40</v>
      </c>
      <c r="N3966" s="7">
        <v>40</v>
      </c>
      <c r="O3966" s="7">
        <f t="shared" si="342"/>
        <v>212.59842519685043</v>
      </c>
      <c r="P3966" s="7">
        <f t="shared" si="347"/>
        <v>1.5748031496062993</v>
      </c>
      <c r="Q3966" s="7">
        <f t="shared" si="347"/>
        <v>1.5748031496062993</v>
      </c>
      <c r="R3966" s="6">
        <f t="shared" si="344"/>
        <v>2050.5250000000001</v>
      </c>
      <c r="S3966" s="6">
        <f t="shared" si="345"/>
        <v>8.6400000000000001E-3</v>
      </c>
      <c r="T3966" t="str">
        <f t="shared" si="337"/>
        <v>Maximo Thermo Ayous S4S E4E Burn Blocked 2x2 Long</v>
      </c>
    </row>
    <row r="3967" spans="1:20" x14ac:dyDescent="0.25">
      <c r="A3967" t="s">
        <v>3073</v>
      </c>
      <c r="B3967" t="s">
        <v>3754</v>
      </c>
      <c r="C3967" t="s">
        <v>524</v>
      </c>
      <c r="D3967" t="s">
        <v>3044</v>
      </c>
      <c r="E3967" t="s">
        <v>4774</v>
      </c>
      <c r="F3967" t="s">
        <v>4765</v>
      </c>
      <c r="G3967" t="s">
        <v>3077</v>
      </c>
      <c r="H3967" t="s">
        <v>373</v>
      </c>
      <c r="I3967" t="s">
        <v>3852</v>
      </c>
      <c r="J3967" t="s">
        <v>764</v>
      </c>
      <c r="K3967">
        <v>4</v>
      </c>
      <c r="L3967" s="6">
        <v>1.2</v>
      </c>
      <c r="M3967" s="7">
        <v>40</v>
      </c>
      <c r="N3967" s="7">
        <v>40</v>
      </c>
      <c r="O3967" s="7">
        <f t="shared" si="342"/>
        <v>47.244094488188978</v>
      </c>
      <c r="P3967" s="7">
        <f t="shared" si="347"/>
        <v>1.5748031496062993</v>
      </c>
      <c r="Q3967" s="7">
        <f t="shared" si="347"/>
        <v>1.5748031496062993</v>
      </c>
      <c r="R3967" s="6">
        <f t="shared" si="344"/>
        <v>2050.5250000000001</v>
      </c>
      <c r="S3967" s="6">
        <f t="shared" si="345"/>
        <v>1.9199999999999998E-3</v>
      </c>
      <c r="T3967" t="str">
        <f t="shared" si="337"/>
        <v>Maximo Thermo Ayous S4S E4E Burn Blocked 2x2 Short</v>
      </c>
    </row>
    <row r="3968" spans="1:20" x14ac:dyDescent="0.25">
      <c r="A3968" t="s">
        <v>3073</v>
      </c>
      <c r="B3968" t="s">
        <v>3754</v>
      </c>
      <c r="C3968" t="s">
        <v>524</v>
      </c>
      <c r="D3968" t="s">
        <v>3044</v>
      </c>
      <c r="E3968" t="s">
        <v>4775</v>
      </c>
      <c r="F3968" t="s">
        <v>4765</v>
      </c>
      <c r="G3968" t="s">
        <v>3077</v>
      </c>
      <c r="H3968" t="s">
        <v>373</v>
      </c>
      <c r="I3968" t="s">
        <v>3852</v>
      </c>
      <c r="J3968" t="s">
        <v>764</v>
      </c>
      <c r="K3968">
        <v>5</v>
      </c>
      <c r="L3968" s="6">
        <v>1.5</v>
      </c>
      <c r="M3968" s="7">
        <v>40</v>
      </c>
      <c r="N3968" s="7">
        <v>40</v>
      </c>
      <c r="O3968" s="7">
        <f t="shared" si="342"/>
        <v>59.055118110236222</v>
      </c>
      <c r="P3968" s="7">
        <f t="shared" si="347"/>
        <v>1.5748031496062993</v>
      </c>
      <c r="Q3968" s="7">
        <f t="shared" si="347"/>
        <v>1.5748031496062993</v>
      </c>
      <c r="R3968" s="6">
        <f t="shared" si="344"/>
        <v>2050.5250000000001</v>
      </c>
      <c r="S3968" s="6">
        <f t="shared" si="345"/>
        <v>2.3999999999999998E-3</v>
      </c>
      <c r="T3968" t="str">
        <f t="shared" si="337"/>
        <v>Maximo Thermo Ayous S4S E4E Burn Blocked 2x2 Short</v>
      </c>
    </row>
    <row r="3969" spans="1:20" x14ac:dyDescent="0.25">
      <c r="A3969" t="s">
        <v>3073</v>
      </c>
      <c r="B3969" t="s">
        <v>3754</v>
      </c>
      <c r="C3969" t="s">
        <v>524</v>
      </c>
      <c r="D3969" t="s">
        <v>3044</v>
      </c>
      <c r="E3969" t="s">
        <v>4776</v>
      </c>
      <c r="F3969" t="s">
        <v>4765</v>
      </c>
      <c r="G3969" t="s">
        <v>3077</v>
      </c>
      <c r="H3969" t="s">
        <v>373</v>
      </c>
      <c r="I3969" t="s">
        <v>3852</v>
      </c>
      <c r="J3969" t="s">
        <v>764</v>
      </c>
      <c r="K3969">
        <v>6</v>
      </c>
      <c r="L3969" s="6">
        <v>1.8</v>
      </c>
      <c r="M3969" s="7">
        <v>40</v>
      </c>
      <c r="N3969" s="7">
        <v>40</v>
      </c>
      <c r="O3969" s="7">
        <f t="shared" si="342"/>
        <v>70.866141732283467</v>
      </c>
      <c r="P3969" s="7">
        <f t="shared" si="347"/>
        <v>1.5748031496062993</v>
      </c>
      <c r="Q3969" s="7">
        <f t="shared" si="347"/>
        <v>1.5748031496062993</v>
      </c>
      <c r="R3969" s="6">
        <f t="shared" si="344"/>
        <v>2050.5250000000001</v>
      </c>
      <c r="S3969" s="6">
        <f t="shared" si="345"/>
        <v>2.8799999999999997E-3</v>
      </c>
      <c r="T3969" t="str">
        <f t="shared" si="337"/>
        <v>Maximo Thermo Ayous S4S E4E Burn Blocked 2x2 Short</v>
      </c>
    </row>
    <row r="3970" spans="1:20" x14ac:dyDescent="0.25">
      <c r="A3970" t="s">
        <v>3073</v>
      </c>
      <c r="B3970" t="s">
        <v>3754</v>
      </c>
      <c r="C3970" t="s">
        <v>524</v>
      </c>
      <c r="D3970" t="s">
        <v>3044</v>
      </c>
      <c r="E3970" t="s">
        <v>4777</v>
      </c>
      <c r="F3970" t="s">
        <v>4765</v>
      </c>
      <c r="G3970" t="s">
        <v>3077</v>
      </c>
      <c r="H3970" t="s">
        <v>373</v>
      </c>
      <c r="I3970" t="s">
        <v>3852</v>
      </c>
      <c r="J3970" t="s">
        <v>764</v>
      </c>
      <c r="K3970">
        <v>7</v>
      </c>
      <c r="L3970" s="6">
        <v>2.1</v>
      </c>
      <c r="M3970" s="7">
        <v>40</v>
      </c>
      <c r="N3970" s="7">
        <v>40</v>
      </c>
      <c r="O3970" s="7">
        <f t="shared" si="342"/>
        <v>82.677165354330711</v>
      </c>
      <c r="P3970" s="7">
        <f t="shared" si="347"/>
        <v>1.5748031496062993</v>
      </c>
      <c r="Q3970" s="7">
        <f t="shared" si="347"/>
        <v>1.5748031496062993</v>
      </c>
      <c r="R3970" s="6">
        <f t="shared" si="344"/>
        <v>2050.5250000000001</v>
      </c>
      <c r="S3970" s="6">
        <f t="shared" si="345"/>
        <v>3.3600000000000001E-3</v>
      </c>
      <c r="T3970" t="str">
        <f t="shared" ref="T3970:T4017" si="348">F3970&amp;" "&amp;C3970</f>
        <v>Maximo Thermo Ayous S4S E4E Burn Blocked 2x2 Short</v>
      </c>
    </row>
    <row r="3971" spans="1:20" x14ac:dyDescent="0.25">
      <c r="A3971" t="s">
        <v>3073</v>
      </c>
      <c r="B3971" t="s">
        <v>3754</v>
      </c>
      <c r="C3971" t="s">
        <v>283</v>
      </c>
      <c r="D3971" t="s">
        <v>3044</v>
      </c>
      <c r="E3971" t="s">
        <v>4778</v>
      </c>
      <c r="F3971" t="s">
        <v>4765</v>
      </c>
      <c r="G3971" t="s">
        <v>3077</v>
      </c>
      <c r="H3971" t="s">
        <v>373</v>
      </c>
      <c r="I3971" t="s">
        <v>3852</v>
      </c>
      <c r="J3971" t="s">
        <v>764</v>
      </c>
      <c r="K3971">
        <v>8</v>
      </c>
      <c r="L3971" s="6">
        <v>2.4</v>
      </c>
      <c r="M3971" s="7">
        <v>40</v>
      </c>
      <c r="N3971" s="7">
        <v>40</v>
      </c>
      <c r="O3971" s="7">
        <f t="shared" si="342"/>
        <v>94.488188976377955</v>
      </c>
      <c r="P3971" s="7">
        <f t="shared" si="347"/>
        <v>1.5748031496062993</v>
      </c>
      <c r="Q3971" s="7">
        <f t="shared" si="347"/>
        <v>1.5748031496062993</v>
      </c>
      <c r="R3971" s="6">
        <f t="shared" si="344"/>
        <v>2050.5250000000001</v>
      </c>
      <c r="S3971" s="6">
        <f t="shared" si="345"/>
        <v>3.8399999999999997E-3</v>
      </c>
      <c r="T3971" t="str">
        <f t="shared" si="348"/>
        <v>Maximo Thermo Ayous S4S E4E Burn Blocked 2x2 Long</v>
      </c>
    </row>
    <row r="3972" spans="1:20" x14ac:dyDescent="0.25">
      <c r="A3972" t="s">
        <v>3073</v>
      </c>
      <c r="B3972" t="s">
        <v>3754</v>
      </c>
      <c r="C3972" t="s">
        <v>283</v>
      </c>
      <c r="D3972" t="s">
        <v>3044</v>
      </c>
      <c r="E3972" t="s">
        <v>4779</v>
      </c>
      <c r="F3972" t="s">
        <v>4765</v>
      </c>
      <c r="G3972" t="s">
        <v>3077</v>
      </c>
      <c r="H3972" t="s">
        <v>373</v>
      </c>
      <c r="I3972" t="s">
        <v>3852</v>
      </c>
      <c r="J3972" t="s">
        <v>764</v>
      </c>
      <c r="K3972">
        <v>9</v>
      </c>
      <c r="L3972" s="6">
        <v>2.7</v>
      </c>
      <c r="M3972" s="7">
        <v>40</v>
      </c>
      <c r="N3972" s="7">
        <v>40</v>
      </c>
      <c r="O3972" s="7">
        <f t="shared" si="342"/>
        <v>106.29921259842521</v>
      </c>
      <c r="P3972" s="7">
        <f t="shared" si="347"/>
        <v>1.5748031496062993</v>
      </c>
      <c r="Q3972" s="7">
        <f t="shared" si="347"/>
        <v>1.5748031496062993</v>
      </c>
      <c r="R3972" s="6">
        <f t="shared" si="344"/>
        <v>2050.5250000000001</v>
      </c>
      <c r="S3972" s="6">
        <f t="shared" si="345"/>
        <v>4.3200000000000001E-3</v>
      </c>
      <c r="T3972" t="str">
        <f t="shared" si="348"/>
        <v>Maximo Thermo Ayous S4S E4E Burn Blocked 2x2 Long</v>
      </c>
    </row>
    <row r="3973" spans="1:20" x14ac:dyDescent="0.25">
      <c r="A3973" t="s">
        <v>3073</v>
      </c>
      <c r="B3973" t="s">
        <v>3789</v>
      </c>
      <c r="C3973" t="s">
        <v>283</v>
      </c>
      <c r="D3973" t="s">
        <v>3044</v>
      </c>
      <c r="E3973" t="s">
        <v>4780</v>
      </c>
      <c r="F3973" t="s">
        <v>4781</v>
      </c>
      <c r="G3973" t="s">
        <v>3077</v>
      </c>
      <c r="H3973" t="s">
        <v>373</v>
      </c>
      <c r="I3973" t="s">
        <v>3852</v>
      </c>
      <c r="J3973" t="s">
        <v>796</v>
      </c>
      <c r="K3973">
        <v>10</v>
      </c>
      <c r="L3973" s="6">
        <v>3</v>
      </c>
      <c r="M3973" s="7">
        <v>40</v>
      </c>
      <c r="N3973" s="7">
        <v>90</v>
      </c>
      <c r="O3973" s="7">
        <f t="shared" si="342"/>
        <v>118.11023622047244</v>
      </c>
      <c r="P3973" s="7">
        <f t="shared" si="347"/>
        <v>1.5748031496062993</v>
      </c>
      <c r="Q3973" s="7">
        <f t="shared" si="347"/>
        <v>3.5433070866141736</v>
      </c>
      <c r="R3973" s="6">
        <f t="shared" si="344"/>
        <v>911.34400000000005</v>
      </c>
      <c r="S3973" s="6">
        <f t="shared" si="345"/>
        <v>1.0799999999999999E-2</v>
      </c>
      <c r="T3973" t="str">
        <f t="shared" si="348"/>
        <v>Maximo Thermo Ayous S4S E4E Burn Blocked 2x4 Long</v>
      </c>
    </row>
    <row r="3974" spans="1:20" x14ac:dyDescent="0.25">
      <c r="A3974" t="s">
        <v>3073</v>
      </c>
      <c r="B3974" t="s">
        <v>3789</v>
      </c>
      <c r="C3974" t="s">
        <v>283</v>
      </c>
      <c r="D3974" t="s">
        <v>3044</v>
      </c>
      <c r="E3974" t="s">
        <v>4782</v>
      </c>
      <c r="F3974" t="s">
        <v>4781</v>
      </c>
      <c r="G3974" t="s">
        <v>3077</v>
      </c>
      <c r="H3974" t="s">
        <v>373</v>
      </c>
      <c r="I3974" t="s">
        <v>3852</v>
      </c>
      <c r="J3974" t="s">
        <v>796</v>
      </c>
      <c r="K3974">
        <v>11</v>
      </c>
      <c r="L3974" s="6">
        <v>3.3</v>
      </c>
      <c r="M3974" s="7">
        <v>40</v>
      </c>
      <c r="N3974" s="7">
        <v>90</v>
      </c>
      <c r="O3974" s="7">
        <f t="shared" si="342"/>
        <v>129.92125984251967</v>
      </c>
      <c r="P3974" s="7">
        <f t="shared" si="347"/>
        <v>1.5748031496062993</v>
      </c>
      <c r="Q3974" s="7">
        <f t="shared" si="347"/>
        <v>3.5433070866141736</v>
      </c>
      <c r="R3974" s="6">
        <f t="shared" si="344"/>
        <v>911.34400000000005</v>
      </c>
      <c r="S3974" s="6">
        <f t="shared" si="345"/>
        <v>1.188E-2</v>
      </c>
      <c r="T3974" t="str">
        <f t="shared" si="348"/>
        <v>Maximo Thermo Ayous S4S E4E Burn Blocked 2x4 Long</v>
      </c>
    </row>
    <row r="3975" spans="1:20" x14ac:dyDescent="0.25">
      <c r="A3975" t="s">
        <v>3073</v>
      </c>
      <c r="B3975" t="s">
        <v>3789</v>
      </c>
      <c r="C3975" t="s">
        <v>283</v>
      </c>
      <c r="D3975" t="s">
        <v>3044</v>
      </c>
      <c r="E3975" t="s">
        <v>4783</v>
      </c>
      <c r="F3975" t="s">
        <v>4781</v>
      </c>
      <c r="G3975" t="s">
        <v>3077</v>
      </c>
      <c r="H3975" t="s">
        <v>373</v>
      </c>
      <c r="I3975" t="s">
        <v>3852</v>
      </c>
      <c r="J3975" t="s">
        <v>796</v>
      </c>
      <c r="K3975">
        <v>12</v>
      </c>
      <c r="L3975" s="6">
        <v>3.6</v>
      </c>
      <c r="M3975" s="7">
        <v>40</v>
      </c>
      <c r="N3975" s="7">
        <v>90</v>
      </c>
      <c r="O3975" s="7">
        <f t="shared" si="342"/>
        <v>141.73228346456693</v>
      </c>
      <c r="P3975" s="7">
        <f t="shared" si="347"/>
        <v>1.5748031496062993</v>
      </c>
      <c r="Q3975" s="7">
        <f t="shared" si="347"/>
        <v>3.5433070866141736</v>
      </c>
      <c r="R3975" s="6">
        <f t="shared" si="344"/>
        <v>911.34400000000005</v>
      </c>
      <c r="S3975" s="6">
        <f t="shared" si="345"/>
        <v>1.2959999999999999E-2</v>
      </c>
      <c r="T3975" t="str">
        <f t="shared" si="348"/>
        <v>Maximo Thermo Ayous S4S E4E Burn Blocked 2x4 Long</v>
      </c>
    </row>
    <row r="3976" spans="1:20" x14ac:dyDescent="0.25">
      <c r="A3976" t="s">
        <v>3073</v>
      </c>
      <c r="B3976" t="s">
        <v>3789</v>
      </c>
      <c r="C3976" t="s">
        <v>283</v>
      </c>
      <c r="D3976" t="s">
        <v>3044</v>
      </c>
      <c r="E3976" t="s">
        <v>4784</v>
      </c>
      <c r="F3976" t="s">
        <v>4781</v>
      </c>
      <c r="G3976" t="s">
        <v>3077</v>
      </c>
      <c r="H3976" t="s">
        <v>373</v>
      </c>
      <c r="I3976" t="s">
        <v>3852</v>
      </c>
      <c r="J3976" t="s">
        <v>796</v>
      </c>
      <c r="K3976">
        <v>13</v>
      </c>
      <c r="L3976" s="6">
        <v>3.9</v>
      </c>
      <c r="M3976" s="7">
        <v>40</v>
      </c>
      <c r="N3976" s="7">
        <v>90</v>
      </c>
      <c r="O3976" s="7">
        <f t="shared" si="342"/>
        <v>153.54330708661416</v>
      </c>
      <c r="P3976" s="7">
        <f t="shared" ref="P3976:Q3991" si="349">M3976/25.4</f>
        <v>1.5748031496062993</v>
      </c>
      <c r="Q3976" s="7">
        <f t="shared" si="349"/>
        <v>3.5433070866141736</v>
      </c>
      <c r="R3976" s="6">
        <f t="shared" si="344"/>
        <v>911.34400000000005</v>
      </c>
      <c r="S3976" s="6">
        <f t="shared" si="345"/>
        <v>1.4039999999999999E-2</v>
      </c>
      <c r="T3976" t="str">
        <f t="shared" si="348"/>
        <v>Maximo Thermo Ayous S4S E4E Burn Blocked 2x4 Long</v>
      </c>
    </row>
    <row r="3977" spans="1:20" x14ac:dyDescent="0.25">
      <c r="A3977" t="s">
        <v>3073</v>
      </c>
      <c r="B3977" t="s">
        <v>3789</v>
      </c>
      <c r="C3977" t="s">
        <v>283</v>
      </c>
      <c r="D3977" t="s">
        <v>3044</v>
      </c>
      <c r="E3977" t="s">
        <v>4785</v>
      </c>
      <c r="F3977" t="s">
        <v>4781</v>
      </c>
      <c r="G3977" t="s">
        <v>3077</v>
      </c>
      <c r="H3977" t="s">
        <v>373</v>
      </c>
      <c r="I3977" t="s">
        <v>3852</v>
      </c>
      <c r="J3977" t="s">
        <v>796</v>
      </c>
      <c r="K3977">
        <v>14</v>
      </c>
      <c r="L3977" s="6">
        <v>4.2</v>
      </c>
      <c r="M3977" s="7">
        <v>40</v>
      </c>
      <c r="N3977" s="7">
        <v>90</v>
      </c>
      <c r="O3977" s="7">
        <f t="shared" si="342"/>
        <v>165.35433070866142</v>
      </c>
      <c r="P3977" s="7">
        <f t="shared" si="349"/>
        <v>1.5748031496062993</v>
      </c>
      <c r="Q3977" s="7">
        <f t="shared" si="349"/>
        <v>3.5433070866141736</v>
      </c>
      <c r="R3977" s="6">
        <f t="shared" si="344"/>
        <v>911.34400000000005</v>
      </c>
      <c r="S3977" s="6">
        <f t="shared" si="345"/>
        <v>1.5120000000000001E-2</v>
      </c>
      <c r="T3977" t="str">
        <f t="shared" si="348"/>
        <v>Maximo Thermo Ayous S4S E4E Burn Blocked 2x4 Long</v>
      </c>
    </row>
    <row r="3978" spans="1:20" x14ac:dyDescent="0.25">
      <c r="A3978" t="s">
        <v>3073</v>
      </c>
      <c r="B3978" t="s">
        <v>3789</v>
      </c>
      <c r="C3978" t="s">
        <v>283</v>
      </c>
      <c r="D3978" t="s">
        <v>3044</v>
      </c>
      <c r="E3978" t="s">
        <v>4786</v>
      </c>
      <c r="F3978" t="s">
        <v>4781</v>
      </c>
      <c r="G3978" t="s">
        <v>3077</v>
      </c>
      <c r="H3978" t="s">
        <v>373</v>
      </c>
      <c r="I3978" t="s">
        <v>3852</v>
      </c>
      <c r="J3978" t="s">
        <v>796</v>
      </c>
      <c r="K3978">
        <v>15</v>
      </c>
      <c r="L3978" s="6">
        <v>4.5</v>
      </c>
      <c r="M3978" s="7">
        <v>40</v>
      </c>
      <c r="N3978" s="7">
        <v>90</v>
      </c>
      <c r="O3978" s="7">
        <f t="shared" si="342"/>
        <v>177.16535433070868</v>
      </c>
      <c r="P3978" s="7">
        <f t="shared" si="349"/>
        <v>1.5748031496062993</v>
      </c>
      <c r="Q3978" s="7">
        <f t="shared" si="349"/>
        <v>3.5433070866141736</v>
      </c>
      <c r="R3978" s="6">
        <f t="shared" si="344"/>
        <v>911.34400000000005</v>
      </c>
      <c r="S3978" s="6">
        <f t="shared" si="345"/>
        <v>1.6199999999999999E-2</v>
      </c>
      <c r="T3978" t="str">
        <f t="shared" si="348"/>
        <v>Maximo Thermo Ayous S4S E4E Burn Blocked 2x4 Long</v>
      </c>
    </row>
    <row r="3979" spans="1:20" x14ac:dyDescent="0.25">
      <c r="A3979" t="s">
        <v>3073</v>
      </c>
      <c r="B3979" t="s">
        <v>3789</v>
      </c>
      <c r="C3979" t="s">
        <v>283</v>
      </c>
      <c r="D3979" t="s">
        <v>3044</v>
      </c>
      <c r="E3979" t="s">
        <v>4787</v>
      </c>
      <c r="F3979" t="s">
        <v>4781</v>
      </c>
      <c r="G3979" t="s">
        <v>3077</v>
      </c>
      <c r="H3979" t="s">
        <v>373</v>
      </c>
      <c r="I3979" t="s">
        <v>3852</v>
      </c>
      <c r="J3979" t="s">
        <v>796</v>
      </c>
      <c r="K3979">
        <v>16</v>
      </c>
      <c r="L3979" s="6">
        <v>4.8</v>
      </c>
      <c r="M3979" s="7">
        <v>40</v>
      </c>
      <c r="N3979" s="7">
        <v>90</v>
      </c>
      <c r="O3979" s="7">
        <f t="shared" si="342"/>
        <v>188.97637795275591</v>
      </c>
      <c r="P3979" s="7">
        <f t="shared" si="349"/>
        <v>1.5748031496062993</v>
      </c>
      <c r="Q3979" s="7">
        <f t="shared" si="349"/>
        <v>3.5433070866141736</v>
      </c>
      <c r="R3979" s="6">
        <f t="shared" si="344"/>
        <v>911.34400000000005</v>
      </c>
      <c r="S3979" s="6">
        <f t="shared" si="345"/>
        <v>1.728E-2</v>
      </c>
      <c r="T3979" t="str">
        <f t="shared" si="348"/>
        <v>Maximo Thermo Ayous S4S E4E Burn Blocked 2x4 Long</v>
      </c>
    </row>
    <row r="3980" spans="1:20" x14ac:dyDescent="0.25">
      <c r="A3980" t="s">
        <v>3073</v>
      </c>
      <c r="B3980" t="s">
        <v>3789</v>
      </c>
      <c r="C3980" t="s">
        <v>283</v>
      </c>
      <c r="D3980" t="s">
        <v>3044</v>
      </c>
      <c r="E3980" t="s">
        <v>4788</v>
      </c>
      <c r="F3980" t="s">
        <v>4781</v>
      </c>
      <c r="G3980" t="s">
        <v>3077</v>
      </c>
      <c r="H3980" t="s">
        <v>373</v>
      </c>
      <c r="I3980" t="s">
        <v>3852</v>
      </c>
      <c r="J3980" t="s">
        <v>796</v>
      </c>
      <c r="K3980">
        <v>17</v>
      </c>
      <c r="L3980" s="6">
        <v>5.0999999999999996</v>
      </c>
      <c r="M3980" s="7">
        <v>40</v>
      </c>
      <c r="N3980" s="7">
        <v>90</v>
      </c>
      <c r="O3980" s="7">
        <f t="shared" si="342"/>
        <v>200.78740157480314</v>
      </c>
      <c r="P3980" s="7">
        <f t="shared" si="349"/>
        <v>1.5748031496062993</v>
      </c>
      <c r="Q3980" s="7">
        <f t="shared" si="349"/>
        <v>3.5433070866141736</v>
      </c>
      <c r="R3980" s="6">
        <f t="shared" si="344"/>
        <v>911.34400000000005</v>
      </c>
      <c r="S3980" s="6">
        <f t="shared" si="345"/>
        <v>1.8359999999999998E-2</v>
      </c>
      <c r="T3980" t="str">
        <f t="shared" si="348"/>
        <v>Maximo Thermo Ayous S4S E4E Burn Blocked 2x4 Long</v>
      </c>
    </row>
    <row r="3981" spans="1:20" x14ac:dyDescent="0.25">
      <c r="A3981" t="s">
        <v>3073</v>
      </c>
      <c r="B3981" t="s">
        <v>3789</v>
      </c>
      <c r="C3981" t="s">
        <v>283</v>
      </c>
      <c r="D3981" t="s">
        <v>3044</v>
      </c>
      <c r="E3981" t="s">
        <v>4789</v>
      </c>
      <c r="F3981" t="s">
        <v>4781</v>
      </c>
      <c r="G3981" t="s">
        <v>3077</v>
      </c>
      <c r="H3981" t="s">
        <v>373</v>
      </c>
      <c r="I3981" t="s">
        <v>3852</v>
      </c>
      <c r="J3981" t="s">
        <v>796</v>
      </c>
      <c r="K3981">
        <v>18</v>
      </c>
      <c r="L3981" s="6">
        <v>5.4</v>
      </c>
      <c r="M3981" s="7">
        <v>40</v>
      </c>
      <c r="N3981" s="7">
        <v>90</v>
      </c>
      <c r="O3981" s="7">
        <f t="shared" si="342"/>
        <v>212.59842519685043</v>
      </c>
      <c r="P3981" s="7">
        <f t="shared" si="349"/>
        <v>1.5748031496062993</v>
      </c>
      <c r="Q3981" s="7">
        <f t="shared" si="349"/>
        <v>3.5433070866141736</v>
      </c>
      <c r="R3981" s="6">
        <f t="shared" si="344"/>
        <v>911.34400000000005</v>
      </c>
      <c r="S3981" s="6">
        <f t="shared" si="345"/>
        <v>1.9440000000000002E-2</v>
      </c>
      <c r="T3981" t="str">
        <f t="shared" si="348"/>
        <v>Maximo Thermo Ayous S4S E4E Burn Blocked 2x4 Long</v>
      </c>
    </row>
    <row r="3982" spans="1:20" x14ac:dyDescent="0.25">
      <c r="A3982" t="s">
        <v>3073</v>
      </c>
      <c r="B3982" t="s">
        <v>3789</v>
      </c>
      <c r="C3982" t="s">
        <v>524</v>
      </c>
      <c r="D3982" t="s">
        <v>3044</v>
      </c>
      <c r="E3982" t="s">
        <v>4790</v>
      </c>
      <c r="F3982" t="s">
        <v>4781</v>
      </c>
      <c r="G3982" t="s">
        <v>3077</v>
      </c>
      <c r="H3982" t="s">
        <v>373</v>
      </c>
      <c r="I3982" t="s">
        <v>3852</v>
      </c>
      <c r="J3982" t="s">
        <v>796</v>
      </c>
      <c r="K3982">
        <v>4</v>
      </c>
      <c r="L3982" s="6">
        <v>1.2</v>
      </c>
      <c r="M3982" s="7">
        <v>40</v>
      </c>
      <c r="N3982" s="7">
        <v>90</v>
      </c>
      <c r="O3982" s="7">
        <f t="shared" si="342"/>
        <v>47.244094488188978</v>
      </c>
      <c r="P3982" s="7">
        <f t="shared" si="349"/>
        <v>1.5748031496062993</v>
      </c>
      <c r="Q3982" s="7">
        <f t="shared" si="349"/>
        <v>3.5433070866141736</v>
      </c>
      <c r="R3982" s="6">
        <f t="shared" si="344"/>
        <v>911.34400000000005</v>
      </c>
      <c r="S3982" s="6">
        <f t="shared" si="345"/>
        <v>4.3200000000000001E-3</v>
      </c>
      <c r="T3982" t="str">
        <f t="shared" si="348"/>
        <v>Maximo Thermo Ayous S4S E4E Burn Blocked 2x4 Short</v>
      </c>
    </row>
    <row r="3983" spans="1:20" x14ac:dyDescent="0.25">
      <c r="A3983" t="s">
        <v>3073</v>
      </c>
      <c r="B3983" t="s">
        <v>3789</v>
      </c>
      <c r="C3983" t="s">
        <v>524</v>
      </c>
      <c r="D3983" t="s">
        <v>3044</v>
      </c>
      <c r="E3983" t="s">
        <v>4791</v>
      </c>
      <c r="F3983" t="s">
        <v>4781</v>
      </c>
      <c r="G3983" t="s">
        <v>3077</v>
      </c>
      <c r="H3983" t="s">
        <v>373</v>
      </c>
      <c r="I3983" t="s">
        <v>3852</v>
      </c>
      <c r="J3983" t="s">
        <v>796</v>
      </c>
      <c r="K3983">
        <v>5</v>
      </c>
      <c r="L3983" s="6">
        <v>1.5</v>
      </c>
      <c r="M3983" s="7">
        <v>40</v>
      </c>
      <c r="N3983" s="7">
        <v>90</v>
      </c>
      <c r="O3983" s="7">
        <f t="shared" si="342"/>
        <v>59.055118110236222</v>
      </c>
      <c r="P3983" s="7">
        <f t="shared" si="349"/>
        <v>1.5748031496062993</v>
      </c>
      <c r="Q3983" s="7">
        <f t="shared" si="349"/>
        <v>3.5433070866141736</v>
      </c>
      <c r="R3983" s="6">
        <f t="shared" si="344"/>
        <v>911.34400000000005</v>
      </c>
      <c r="S3983" s="6">
        <f t="shared" si="345"/>
        <v>5.3999999999999994E-3</v>
      </c>
      <c r="T3983" t="str">
        <f t="shared" si="348"/>
        <v>Maximo Thermo Ayous S4S E4E Burn Blocked 2x4 Short</v>
      </c>
    </row>
    <row r="3984" spans="1:20" x14ac:dyDescent="0.25">
      <c r="A3984" t="s">
        <v>3073</v>
      </c>
      <c r="B3984" t="s">
        <v>3789</v>
      </c>
      <c r="C3984" t="s">
        <v>524</v>
      </c>
      <c r="D3984" t="s">
        <v>3044</v>
      </c>
      <c r="E3984" t="s">
        <v>4792</v>
      </c>
      <c r="F3984" t="s">
        <v>4781</v>
      </c>
      <c r="G3984" t="s">
        <v>3077</v>
      </c>
      <c r="H3984" t="s">
        <v>373</v>
      </c>
      <c r="I3984" t="s">
        <v>3852</v>
      </c>
      <c r="J3984" t="s">
        <v>796</v>
      </c>
      <c r="K3984">
        <v>6</v>
      </c>
      <c r="L3984" s="6">
        <v>1.8</v>
      </c>
      <c r="M3984" s="7">
        <v>40</v>
      </c>
      <c r="N3984" s="7">
        <v>90</v>
      </c>
      <c r="O3984" s="7">
        <f t="shared" si="342"/>
        <v>70.866141732283467</v>
      </c>
      <c r="P3984" s="7">
        <f t="shared" si="349"/>
        <v>1.5748031496062993</v>
      </c>
      <c r="Q3984" s="7">
        <f t="shared" si="349"/>
        <v>3.5433070866141736</v>
      </c>
      <c r="R3984" s="6">
        <f t="shared" si="344"/>
        <v>911.34400000000005</v>
      </c>
      <c r="S3984" s="6">
        <f t="shared" si="345"/>
        <v>6.4799999999999996E-3</v>
      </c>
      <c r="T3984" t="str">
        <f t="shared" si="348"/>
        <v>Maximo Thermo Ayous S4S E4E Burn Blocked 2x4 Short</v>
      </c>
    </row>
    <row r="3985" spans="1:20" x14ac:dyDescent="0.25">
      <c r="A3985" t="s">
        <v>3073</v>
      </c>
      <c r="B3985" t="s">
        <v>3789</v>
      </c>
      <c r="C3985" t="s">
        <v>524</v>
      </c>
      <c r="D3985" t="s">
        <v>3044</v>
      </c>
      <c r="E3985" t="s">
        <v>4793</v>
      </c>
      <c r="F3985" t="s">
        <v>4781</v>
      </c>
      <c r="G3985" t="s">
        <v>3077</v>
      </c>
      <c r="H3985" t="s">
        <v>373</v>
      </c>
      <c r="I3985" t="s">
        <v>3852</v>
      </c>
      <c r="J3985" t="s">
        <v>796</v>
      </c>
      <c r="K3985">
        <v>7</v>
      </c>
      <c r="L3985" s="6">
        <v>2.1</v>
      </c>
      <c r="M3985" s="7">
        <v>40</v>
      </c>
      <c r="N3985" s="7">
        <v>90</v>
      </c>
      <c r="O3985" s="7">
        <f t="shared" si="342"/>
        <v>82.677165354330711</v>
      </c>
      <c r="P3985" s="7">
        <f t="shared" si="349"/>
        <v>1.5748031496062993</v>
      </c>
      <c r="Q3985" s="7">
        <f t="shared" si="349"/>
        <v>3.5433070866141736</v>
      </c>
      <c r="R3985" s="6">
        <f t="shared" si="344"/>
        <v>911.34400000000005</v>
      </c>
      <c r="S3985" s="6">
        <f t="shared" si="345"/>
        <v>7.5600000000000007E-3</v>
      </c>
      <c r="T3985" t="str">
        <f t="shared" si="348"/>
        <v>Maximo Thermo Ayous S4S E4E Burn Blocked 2x4 Short</v>
      </c>
    </row>
    <row r="3986" spans="1:20" x14ac:dyDescent="0.25">
      <c r="A3986" t="s">
        <v>3073</v>
      </c>
      <c r="B3986" t="s">
        <v>3789</v>
      </c>
      <c r="C3986" t="s">
        <v>283</v>
      </c>
      <c r="D3986" t="s">
        <v>3044</v>
      </c>
      <c r="E3986" t="s">
        <v>4794</v>
      </c>
      <c r="F3986" t="s">
        <v>4781</v>
      </c>
      <c r="G3986" t="s">
        <v>3077</v>
      </c>
      <c r="H3986" t="s">
        <v>373</v>
      </c>
      <c r="I3986" t="s">
        <v>3852</v>
      </c>
      <c r="J3986" t="s">
        <v>796</v>
      </c>
      <c r="K3986">
        <v>8</v>
      </c>
      <c r="L3986" s="6">
        <v>2.4</v>
      </c>
      <c r="M3986" s="7">
        <v>40</v>
      </c>
      <c r="N3986" s="7">
        <v>90</v>
      </c>
      <c r="O3986" s="7">
        <f t="shared" si="342"/>
        <v>94.488188976377955</v>
      </c>
      <c r="P3986" s="7">
        <f t="shared" si="349"/>
        <v>1.5748031496062993</v>
      </c>
      <c r="Q3986" s="7">
        <f t="shared" si="349"/>
        <v>3.5433070866141736</v>
      </c>
      <c r="R3986" s="6">
        <f t="shared" si="344"/>
        <v>911.34400000000005</v>
      </c>
      <c r="S3986" s="6">
        <f t="shared" si="345"/>
        <v>8.6400000000000001E-3</v>
      </c>
      <c r="T3986" t="str">
        <f t="shared" si="348"/>
        <v>Maximo Thermo Ayous S4S E4E Burn Blocked 2x4 Long</v>
      </c>
    </row>
    <row r="3987" spans="1:20" x14ac:dyDescent="0.25">
      <c r="A3987" t="s">
        <v>3073</v>
      </c>
      <c r="B3987" t="s">
        <v>3789</v>
      </c>
      <c r="C3987" t="s">
        <v>283</v>
      </c>
      <c r="D3987" t="s">
        <v>3044</v>
      </c>
      <c r="E3987" t="s">
        <v>4795</v>
      </c>
      <c r="F3987" t="s">
        <v>4781</v>
      </c>
      <c r="G3987" t="s">
        <v>3077</v>
      </c>
      <c r="H3987" t="s">
        <v>373</v>
      </c>
      <c r="I3987" t="s">
        <v>3852</v>
      </c>
      <c r="J3987" t="s">
        <v>796</v>
      </c>
      <c r="K3987">
        <v>9</v>
      </c>
      <c r="L3987" s="6">
        <v>2.7</v>
      </c>
      <c r="M3987" s="7">
        <v>40</v>
      </c>
      <c r="N3987" s="7">
        <v>90</v>
      </c>
      <c r="O3987" s="7">
        <f t="shared" si="342"/>
        <v>106.29921259842521</v>
      </c>
      <c r="P3987" s="7">
        <f t="shared" si="349"/>
        <v>1.5748031496062993</v>
      </c>
      <c r="Q3987" s="7">
        <f t="shared" si="349"/>
        <v>3.5433070866141736</v>
      </c>
      <c r="R3987" s="6">
        <f t="shared" si="344"/>
        <v>911.34400000000005</v>
      </c>
      <c r="S3987" s="6">
        <f t="shared" si="345"/>
        <v>9.7200000000000012E-3</v>
      </c>
      <c r="T3987" t="str">
        <f t="shared" si="348"/>
        <v>Maximo Thermo Ayous S4S E4E Burn Blocked 2x4 Long</v>
      </c>
    </row>
    <row r="3988" spans="1:20" x14ac:dyDescent="0.25">
      <c r="A3988" t="s">
        <v>3073</v>
      </c>
      <c r="B3988" t="s">
        <v>3074</v>
      </c>
      <c r="C3988" t="s">
        <v>283</v>
      </c>
      <c r="D3988" t="s">
        <v>3044</v>
      </c>
      <c r="E3988" t="s">
        <v>4796</v>
      </c>
      <c r="F3988" t="s">
        <v>4797</v>
      </c>
      <c r="G3988" t="s">
        <v>3077</v>
      </c>
      <c r="H3988" t="s">
        <v>373</v>
      </c>
      <c r="I3988" t="s">
        <v>3852</v>
      </c>
      <c r="J3988" t="s">
        <v>821</v>
      </c>
      <c r="K3988">
        <v>10</v>
      </c>
      <c r="L3988" s="6">
        <v>3</v>
      </c>
      <c r="M3988" s="7">
        <v>40</v>
      </c>
      <c r="N3988" s="7">
        <v>140</v>
      </c>
      <c r="O3988" s="7">
        <f t="shared" si="342"/>
        <v>118.11023622047244</v>
      </c>
      <c r="P3988" s="7">
        <f t="shared" si="349"/>
        <v>1.5748031496062993</v>
      </c>
      <c r="Q3988" s="7">
        <f t="shared" si="349"/>
        <v>5.5118110236220472</v>
      </c>
      <c r="R3988" s="6">
        <f t="shared" si="344"/>
        <v>585.86400000000003</v>
      </c>
      <c r="S3988" s="6">
        <f t="shared" si="345"/>
        <v>1.6800000000000002E-2</v>
      </c>
      <c r="T3988" t="str">
        <f t="shared" si="348"/>
        <v>Maximo Thermo Ayous S4S E4E Burn Blocked 2x6 Long</v>
      </c>
    </row>
    <row r="3989" spans="1:20" x14ac:dyDescent="0.25">
      <c r="A3989" t="s">
        <v>3073</v>
      </c>
      <c r="B3989" t="s">
        <v>3074</v>
      </c>
      <c r="C3989" t="s">
        <v>283</v>
      </c>
      <c r="D3989" t="s">
        <v>3044</v>
      </c>
      <c r="E3989" t="s">
        <v>4798</v>
      </c>
      <c r="F3989" t="s">
        <v>4797</v>
      </c>
      <c r="G3989" t="s">
        <v>3077</v>
      </c>
      <c r="H3989" t="s">
        <v>373</v>
      </c>
      <c r="I3989" t="s">
        <v>3852</v>
      </c>
      <c r="J3989" t="s">
        <v>821</v>
      </c>
      <c r="K3989">
        <v>11</v>
      </c>
      <c r="L3989" s="6">
        <v>3.3</v>
      </c>
      <c r="M3989" s="7">
        <v>40</v>
      </c>
      <c r="N3989" s="7">
        <v>140</v>
      </c>
      <c r="O3989" s="7">
        <f t="shared" si="342"/>
        <v>129.92125984251967</v>
      </c>
      <c r="P3989" s="7">
        <f t="shared" si="349"/>
        <v>1.5748031496062993</v>
      </c>
      <c r="Q3989" s="7">
        <f t="shared" si="349"/>
        <v>5.5118110236220472</v>
      </c>
      <c r="R3989" s="6">
        <f t="shared" si="344"/>
        <v>585.86400000000003</v>
      </c>
      <c r="S3989" s="6">
        <f t="shared" si="345"/>
        <v>1.848E-2</v>
      </c>
      <c r="T3989" t="str">
        <f t="shared" si="348"/>
        <v>Maximo Thermo Ayous S4S E4E Burn Blocked 2x6 Long</v>
      </c>
    </row>
    <row r="3990" spans="1:20" x14ac:dyDescent="0.25">
      <c r="A3990" t="s">
        <v>3073</v>
      </c>
      <c r="B3990" t="s">
        <v>3074</v>
      </c>
      <c r="C3990" t="s">
        <v>283</v>
      </c>
      <c r="D3990" t="s">
        <v>3044</v>
      </c>
      <c r="E3990" t="s">
        <v>4799</v>
      </c>
      <c r="F3990" t="s">
        <v>4797</v>
      </c>
      <c r="G3990" t="s">
        <v>3077</v>
      </c>
      <c r="H3990" t="s">
        <v>373</v>
      </c>
      <c r="I3990" t="s">
        <v>3852</v>
      </c>
      <c r="J3990" t="s">
        <v>821</v>
      </c>
      <c r="K3990">
        <v>12</v>
      </c>
      <c r="L3990" s="6">
        <v>3.6</v>
      </c>
      <c r="M3990" s="7">
        <v>40</v>
      </c>
      <c r="N3990" s="7">
        <v>140</v>
      </c>
      <c r="O3990" s="7">
        <f t="shared" si="342"/>
        <v>141.73228346456693</v>
      </c>
      <c r="P3990" s="7">
        <f t="shared" si="349"/>
        <v>1.5748031496062993</v>
      </c>
      <c r="Q3990" s="7">
        <f t="shared" si="349"/>
        <v>5.5118110236220472</v>
      </c>
      <c r="R3990" s="6">
        <f t="shared" si="344"/>
        <v>585.86400000000003</v>
      </c>
      <c r="S3990" s="6">
        <f t="shared" si="345"/>
        <v>2.0160000000000001E-2</v>
      </c>
      <c r="T3990" t="str">
        <f t="shared" si="348"/>
        <v>Maximo Thermo Ayous S4S E4E Burn Blocked 2x6 Long</v>
      </c>
    </row>
    <row r="3991" spans="1:20" x14ac:dyDescent="0.25">
      <c r="A3991" t="s">
        <v>3073</v>
      </c>
      <c r="B3991" t="s">
        <v>3074</v>
      </c>
      <c r="C3991" t="s">
        <v>283</v>
      </c>
      <c r="D3991" t="s">
        <v>3044</v>
      </c>
      <c r="E3991" t="s">
        <v>4800</v>
      </c>
      <c r="F3991" t="s">
        <v>4797</v>
      </c>
      <c r="G3991" t="s">
        <v>3077</v>
      </c>
      <c r="H3991" t="s">
        <v>373</v>
      </c>
      <c r="I3991" t="s">
        <v>3852</v>
      </c>
      <c r="J3991" t="s">
        <v>821</v>
      </c>
      <c r="K3991">
        <v>13</v>
      </c>
      <c r="L3991" s="6">
        <v>3.9</v>
      </c>
      <c r="M3991" s="7">
        <v>40</v>
      </c>
      <c r="N3991" s="7">
        <v>140</v>
      </c>
      <c r="O3991" s="7">
        <f t="shared" si="342"/>
        <v>153.54330708661416</v>
      </c>
      <c r="P3991" s="7">
        <f t="shared" si="349"/>
        <v>1.5748031496062993</v>
      </c>
      <c r="Q3991" s="7">
        <f t="shared" si="349"/>
        <v>5.5118110236220472</v>
      </c>
      <c r="R3991" s="6">
        <f t="shared" si="344"/>
        <v>585.86400000000003</v>
      </c>
      <c r="S3991" s="6">
        <f t="shared" si="345"/>
        <v>2.1839999999999998E-2</v>
      </c>
      <c r="T3991" t="str">
        <f t="shared" si="348"/>
        <v>Maximo Thermo Ayous S4S E4E Burn Blocked 2x6 Long</v>
      </c>
    </row>
    <row r="3992" spans="1:20" x14ac:dyDescent="0.25">
      <c r="A3992" t="s">
        <v>3073</v>
      </c>
      <c r="B3992" t="s">
        <v>3074</v>
      </c>
      <c r="C3992" t="s">
        <v>283</v>
      </c>
      <c r="D3992" t="s">
        <v>3044</v>
      </c>
      <c r="E3992" t="s">
        <v>4801</v>
      </c>
      <c r="F3992" t="s">
        <v>4797</v>
      </c>
      <c r="G3992" t="s">
        <v>3077</v>
      </c>
      <c r="H3992" t="s">
        <v>373</v>
      </c>
      <c r="I3992" t="s">
        <v>3852</v>
      </c>
      <c r="J3992" t="s">
        <v>821</v>
      </c>
      <c r="K3992">
        <v>14</v>
      </c>
      <c r="L3992" s="6">
        <v>4.2</v>
      </c>
      <c r="M3992" s="7">
        <v>40</v>
      </c>
      <c r="N3992" s="7">
        <v>140</v>
      </c>
      <c r="O3992" s="7">
        <f t="shared" ref="O3992:O4002" si="350">L3992/0.0254</f>
        <v>165.35433070866142</v>
      </c>
      <c r="P3992" s="7">
        <f t="shared" ref="P3992:Q4002" si="351">M3992/25.4</f>
        <v>1.5748031496062993</v>
      </c>
      <c r="Q3992" s="7">
        <f t="shared" si="351"/>
        <v>5.5118110236220472</v>
      </c>
      <c r="R3992" s="6">
        <f t="shared" ref="R3992:R4002" si="352">ROUND(IFERROR(1/((M3992*N3992*0.3048)/1000000),0),3)</f>
        <v>585.86400000000003</v>
      </c>
      <c r="S3992" s="6">
        <f t="shared" ref="S3992:S4002" si="353">L3992*M3992/1000*N3992/1000</f>
        <v>2.3520000000000003E-2</v>
      </c>
      <c r="T3992" t="str">
        <f t="shared" si="348"/>
        <v>Maximo Thermo Ayous S4S E4E Burn Blocked 2x6 Long</v>
      </c>
    </row>
    <row r="3993" spans="1:20" x14ac:dyDescent="0.25">
      <c r="A3993" t="s">
        <v>3073</v>
      </c>
      <c r="B3993" t="s">
        <v>3074</v>
      </c>
      <c r="C3993" t="s">
        <v>283</v>
      </c>
      <c r="D3993" t="s">
        <v>3044</v>
      </c>
      <c r="E3993" t="s">
        <v>4802</v>
      </c>
      <c r="F3993" t="s">
        <v>4797</v>
      </c>
      <c r="G3993" t="s">
        <v>3077</v>
      </c>
      <c r="H3993" t="s">
        <v>373</v>
      </c>
      <c r="I3993" t="s">
        <v>3852</v>
      </c>
      <c r="J3993" t="s">
        <v>821</v>
      </c>
      <c r="K3993">
        <v>15</v>
      </c>
      <c r="L3993" s="6">
        <v>4.5</v>
      </c>
      <c r="M3993" s="7">
        <v>40</v>
      </c>
      <c r="N3993" s="7">
        <v>140</v>
      </c>
      <c r="O3993" s="7">
        <f t="shared" si="350"/>
        <v>177.16535433070868</v>
      </c>
      <c r="P3993" s="7">
        <f t="shared" si="351"/>
        <v>1.5748031496062993</v>
      </c>
      <c r="Q3993" s="7">
        <f t="shared" si="351"/>
        <v>5.5118110236220472</v>
      </c>
      <c r="R3993" s="6">
        <f t="shared" si="352"/>
        <v>585.86400000000003</v>
      </c>
      <c r="S3993" s="6">
        <f t="shared" si="353"/>
        <v>2.52E-2</v>
      </c>
      <c r="T3993" t="str">
        <f t="shared" si="348"/>
        <v>Maximo Thermo Ayous S4S E4E Burn Blocked 2x6 Long</v>
      </c>
    </row>
    <row r="3994" spans="1:20" x14ac:dyDescent="0.25">
      <c r="A3994" t="s">
        <v>3073</v>
      </c>
      <c r="B3994" t="s">
        <v>3074</v>
      </c>
      <c r="C3994" t="s">
        <v>283</v>
      </c>
      <c r="D3994" t="s">
        <v>3044</v>
      </c>
      <c r="E3994" t="s">
        <v>4803</v>
      </c>
      <c r="F3994" t="s">
        <v>4797</v>
      </c>
      <c r="G3994" t="s">
        <v>3077</v>
      </c>
      <c r="H3994" t="s">
        <v>373</v>
      </c>
      <c r="I3994" t="s">
        <v>3852</v>
      </c>
      <c r="J3994" t="s">
        <v>821</v>
      </c>
      <c r="K3994">
        <v>16</v>
      </c>
      <c r="L3994" s="6">
        <v>4.8</v>
      </c>
      <c r="M3994" s="7">
        <v>40</v>
      </c>
      <c r="N3994" s="7">
        <v>140</v>
      </c>
      <c r="O3994" s="7">
        <f t="shared" si="350"/>
        <v>188.97637795275591</v>
      </c>
      <c r="P3994" s="7">
        <f t="shared" si="351"/>
        <v>1.5748031496062993</v>
      </c>
      <c r="Q3994" s="7">
        <f t="shared" si="351"/>
        <v>5.5118110236220472</v>
      </c>
      <c r="R3994" s="6">
        <f t="shared" si="352"/>
        <v>585.86400000000003</v>
      </c>
      <c r="S3994" s="6">
        <f t="shared" si="353"/>
        <v>2.6879999999999998E-2</v>
      </c>
      <c r="T3994" t="str">
        <f t="shared" si="348"/>
        <v>Maximo Thermo Ayous S4S E4E Burn Blocked 2x6 Long</v>
      </c>
    </row>
    <row r="3995" spans="1:20" x14ac:dyDescent="0.25">
      <c r="A3995" t="s">
        <v>3073</v>
      </c>
      <c r="B3995" t="s">
        <v>3074</v>
      </c>
      <c r="C3995" t="s">
        <v>283</v>
      </c>
      <c r="D3995" t="s">
        <v>3044</v>
      </c>
      <c r="E3995" t="s">
        <v>4804</v>
      </c>
      <c r="F3995" t="s">
        <v>4797</v>
      </c>
      <c r="G3995" t="s">
        <v>3077</v>
      </c>
      <c r="H3995" t="s">
        <v>373</v>
      </c>
      <c r="I3995" t="s">
        <v>3852</v>
      </c>
      <c r="J3995" t="s">
        <v>821</v>
      </c>
      <c r="K3995">
        <v>17</v>
      </c>
      <c r="L3995" s="6">
        <v>5.0999999999999996</v>
      </c>
      <c r="M3995" s="7">
        <v>40</v>
      </c>
      <c r="N3995" s="7">
        <v>140</v>
      </c>
      <c r="O3995" s="7">
        <f t="shared" si="350"/>
        <v>200.78740157480314</v>
      </c>
      <c r="P3995" s="7">
        <f t="shared" si="351"/>
        <v>1.5748031496062993</v>
      </c>
      <c r="Q3995" s="7">
        <f t="shared" si="351"/>
        <v>5.5118110236220472</v>
      </c>
      <c r="R3995" s="6">
        <f t="shared" si="352"/>
        <v>585.86400000000003</v>
      </c>
      <c r="S3995" s="6">
        <f t="shared" si="353"/>
        <v>2.8559999999999999E-2</v>
      </c>
      <c r="T3995" t="str">
        <f t="shared" si="348"/>
        <v>Maximo Thermo Ayous S4S E4E Burn Blocked 2x6 Long</v>
      </c>
    </row>
    <row r="3996" spans="1:20" x14ac:dyDescent="0.25">
      <c r="A3996" t="s">
        <v>3073</v>
      </c>
      <c r="B3996" t="s">
        <v>3074</v>
      </c>
      <c r="C3996" t="s">
        <v>283</v>
      </c>
      <c r="D3996" t="s">
        <v>3044</v>
      </c>
      <c r="E3996" t="s">
        <v>4805</v>
      </c>
      <c r="F3996" t="s">
        <v>4797</v>
      </c>
      <c r="G3996" t="s">
        <v>3077</v>
      </c>
      <c r="H3996" t="s">
        <v>373</v>
      </c>
      <c r="I3996" t="s">
        <v>3852</v>
      </c>
      <c r="J3996" t="s">
        <v>821</v>
      </c>
      <c r="K3996">
        <v>18</v>
      </c>
      <c r="L3996" s="6">
        <v>5.4</v>
      </c>
      <c r="M3996" s="7">
        <v>40</v>
      </c>
      <c r="N3996" s="7">
        <v>140</v>
      </c>
      <c r="O3996" s="7">
        <f t="shared" si="350"/>
        <v>212.59842519685043</v>
      </c>
      <c r="P3996" s="7">
        <f t="shared" si="351"/>
        <v>1.5748031496062993</v>
      </c>
      <c r="Q3996" s="7">
        <f t="shared" si="351"/>
        <v>5.5118110236220472</v>
      </c>
      <c r="R3996" s="6">
        <f t="shared" si="352"/>
        <v>585.86400000000003</v>
      </c>
      <c r="S3996" s="6">
        <f t="shared" si="353"/>
        <v>3.024E-2</v>
      </c>
      <c r="T3996" t="str">
        <f t="shared" si="348"/>
        <v>Maximo Thermo Ayous S4S E4E Burn Blocked 2x6 Long</v>
      </c>
    </row>
    <row r="3997" spans="1:20" x14ac:dyDescent="0.25">
      <c r="A3997" t="s">
        <v>3073</v>
      </c>
      <c r="B3997" t="s">
        <v>3074</v>
      </c>
      <c r="C3997" t="s">
        <v>524</v>
      </c>
      <c r="D3997" t="s">
        <v>3044</v>
      </c>
      <c r="E3997" t="s">
        <v>4806</v>
      </c>
      <c r="F3997" t="s">
        <v>4797</v>
      </c>
      <c r="G3997" t="s">
        <v>3077</v>
      </c>
      <c r="H3997" t="s">
        <v>373</v>
      </c>
      <c r="I3997" t="s">
        <v>3852</v>
      </c>
      <c r="J3997" t="s">
        <v>821</v>
      </c>
      <c r="K3997">
        <v>4</v>
      </c>
      <c r="L3997" s="6">
        <v>1.2</v>
      </c>
      <c r="M3997" s="7">
        <v>40</v>
      </c>
      <c r="N3997" s="7">
        <v>140</v>
      </c>
      <c r="O3997" s="7">
        <f t="shared" si="350"/>
        <v>47.244094488188978</v>
      </c>
      <c r="P3997" s="7">
        <f t="shared" si="351"/>
        <v>1.5748031496062993</v>
      </c>
      <c r="Q3997" s="7">
        <f t="shared" si="351"/>
        <v>5.5118110236220472</v>
      </c>
      <c r="R3997" s="6">
        <f t="shared" si="352"/>
        <v>585.86400000000003</v>
      </c>
      <c r="S3997" s="6">
        <f t="shared" si="353"/>
        <v>6.7199999999999994E-3</v>
      </c>
      <c r="T3997" t="str">
        <f t="shared" si="348"/>
        <v>Maximo Thermo Ayous S4S E4E Burn Blocked 2x6 Short</v>
      </c>
    </row>
    <row r="3998" spans="1:20" x14ac:dyDescent="0.25">
      <c r="A3998" t="s">
        <v>3073</v>
      </c>
      <c r="B3998" t="s">
        <v>3074</v>
      </c>
      <c r="C3998" t="s">
        <v>524</v>
      </c>
      <c r="D3998" t="s">
        <v>3044</v>
      </c>
      <c r="E3998" t="s">
        <v>4807</v>
      </c>
      <c r="F3998" t="s">
        <v>4797</v>
      </c>
      <c r="G3998" t="s">
        <v>3077</v>
      </c>
      <c r="H3998" t="s">
        <v>373</v>
      </c>
      <c r="I3998" t="s">
        <v>3852</v>
      </c>
      <c r="J3998" t="s">
        <v>821</v>
      </c>
      <c r="K3998">
        <v>5</v>
      </c>
      <c r="L3998" s="6">
        <v>1.5</v>
      </c>
      <c r="M3998" s="7">
        <v>40</v>
      </c>
      <c r="N3998" s="7">
        <v>140</v>
      </c>
      <c r="O3998" s="7">
        <f t="shared" si="350"/>
        <v>59.055118110236222</v>
      </c>
      <c r="P3998" s="7">
        <f t="shared" si="351"/>
        <v>1.5748031496062993</v>
      </c>
      <c r="Q3998" s="7">
        <f t="shared" si="351"/>
        <v>5.5118110236220472</v>
      </c>
      <c r="R3998" s="6">
        <f t="shared" si="352"/>
        <v>585.86400000000003</v>
      </c>
      <c r="S3998" s="6">
        <f t="shared" si="353"/>
        <v>8.4000000000000012E-3</v>
      </c>
      <c r="T3998" t="str">
        <f t="shared" si="348"/>
        <v>Maximo Thermo Ayous S4S E4E Burn Blocked 2x6 Short</v>
      </c>
    </row>
    <row r="3999" spans="1:20" x14ac:dyDescent="0.25">
      <c r="A3999" t="s">
        <v>3073</v>
      </c>
      <c r="B3999" t="s">
        <v>3074</v>
      </c>
      <c r="C3999" t="s">
        <v>524</v>
      </c>
      <c r="D3999" t="s">
        <v>3044</v>
      </c>
      <c r="E3999" t="s">
        <v>4808</v>
      </c>
      <c r="F3999" t="s">
        <v>4797</v>
      </c>
      <c r="G3999" t="s">
        <v>3077</v>
      </c>
      <c r="H3999" t="s">
        <v>373</v>
      </c>
      <c r="I3999" t="s">
        <v>3852</v>
      </c>
      <c r="J3999" t="s">
        <v>821</v>
      </c>
      <c r="K3999">
        <v>6</v>
      </c>
      <c r="L3999" s="6">
        <v>1.8</v>
      </c>
      <c r="M3999" s="7">
        <v>40</v>
      </c>
      <c r="N3999" s="7">
        <v>140</v>
      </c>
      <c r="O3999" s="7">
        <f t="shared" si="350"/>
        <v>70.866141732283467</v>
      </c>
      <c r="P3999" s="7">
        <f t="shared" si="351"/>
        <v>1.5748031496062993</v>
      </c>
      <c r="Q3999" s="7">
        <f t="shared" si="351"/>
        <v>5.5118110236220472</v>
      </c>
      <c r="R3999" s="6">
        <f t="shared" si="352"/>
        <v>585.86400000000003</v>
      </c>
      <c r="S3999" s="6">
        <f t="shared" si="353"/>
        <v>1.008E-2</v>
      </c>
      <c r="T3999" t="str">
        <f t="shared" si="348"/>
        <v>Maximo Thermo Ayous S4S E4E Burn Blocked 2x6 Short</v>
      </c>
    </row>
    <row r="4000" spans="1:20" x14ac:dyDescent="0.25">
      <c r="A4000" t="s">
        <v>3073</v>
      </c>
      <c r="B4000" t="s">
        <v>3074</v>
      </c>
      <c r="C4000" t="s">
        <v>524</v>
      </c>
      <c r="D4000" t="s">
        <v>3044</v>
      </c>
      <c r="E4000" t="s">
        <v>4809</v>
      </c>
      <c r="F4000" t="s">
        <v>4797</v>
      </c>
      <c r="G4000" t="s">
        <v>3077</v>
      </c>
      <c r="H4000" t="s">
        <v>373</v>
      </c>
      <c r="I4000" t="s">
        <v>3852</v>
      </c>
      <c r="J4000" t="s">
        <v>821</v>
      </c>
      <c r="K4000">
        <v>7</v>
      </c>
      <c r="L4000" s="6">
        <v>2.1</v>
      </c>
      <c r="M4000" s="7">
        <v>40</v>
      </c>
      <c r="N4000" s="7">
        <v>140</v>
      </c>
      <c r="O4000" s="7">
        <f t="shared" si="350"/>
        <v>82.677165354330711</v>
      </c>
      <c r="P4000" s="7">
        <f t="shared" si="351"/>
        <v>1.5748031496062993</v>
      </c>
      <c r="Q4000" s="7">
        <f t="shared" si="351"/>
        <v>5.5118110236220472</v>
      </c>
      <c r="R4000" s="6">
        <f t="shared" si="352"/>
        <v>585.86400000000003</v>
      </c>
      <c r="S4000" s="6">
        <f t="shared" si="353"/>
        <v>1.1760000000000001E-2</v>
      </c>
      <c r="T4000" t="str">
        <f t="shared" si="348"/>
        <v>Maximo Thermo Ayous S4S E4E Burn Blocked 2x6 Short</v>
      </c>
    </row>
    <row r="4001" spans="1:20" x14ac:dyDescent="0.25">
      <c r="A4001" t="s">
        <v>3073</v>
      </c>
      <c r="B4001" t="s">
        <v>3074</v>
      </c>
      <c r="C4001" t="s">
        <v>283</v>
      </c>
      <c r="D4001" t="s">
        <v>3044</v>
      </c>
      <c r="E4001" t="s">
        <v>4810</v>
      </c>
      <c r="F4001" t="s">
        <v>4797</v>
      </c>
      <c r="G4001" t="s">
        <v>3077</v>
      </c>
      <c r="H4001" t="s">
        <v>373</v>
      </c>
      <c r="I4001" t="s">
        <v>3852</v>
      </c>
      <c r="J4001" t="s">
        <v>821</v>
      </c>
      <c r="K4001">
        <v>8</v>
      </c>
      <c r="L4001" s="6">
        <v>2.4</v>
      </c>
      <c r="M4001" s="7">
        <v>40</v>
      </c>
      <c r="N4001" s="7">
        <v>140</v>
      </c>
      <c r="O4001" s="7">
        <f t="shared" si="350"/>
        <v>94.488188976377955</v>
      </c>
      <c r="P4001" s="7">
        <f t="shared" si="351"/>
        <v>1.5748031496062993</v>
      </c>
      <c r="Q4001" s="7">
        <f t="shared" si="351"/>
        <v>5.5118110236220472</v>
      </c>
      <c r="R4001" s="6">
        <f t="shared" si="352"/>
        <v>585.86400000000003</v>
      </c>
      <c r="S4001" s="6">
        <f t="shared" si="353"/>
        <v>1.3439999999999999E-2</v>
      </c>
      <c r="T4001" t="str">
        <f t="shared" si="348"/>
        <v>Maximo Thermo Ayous S4S E4E Burn Blocked 2x6 Long</v>
      </c>
    </row>
    <row r="4002" spans="1:20" x14ac:dyDescent="0.25">
      <c r="A4002" t="s">
        <v>3073</v>
      </c>
      <c r="B4002" t="s">
        <v>3074</v>
      </c>
      <c r="C4002" t="s">
        <v>283</v>
      </c>
      <c r="D4002" t="s">
        <v>3044</v>
      </c>
      <c r="E4002" t="s">
        <v>4811</v>
      </c>
      <c r="F4002" t="s">
        <v>4797</v>
      </c>
      <c r="G4002" t="s">
        <v>3077</v>
      </c>
      <c r="H4002" t="s">
        <v>373</v>
      </c>
      <c r="I4002" t="s">
        <v>3852</v>
      </c>
      <c r="J4002" t="s">
        <v>821</v>
      </c>
      <c r="K4002">
        <v>9</v>
      </c>
      <c r="L4002" s="6">
        <v>2.7</v>
      </c>
      <c r="M4002" s="7">
        <v>40</v>
      </c>
      <c r="N4002" s="7">
        <v>140</v>
      </c>
      <c r="O4002" s="7">
        <f t="shared" si="350"/>
        <v>106.29921259842521</v>
      </c>
      <c r="P4002" s="7">
        <f t="shared" si="351"/>
        <v>1.5748031496062993</v>
      </c>
      <c r="Q4002" s="7">
        <f t="shared" si="351"/>
        <v>5.5118110236220472</v>
      </c>
      <c r="R4002" s="6">
        <f t="shared" si="352"/>
        <v>585.86400000000003</v>
      </c>
      <c r="S4002" s="6">
        <f t="shared" si="353"/>
        <v>1.512E-2</v>
      </c>
      <c r="T4002" t="str">
        <f t="shared" si="348"/>
        <v>Maximo Thermo Ayous S4S E4E Burn Blocked 2x6 Long</v>
      </c>
    </row>
    <row r="4003" spans="1:20" x14ac:dyDescent="0.25">
      <c r="A4003" t="s">
        <v>2824</v>
      </c>
      <c r="B4003" t="s">
        <v>2871</v>
      </c>
      <c r="C4003" t="s">
        <v>2824</v>
      </c>
      <c r="D4003" t="s">
        <v>2826</v>
      </c>
      <c r="E4003" t="s">
        <v>4812</v>
      </c>
      <c r="F4003" t="s">
        <v>2871</v>
      </c>
      <c r="G4003" t="s">
        <v>289</v>
      </c>
      <c r="H4003" t="s">
        <v>289</v>
      </c>
      <c r="I4003" t="s">
        <v>289</v>
      </c>
      <c r="J4003">
        <v>0</v>
      </c>
      <c r="K4003">
        <v>0</v>
      </c>
      <c r="L4003" s="6">
        <v>0</v>
      </c>
      <c r="M4003" s="7">
        <v>0</v>
      </c>
      <c r="N4003" s="7">
        <v>0</v>
      </c>
      <c r="O4003" s="7">
        <v>0</v>
      </c>
      <c r="P4003" s="7">
        <v>0</v>
      </c>
      <c r="Q4003" s="7">
        <v>0</v>
      </c>
      <c r="R4003" s="6">
        <v>0</v>
      </c>
      <c r="S4003" s="6">
        <v>0</v>
      </c>
      <c r="T4003" t="str">
        <f t="shared" si="348"/>
        <v>Painting Services</v>
      </c>
    </row>
    <row r="4004" spans="1:20" x14ac:dyDescent="0.25">
      <c r="A4004" t="s">
        <v>2824</v>
      </c>
      <c r="B4004" t="s">
        <v>2871</v>
      </c>
      <c r="C4004" t="s">
        <v>2824</v>
      </c>
      <c r="D4004" t="s">
        <v>2826</v>
      </c>
      <c r="E4004" t="s">
        <v>4813</v>
      </c>
      <c r="F4004" t="s">
        <v>2871</v>
      </c>
      <c r="G4004" t="s">
        <v>289</v>
      </c>
      <c r="H4004" t="s">
        <v>289</v>
      </c>
      <c r="I4004" t="s">
        <v>289</v>
      </c>
      <c r="J4004">
        <v>0</v>
      </c>
      <c r="K4004">
        <v>0</v>
      </c>
      <c r="L4004" s="6">
        <v>0</v>
      </c>
      <c r="M4004" s="7">
        <v>0</v>
      </c>
      <c r="N4004" s="7">
        <v>0</v>
      </c>
      <c r="O4004" s="7">
        <v>0</v>
      </c>
      <c r="P4004" s="7">
        <v>0</v>
      </c>
      <c r="Q4004" s="7">
        <v>0</v>
      </c>
      <c r="R4004" s="6">
        <v>0</v>
      </c>
      <c r="S4004" s="6">
        <v>0</v>
      </c>
      <c r="T4004" t="str">
        <f t="shared" si="348"/>
        <v>Painting Services</v>
      </c>
    </row>
    <row r="4005" spans="1:20" x14ac:dyDescent="0.25">
      <c r="A4005" t="s">
        <v>4814</v>
      </c>
      <c r="B4005" t="s">
        <v>4815</v>
      </c>
      <c r="C4005" t="s">
        <v>283</v>
      </c>
      <c r="D4005" t="s">
        <v>438</v>
      </c>
      <c r="E4005" t="s">
        <v>4816</v>
      </c>
      <c r="F4005" t="s">
        <v>4817</v>
      </c>
      <c r="G4005" t="s">
        <v>4814</v>
      </c>
      <c r="H4005" t="s">
        <v>373</v>
      </c>
      <c r="I4005" t="s">
        <v>289</v>
      </c>
      <c r="J4005" t="s">
        <v>301</v>
      </c>
      <c r="K4005">
        <v>8</v>
      </c>
      <c r="L4005" s="6">
        <v>2.4384000000000001</v>
      </c>
      <c r="M4005" s="7">
        <v>25.4</v>
      </c>
      <c r="N4005" s="7">
        <v>139.69999999999999</v>
      </c>
      <c r="O4005" s="7">
        <f t="shared" ref="O4005:O4011" si="354">L4005/0.0254</f>
        <v>96.000000000000014</v>
      </c>
      <c r="P4005" s="7">
        <f t="shared" ref="P4005:Q4011" si="355">M4005/25.4</f>
        <v>1</v>
      </c>
      <c r="Q4005" s="7">
        <f t="shared" si="355"/>
        <v>5.5</v>
      </c>
      <c r="R4005" s="6">
        <f t="shared" ref="R4005:R4011" si="356">ROUND(IFERROR(1/((M4005*N4005*0.3048)/1000000),0),3)</f>
        <v>924.60199999999998</v>
      </c>
      <c r="S4005" s="6">
        <f t="shared" ref="S4005:S4011" si="357">L4005*M4005/1000*N4005/1000</f>
        <v>8.6523697920000003E-3</v>
      </c>
      <c r="T4005" t="str">
        <f t="shared" si="348"/>
        <v>Red Balau S4S E4E 5/4x6 Long</v>
      </c>
    </row>
    <row r="4006" spans="1:20" x14ac:dyDescent="0.25">
      <c r="A4006" t="s">
        <v>4814</v>
      </c>
      <c r="B4006" t="s">
        <v>4815</v>
      </c>
      <c r="C4006" t="s">
        <v>283</v>
      </c>
      <c r="D4006" t="s">
        <v>438</v>
      </c>
      <c r="E4006" t="s">
        <v>4818</v>
      </c>
      <c r="F4006" t="s">
        <v>4817</v>
      </c>
      <c r="G4006" t="s">
        <v>4814</v>
      </c>
      <c r="H4006" t="s">
        <v>373</v>
      </c>
      <c r="I4006" t="s">
        <v>289</v>
      </c>
      <c r="J4006" t="s">
        <v>301</v>
      </c>
      <c r="K4006">
        <v>10</v>
      </c>
      <c r="L4006" s="6">
        <v>3.048</v>
      </c>
      <c r="M4006" s="7">
        <v>25.4</v>
      </c>
      <c r="N4006" s="7">
        <v>139.69999999999999</v>
      </c>
      <c r="O4006" s="7">
        <f t="shared" si="354"/>
        <v>120</v>
      </c>
      <c r="P4006" s="7">
        <f t="shared" si="355"/>
        <v>1</v>
      </c>
      <c r="Q4006" s="7">
        <f t="shared" si="355"/>
        <v>5.5</v>
      </c>
      <c r="R4006" s="6">
        <f t="shared" si="356"/>
        <v>924.60199999999998</v>
      </c>
      <c r="S4006" s="6">
        <f t="shared" si="357"/>
        <v>1.081546224E-2</v>
      </c>
      <c r="T4006" t="str">
        <f t="shared" si="348"/>
        <v>Red Balau S4S E4E 5/4x6 Long</v>
      </c>
    </row>
    <row r="4007" spans="1:20" x14ac:dyDescent="0.25">
      <c r="A4007" t="s">
        <v>4814</v>
      </c>
      <c r="B4007" t="s">
        <v>4815</v>
      </c>
      <c r="C4007" t="s">
        <v>283</v>
      </c>
      <c r="D4007" t="s">
        <v>438</v>
      </c>
      <c r="E4007" t="s">
        <v>4819</v>
      </c>
      <c r="F4007" t="s">
        <v>4817</v>
      </c>
      <c r="G4007" t="s">
        <v>4814</v>
      </c>
      <c r="H4007" t="s">
        <v>373</v>
      </c>
      <c r="I4007" t="s">
        <v>289</v>
      </c>
      <c r="J4007" t="s">
        <v>301</v>
      </c>
      <c r="K4007">
        <v>12</v>
      </c>
      <c r="L4007" s="6">
        <v>3.6576</v>
      </c>
      <c r="M4007" s="7">
        <v>25.4</v>
      </c>
      <c r="N4007" s="7">
        <v>139.69999999999999</v>
      </c>
      <c r="O4007" s="7">
        <f t="shared" si="354"/>
        <v>144</v>
      </c>
      <c r="P4007" s="7">
        <f t="shared" si="355"/>
        <v>1</v>
      </c>
      <c r="Q4007" s="7">
        <f t="shared" si="355"/>
        <v>5.5</v>
      </c>
      <c r="R4007" s="6">
        <f t="shared" si="356"/>
        <v>924.60199999999998</v>
      </c>
      <c r="S4007" s="6">
        <f t="shared" si="357"/>
        <v>1.2978554687999997E-2</v>
      </c>
      <c r="T4007" t="str">
        <f t="shared" si="348"/>
        <v>Red Balau S4S E4E 5/4x6 Long</v>
      </c>
    </row>
    <row r="4008" spans="1:20" x14ac:dyDescent="0.25">
      <c r="A4008" t="s">
        <v>4814</v>
      </c>
      <c r="B4008" t="s">
        <v>4815</v>
      </c>
      <c r="C4008" t="s">
        <v>283</v>
      </c>
      <c r="D4008" t="s">
        <v>438</v>
      </c>
      <c r="E4008" t="s">
        <v>4820</v>
      </c>
      <c r="F4008" t="s">
        <v>4817</v>
      </c>
      <c r="G4008" t="s">
        <v>4814</v>
      </c>
      <c r="H4008" t="s">
        <v>373</v>
      </c>
      <c r="I4008" t="s">
        <v>289</v>
      </c>
      <c r="J4008" t="s">
        <v>301</v>
      </c>
      <c r="K4008">
        <v>14</v>
      </c>
      <c r="L4008" s="6">
        <v>4.2671999999999999</v>
      </c>
      <c r="M4008" s="7">
        <v>25.4</v>
      </c>
      <c r="N4008" s="7">
        <v>139.69999999999999</v>
      </c>
      <c r="O4008" s="7">
        <f t="shared" si="354"/>
        <v>168</v>
      </c>
      <c r="P4008" s="7">
        <f t="shared" si="355"/>
        <v>1</v>
      </c>
      <c r="Q4008" s="7">
        <f t="shared" si="355"/>
        <v>5.5</v>
      </c>
      <c r="R4008" s="6">
        <f t="shared" si="356"/>
        <v>924.60199999999998</v>
      </c>
      <c r="S4008" s="6">
        <f t="shared" si="357"/>
        <v>1.5141647135999997E-2</v>
      </c>
      <c r="T4008" t="str">
        <f t="shared" si="348"/>
        <v>Red Balau S4S E4E 5/4x6 Long</v>
      </c>
    </row>
    <row r="4009" spans="1:20" x14ac:dyDescent="0.25">
      <c r="A4009" t="s">
        <v>4814</v>
      </c>
      <c r="B4009" t="s">
        <v>4815</v>
      </c>
      <c r="C4009" t="s">
        <v>283</v>
      </c>
      <c r="D4009" t="s">
        <v>438</v>
      </c>
      <c r="E4009" t="s">
        <v>4821</v>
      </c>
      <c r="F4009" t="s">
        <v>4817</v>
      </c>
      <c r="G4009" t="s">
        <v>4814</v>
      </c>
      <c r="H4009" t="s">
        <v>373</v>
      </c>
      <c r="I4009" t="s">
        <v>289</v>
      </c>
      <c r="J4009" t="s">
        <v>301</v>
      </c>
      <c r="K4009">
        <v>16</v>
      </c>
      <c r="L4009" s="6">
        <v>4.8768000000000002</v>
      </c>
      <c r="M4009" s="7">
        <v>25.4</v>
      </c>
      <c r="N4009" s="7">
        <v>139.69999999999999</v>
      </c>
      <c r="O4009" s="7">
        <f t="shared" si="354"/>
        <v>192.00000000000003</v>
      </c>
      <c r="P4009" s="7">
        <f t="shared" si="355"/>
        <v>1</v>
      </c>
      <c r="Q4009" s="7">
        <f t="shared" si="355"/>
        <v>5.5</v>
      </c>
      <c r="R4009" s="6">
        <f t="shared" si="356"/>
        <v>924.60199999999998</v>
      </c>
      <c r="S4009" s="6">
        <f t="shared" si="357"/>
        <v>1.7304739584000001E-2</v>
      </c>
      <c r="T4009" t="str">
        <f t="shared" si="348"/>
        <v>Red Balau S4S E4E 5/4x6 Long</v>
      </c>
    </row>
    <row r="4010" spans="1:20" x14ac:dyDescent="0.25">
      <c r="A4010" t="s">
        <v>4814</v>
      </c>
      <c r="B4010" t="s">
        <v>4815</v>
      </c>
      <c r="C4010" t="s">
        <v>283</v>
      </c>
      <c r="D4010" t="s">
        <v>438</v>
      </c>
      <c r="E4010" t="s">
        <v>4822</v>
      </c>
      <c r="F4010" t="s">
        <v>4817</v>
      </c>
      <c r="G4010" t="s">
        <v>4814</v>
      </c>
      <c r="H4010" t="s">
        <v>373</v>
      </c>
      <c r="I4010" t="s">
        <v>289</v>
      </c>
      <c r="J4010" t="s">
        <v>301</v>
      </c>
      <c r="K4010">
        <v>18</v>
      </c>
      <c r="L4010" s="6">
        <v>5.4863999999999997</v>
      </c>
      <c r="M4010" s="7">
        <v>25.4</v>
      </c>
      <c r="N4010" s="7">
        <v>139.69999999999999</v>
      </c>
      <c r="O4010" s="7">
        <f t="shared" si="354"/>
        <v>216</v>
      </c>
      <c r="P4010" s="7">
        <f t="shared" si="355"/>
        <v>1</v>
      </c>
      <c r="Q4010" s="7">
        <f t="shared" si="355"/>
        <v>5.5</v>
      </c>
      <c r="R4010" s="6">
        <f t="shared" si="356"/>
        <v>924.60199999999998</v>
      </c>
      <c r="S4010" s="6">
        <f t="shared" si="357"/>
        <v>1.9467832031999997E-2</v>
      </c>
      <c r="T4010" t="str">
        <f t="shared" si="348"/>
        <v>Red Balau S4S E4E 5/4x6 Long</v>
      </c>
    </row>
    <row r="4011" spans="1:20" x14ac:dyDescent="0.25">
      <c r="A4011" t="s">
        <v>4814</v>
      </c>
      <c r="B4011" t="s">
        <v>4815</v>
      </c>
      <c r="C4011" t="s">
        <v>283</v>
      </c>
      <c r="D4011" t="s">
        <v>438</v>
      </c>
      <c r="E4011" t="s">
        <v>4823</v>
      </c>
      <c r="F4011" t="s">
        <v>4817</v>
      </c>
      <c r="G4011" t="s">
        <v>4814</v>
      </c>
      <c r="H4011" t="s">
        <v>373</v>
      </c>
      <c r="I4011" t="s">
        <v>289</v>
      </c>
      <c r="J4011" t="s">
        <v>301</v>
      </c>
      <c r="K4011">
        <v>20</v>
      </c>
      <c r="L4011" s="6">
        <v>6.0960000000000001</v>
      </c>
      <c r="M4011" s="7">
        <v>25.4</v>
      </c>
      <c r="N4011" s="7">
        <v>139.69999999999999</v>
      </c>
      <c r="O4011" s="7">
        <f t="shared" si="354"/>
        <v>240</v>
      </c>
      <c r="P4011" s="7">
        <f t="shared" si="355"/>
        <v>1</v>
      </c>
      <c r="Q4011" s="7">
        <f t="shared" si="355"/>
        <v>5.5</v>
      </c>
      <c r="R4011" s="6">
        <f t="shared" si="356"/>
        <v>924.60199999999998</v>
      </c>
      <c r="S4011" s="6">
        <f t="shared" si="357"/>
        <v>2.1630924480000001E-2</v>
      </c>
      <c r="T4011" t="str">
        <f t="shared" si="348"/>
        <v>Red Balau S4S E4E 5/4x6 Long</v>
      </c>
    </row>
    <row r="4012" spans="1:20" x14ac:dyDescent="0.25">
      <c r="A4012" t="s">
        <v>4571</v>
      </c>
      <c r="B4012" t="s">
        <v>4293</v>
      </c>
      <c r="C4012" t="s">
        <v>4565</v>
      </c>
      <c r="D4012" t="s">
        <v>2826</v>
      </c>
      <c r="E4012" t="s">
        <v>4824</v>
      </c>
      <c r="F4012" t="s">
        <v>4825</v>
      </c>
      <c r="G4012" t="s">
        <v>4826</v>
      </c>
      <c r="H4012" t="s">
        <v>4728</v>
      </c>
      <c r="I4012" t="s">
        <v>289</v>
      </c>
      <c r="J4012" t="s">
        <v>4569</v>
      </c>
      <c r="K4012">
        <v>0</v>
      </c>
      <c r="L4012" s="6">
        <v>0</v>
      </c>
      <c r="M4012" s="7">
        <v>0</v>
      </c>
      <c r="N4012" s="7">
        <v>0</v>
      </c>
      <c r="O4012" s="7">
        <v>0</v>
      </c>
      <c r="P4012" s="7">
        <v>0</v>
      </c>
      <c r="Q4012" s="7">
        <v>0</v>
      </c>
      <c r="R4012" s="6">
        <v>0</v>
      </c>
      <c r="S4012" s="6">
        <v>0</v>
      </c>
      <c r="T4012" t="str">
        <f t="shared" si="348"/>
        <v>Plug Kit 175 Count Wood Ipe 3/8"x3/8" Plug</v>
      </c>
    </row>
    <row r="4013" spans="1:20" x14ac:dyDescent="0.25">
      <c r="A4013" t="s">
        <v>4571</v>
      </c>
      <c r="B4013" t="s">
        <v>4293</v>
      </c>
      <c r="C4013" t="s">
        <v>4565</v>
      </c>
      <c r="D4013" t="s">
        <v>2826</v>
      </c>
      <c r="E4013" t="s">
        <v>4827</v>
      </c>
      <c r="F4013" t="s">
        <v>4828</v>
      </c>
      <c r="G4013" t="s">
        <v>4829</v>
      </c>
      <c r="H4013" t="s">
        <v>4728</v>
      </c>
      <c r="I4013" t="s">
        <v>289</v>
      </c>
      <c r="J4013" t="s">
        <v>4569</v>
      </c>
      <c r="K4013">
        <v>0</v>
      </c>
      <c r="L4013" s="6">
        <v>0</v>
      </c>
      <c r="M4013" s="7">
        <v>0</v>
      </c>
      <c r="N4013" s="7">
        <v>0</v>
      </c>
      <c r="O4013" s="7">
        <v>0</v>
      </c>
      <c r="P4013" s="7">
        <v>0</v>
      </c>
      <c r="Q4013" s="7">
        <v>0</v>
      </c>
      <c r="R4013" s="6">
        <v>0</v>
      </c>
      <c r="S4013" s="6">
        <v>0</v>
      </c>
      <c r="T4013" t="str">
        <f t="shared" si="348"/>
        <v>Plug Kit 700 Count Wood Ipe 3/8"x3/8" Plug</v>
      </c>
    </row>
    <row r="4014" spans="1:20" x14ac:dyDescent="0.25">
      <c r="A4014" t="s">
        <v>4571</v>
      </c>
      <c r="B4014" t="s">
        <v>4293</v>
      </c>
      <c r="C4014" t="s">
        <v>4565</v>
      </c>
      <c r="D4014" t="s">
        <v>2826</v>
      </c>
      <c r="E4014" t="s">
        <v>4830</v>
      </c>
      <c r="F4014" t="s">
        <v>4828</v>
      </c>
      <c r="G4014" t="s">
        <v>4829</v>
      </c>
      <c r="H4014" t="s">
        <v>4728</v>
      </c>
      <c r="I4014" t="s">
        <v>289</v>
      </c>
      <c r="J4014" t="s">
        <v>4569</v>
      </c>
      <c r="K4014">
        <v>0</v>
      </c>
      <c r="L4014" s="6">
        <v>0</v>
      </c>
      <c r="M4014" s="7">
        <v>0</v>
      </c>
      <c r="N4014" s="7">
        <v>0</v>
      </c>
      <c r="O4014" s="7">
        <v>0</v>
      </c>
      <c r="P4014" s="7">
        <v>0</v>
      </c>
      <c r="Q4014" s="7">
        <v>0</v>
      </c>
      <c r="R4014" s="6">
        <v>0</v>
      </c>
      <c r="S4014" s="6">
        <v>0</v>
      </c>
      <c r="T4014" t="str">
        <f t="shared" si="348"/>
        <v>Plug Kit 700 Count Wood Ipe 3/8"x3/8" Plug</v>
      </c>
    </row>
    <row r="4015" spans="1:20" x14ac:dyDescent="0.25">
      <c r="A4015" t="s">
        <v>2824</v>
      </c>
      <c r="B4015" t="s">
        <v>2871</v>
      </c>
      <c r="C4015" t="s">
        <v>2824</v>
      </c>
      <c r="D4015" t="s">
        <v>2826</v>
      </c>
      <c r="E4015" t="s">
        <v>4831</v>
      </c>
      <c r="F4015" t="s">
        <v>2871</v>
      </c>
      <c r="G4015" t="s">
        <v>289</v>
      </c>
      <c r="H4015" t="s">
        <v>289</v>
      </c>
      <c r="I4015" t="s">
        <v>289</v>
      </c>
      <c r="J4015">
        <v>0</v>
      </c>
      <c r="K4015">
        <v>0</v>
      </c>
      <c r="L4015" s="6">
        <v>0</v>
      </c>
      <c r="M4015" s="7">
        <v>0</v>
      </c>
      <c r="N4015" s="7">
        <v>0</v>
      </c>
      <c r="O4015" s="7">
        <v>0</v>
      </c>
      <c r="P4015" s="7">
        <v>0</v>
      </c>
      <c r="Q4015" s="7">
        <v>0</v>
      </c>
      <c r="R4015" s="6">
        <v>0</v>
      </c>
      <c r="S4015" s="6">
        <v>0</v>
      </c>
      <c r="T4015" t="str">
        <f t="shared" si="348"/>
        <v>Painting Services</v>
      </c>
    </row>
    <row r="4016" spans="1:20" x14ac:dyDescent="0.25">
      <c r="A4016" t="s">
        <v>4274</v>
      </c>
      <c r="B4016" t="s">
        <v>4293</v>
      </c>
      <c r="C4016" t="s">
        <v>2759</v>
      </c>
      <c r="D4016" t="s">
        <v>4274</v>
      </c>
      <c r="E4016">
        <v>100020</v>
      </c>
      <c r="F4016" s="8" t="s">
        <v>4832</v>
      </c>
      <c r="G4016" t="s">
        <v>4555</v>
      </c>
      <c r="H4016" s="8" t="s">
        <v>4556</v>
      </c>
      <c r="I4016" t="s">
        <v>289</v>
      </c>
      <c r="J4016" t="s">
        <v>4833</v>
      </c>
      <c r="K4016">
        <v>0</v>
      </c>
      <c r="L4016" s="6">
        <v>0</v>
      </c>
      <c r="M4016" s="7">
        <v>0</v>
      </c>
      <c r="N4016" s="7">
        <v>0</v>
      </c>
      <c r="O4016" s="7">
        <v>0</v>
      </c>
      <c r="P4016" s="7">
        <v>0</v>
      </c>
      <c r="Q4016" s="7">
        <v>0</v>
      </c>
      <c r="R4016" s="6">
        <v>0</v>
      </c>
      <c r="S4016" s="6">
        <v>0</v>
      </c>
      <c r="T4016" t="str">
        <f t="shared" si="348"/>
        <v>Screws Kit 350 Count US4 Cedar Trim Head T-15 SS305  8x2-1/2" Screws</v>
      </c>
    </row>
    <row r="4017" spans="1:20" x14ac:dyDescent="0.25">
      <c r="A4017" t="s">
        <v>2824</v>
      </c>
      <c r="B4017" t="s">
        <v>2825</v>
      </c>
      <c r="C4017" t="s">
        <v>2824</v>
      </c>
      <c r="D4017" t="s">
        <v>2826</v>
      </c>
      <c r="E4017" t="s">
        <v>4834</v>
      </c>
      <c r="F4017" t="s">
        <v>2825</v>
      </c>
      <c r="G4017" t="s">
        <v>2825</v>
      </c>
      <c r="H4017" t="s">
        <v>289</v>
      </c>
      <c r="I4017" t="s">
        <v>289</v>
      </c>
      <c r="J4017">
        <v>0</v>
      </c>
      <c r="K4017">
        <v>0</v>
      </c>
      <c r="L4017" s="6">
        <v>0</v>
      </c>
      <c r="M4017" s="7">
        <v>0</v>
      </c>
      <c r="N4017" s="7">
        <v>0</v>
      </c>
      <c r="O4017" s="7">
        <v>0</v>
      </c>
      <c r="P4017" s="7">
        <v>0</v>
      </c>
      <c r="Q4017" s="7">
        <v>0</v>
      </c>
      <c r="R4017" s="6">
        <v>0</v>
      </c>
      <c r="S4017" s="6">
        <v>0</v>
      </c>
      <c r="T4017" t="str">
        <f t="shared" si="348"/>
        <v>Expense Recovery Services</v>
      </c>
    </row>
  </sheetData>
  <autoFilter ref="A1:S4017" xr:uid="{EE41A9EE-54B6-4A94-AB9A-51D6AA813FFC}"/>
  <conditionalFormatting sqref="E1:E3862">
    <cfRule type="duplicateValues" dxfId="11" priority="8"/>
  </conditionalFormatting>
  <conditionalFormatting sqref="E3863 E3885:E3920 E3925:E3927">
    <cfRule type="duplicateValues" dxfId="10" priority="9"/>
  </conditionalFormatting>
  <conditionalFormatting sqref="E3864:E3883">
    <cfRule type="duplicateValues" dxfId="9" priority="7"/>
  </conditionalFormatting>
  <conditionalFormatting sqref="E3884">
    <cfRule type="duplicateValues" dxfId="8" priority="6"/>
  </conditionalFormatting>
  <conditionalFormatting sqref="E3921">
    <cfRule type="duplicateValues" dxfId="7" priority="5"/>
  </conditionalFormatting>
  <conditionalFormatting sqref="E3922">
    <cfRule type="duplicateValues" dxfId="6" priority="4"/>
  </conditionalFormatting>
  <conditionalFormatting sqref="E3923:E3924">
    <cfRule type="duplicateValues" dxfId="5" priority="3"/>
  </conditionalFormatting>
  <conditionalFormatting sqref="E3928:E4002">
    <cfRule type="duplicateValues" dxfId="4" priority="10"/>
  </conditionalFormatting>
  <conditionalFormatting sqref="E4003:E4004">
    <cfRule type="duplicateValues" dxfId="3" priority="2"/>
  </conditionalFormatting>
  <conditionalFormatting sqref="E4005:E4016">
    <cfRule type="duplicateValues" dxfId="2" priority="11"/>
  </conditionalFormatting>
  <conditionalFormatting sqref="E4017">
    <cfRule type="duplicateValues" dxfId="1" priority="1"/>
  </conditionalFormatting>
  <conditionalFormatting sqref="E4018:E1048576">
    <cfRule type="duplicateValues" dxfId="0" priority="1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Backup Reservas</vt:lpstr>
      <vt:lpstr>Base SKUs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PEREIRA</cp:lastModifiedBy>
  <dcterms:created xsi:type="dcterms:W3CDTF">2026-08-18T13:06:41Z</dcterms:created>
  <dcterms:modified xsi:type="dcterms:W3CDTF">2026-09-25T15:33:38Z</dcterms:modified>
</cp:coreProperties>
</file>